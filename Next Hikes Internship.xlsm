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5.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69003cb1a087c46e/Documents/"/>
    </mc:Choice>
  </mc:AlternateContent>
  <xr:revisionPtr revIDLastSave="109" documentId="8_{91711967-01FE-4C3C-8B5E-87EE7D2AAB81}" xr6:coauthVersionLast="47" xr6:coauthVersionMax="47" xr10:uidLastSave="{98453EA5-6C2B-44E8-B449-2C77E90B868D}"/>
  <bookViews>
    <workbookView xWindow="-108" yWindow="-108" windowWidth="23256" windowHeight="12456" activeTab="8" xr2:uid="{9EDB9C24-EA76-4DD7-BF39-D15FB165BC4F}"/>
  </bookViews>
  <sheets>
    <sheet name="Sheet1" sheetId="24" r:id="rId1"/>
    <sheet name="Dataset1" sheetId="1" r:id="rId2"/>
    <sheet name="Sheet2" sheetId="25" r:id="rId3"/>
    <sheet name="Dataset2" sheetId="10" r:id="rId4"/>
    <sheet name="Sheet A" sheetId="4" r:id="rId5"/>
    <sheet name="Sheet3" sheetId="26" r:id="rId6"/>
    <sheet name="Dataset3" sheetId="6" r:id="rId7"/>
    <sheet name="Sheet forecasting" sheetId="23" r:id="rId8"/>
    <sheet name="Merged sheets" sheetId="12" r:id="rId9"/>
    <sheet name="Dashboard" sheetId="21" r:id="rId10"/>
  </sheets>
  <definedNames>
    <definedName name="Dataset2">#REF!</definedName>
    <definedName name="Dataset3">Dataset3!$A$1:$S$391</definedName>
    <definedName name="ExternalData_5" localSheetId="8" hidden="1">'Merged sheets'!$A$1:$S$1000</definedName>
    <definedName name="list2">Dataset2!$A$1:$I$611</definedName>
    <definedName name="NativeTimeline_Date">#N/A</definedName>
    <definedName name="Slicer_Days">#N/A</definedName>
    <definedName name="Slicer_Temperature_Situation">#N/A</definedName>
    <definedName name="Slicer_Weather">#N/A</definedName>
    <definedName name="Slicer_Windspeed">#N/A</definedName>
  </definedNames>
  <calcPr calcId="191029"/>
  <extLst>
    <ext xmlns:x14="http://schemas.microsoft.com/office/spreadsheetml/2009/9/main" uri="{876F7934-8845-4945-9796-88D515C7AA90}">
      <x14:pivotCaches>
        <pivotCache cacheId="1" r:id="rId11"/>
        <pivotCache cacheId="2" r:id="rId12"/>
      </x14:pivotCaches>
    </ex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3" r:id="rId17"/>
      </x15:timelineCachePivotCaches>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50" i="12" l="1"/>
  <c r="W49" i="12"/>
  <c r="W48" i="12"/>
  <c r="W47" i="12"/>
  <c r="AN43" i="12"/>
  <c r="AM43" i="12"/>
  <c r="AL43" i="12"/>
  <c r="AK43" i="12"/>
  <c r="AJ43" i="12"/>
  <c r="AI43" i="12"/>
  <c r="AH43" i="12"/>
  <c r="AG43" i="12"/>
  <c r="AF43" i="12"/>
  <c r="AE43" i="12"/>
  <c r="AD43" i="12"/>
  <c r="AC43" i="12"/>
  <c r="AB43" i="12"/>
  <c r="AA43" i="12"/>
  <c r="Z43" i="12"/>
  <c r="Y43" i="12"/>
  <c r="X43" i="12"/>
  <c r="W43" i="12"/>
  <c r="X36" i="12"/>
  <c r="X37" i="12"/>
  <c r="X35" i="12"/>
  <c r="X34" i="12"/>
  <c r="X30" i="12"/>
  <c r="X29" i="12"/>
  <c r="X27" i="12"/>
  <c r="X26" i="12"/>
  <c r="Z13" i="12"/>
  <c r="Z14" i="12"/>
  <c r="Z15" i="12"/>
  <c r="Z16" i="12"/>
  <c r="Z17" i="12"/>
  <c r="Z18" i="12"/>
  <c r="Z19" i="12"/>
  <c r="Z20" i="12"/>
  <c r="Z21" i="12"/>
  <c r="Z22" i="12"/>
  <c r="Z12" i="12"/>
  <c r="Y13" i="12"/>
  <c r="Y14" i="12"/>
  <c r="Y15" i="12"/>
  <c r="Y16" i="12"/>
  <c r="Y17" i="12"/>
  <c r="Y18" i="12"/>
  <c r="Y19" i="12"/>
  <c r="Y20" i="12"/>
  <c r="Y21" i="12"/>
  <c r="Y22" i="12"/>
  <c r="Y12" i="12"/>
  <c r="X13" i="12"/>
  <c r="X14" i="12"/>
  <c r="X15" i="12"/>
  <c r="X16" i="12"/>
  <c r="X17" i="12"/>
  <c r="X18" i="12"/>
  <c r="X19" i="12"/>
  <c r="X20" i="12"/>
  <c r="X21" i="12"/>
  <c r="X22" i="12"/>
  <c r="X12" i="12"/>
  <c r="W7" i="12"/>
  <c r="W6" i="12"/>
  <c r="W5" i="12"/>
  <c r="W4" i="12"/>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7" i="4"/>
  <c r="S258" i="4"/>
  <c r="S259" i="4"/>
  <c r="S260" i="4"/>
  <c r="S261" i="4"/>
  <c r="S262" i="4"/>
  <c r="S263" i="4"/>
  <c r="S264" i="4"/>
  <c r="S265" i="4"/>
  <c r="S266" i="4"/>
  <c r="S267" i="4"/>
  <c r="S268" i="4"/>
  <c r="S269" i="4"/>
  <c r="S270" i="4"/>
  <c r="S271" i="4"/>
  <c r="S272" i="4"/>
  <c r="S273" i="4"/>
  <c r="S274" i="4"/>
  <c r="S275" i="4"/>
  <c r="S276" i="4"/>
  <c r="S277" i="4"/>
  <c r="S278" i="4"/>
  <c r="S279" i="4"/>
  <c r="S280" i="4"/>
  <c r="S281" i="4"/>
  <c r="S282" i="4"/>
  <c r="S283" i="4"/>
  <c r="S284" i="4"/>
  <c r="S285" i="4"/>
  <c r="S286" i="4"/>
  <c r="S287" i="4"/>
  <c r="S288" i="4"/>
  <c r="S289" i="4"/>
  <c r="S290" i="4"/>
  <c r="S291" i="4"/>
  <c r="S292" i="4"/>
  <c r="S293" i="4"/>
  <c r="S294" i="4"/>
  <c r="S295" i="4"/>
  <c r="S296" i="4"/>
  <c r="S297" i="4"/>
  <c r="S298" i="4"/>
  <c r="S299" i="4"/>
  <c r="S300" i="4"/>
  <c r="S301" i="4"/>
  <c r="S302" i="4"/>
  <c r="S303" i="4"/>
  <c r="S304"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S392" i="4"/>
  <c r="S393" i="4"/>
  <c r="S394" i="4"/>
  <c r="S395" i="4"/>
  <c r="S396" i="4"/>
  <c r="S397" i="4"/>
  <c r="S398" i="4"/>
  <c r="S399" i="4"/>
  <c r="S400" i="4"/>
  <c r="S401" i="4"/>
  <c r="S402" i="4"/>
  <c r="S403" i="4"/>
  <c r="S404" i="4"/>
  <c r="S405" i="4"/>
  <c r="S406" i="4"/>
  <c r="S407" i="4"/>
  <c r="S408" i="4"/>
  <c r="S409" i="4"/>
  <c r="S410" i="4"/>
  <c r="S411" i="4"/>
  <c r="S412" i="4"/>
  <c r="S413" i="4"/>
  <c r="S414" i="4"/>
  <c r="S415" i="4"/>
  <c r="S416" i="4"/>
  <c r="S417" i="4"/>
  <c r="S418" i="4"/>
  <c r="S419" i="4"/>
  <c r="S420" i="4"/>
  <c r="S421" i="4"/>
  <c r="S422" i="4"/>
  <c r="S423" i="4"/>
  <c r="S424" i="4"/>
  <c r="S425" i="4"/>
  <c r="S426" i="4"/>
  <c r="S427" i="4"/>
  <c r="S428" i="4"/>
  <c r="S429" i="4"/>
  <c r="S430" i="4"/>
  <c r="S431" i="4"/>
  <c r="S432" i="4"/>
  <c r="S433" i="4"/>
  <c r="S434" i="4"/>
  <c r="S435" i="4"/>
  <c r="S436" i="4"/>
  <c r="S437" i="4"/>
  <c r="S438" i="4"/>
  <c r="S439" i="4"/>
  <c r="S440" i="4"/>
  <c r="S441" i="4"/>
  <c r="S442" i="4"/>
  <c r="S443" i="4"/>
  <c r="S444" i="4"/>
  <c r="S445" i="4"/>
  <c r="S446" i="4"/>
  <c r="S447" i="4"/>
  <c r="S448" i="4"/>
  <c r="S449" i="4"/>
  <c r="S450" i="4"/>
  <c r="S451" i="4"/>
  <c r="S452" i="4"/>
  <c r="S453" i="4"/>
  <c r="S454" i="4"/>
  <c r="S455" i="4"/>
  <c r="S456" i="4"/>
  <c r="S457" i="4"/>
  <c r="S458" i="4"/>
  <c r="S459" i="4"/>
  <c r="S460" i="4"/>
  <c r="S461" i="4"/>
  <c r="S462" i="4"/>
  <c r="S463" i="4"/>
  <c r="S464" i="4"/>
  <c r="S465" i="4"/>
  <c r="S466" i="4"/>
  <c r="S467" i="4"/>
  <c r="S468" i="4"/>
  <c r="S469" i="4"/>
  <c r="S470" i="4"/>
  <c r="S471" i="4"/>
  <c r="S472" i="4"/>
  <c r="S473" i="4"/>
  <c r="S474" i="4"/>
  <c r="S475"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8"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S601" i="4"/>
  <c r="S602" i="4"/>
  <c r="S603" i="4"/>
  <c r="S604" i="4"/>
  <c r="S605" i="4"/>
  <c r="S606" i="4"/>
  <c r="S607" i="4"/>
  <c r="S608" i="4"/>
  <c r="S609" i="4"/>
  <c r="S610" i="4"/>
  <c r="S611" i="4"/>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R392" i="4"/>
  <c r="R393" i="4"/>
  <c r="R394" i="4"/>
  <c r="R395" i="4"/>
  <c r="R396" i="4"/>
  <c r="R397" i="4"/>
  <c r="R398" i="4"/>
  <c r="R399" i="4"/>
  <c r="R400" i="4"/>
  <c r="R401" i="4"/>
  <c r="R402" i="4"/>
  <c r="R403" i="4"/>
  <c r="R404" i="4"/>
  <c r="R405" i="4"/>
  <c r="R406" i="4"/>
  <c r="R407" i="4"/>
  <c r="R408" i="4"/>
  <c r="R409" i="4"/>
  <c r="R410" i="4"/>
  <c r="R411" i="4"/>
  <c r="R412" i="4"/>
  <c r="R413" i="4"/>
  <c r="R414" i="4"/>
  <c r="R415" i="4"/>
  <c r="R416" i="4"/>
  <c r="R417" i="4"/>
  <c r="R418" i="4"/>
  <c r="R419" i="4"/>
  <c r="R420" i="4"/>
  <c r="R421" i="4"/>
  <c r="R422" i="4"/>
  <c r="R423" i="4"/>
  <c r="R424" i="4"/>
  <c r="R425" i="4"/>
  <c r="R426" i="4"/>
  <c r="R427" i="4"/>
  <c r="R428" i="4"/>
  <c r="R429" i="4"/>
  <c r="R430" i="4"/>
  <c r="R431" i="4"/>
  <c r="R432" i="4"/>
  <c r="R433" i="4"/>
  <c r="R434" i="4"/>
  <c r="R435" i="4"/>
  <c r="R436" i="4"/>
  <c r="R437" i="4"/>
  <c r="R438" i="4"/>
  <c r="R439" i="4"/>
  <c r="R440" i="4"/>
  <c r="R441" i="4"/>
  <c r="R442" i="4"/>
  <c r="R443" i="4"/>
  <c r="R444" i="4"/>
  <c r="R445" i="4"/>
  <c r="R446" i="4"/>
  <c r="R447" i="4"/>
  <c r="R448" i="4"/>
  <c r="R449" i="4"/>
  <c r="R450" i="4"/>
  <c r="R451" i="4"/>
  <c r="R452" i="4"/>
  <c r="R453" i="4"/>
  <c r="R454" i="4"/>
  <c r="R455" i="4"/>
  <c r="R456" i="4"/>
  <c r="R457" i="4"/>
  <c r="R458" i="4"/>
  <c r="R459" i="4"/>
  <c r="R460" i="4"/>
  <c r="R461" i="4"/>
  <c r="R462" i="4"/>
  <c r="R463" i="4"/>
  <c r="R464" i="4"/>
  <c r="R465" i="4"/>
  <c r="R466" i="4"/>
  <c r="R467" i="4"/>
  <c r="R468" i="4"/>
  <c r="R469" i="4"/>
  <c r="R470" i="4"/>
  <c r="R471" i="4"/>
  <c r="R472" i="4"/>
  <c r="R473" i="4"/>
  <c r="R474" i="4"/>
  <c r="R475" i="4"/>
  <c r="R476" i="4"/>
  <c r="R477" i="4"/>
  <c r="R478" i="4"/>
  <c r="R479" i="4"/>
  <c r="R480" i="4"/>
  <c r="R481" i="4"/>
  <c r="R482" i="4"/>
  <c r="R483" i="4"/>
  <c r="R484" i="4"/>
  <c r="R485" i="4"/>
  <c r="R486" i="4"/>
  <c r="R487" i="4"/>
  <c r="R488" i="4"/>
  <c r="R489" i="4"/>
  <c r="R490" i="4"/>
  <c r="R491" i="4"/>
  <c r="R492" i="4"/>
  <c r="R493" i="4"/>
  <c r="R494" i="4"/>
  <c r="R495" i="4"/>
  <c r="R496" i="4"/>
  <c r="R497" i="4"/>
  <c r="R498" i="4"/>
  <c r="R499" i="4"/>
  <c r="R500" i="4"/>
  <c r="R501" i="4"/>
  <c r="R502" i="4"/>
  <c r="R503" i="4"/>
  <c r="R504" i="4"/>
  <c r="R505" i="4"/>
  <c r="R506" i="4"/>
  <c r="R507" i="4"/>
  <c r="R508" i="4"/>
  <c r="R509" i="4"/>
  <c r="R510" i="4"/>
  <c r="R511" i="4"/>
  <c r="R512" i="4"/>
  <c r="R513" i="4"/>
  <c r="R514" i="4"/>
  <c r="R515" i="4"/>
  <c r="R516" i="4"/>
  <c r="R517" i="4"/>
  <c r="R518" i="4"/>
  <c r="R519" i="4"/>
  <c r="R520" i="4"/>
  <c r="R521" i="4"/>
  <c r="R522"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49" i="4"/>
  <c r="R550" i="4"/>
  <c r="R551" i="4"/>
  <c r="R552" i="4"/>
  <c r="R553" i="4"/>
  <c r="R554" i="4"/>
  <c r="R555" i="4"/>
  <c r="R556" i="4"/>
  <c r="R557" i="4"/>
  <c r="R558" i="4"/>
  <c r="R559" i="4"/>
  <c r="R560" i="4"/>
  <c r="R561" i="4"/>
  <c r="R562" i="4"/>
  <c r="R563" i="4"/>
  <c r="R564" i="4"/>
  <c r="R565" i="4"/>
  <c r="R566" i="4"/>
  <c r="R567" i="4"/>
  <c r="R568" i="4"/>
  <c r="R569" i="4"/>
  <c r="R570" i="4"/>
  <c r="R571" i="4"/>
  <c r="R572" i="4"/>
  <c r="R573" i="4"/>
  <c r="R574" i="4"/>
  <c r="R575" i="4"/>
  <c r="R576" i="4"/>
  <c r="R577" i="4"/>
  <c r="R578" i="4"/>
  <c r="R579" i="4"/>
  <c r="R580" i="4"/>
  <c r="R581" i="4"/>
  <c r="R582" i="4"/>
  <c r="R583" i="4"/>
  <c r="R584" i="4"/>
  <c r="R585" i="4"/>
  <c r="R586" i="4"/>
  <c r="R587" i="4"/>
  <c r="R588" i="4"/>
  <c r="R589" i="4"/>
  <c r="R590" i="4"/>
  <c r="R591" i="4"/>
  <c r="R592" i="4"/>
  <c r="R593" i="4"/>
  <c r="R594" i="4"/>
  <c r="R595" i="4"/>
  <c r="R596" i="4"/>
  <c r="R597" i="4"/>
  <c r="R598" i="4"/>
  <c r="R599" i="4"/>
  <c r="R600" i="4"/>
  <c r="R601" i="4"/>
  <c r="R602" i="4"/>
  <c r="R603" i="4"/>
  <c r="R604" i="4"/>
  <c r="R605" i="4"/>
  <c r="R606" i="4"/>
  <c r="R607" i="4"/>
  <c r="R608" i="4"/>
  <c r="R609" i="4"/>
  <c r="R610" i="4"/>
  <c r="R611"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S2" i="4"/>
  <c r="R2" i="4"/>
  <c r="Q2" i="4"/>
  <c r="P2" i="4"/>
  <c r="O2" i="4"/>
  <c r="N2" i="4"/>
  <c r="M2" i="4"/>
  <c r="L2" i="4"/>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300" i="10"/>
  <c r="K301" i="10"/>
  <c r="K302" i="10"/>
  <c r="K303" i="10"/>
  <c r="K304" i="10"/>
  <c r="K305" i="10"/>
  <c r="K306" i="10"/>
  <c r="K307" i="10"/>
  <c r="K308" i="10"/>
  <c r="K309" i="10"/>
  <c r="K310" i="10"/>
  <c r="K311" i="10"/>
  <c r="K312" i="10"/>
  <c r="K313" i="10"/>
  <c r="K314" i="10"/>
  <c r="K315" i="10"/>
  <c r="K316" i="10"/>
  <c r="K317" i="10"/>
  <c r="K318" i="10"/>
  <c r="K319" i="10"/>
  <c r="K320" i="10"/>
  <c r="K321" i="10"/>
  <c r="K322" i="10"/>
  <c r="K323" i="10"/>
  <c r="K324" i="10"/>
  <c r="K325" i="10"/>
  <c r="K326" i="10"/>
  <c r="K327" i="10"/>
  <c r="K328" i="10"/>
  <c r="K329" i="10"/>
  <c r="K330" i="10"/>
  <c r="K331" i="10"/>
  <c r="K332" i="10"/>
  <c r="K333" i="10"/>
  <c r="K334" i="10"/>
  <c r="K335" i="10"/>
  <c r="K336" i="10"/>
  <c r="K337" i="10"/>
  <c r="K338" i="10"/>
  <c r="K339" i="10"/>
  <c r="K340" i="10"/>
  <c r="K341" i="10"/>
  <c r="K342" i="10"/>
  <c r="K343" i="10"/>
  <c r="K344" i="10"/>
  <c r="K345" i="10"/>
  <c r="K346" i="10"/>
  <c r="K347" i="10"/>
  <c r="K348" i="10"/>
  <c r="K349" i="10"/>
  <c r="K350" i="10"/>
  <c r="K351" i="10"/>
  <c r="K352" i="10"/>
  <c r="K353" i="10"/>
  <c r="K354" i="10"/>
  <c r="K355" i="10"/>
  <c r="K356" i="10"/>
  <c r="K357" i="10"/>
  <c r="K358" i="10"/>
  <c r="K359" i="10"/>
  <c r="K360" i="10"/>
  <c r="K361" i="10"/>
  <c r="K362" i="10"/>
  <c r="K363" i="10"/>
  <c r="K364" i="10"/>
  <c r="K365" i="10"/>
  <c r="K366" i="10"/>
  <c r="K367" i="10"/>
  <c r="K368" i="10"/>
  <c r="K369" i="10"/>
  <c r="K370" i="10"/>
  <c r="K371" i="10"/>
  <c r="K372" i="10"/>
  <c r="K373" i="10"/>
  <c r="K374" i="10"/>
  <c r="K375" i="10"/>
  <c r="K376" i="10"/>
  <c r="K377" i="10"/>
  <c r="K378" i="10"/>
  <c r="K379" i="10"/>
  <c r="K380" i="10"/>
  <c r="K381" i="10"/>
  <c r="K382" i="10"/>
  <c r="K383" i="10"/>
  <c r="K384" i="10"/>
  <c r="K385" i="10"/>
  <c r="K386" i="10"/>
  <c r="K387" i="10"/>
  <c r="K388" i="10"/>
  <c r="K389" i="10"/>
  <c r="K390" i="10"/>
  <c r="K391" i="10"/>
  <c r="K392" i="10"/>
  <c r="K393" i="10"/>
  <c r="K394" i="10"/>
  <c r="K395" i="10"/>
  <c r="K396" i="10"/>
  <c r="K397" i="10"/>
  <c r="K398" i="10"/>
  <c r="K399" i="10"/>
  <c r="K400" i="10"/>
  <c r="K401" i="10"/>
  <c r="K402" i="10"/>
  <c r="K403" i="10"/>
  <c r="K404" i="10"/>
  <c r="K405" i="10"/>
  <c r="K406" i="10"/>
  <c r="K407" i="10"/>
  <c r="K408" i="10"/>
  <c r="K409" i="10"/>
  <c r="K410" i="10"/>
  <c r="K411" i="10"/>
  <c r="K412" i="10"/>
  <c r="K413" i="10"/>
  <c r="K414" i="10"/>
  <c r="K415" i="10"/>
  <c r="K416" i="10"/>
  <c r="K417" i="10"/>
  <c r="K418" i="10"/>
  <c r="K419" i="10"/>
  <c r="K420" i="10"/>
  <c r="K421" i="10"/>
  <c r="K422" i="10"/>
  <c r="K423" i="10"/>
  <c r="K424" i="10"/>
  <c r="K425" i="10"/>
  <c r="K426" i="10"/>
  <c r="K427" i="10"/>
  <c r="K428" i="10"/>
  <c r="K429" i="10"/>
  <c r="K430" i="10"/>
  <c r="K431" i="10"/>
  <c r="K432" i="10"/>
  <c r="K433" i="10"/>
  <c r="K434" i="10"/>
  <c r="K435" i="10"/>
  <c r="K436" i="10"/>
  <c r="K437" i="10"/>
  <c r="K438" i="10"/>
  <c r="K439" i="10"/>
  <c r="K440" i="10"/>
  <c r="K441" i="10"/>
  <c r="K442" i="10"/>
  <c r="K443" i="10"/>
  <c r="K444" i="10"/>
  <c r="K445" i="10"/>
  <c r="K446" i="10"/>
  <c r="K447" i="10"/>
  <c r="K448" i="10"/>
  <c r="K449" i="10"/>
  <c r="K450" i="10"/>
  <c r="K451" i="10"/>
  <c r="K452" i="10"/>
  <c r="K453" i="10"/>
  <c r="K454" i="10"/>
  <c r="K455" i="10"/>
  <c r="K456" i="10"/>
  <c r="K457" i="10"/>
  <c r="K458" i="10"/>
  <c r="K459" i="10"/>
  <c r="K460" i="10"/>
  <c r="K461" i="10"/>
  <c r="K462" i="10"/>
  <c r="K463" i="10"/>
  <c r="K464" i="10"/>
  <c r="K465" i="10"/>
  <c r="K466" i="10"/>
  <c r="K467" i="10"/>
  <c r="K468" i="10"/>
  <c r="K469" i="10"/>
  <c r="K470" i="10"/>
  <c r="K471" i="10"/>
  <c r="K472" i="10"/>
  <c r="K473" i="10"/>
  <c r="K474" i="10"/>
  <c r="K475" i="10"/>
  <c r="K476" i="10"/>
  <c r="K477" i="10"/>
  <c r="K478" i="10"/>
  <c r="K479" i="10"/>
  <c r="K480" i="10"/>
  <c r="K481" i="10"/>
  <c r="K482" i="10"/>
  <c r="K483" i="10"/>
  <c r="K484" i="10"/>
  <c r="K485" i="10"/>
  <c r="K486" i="10"/>
  <c r="K487" i="10"/>
  <c r="K488" i="10"/>
  <c r="K489" i="10"/>
  <c r="K490" i="10"/>
  <c r="K491" i="10"/>
  <c r="K492" i="10"/>
  <c r="K493" i="10"/>
  <c r="K494" i="10"/>
  <c r="K495" i="10"/>
  <c r="K496" i="10"/>
  <c r="K497" i="10"/>
  <c r="K498" i="10"/>
  <c r="K499" i="10"/>
  <c r="K500" i="10"/>
  <c r="K501" i="10"/>
  <c r="K502" i="10"/>
  <c r="K503" i="10"/>
  <c r="K504" i="10"/>
  <c r="K505" i="10"/>
  <c r="K506" i="10"/>
  <c r="K507" i="10"/>
  <c r="K508" i="10"/>
  <c r="K509" i="10"/>
  <c r="K510" i="10"/>
  <c r="K511" i="10"/>
  <c r="K512" i="10"/>
  <c r="K513" i="10"/>
  <c r="K514" i="10"/>
  <c r="K515" i="10"/>
  <c r="K516" i="10"/>
  <c r="K517" i="10"/>
  <c r="K518" i="10"/>
  <c r="K519" i="10"/>
  <c r="K520" i="10"/>
  <c r="K521" i="10"/>
  <c r="K522" i="10"/>
  <c r="K523" i="10"/>
  <c r="K524" i="10"/>
  <c r="K525" i="10"/>
  <c r="K526" i="10"/>
  <c r="K527" i="10"/>
  <c r="K528" i="10"/>
  <c r="K529" i="10"/>
  <c r="K530" i="10"/>
  <c r="K531" i="10"/>
  <c r="K532" i="10"/>
  <c r="K533" i="10"/>
  <c r="K534" i="10"/>
  <c r="K535" i="10"/>
  <c r="K536" i="10"/>
  <c r="K537" i="10"/>
  <c r="K538" i="10"/>
  <c r="K539" i="10"/>
  <c r="K540" i="10"/>
  <c r="K541" i="10"/>
  <c r="K542" i="10"/>
  <c r="K543" i="10"/>
  <c r="K544" i="10"/>
  <c r="K545" i="10"/>
  <c r="K546" i="10"/>
  <c r="K547" i="10"/>
  <c r="K548" i="10"/>
  <c r="K549" i="10"/>
  <c r="K550" i="10"/>
  <c r="K551" i="10"/>
  <c r="K552" i="10"/>
  <c r="K553" i="10"/>
  <c r="K554" i="10"/>
  <c r="K555" i="10"/>
  <c r="K556" i="10"/>
  <c r="K557" i="10"/>
  <c r="K558" i="10"/>
  <c r="K559" i="10"/>
  <c r="K560" i="10"/>
  <c r="K561" i="10"/>
  <c r="K562" i="10"/>
  <c r="K563" i="10"/>
  <c r="K564" i="10"/>
  <c r="K565" i="10"/>
  <c r="K566" i="10"/>
  <c r="K567" i="10"/>
  <c r="K568" i="10"/>
  <c r="K569" i="10"/>
  <c r="K570" i="10"/>
  <c r="K571" i="10"/>
  <c r="K572" i="10"/>
  <c r="K573" i="10"/>
  <c r="K574" i="10"/>
  <c r="K575" i="10"/>
  <c r="K576" i="10"/>
  <c r="K577" i="10"/>
  <c r="K578" i="10"/>
  <c r="K579" i="10"/>
  <c r="K580" i="10"/>
  <c r="K581" i="10"/>
  <c r="K582" i="10"/>
  <c r="K583" i="10"/>
  <c r="K584" i="10"/>
  <c r="K585" i="10"/>
  <c r="K586" i="10"/>
  <c r="K587" i="10"/>
  <c r="K588" i="10"/>
  <c r="K589" i="10"/>
  <c r="K590" i="10"/>
  <c r="K591" i="10"/>
  <c r="K592" i="10"/>
  <c r="K593" i="10"/>
  <c r="K594" i="10"/>
  <c r="K595" i="10"/>
  <c r="K596" i="10"/>
  <c r="K597" i="10"/>
  <c r="K598" i="10"/>
  <c r="K599" i="10"/>
  <c r="K600" i="10"/>
  <c r="K601" i="10"/>
  <c r="K602" i="10"/>
  <c r="K603" i="10"/>
  <c r="K604" i="10"/>
  <c r="K605" i="10"/>
  <c r="K606" i="10"/>
  <c r="K607" i="10"/>
  <c r="K608" i="10"/>
  <c r="K609" i="10"/>
  <c r="K610" i="10"/>
  <c r="K611" i="10"/>
  <c r="K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106" i="10"/>
  <c r="J107" i="10"/>
  <c r="J108" i="10"/>
  <c r="J109" i="10"/>
  <c r="J110" i="10"/>
  <c r="J111" i="10"/>
  <c r="J112" i="10"/>
  <c r="J113" i="10"/>
  <c r="J114" i="10"/>
  <c r="J115" i="10"/>
  <c r="J116" i="10"/>
  <c r="J117" i="10"/>
  <c r="J118" i="10"/>
  <c r="J119" i="10"/>
  <c r="J120" i="10"/>
  <c r="J121" i="10"/>
  <c r="J122" i="10"/>
  <c r="J123" i="10"/>
  <c r="J124" i="10"/>
  <c r="J125" i="10"/>
  <c r="J126" i="10"/>
  <c r="J127" i="10"/>
  <c r="J128" i="10"/>
  <c r="J129" i="10"/>
  <c r="J130" i="10"/>
  <c r="J131" i="10"/>
  <c r="J132" i="10"/>
  <c r="J133" i="10"/>
  <c r="J134" i="10"/>
  <c r="J135" i="10"/>
  <c r="J136" i="10"/>
  <c r="J137" i="10"/>
  <c r="J138" i="10"/>
  <c r="J139" i="10"/>
  <c r="J140" i="10"/>
  <c r="J141" i="10"/>
  <c r="J142" i="10"/>
  <c r="J143" i="10"/>
  <c r="J144" i="10"/>
  <c r="J145" i="10"/>
  <c r="J146" i="10"/>
  <c r="J147" i="10"/>
  <c r="J148" i="10"/>
  <c r="J149" i="10"/>
  <c r="J150" i="10"/>
  <c r="J151" i="10"/>
  <c r="J152" i="10"/>
  <c r="J153" i="10"/>
  <c r="J154" i="10"/>
  <c r="J155" i="10"/>
  <c r="J156" i="10"/>
  <c r="J157" i="10"/>
  <c r="J158" i="10"/>
  <c r="J159" i="10"/>
  <c r="J160" i="10"/>
  <c r="J161" i="10"/>
  <c r="J162" i="10"/>
  <c r="J163" i="10"/>
  <c r="J164" i="10"/>
  <c r="J165" i="10"/>
  <c r="J166" i="10"/>
  <c r="J167" i="10"/>
  <c r="J168" i="10"/>
  <c r="J169" i="10"/>
  <c r="J170" i="10"/>
  <c r="J171" i="10"/>
  <c r="J172" i="10"/>
  <c r="J173" i="10"/>
  <c r="J174" i="10"/>
  <c r="J175" i="10"/>
  <c r="J176" i="10"/>
  <c r="J177" i="10"/>
  <c r="J178" i="10"/>
  <c r="J179" i="10"/>
  <c r="J180" i="10"/>
  <c r="J181" i="10"/>
  <c r="J182" i="10"/>
  <c r="J183" i="10"/>
  <c r="J184" i="10"/>
  <c r="J185" i="10"/>
  <c r="J186" i="10"/>
  <c r="J187" i="10"/>
  <c r="J188" i="10"/>
  <c r="J189" i="10"/>
  <c r="J190" i="10"/>
  <c r="J191" i="10"/>
  <c r="J192" i="10"/>
  <c r="J193" i="10"/>
  <c r="J194" i="10"/>
  <c r="J195" i="10"/>
  <c r="J196" i="10"/>
  <c r="J197" i="10"/>
  <c r="J198" i="10"/>
  <c r="J199" i="10"/>
  <c r="J200" i="10"/>
  <c r="J201" i="10"/>
  <c r="J202" i="10"/>
  <c r="J203" i="10"/>
  <c r="J204" i="10"/>
  <c r="J205" i="10"/>
  <c r="J206" i="10"/>
  <c r="J207" i="10"/>
  <c r="J208" i="10"/>
  <c r="J209" i="10"/>
  <c r="J210" i="10"/>
  <c r="J211" i="10"/>
  <c r="J212" i="10"/>
  <c r="J213" i="10"/>
  <c r="J214" i="10"/>
  <c r="J215" i="10"/>
  <c r="J216" i="10"/>
  <c r="J217" i="10"/>
  <c r="J218" i="10"/>
  <c r="J219" i="10"/>
  <c r="J220" i="10"/>
  <c r="J221" i="10"/>
  <c r="J222" i="10"/>
  <c r="J223" i="10"/>
  <c r="J224" i="10"/>
  <c r="J225" i="10"/>
  <c r="J226" i="10"/>
  <c r="J227" i="10"/>
  <c r="J228" i="10"/>
  <c r="J229" i="10"/>
  <c r="J230" i="10"/>
  <c r="J231" i="10"/>
  <c r="J232" i="10"/>
  <c r="J233" i="10"/>
  <c r="J234" i="10"/>
  <c r="J235" i="10"/>
  <c r="J236" i="10"/>
  <c r="J237" i="10"/>
  <c r="J238" i="10"/>
  <c r="J239" i="10"/>
  <c r="J240" i="10"/>
  <c r="J241" i="10"/>
  <c r="J242" i="10"/>
  <c r="J243" i="10"/>
  <c r="J244" i="10"/>
  <c r="J245" i="10"/>
  <c r="J246" i="10"/>
  <c r="J247" i="10"/>
  <c r="J248" i="10"/>
  <c r="J249" i="10"/>
  <c r="J250" i="10"/>
  <c r="J251" i="10"/>
  <c r="J252" i="10"/>
  <c r="J253" i="10"/>
  <c r="J254" i="10"/>
  <c r="J255" i="10"/>
  <c r="J256" i="10"/>
  <c r="J257"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J322" i="10"/>
  <c r="J323" i="10"/>
  <c r="J324" i="10"/>
  <c r="J325" i="10"/>
  <c r="J326" i="10"/>
  <c r="J327" i="10"/>
  <c r="J328" i="10"/>
  <c r="J329" i="10"/>
  <c r="J330" i="10"/>
  <c r="J331" i="10"/>
  <c r="J332" i="10"/>
  <c r="J333" i="10"/>
  <c r="J334" i="10"/>
  <c r="J335" i="10"/>
  <c r="J336" i="10"/>
  <c r="J337" i="10"/>
  <c r="J338" i="10"/>
  <c r="J339" i="10"/>
  <c r="J340" i="10"/>
  <c r="J341" i="10"/>
  <c r="J342" i="10"/>
  <c r="J343" i="10"/>
  <c r="J344" i="10"/>
  <c r="J345" i="10"/>
  <c r="J346" i="10"/>
  <c r="J347" i="10"/>
  <c r="J348" i="10"/>
  <c r="J349" i="10"/>
  <c r="J350" i="10"/>
  <c r="J351" i="10"/>
  <c r="J352" i="10"/>
  <c r="J353" i="10"/>
  <c r="J354" i="10"/>
  <c r="J355" i="10"/>
  <c r="J356" i="10"/>
  <c r="J357" i="10"/>
  <c r="J358" i="10"/>
  <c r="J359" i="10"/>
  <c r="J360" i="10"/>
  <c r="J361" i="10"/>
  <c r="J362" i="10"/>
  <c r="J363" i="10"/>
  <c r="J364" i="10"/>
  <c r="J365" i="10"/>
  <c r="J366" i="10"/>
  <c r="J367" i="10"/>
  <c r="J368" i="10"/>
  <c r="J369" i="10"/>
  <c r="J370" i="10"/>
  <c r="J371" i="10"/>
  <c r="J372" i="10"/>
  <c r="J373" i="10"/>
  <c r="J374" i="10"/>
  <c r="J375" i="10"/>
  <c r="J376" i="10"/>
  <c r="J377" i="10"/>
  <c r="J378" i="10"/>
  <c r="J379" i="10"/>
  <c r="J380" i="10"/>
  <c r="J381" i="10"/>
  <c r="J382" i="10"/>
  <c r="J383" i="10"/>
  <c r="J384" i="10"/>
  <c r="J385" i="10"/>
  <c r="J386" i="10"/>
  <c r="J387" i="10"/>
  <c r="J388" i="10"/>
  <c r="J389" i="10"/>
  <c r="J390" i="10"/>
  <c r="J391" i="10"/>
  <c r="J392" i="10"/>
  <c r="J393" i="10"/>
  <c r="J394" i="10"/>
  <c r="J395" i="10"/>
  <c r="J396" i="10"/>
  <c r="J397" i="10"/>
  <c r="J398" i="10"/>
  <c r="J399" i="10"/>
  <c r="J400" i="10"/>
  <c r="J401" i="10"/>
  <c r="J402" i="10"/>
  <c r="J403" i="10"/>
  <c r="J404" i="10"/>
  <c r="J405" i="10"/>
  <c r="J406" i="10"/>
  <c r="J407" i="10"/>
  <c r="J408" i="10"/>
  <c r="J409" i="10"/>
  <c r="J410" i="10"/>
  <c r="J411" i="10"/>
  <c r="J412" i="10"/>
  <c r="J413" i="10"/>
  <c r="J414" i="10"/>
  <c r="J415" i="10"/>
  <c r="J416" i="10"/>
  <c r="J417" i="10"/>
  <c r="J418" i="10"/>
  <c r="J419" i="10"/>
  <c r="J420" i="10"/>
  <c r="J421" i="10"/>
  <c r="J422" i="10"/>
  <c r="J423" i="10"/>
  <c r="J424" i="10"/>
  <c r="J425" i="10"/>
  <c r="J426" i="10"/>
  <c r="J427" i="10"/>
  <c r="J428" i="10"/>
  <c r="J429" i="10"/>
  <c r="J430" i="10"/>
  <c r="J431" i="10"/>
  <c r="J432" i="10"/>
  <c r="J433" i="10"/>
  <c r="J434" i="10"/>
  <c r="J435" i="10"/>
  <c r="J436" i="10"/>
  <c r="J437" i="10"/>
  <c r="J438" i="10"/>
  <c r="J439" i="10"/>
  <c r="J440" i="10"/>
  <c r="J441" i="10"/>
  <c r="J442" i="10"/>
  <c r="J443" i="10"/>
  <c r="J444" i="10"/>
  <c r="J445" i="10"/>
  <c r="J446" i="10"/>
  <c r="J447" i="10"/>
  <c r="J448" i="10"/>
  <c r="J449" i="10"/>
  <c r="J450" i="10"/>
  <c r="J451" i="10"/>
  <c r="J452" i="10"/>
  <c r="J453" i="10"/>
  <c r="J454" i="10"/>
  <c r="J455" i="10"/>
  <c r="J456" i="10"/>
  <c r="J457" i="10"/>
  <c r="J458" i="10"/>
  <c r="J459" i="10"/>
  <c r="J460" i="10"/>
  <c r="J461" i="10"/>
  <c r="J462" i="10"/>
  <c r="J463" i="10"/>
  <c r="J464" i="10"/>
  <c r="J465" i="10"/>
  <c r="J466" i="10"/>
  <c r="J467" i="10"/>
  <c r="J468" i="10"/>
  <c r="J469" i="10"/>
  <c r="J470" i="10"/>
  <c r="J471" i="10"/>
  <c r="J472" i="10"/>
  <c r="J473" i="10"/>
  <c r="J474" i="10"/>
  <c r="J475" i="10"/>
  <c r="J476" i="10"/>
  <c r="J477" i="10"/>
  <c r="J478" i="10"/>
  <c r="J479" i="10"/>
  <c r="J480" i="10"/>
  <c r="J481" i="10"/>
  <c r="J482" i="10"/>
  <c r="J483" i="10"/>
  <c r="J484" i="10"/>
  <c r="J485" i="10"/>
  <c r="J486" i="10"/>
  <c r="J487" i="10"/>
  <c r="J488" i="10"/>
  <c r="J489" i="10"/>
  <c r="J490" i="10"/>
  <c r="J491" i="10"/>
  <c r="J492" i="10"/>
  <c r="J493" i="10"/>
  <c r="J494" i="10"/>
  <c r="J495" i="10"/>
  <c r="J496" i="10"/>
  <c r="J497" i="10"/>
  <c r="J498" i="10"/>
  <c r="J499" i="10"/>
  <c r="J500" i="10"/>
  <c r="J501" i="10"/>
  <c r="J502" i="10"/>
  <c r="J503" i="10"/>
  <c r="J504" i="10"/>
  <c r="J505" i="10"/>
  <c r="J506" i="10"/>
  <c r="J507" i="10"/>
  <c r="J508" i="10"/>
  <c r="J509" i="10"/>
  <c r="J510" i="10"/>
  <c r="J511" i="10"/>
  <c r="J512" i="10"/>
  <c r="J513" i="10"/>
  <c r="J514" i="10"/>
  <c r="J515" i="10"/>
  <c r="J516" i="10"/>
  <c r="J517" i="10"/>
  <c r="J518" i="10"/>
  <c r="J519" i="10"/>
  <c r="J520" i="10"/>
  <c r="J521" i="10"/>
  <c r="J522" i="10"/>
  <c r="J523" i="10"/>
  <c r="J524" i="10"/>
  <c r="J525" i="10"/>
  <c r="J526" i="10"/>
  <c r="J527" i="10"/>
  <c r="J528" i="10"/>
  <c r="J529" i="10"/>
  <c r="J530" i="10"/>
  <c r="J531" i="10"/>
  <c r="J532" i="10"/>
  <c r="J533" i="10"/>
  <c r="J534" i="10"/>
  <c r="J535" i="10"/>
  <c r="J536" i="10"/>
  <c r="J537" i="10"/>
  <c r="J538" i="10"/>
  <c r="J539" i="10"/>
  <c r="J540" i="10"/>
  <c r="J541" i="10"/>
  <c r="J542" i="10"/>
  <c r="J543" i="10"/>
  <c r="J544" i="10"/>
  <c r="J545" i="10"/>
  <c r="J546" i="10"/>
  <c r="J547" i="10"/>
  <c r="J548" i="10"/>
  <c r="J549" i="10"/>
  <c r="J550" i="10"/>
  <c r="J551" i="10"/>
  <c r="J552" i="10"/>
  <c r="J553" i="10"/>
  <c r="J554" i="10"/>
  <c r="J555" i="10"/>
  <c r="J556" i="10"/>
  <c r="J557" i="10"/>
  <c r="J558" i="10"/>
  <c r="J559" i="10"/>
  <c r="J560" i="10"/>
  <c r="J561" i="10"/>
  <c r="J562" i="10"/>
  <c r="J563" i="10"/>
  <c r="J564" i="10"/>
  <c r="J565" i="10"/>
  <c r="J566" i="10"/>
  <c r="J567" i="10"/>
  <c r="J568" i="10"/>
  <c r="J569" i="10"/>
  <c r="J570" i="10"/>
  <c r="J571" i="10"/>
  <c r="J572" i="10"/>
  <c r="J573" i="10"/>
  <c r="J574" i="10"/>
  <c r="J575" i="10"/>
  <c r="J576" i="10"/>
  <c r="J577" i="10"/>
  <c r="J578" i="10"/>
  <c r="J579" i="10"/>
  <c r="J580" i="10"/>
  <c r="J581" i="10"/>
  <c r="J582" i="10"/>
  <c r="J583" i="10"/>
  <c r="J584" i="10"/>
  <c r="J585" i="10"/>
  <c r="J586" i="10"/>
  <c r="J587" i="10"/>
  <c r="J588" i="10"/>
  <c r="J589" i="10"/>
  <c r="J590" i="10"/>
  <c r="J591" i="10"/>
  <c r="J592" i="10"/>
  <c r="J593" i="10"/>
  <c r="J594" i="10"/>
  <c r="J595" i="10"/>
  <c r="J596" i="10"/>
  <c r="J597" i="10"/>
  <c r="J598" i="10"/>
  <c r="J599" i="10"/>
  <c r="J600" i="10"/>
  <c r="J601" i="10"/>
  <c r="J602" i="10"/>
  <c r="J603" i="10"/>
  <c r="J604" i="10"/>
  <c r="J605" i="10"/>
  <c r="J606" i="10"/>
  <c r="J607" i="10"/>
  <c r="J608" i="10"/>
  <c r="J609" i="10"/>
  <c r="J610" i="10"/>
  <c r="J611" i="10"/>
  <c r="J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2" i="10"/>
  <c r="G2" i="1"/>
  <c r="H2" i="1"/>
  <c r="J2" i="1"/>
  <c r="M2" i="1"/>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2" i="6"/>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L8"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O112" i="6"/>
  <c r="O113" i="6"/>
  <c r="O114" i="6"/>
  <c r="O115" i="6"/>
  <c r="O116" i="6"/>
  <c r="O117" i="6"/>
  <c r="O118" i="6"/>
  <c r="O119" i="6"/>
  <c r="O120" i="6"/>
  <c r="O121" i="6"/>
  <c r="O122" i="6"/>
  <c r="O123" i="6"/>
  <c r="O124" i="6"/>
  <c r="O125"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2" i="6"/>
  <c r="O3" i="6"/>
  <c r="O4" i="6"/>
  <c r="O5" i="6"/>
  <c r="O6" i="6"/>
  <c r="O7" i="6"/>
  <c r="O8" i="6"/>
  <c r="O9" i="6"/>
  <c r="O10" i="6"/>
  <c r="O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2" i="6"/>
  <c r="L3" i="6"/>
  <c r="L4" i="6"/>
  <c r="L5" i="6"/>
  <c r="L6" i="6"/>
  <c r="L7" i="6"/>
  <c r="L9" i="6"/>
  <c r="L10" i="6"/>
  <c r="L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2" i="6"/>
  <c r="J3" i="6"/>
  <c r="J4" i="6"/>
  <c r="J5" i="6"/>
  <c r="J6" i="6"/>
  <c r="J7" i="6"/>
  <c r="J8" i="6"/>
  <c r="J9" i="6"/>
  <c r="J10" i="6"/>
  <c r="J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2" i="6"/>
  <c r="G3" i="6"/>
  <c r="G4" i="6"/>
  <c r="G5" i="6"/>
  <c r="G6" i="6"/>
  <c r="G7" i="6"/>
  <c r="G8" i="6"/>
  <c r="G9" i="6"/>
  <c r="G10" i="6"/>
  <c r="G11" i="6"/>
  <c r="G3" i="1"/>
  <c r="C47" i="23"/>
  <c r="C51" i="23"/>
  <c r="C55" i="23"/>
  <c r="C59" i="23"/>
  <c r="C63" i="23"/>
  <c r="C67" i="23"/>
  <c r="C71" i="23"/>
  <c r="C75" i="23"/>
  <c r="C79" i="23"/>
  <c r="C83" i="23"/>
  <c r="C48" i="23"/>
  <c r="C52" i="23"/>
  <c r="C56" i="23"/>
  <c r="C60" i="23"/>
  <c r="C64" i="23"/>
  <c r="C68" i="23"/>
  <c r="C72" i="23"/>
  <c r="C76" i="23"/>
  <c r="C80" i="23"/>
  <c r="C84" i="23"/>
  <c r="C49" i="23"/>
  <c r="C53" i="23"/>
  <c r="C57" i="23"/>
  <c r="C61" i="23"/>
  <c r="C65" i="23"/>
  <c r="C69" i="23"/>
  <c r="C73" i="23"/>
  <c r="C77" i="23"/>
  <c r="C81" i="23"/>
  <c r="C85" i="23"/>
  <c r="C50" i="23"/>
  <c r="C54" i="23"/>
  <c r="C58" i="23"/>
  <c r="C62" i="23"/>
  <c r="C66" i="23"/>
  <c r="C70" i="23"/>
  <c r="C74" i="23"/>
  <c r="C78" i="23"/>
  <c r="C82" i="23"/>
  <c r="C86" i="23"/>
  <c r="K611" i="4" l="1"/>
  <c r="I611" i="4"/>
  <c r="G611" i="4"/>
  <c r="K610" i="4"/>
  <c r="I610" i="4"/>
  <c r="G610" i="4"/>
  <c r="K609" i="4"/>
  <c r="I609" i="4"/>
  <c r="G609" i="4"/>
  <c r="K608" i="4"/>
  <c r="I608" i="4"/>
  <c r="G608" i="4"/>
  <c r="K607" i="4"/>
  <c r="I607" i="4"/>
  <c r="G607" i="4"/>
  <c r="K606" i="4"/>
  <c r="I606" i="4"/>
  <c r="G606" i="4"/>
  <c r="K605" i="4"/>
  <c r="I605" i="4"/>
  <c r="G605" i="4"/>
  <c r="K604" i="4"/>
  <c r="I604" i="4"/>
  <c r="G604" i="4"/>
  <c r="K603" i="4"/>
  <c r="I603" i="4"/>
  <c r="G603" i="4"/>
  <c r="K602" i="4"/>
  <c r="I602" i="4"/>
  <c r="G602" i="4"/>
  <c r="K601" i="4"/>
  <c r="I601" i="4"/>
  <c r="G601" i="4"/>
  <c r="K600" i="4"/>
  <c r="I600" i="4"/>
  <c r="G600" i="4"/>
  <c r="K599" i="4"/>
  <c r="I599" i="4"/>
  <c r="G599" i="4"/>
  <c r="K598" i="4"/>
  <c r="I598" i="4"/>
  <c r="G598" i="4"/>
  <c r="K597" i="4"/>
  <c r="I597" i="4"/>
  <c r="G597" i="4"/>
  <c r="K596" i="4"/>
  <c r="I596" i="4"/>
  <c r="G596" i="4"/>
  <c r="K595" i="4"/>
  <c r="I595" i="4"/>
  <c r="G595" i="4"/>
  <c r="K594" i="4"/>
  <c r="I594" i="4"/>
  <c r="G594" i="4"/>
  <c r="K593" i="4"/>
  <c r="I593" i="4"/>
  <c r="G593" i="4"/>
  <c r="K592" i="4"/>
  <c r="I592" i="4"/>
  <c r="G592" i="4"/>
  <c r="K591" i="4"/>
  <c r="I591" i="4"/>
  <c r="G591" i="4"/>
  <c r="K590" i="4"/>
  <c r="I590" i="4"/>
  <c r="G590" i="4"/>
  <c r="K589" i="4"/>
  <c r="I589" i="4"/>
  <c r="G589" i="4"/>
  <c r="K588" i="4"/>
  <c r="I588" i="4"/>
  <c r="G588" i="4"/>
  <c r="K587" i="4"/>
  <c r="I587" i="4"/>
  <c r="G587" i="4"/>
  <c r="K586" i="4"/>
  <c r="I586" i="4"/>
  <c r="G586" i="4"/>
  <c r="K585" i="4"/>
  <c r="I585" i="4"/>
  <c r="G585" i="4"/>
  <c r="K584" i="4"/>
  <c r="I584" i="4"/>
  <c r="G584" i="4"/>
  <c r="K583" i="4"/>
  <c r="I583" i="4"/>
  <c r="G583" i="4"/>
  <c r="K582" i="4"/>
  <c r="I582" i="4"/>
  <c r="G582" i="4"/>
  <c r="K581" i="4"/>
  <c r="I581" i="4"/>
  <c r="G581" i="4"/>
  <c r="K580" i="4"/>
  <c r="I580" i="4"/>
  <c r="G580" i="4"/>
  <c r="K579" i="4"/>
  <c r="I579" i="4"/>
  <c r="G579" i="4"/>
  <c r="K578" i="4"/>
  <c r="I578" i="4"/>
  <c r="G578" i="4"/>
  <c r="K577" i="4"/>
  <c r="I577" i="4"/>
  <c r="G577" i="4"/>
  <c r="K576" i="4"/>
  <c r="I576" i="4"/>
  <c r="G576" i="4"/>
  <c r="K575" i="4"/>
  <c r="I575" i="4"/>
  <c r="G575" i="4"/>
  <c r="K574" i="4"/>
  <c r="I574" i="4"/>
  <c r="G574" i="4"/>
  <c r="K573" i="4"/>
  <c r="I573" i="4"/>
  <c r="G573" i="4"/>
  <c r="K572" i="4"/>
  <c r="I572" i="4"/>
  <c r="G572" i="4"/>
  <c r="K571" i="4"/>
  <c r="I571" i="4"/>
  <c r="G571" i="4"/>
  <c r="K570" i="4"/>
  <c r="I570" i="4"/>
  <c r="G570" i="4"/>
  <c r="K569" i="4"/>
  <c r="I569" i="4"/>
  <c r="G569" i="4"/>
  <c r="K568" i="4"/>
  <c r="I568" i="4"/>
  <c r="G568" i="4"/>
  <c r="K567" i="4"/>
  <c r="I567" i="4"/>
  <c r="G567" i="4"/>
  <c r="K566" i="4"/>
  <c r="I566" i="4"/>
  <c r="G566" i="4"/>
  <c r="K565" i="4"/>
  <c r="I565" i="4"/>
  <c r="G565" i="4"/>
  <c r="K564" i="4"/>
  <c r="I564" i="4"/>
  <c r="G564" i="4"/>
  <c r="K563" i="4"/>
  <c r="I563" i="4"/>
  <c r="G563" i="4"/>
  <c r="K562" i="4"/>
  <c r="I562" i="4"/>
  <c r="G562" i="4"/>
  <c r="K561" i="4"/>
  <c r="I561" i="4"/>
  <c r="G561" i="4"/>
  <c r="K560" i="4"/>
  <c r="I560" i="4"/>
  <c r="G560" i="4"/>
  <c r="K559" i="4"/>
  <c r="I559" i="4"/>
  <c r="G559" i="4"/>
  <c r="K558" i="4"/>
  <c r="I558" i="4"/>
  <c r="G558" i="4"/>
  <c r="K557" i="4"/>
  <c r="I557" i="4"/>
  <c r="G557" i="4"/>
  <c r="K556" i="4"/>
  <c r="I556" i="4"/>
  <c r="G556" i="4"/>
  <c r="K555" i="4"/>
  <c r="I555" i="4"/>
  <c r="G555" i="4"/>
  <c r="K554" i="4"/>
  <c r="I554" i="4"/>
  <c r="G554" i="4"/>
  <c r="K553" i="4"/>
  <c r="I553" i="4"/>
  <c r="G553" i="4"/>
  <c r="K552" i="4"/>
  <c r="I552" i="4"/>
  <c r="G552" i="4"/>
  <c r="K551" i="4"/>
  <c r="I551" i="4"/>
  <c r="G551" i="4"/>
  <c r="K550" i="4"/>
  <c r="I550" i="4"/>
  <c r="G550" i="4"/>
  <c r="K549" i="4"/>
  <c r="I549" i="4"/>
  <c r="G549" i="4"/>
  <c r="K548" i="4"/>
  <c r="I548" i="4"/>
  <c r="G548" i="4"/>
  <c r="K547" i="4"/>
  <c r="I547" i="4"/>
  <c r="G547" i="4"/>
  <c r="K546" i="4"/>
  <c r="I546" i="4"/>
  <c r="G546" i="4"/>
  <c r="K545" i="4"/>
  <c r="I545" i="4"/>
  <c r="G545" i="4"/>
  <c r="K544" i="4"/>
  <c r="I544" i="4"/>
  <c r="G544" i="4"/>
  <c r="K543" i="4"/>
  <c r="I543" i="4"/>
  <c r="G543" i="4"/>
  <c r="K542" i="4"/>
  <c r="I542" i="4"/>
  <c r="G542" i="4"/>
  <c r="K541" i="4"/>
  <c r="I541" i="4"/>
  <c r="G541" i="4"/>
  <c r="K540" i="4"/>
  <c r="I540" i="4"/>
  <c r="G540" i="4"/>
  <c r="K539" i="4"/>
  <c r="I539" i="4"/>
  <c r="G539" i="4"/>
  <c r="K538" i="4"/>
  <c r="I538" i="4"/>
  <c r="G538" i="4"/>
  <c r="K537" i="4"/>
  <c r="I537" i="4"/>
  <c r="G537" i="4"/>
  <c r="K536" i="4"/>
  <c r="I536" i="4"/>
  <c r="G536" i="4"/>
  <c r="K535" i="4"/>
  <c r="I535" i="4"/>
  <c r="G535" i="4"/>
  <c r="K534" i="4"/>
  <c r="I534" i="4"/>
  <c r="G534" i="4"/>
  <c r="K533" i="4"/>
  <c r="I533" i="4"/>
  <c r="G533" i="4"/>
  <c r="K532" i="4"/>
  <c r="I532" i="4"/>
  <c r="G532" i="4"/>
  <c r="K531" i="4"/>
  <c r="I531" i="4"/>
  <c r="G531" i="4"/>
  <c r="K530" i="4"/>
  <c r="I530" i="4"/>
  <c r="G530" i="4"/>
  <c r="K529" i="4"/>
  <c r="I529" i="4"/>
  <c r="G529" i="4"/>
  <c r="K528" i="4"/>
  <c r="I528" i="4"/>
  <c r="G528" i="4"/>
  <c r="K527" i="4"/>
  <c r="I527" i="4"/>
  <c r="G527" i="4"/>
  <c r="K526" i="4"/>
  <c r="I526" i="4"/>
  <c r="G526" i="4"/>
  <c r="K525" i="4"/>
  <c r="I525" i="4"/>
  <c r="G525" i="4"/>
  <c r="K524" i="4"/>
  <c r="I524" i="4"/>
  <c r="G524" i="4"/>
  <c r="K523" i="4"/>
  <c r="I523" i="4"/>
  <c r="G523" i="4"/>
  <c r="K522" i="4"/>
  <c r="I522" i="4"/>
  <c r="G522" i="4"/>
  <c r="K521" i="4"/>
  <c r="I521" i="4"/>
  <c r="G521" i="4"/>
  <c r="K520" i="4"/>
  <c r="I520" i="4"/>
  <c r="G520" i="4"/>
  <c r="K519" i="4"/>
  <c r="I519" i="4"/>
  <c r="G519" i="4"/>
  <c r="K518" i="4"/>
  <c r="I518" i="4"/>
  <c r="G518" i="4"/>
  <c r="K517" i="4"/>
  <c r="I517" i="4"/>
  <c r="G517" i="4"/>
  <c r="K516" i="4"/>
  <c r="I516" i="4"/>
  <c r="G516" i="4"/>
  <c r="K515" i="4"/>
  <c r="I515" i="4"/>
  <c r="G515" i="4"/>
  <c r="K514" i="4"/>
  <c r="I514" i="4"/>
  <c r="G514" i="4"/>
  <c r="K513" i="4"/>
  <c r="I513" i="4"/>
  <c r="G513" i="4"/>
  <c r="K512" i="4"/>
  <c r="I512" i="4"/>
  <c r="G512" i="4"/>
  <c r="K511" i="4"/>
  <c r="I511" i="4"/>
  <c r="G511" i="4"/>
  <c r="K510" i="4"/>
  <c r="I510" i="4"/>
  <c r="G510" i="4"/>
  <c r="K509" i="4"/>
  <c r="I509" i="4"/>
  <c r="G509" i="4"/>
  <c r="K508" i="4"/>
  <c r="I508" i="4"/>
  <c r="G508" i="4"/>
  <c r="K507" i="4"/>
  <c r="I507" i="4"/>
  <c r="G507" i="4"/>
  <c r="K506" i="4"/>
  <c r="I506" i="4"/>
  <c r="G506" i="4"/>
  <c r="K505" i="4"/>
  <c r="I505" i="4"/>
  <c r="G505" i="4"/>
  <c r="K504" i="4"/>
  <c r="I504" i="4"/>
  <c r="G504" i="4"/>
  <c r="K503" i="4"/>
  <c r="I503" i="4"/>
  <c r="G503" i="4"/>
  <c r="K502" i="4"/>
  <c r="I502" i="4"/>
  <c r="G502" i="4"/>
  <c r="K501" i="4"/>
  <c r="I501" i="4"/>
  <c r="G501" i="4"/>
  <c r="K500" i="4"/>
  <c r="I500" i="4"/>
  <c r="G500" i="4"/>
  <c r="K499" i="4"/>
  <c r="I499" i="4"/>
  <c r="G499" i="4"/>
  <c r="K498" i="4"/>
  <c r="I498" i="4"/>
  <c r="G498" i="4"/>
  <c r="K497" i="4"/>
  <c r="I497" i="4"/>
  <c r="G497" i="4"/>
  <c r="K496" i="4"/>
  <c r="I496" i="4"/>
  <c r="G496" i="4"/>
  <c r="K495" i="4"/>
  <c r="I495" i="4"/>
  <c r="G495" i="4"/>
  <c r="K494" i="4"/>
  <c r="I494" i="4"/>
  <c r="G494" i="4"/>
  <c r="K493" i="4"/>
  <c r="I493" i="4"/>
  <c r="G493" i="4"/>
  <c r="K492" i="4"/>
  <c r="I492" i="4"/>
  <c r="G492" i="4"/>
  <c r="K491" i="4"/>
  <c r="I491" i="4"/>
  <c r="G491" i="4"/>
  <c r="K490" i="4"/>
  <c r="I490" i="4"/>
  <c r="G490" i="4"/>
  <c r="K489" i="4"/>
  <c r="I489" i="4"/>
  <c r="G489" i="4"/>
  <c r="K488" i="4"/>
  <c r="I488" i="4"/>
  <c r="G488" i="4"/>
  <c r="K487" i="4"/>
  <c r="I487" i="4"/>
  <c r="G487" i="4"/>
  <c r="K486" i="4"/>
  <c r="I486" i="4"/>
  <c r="G486" i="4"/>
  <c r="K485" i="4"/>
  <c r="I485" i="4"/>
  <c r="G485" i="4"/>
  <c r="K484" i="4"/>
  <c r="I484" i="4"/>
  <c r="G484" i="4"/>
  <c r="K483" i="4"/>
  <c r="I483" i="4"/>
  <c r="G483" i="4"/>
  <c r="K482" i="4"/>
  <c r="I482" i="4"/>
  <c r="G482" i="4"/>
  <c r="K481" i="4"/>
  <c r="I481" i="4"/>
  <c r="G481" i="4"/>
  <c r="K480" i="4"/>
  <c r="I480" i="4"/>
  <c r="G480" i="4"/>
  <c r="K479" i="4"/>
  <c r="I479" i="4"/>
  <c r="G479" i="4"/>
  <c r="K478" i="4"/>
  <c r="I478" i="4"/>
  <c r="G478" i="4"/>
  <c r="K477" i="4"/>
  <c r="I477" i="4"/>
  <c r="G477" i="4"/>
  <c r="K476" i="4"/>
  <c r="I476" i="4"/>
  <c r="G476" i="4"/>
  <c r="K475" i="4"/>
  <c r="I475" i="4"/>
  <c r="G475" i="4"/>
  <c r="K474" i="4"/>
  <c r="I474" i="4"/>
  <c r="G474" i="4"/>
  <c r="K473" i="4"/>
  <c r="I473" i="4"/>
  <c r="G473" i="4"/>
  <c r="K472" i="4"/>
  <c r="I472" i="4"/>
  <c r="G472" i="4"/>
  <c r="K471" i="4"/>
  <c r="I471" i="4"/>
  <c r="G471" i="4"/>
  <c r="K470" i="4"/>
  <c r="I470" i="4"/>
  <c r="G470" i="4"/>
  <c r="K469" i="4"/>
  <c r="I469" i="4"/>
  <c r="G469" i="4"/>
  <c r="K468" i="4"/>
  <c r="I468" i="4"/>
  <c r="G468" i="4"/>
  <c r="K467" i="4"/>
  <c r="I467" i="4"/>
  <c r="G467" i="4"/>
  <c r="K466" i="4"/>
  <c r="I466" i="4"/>
  <c r="G466" i="4"/>
  <c r="K465" i="4"/>
  <c r="I465" i="4"/>
  <c r="G465" i="4"/>
  <c r="K464" i="4"/>
  <c r="I464" i="4"/>
  <c r="G464" i="4"/>
  <c r="K463" i="4"/>
  <c r="I463" i="4"/>
  <c r="G463" i="4"/>
  <c r="K462" i="4"/>
  <c r="I462" i="4"/>
  <c r="G462" i="4"/>
  <c r="K461" i="4"/>
  <c r="I461" i="4"/>
  <c r="G461" i="4"/>
  <c r="K460" i="4"/>
  <c r="I460" i="4"/>
  <c r="G460" i="4"/>
  <c r="K459" i="4"/>
  <c r="I459" i="4"/>
  <c r="G459" i="4"/>
  <c r="K458" i="4"/>
  <c r="I458" i="4"/>
  <c r="G458" i="4"/>
  <c r="K457" i="4"/>
  <c r="I457" i="4"/>
  <c r="G457" i="4"/>
  <c r="K456" i="4"/>
  <c r="I456" i="4"/>
  <c r="G456" i="4"/>
  <c r="K455" i="4"/>
  <c r="I455" i="4"/>
  <c r="G455" i="4"/>
  <c r="K454" i="4"/>
  <c r="I454" i="4"/>
  <c r="G454" i="4"/>
  <c r="K453" i="4"/>
  <c r="I453" i="4"/>
  <c r="G453" i="4"/>
  <c r="K452" i="4"/>
  <c r="I452" i="4"/>
  <c r="G452" i="4"/>
  <c r="K451" i="4"/>
  <c r="I451" i="4"/>
  <c r="G451" i="4"/>
  <c r="K450" i="4"/>
  <c r="I450" i="4"/>
  <c r="G450" i="4"/>
  <c r="K449" i="4"/>
  <c r="I449" i="4"/>
  <c r="G449" i="4"/>
  <c r="K448" i="4"/>
  <c r="I448" i="4"/>
  <c r="G448" i="4"/>
  <c r="K447" i="4"/>
  <c r="I447" i="4"/>
  <c r="G447" i="4"/>
  <c r="K446" i="4"/>
  <c r="I446" i="4"/>
  <c r="G446" i="4"/>
  <c r="K445" i="4"/>
  <c r="I445" i="4"/>
  <c r="G445" i="4"/>
  <c r="K444" i="4"/>
  <c r="I444" i="4"/>
  <c r="G444" i="4"/>
  <c r="K443" i="4"/>
  <c r="I443" i="4"/>
  <c r="G443" i="4"/>
  <c r="K442" i="4"/>
  <c r="I442" i="4"/>
  <c r="G442" i="4"/>
  <c r="K441" i="4"/>
  <c r="I441" i="4"/>
  <c r="G441" i="4"/>
  <c r="K440" i="4"/>
  <c r="I440" i="4"/>
  <c r="G440" i="4"/>
  <c r="K439" i="4"/>
  <c r="I439" i="4"/>
  <c r="G439" i="4"/>
  <c r="K438" i="4"/>
  <c r="I438" i="4"/>
  <c r="G438" i="4"/>
  <c r="K437" i="4"/>
  <c r="I437" i="4"/>
  <c r="G437" i="4"/>
  <c r="K436" i="4"/>
  <c r="I436" i="4"/>
  <c r="G436" i="4"/>
  <c r="K435" i="4"/>
  <c r="I435" i="4"/>
  <c r="G435" i="4"/>
  <c r="K434" i="4"/>
  <c r="I434" i="4"/>
  <c r="G434" i="4"/>
  <c r="K433" i="4"/>
  <c r="I433" i="4"/>
  <c r="G433" i="4"/>
  <c r="K432" i="4"/>
  <c r="I432" i="4"/>
  <c r="G432" i="4"/>
  <c r="K431" i="4"/>
  <c r="I431" i="4"/>
  <c r="G431" i="4"/>
  <c r="K430" i="4"/>
  <c r="I430" i="4"/>
  <c r="G430" i="4"/>
  <c r="K429" i="4"/>
  <c r="I429" i="4"/>
  <c r="G429" i="4"/>
  <c r="K428" i="4"/>
  <c r="I428" i="4"/>
  <c r="G428" i="4"/>
  <c r="K427" i="4"/>
  <c r="I427" i="4"/>
  <c r="G427" i="4"/>
  <c r="K426" i="4"/>
  <c r="I426" i="4"/>
  <c r="G426" i="4"/>
  <c r="K425" i="4"/>
  <c r="I425" i="4"/>
  <c r="G425" i="4"/>
  <c r="K424" i="4"/>
  <c r="I424" i="4"/>
  <c r="G424" i="4"/>
  <c r="K423" i="4"/>
  <c r="I423" i="4"/>
  <c r="G423" i="4"/>
  <c r="K422" i="4"/>
  <c r="I422" i="4"/>
  <c r="G422" i="4"/>
  <c r="K421" i="4"/>
  <c r="I421" i="4"/>
  <c r="G421" i="4"/>
  <c r="K420" i="4"/>
  <c r="I420" i="4"/>
  <c r="G420" i="4"/>
  <c r="K419" i="4"/>
  <c r="I419" i="4"/>
  <c r="G419" i="4"/>
  <c r="K418" i="4"/>
  <c r="I418" i="4"/>
  <c r="G418" i="4"/>
  <c r="K417" i="4"/>
  <c r="I417" i="4"/>
  <c r="G417" i="4"/>
  <c r="K416" i="4"/>
  <c r="I416" i="4"/>
  <c r="G416" i="4"/>
  <c r="K415" i="4"/>
  <c r="I415" i="4"/>
  <c r="G415" i="4"/>
  <c r="K414" i="4"/>
  <c r="I414" i="4"/>
  <c r="G414" i="4"/>
  <c r="K413" i="4"/>
  <c r="I413" i="4"/>
  <c r="G413" i="4"/>
  <c r="K412" i="4"/>
  <c r="I412" i="4"/>
  <c r="G412" i="4"/>
  <c r="K411" i="4"/>
  <c r="I411" i="4"/>
  <c r="G411" i="4"/>
  <c r="K410" i="4"/>
  <c r="I410" i="4"/>
  <c r="G410" i="4"/>
  <c r="K409" i="4"/>
  <c r="I409" i="4"/>
  <c r="G409" i="4"/>
  <c r="K408" i="4"/>
  <c r="I408" i="4"/>
  <c r="G408" i="4"/>
  <c r="K407" i="4"/>
  <c r="I407" i="4"/>
  <c r="G407" i="4"/>
  <c r="K406" i="4"/>
  <c r="I406" i="4"/>
  <c r="G406" i="4"/>
  <c r="K405" i="4"/>
  <c r="I405" i="4"/>
  <c r="G405" i="4"/>
  <c r="K404" i="4"/>
  <c r="I404" i="4"/>
  <c r="G404" i="4"/>
  <c r="K403" i="4"/>
  <c r="I403" i="4"/>
  <c r="G403" i="4"/>
  <c r="K402" i="4"/>
  <c r="I402" i="4"/>
  <c r="G402" i="4"/>
  <c r="K401" i="4"/>
  <c r="I401" i="4"/>
  <c r="G401" i="4"/>
  <c r="K400" i="4"/>
  <c r="I400" i="4"/>
  <c r="G400" i="4"/>
  <c r="K399" i="4"/>
  <c r="I399" i="4"/>
  <c r="G399" i="4"/>
  <c r="K398" i="4"/>
  <c r="I398" i="4"/>
  <c r="G398" i="4"/>
  <c r="K397" i="4"/>
  <c r="I397" i="4"/>
  <c r="G397" i="4"/>
  <c r="K396" i="4"/>
  <c r="I396" i="4"/>
  <c r="G396" i="4"/>
  <c r="K395" i="4"/>
  <c r="I395" i="4"/>
  <c r="G395" i="4"/>
  <c r="K394" i="4"/>
  <c r="I394" i="4"/>
  <c r="G394" i="4"/>
  <c r="K393" i="4"/>
  <c r="I393" i="4"/>
  <c r="G393" i="4"/>
  <c r="K392" i="4"/>
  <c r="I392" i="4"/>
  <c r="G392" i="4"/>
  <c r="K391" i="4"/>
  <c r="I391" i="4"/>
  <c r="G391" i="4"/>
  <c r="K390" i="4"/>
  <c r="I390" i="4"/>
  <c r="G390" i="4"/>
  <c r="K389" i="4"/>
  <c r="I389" i="4"/>
  <c r="G389" i="4"/>
  <c r="K388" i="4"/>
  <c r="I388" i="4"/>
  <c r="G388" i="4"/>
  <c r="K387" i="4"/>
  <c r="I387" i="4"/>
  <c r="G387" i="4"/>
  <c r="K386" i="4"/>
  <c r="I386" i="4"/>
  <c r="G386" i="4"/>
  <c r="K385" i="4"/>
  <c r="I385" i="4"/>
  <c r="G385" i="4"/>
  <c r="K384" i="4"/>
  <c r="I384" i="4"/>
  <c r="G384" i="4"/>
  <c r="K383" i="4"/>
  <c r="I383" i="4"/>
  <c r="G383" i="4"/>
  <c r="K382" i="4"/>
  <c r="I382" i="4"/>
  <c r="G382" i="4"/>
  <c r="K381" i="4"/>
  <c r="I381" i="4"/>
  <c r="G381" i="4"/>
  <c r="K380" i="4"/>
  <c r="I380" i="4"/>
  <c r="G380" i="4"/>
  <c r="K379" i="4"/>
  <c r="I379" i="4"/>
  <c r="G379" i="4"/>
  <c r="K378" i="4"/>
  <c r="I378" i="4"/>
  <c r="G378" i="4"/>
  <c r="K377" i="4"/>
  <c r="I377" i="4"/>
  <c r="G377" i="4"/>
  <c r="K376" i="4"/>
  <c r="I376" i="4"/>
  <c r="G376" i="4"/>
  <c r="K375" i="4"/>
  <c r="I375" i="4"/>
  <c r="G375" i="4"/>
  <c r="K374" i="4"/>
  <c r="I374" i="4"/>
  <c r="G374" i="4"/>
  <c r="K373" i="4"/>
  <c r="I373" i="4"/>
  <c r="G373" i="4"/>
  <c r="K372" i="4"/>
  <c r="I372" i="4"/>
  <c r="G372" i="4"/>
  <c r="K371" i="4"/>
  <c r="I371" i="4"/>
  <c r="G371" i="4"/>
  <c r="K370" i="4"/>
  <c r="I370" i="4"/>
  <c r="G370" i="4"/>
  <c r="K369" i="4"/>
  <c r="I369" i="4"/>
  <c r="G369" i="4"/>
  <c r="K368" i="4"/>
  <c r="I368" i="4"/>
  <c r="G368" i="4"/>
  <c r="K367" i="4"/>
  <c r="I367" i="4"/>
  <c r="G367" i="4"/>
  <c r="K366" i="4"/>
  <c r="I366" i="4"/>
  <c r="G366" i="4"/>
  <c r="K365" i="4"/>
  <c r="I365" i="4"/>
  <c r="G365" i="4"/>
  <c r="K364" i="4"/>
  <c r="I364" i="4"/>
  <c r="G364" i="4"/>
  <c r="K363" i="4"/>
  <c r="I363" i="4"/>
  <c r="G363" i="4"/>
  <c r="K362" i="4"/>
  <c r="I362" i="4"/>
  <c r="G362" i="4"/>
  <c r="K361" i="4"/>
  <c r="I361" i="4"/>
  <c r="G361" i="4"/>
  <c r="K360" i="4"/>
  <c r="I360" i="4"/>
  <c r="G360" i="4"/>
  <c r="K359" i="4"/>
  <c r="I359" i="4"/>
  <c r="G359" i="4"/>
  <c r="K358" i="4"/>
  <c r="I358" i="4"/>
  <c r="G358" i="4"/>
  <c r="K357" i="4"/>
  <c r="I357" i="4"/>
  <c r="G357" i="4"/>
  <c r="K356" i="4"/>
  <c r="I356" i="4"/>
  <c r="G356" i="4"/>
  <c r="K355" i="4"/>
  <c r="I355" i="4"/>
  <c r="G355" i="4"/>
  <c r="K354" i="4"/>
  <c r="I354" i="4"/>
  <c r="G354" i="4"/>
  <c r="K353" i="4"/>
  <c r="I353" i="4"/>
  <c r="G353" i="4"/>
  <c r="K352" i="4"/>
  <c r="I352" i="4"/>
  <c r="G352" i="4"/>
  <c r="K351" i="4"/>
  <c r="I351" i="4"/>
  <c r="G351" i="4"/>
  <c r="K350" i="4"/>
  <c r="I350" i="4"/>
  <c r="G350" i="4"/>
  <c r="K349" i="4"/>
  <c r="I349" i="4"/>
  <c r="G349" i="4"/>
  <c r="K348" i="4"/>
  <c r="I348" i="4"/>
  <c r="G348" i="4"/>
  <c r="K347" i="4"/>
  <c r="I347" i="4"/>
  <c r="G347" i="4"/>
  <c r="K346" i="4"/>
  <c r="I346" i="4"/>
  <c r="G346" i="4"/>
  <c r="K345" i="4"/>
  <c r="I345" i="4"/>
  <c r="G345" i="4"/>
  <c r="K344" i="4"/>
  <c r="I344" i="4"/>
  <c r="G344" i="4"/>
  <c r="K343" i="4"/>
  <c r="I343" i="4"/>
  <c r="G343" i="4"/>
  <c r="K342" i="4"/>
  <c r="I342" i="4"/>
  <c r="G342" i="4"/>
  <c r="K341" i="4"/>
  <c r="I341" i="4"/>
  <c r="G341" i="4"/>
  <c r="K340" i="4"/>
  <c r="I340" i="4"/>
  <c r="G340" i="4"/>
  <c r="K339" i="4"/>
  <c r="I339" i="4"/>
  <c r="G339" i="4"/>
  <c r="K338" i="4"/>
  <c r="I338" i="4"/>
  <c r="G338" i="4"/>
  <c r="K337" i="4"/>
  <c r="I337" i="4"/>
  <c r="G337" i="4"/>
  <c r="K336" i="4"/>
  <c r="I336" i="4"/>
  <c r="G336" i="4"/>
  <c r="K335" i="4"/>
  <c r="I335" i="4"/>
  <c r="G335" i="4"/>
  <c r="K334" i="4"/>
  <c r="I334" i="4"/>
  <c r="G334" i="4"/>
  <c r="K333" i="4"/>
  <c r="I333" i="4"/>
  <c r="G333" i="4"/>
  <c r="K332" i="4"/>
  <c r="I332" i="4"/>
  <c r="G332" i="4"/>
  <c r="K331" i="4"/>
  <c r="I331" i="4"/>
  <c r="G331" i="4"/>
  <c r="K330" i="4"/>
  <c r="I330" i="4"/>
  <c r="G330" i="4"/>
  <c r="K329" i="4"/>
  <c r="I329" i="4"/>
  <c r="G329" i="4"/>
  <c r="K328" i="4"/>
  <c r="I328" i="4"/>
  <c r="G328" i="4"/>
  <c r="K327" i="4"/>
  <c r="I327" i="4"/>
  <c r="G327" i="4"/>
  <c r="K326" i="4"/>
  <c r="I326" i="4"/>
  <c r="G326" i="4"/>
  <c r="K325" i="4"/>
  <c r="I325" i="4"/>
  <c r="G325" i="4"/>
  <c r="K324" i="4"/>
  <c r="I324" i="4"/>
  <c r="G324" i="4"/>
  <c r="K323" i="4"/>
  <c r="I323" i="4"/>
  <c r="G323" i="4"/>
  <c r="K322" i="4"/>
  <c r="I322" i="4"/>
  <c r="G322" i="4"/>
  <c r="K321" i="4"/>
  <c r="I321" i="4"/>
  <c r="G321" i="4"/>
  <c r="K320" i="4"/>
  <c r="I320" i="4"/>
  <c r="G320" i="4"/>
  <c r="K319" i="4"/>
  <c r="I319" i="4"/>
  <c r="G319" i="4"/>
  <c r="K318" i="4"/>
  <c r="I318" i="4"/>
  <c r="G318" i="4"/>
  <c r="K317" i="4"/>
  <c r="I317" i="4"/>
  <c r="G317" i="4"/>
  <c r="K316" i="4"/>
  <c r="I316" i="4"/>
  <c r="G316" i="4"/>
  <c r="K315" i="4"/>
  <c r="I315" i="4"/>
  <c r="G315" i="4"/>
  <c r="K314" i="4"/>
  <c r="I314" i="4"/>
  <c r="G314" i="4"/>
  <c r="K313" i="4"/>
  <c r="I313" i="4"/>
  <c r="G313" i="4"/>
  <c r="K312" i="4"/>
  <c r="I312" i="4"/>
  <c r="G312" i="4"/>
  <c r="K311" i="4"/>
  <c r="I311" i="4"/>
  <c r="G311" i="4"/>
  <c r="K310" i="4"/>
  <c r="I310" i="4"/>
  <c r="G310" i="4"/>
  <c r="K309" i="4"/>
  <c r="I309" i="4"/>
  <c r="G309" i="4"/>
  <c r="K308" i="4"/>
  <c r="I308" i="4"/>
  <c r="G308" i="4"/>
  <c r="K307" i="4"/>
  <c r="I307" i="4"/>
  <c r="G307" i="4"/>
  <c r="K306" i="4"/>
  <c r="I306" i="4"/>
  <c r="G306" i="4"/>
  <c r="K305" i="4"/>
  <c r="I305" i="4"/>
  <c r="G305" i="4"/>
  <c r="K304" i="4"/>
  <c r="I304" i="4"/>
  <c r="G304" i="4"/>
  <c r="K303" i="4"/>
  <c r="I303" i="4"/>
  <c r="G303" i="4"/>
  <c r="K302" i="4"/>
  <c r="I302" i="4"/>
  <c r="G302" i="4"/>
  <c r="K301" i="4"/>
  <c r="I301" i="4"/>
  <c r="G301" i="4"/>
  <c r="K300" i="4"/>
  <c r="I300" i="4"/>
  <c r="G300" i="4"/>
  <c r="K299" i="4"/>
  <c r="I299" i="4"/>
  <c r="G299" i="4"/>
  <c r="K298" i="4"/>
  <c r="I298" i="4"/>
  <c r="G298" i="4"/>
  <c r="K297" i="4"/>
  <c r="I297" i="4"/>
  <c r="G297" i="4"/>
  <c r="K296" i="4"/>
  <c r="I296" i="4"/>
  <c r="G296" i="4"/>
  <c r="K295" i="4"/>
  <c r="I295" i="4"/>
  <c r="G295" i="4"/>
  <c r="K294" i="4"/>
  <c r="I294" i="4"/>
  <c r="G294" i="4"/>
  <c r="K293" i="4"/>
  <c r="I293" i="4"/>
  <c r="G293" i="4"/>
  <c r="K292" i="4"/>
  <c r="I292" i="4"/>
  <c r="G292" i="4"/>
  <c r="K291" i="4"/>
  <c r="I291" i="4"/>
  <c r="G291" i="4"/>
  <c r="K290" i="4"/>
  <c r="I290" i="4"/>
  <c r="G290" i="4"/>
  <c r="K289" i="4"/>
  <c r="I289" i="4"/>
  <c r="G289" i="4"/>
  <c r="K288" i="4"/>
  <c r="I288" i="4"/>
  <c r="G288" i="4"/>
  <c r="K287" i="4"/>
  <c r="I287" i="4"/>
  <c r="G287" i="4"/>
  <c r="K286" i="4"/>
  <c r="I286" i="4"/>
  <c r="G286" i="4"/>
  <c r="K285" i="4"/>
  <c r="I285" i="4"/>
  <c r="G285" i="4"/>
  <c r="K284" i="4"/>
  <c r="I284" i="4"/>
  <c r="G284" i="4"/>
  <c r="K283" i="4"/>
  <c r="I283" i="4"/>
  <c r="G283" i="4"/>
  <c r="K282" i="4"/>
  <c r="I282" i="4"/>
  <c r="G282" i="4"/>
  <c r="K281" i="4"/>
  <c r="I281" i="4"/>
  <c r="G281" i="4"/>
  <c r="K280" i="4"/>
  <c r="I280" i="4"/>
  <c r="G280" i="4"/>
  <c r="K279" i="4"/>
  <c r="I279" i="4"/>
  <c r="G279" i="4"/>
  <c r="K278" i="4"/>
  <c r="I278" i="4"/>
  <c r="G278" i="4"/>
  <c r="K277" i="4"/>
  <c r="I277" i="4"/>
  <c r="G277" i="4"/>
  <c r="K276" i="4"/>
  <c r="I276" i="4"/>
  <c r="G276" i="4"/>
  <c r="K275" i="4"/>
  <c r="I275" i="4"/>
  <c r="G275" i="4"/>
  <c r="K274" i="4"/>
  <c r="I274" i="4"/>
  <c r="G274" i="4"/>
  <c r="K273" i="4"/>
  <c r="I273" i="4"/>
  <c r="G273" i="4"/>
  <c r="K272" i="4"/>
  <c r="I272" i="4"/>
  <c r="G272" i="4"/>
  <c r="K271" i="4"/>
  <c r="I271" i="4"/>
  <c r="G271" i="4"/>
  <c r="K270" i="4"/>
  <c r="I270" i="4"/>
  <c r="G270" i="4"/>
  <c r="K269" i="4"/>
  <c r="I269" i="4"/>
  <c r="G269" i="4"/>
  <c r="K268" i="4"/>
  <c r="I268" i="4"/>
  <c r="G268" i="4"/>
  <c r="K267" i="4"/>
  <c r="I267" i="4"/>
  <c r="G267" i="4"/>
  <c r="K266" i="4"/>
  <c r="I266" i="4"/>
  <c r="G266" i="4"/>
  <c r="K265" i="4"/>
  <c r="I265" i="4"/>
  <c r="G265" i="4"/>
  <c r="K264" i="4"/>
  <c r="I264" i="4"/>
  <c r="G264" i="4"/>
  <c r="K263" i="4"/>
  <c r="I263" i="4"/>
  <c r="G263" i="4"/>
  <c r="K262" i="4"/>
  <c r="I262" i="4"/>
  <c r="G262" i="4"/>
  <c r="K261" i="4"/>
  <c r="I261" i="4"/>
  <c r="G261" i="4"/>
  <c r="K260" i="4"/>
  <c r="I260" i="4"/>
  <c r="G260" i="4"/>
  <c r="K259" i="4"/>
  <c r="I259" i="4"/>
  <c r="G259" i="4"/>
  <c r="K258" i="4"/>
  <c r="I258" i="4"/>
  <c r="G258" i="4"/>
  <c r="K257" i="4"/>
  <c r="I257" i="4"/>
  <c r="G257" i="4"/>
  <c r="K256" i="4"/>
  <c r="I256" i="4"/>
  <c r="G256" i="4"/>
  <c r="K255" i="4"/>
  <c r="I255" i="4"/>
  <c r="G255" i="4"/>
  <c r="K254" i="4"/>
  <c r="I254" i="4"/>
  <c r="G254" i="4"/>
  <c r="K253" i="4"/>
  <c r="I253" i="4"/>
  <c r="G253" i="4"/>
  <c r="K252" i="4"/>
  <c r="I252" i="4"/>
  <c r="G252" i="4"/>
  <c r="K251" i="4"/>
  <c r="I251" i="4"/>
  <c r="G251" i="4"/>
  <c r="K250" i="4"/>
  <c r="I250" i="4"/>
  <c r="G250" i="4"/>
  <c r="K249" i="4"/>
  <c r="I249" i="4"/>
  <c r="G249" i="4"/>
  <c r="K248" i="4"/>
  <c r="I248" i="4"/>
  <c r="G248" i="4"/>
  <c r="K247" i="4"/>
  <c r="I247" i="4"/>
  <c r="G247" i="4"/>
  <c r="K246" i="4"/>
  <c r="I246" i="4"/>
  <c r="G246" i="4"/>
  <c r="K245" i="4"/>
  <c r="I245" i="4"/>
  <c r="G245" i="4"/>
  <c r="K244" i="4"/>
  <c r="I244" i="4"/>
  <c r="G244" i="4"/>
  <c r="K243" i="4"/>
  <c r="I243" i="4"/>
  <c r="G243" i="4"/>
  <c r="K242" i="4"/>
  <c r="I242" i="4"/>
  <c r="G242" i="4"/>
  <c r="K241" i="4"/>
  <c r="I241" i="4"/>
  <c r="G241" i="4"/>
  <c r="K240" i="4"/>
  <c r="I240" i="4"/>
  <c r="G240" i="4"/>
  <c r="K239" i="4"/>
  <c r="I239" i="4"/>
  <c r="G239" i="4"/>
  <c r="K238" i="4"/>
  <c r="I238" i="4"/>
  <c r="G238" i="4"/>
  <c r="K237" i="4"/>
  <c r="I237" i="4"/>
  <c r="G237" i="4"/>
  <c r="K236" i="4"/>
  <c r="I236" i="4"/>
  <c r="G236" i="4"/>
  <c r="K235" i="4"/>
  <c r="I235" i="4"/>
  <c r="G235" i="4"/>
  <c r="K234" i="4"/>
  <c r="I234" i="4"/>
  <c r="G234" i="4"/>
  <c r="K233" i="4"/>
  <c r="I233" i="4"/>
  <c r="G233" i="4"/>
  <c r="K232" i="4"/>
  <c r="I232" i="4"/>
  <c r="G232" i="4"/>
  <c r="K231" i="4"/>
  <c r="I231" i="4"/>
  <c r="G231" i="4"/>
  <c r="K230" i="4"/>
  <c r="I230" i="4"/>
  <c r="G230" i="4"/>
  <c r="K229" i="4"/>
  <c r="I229" i="4"/>
  <c r="G229" i="4"/>
  <c r="K228" i="4"/>
  <c r="I228" i="4"/>
  <c r="G228" i="4"/>
  <c r="K227" i="4"/>
  <c r="I227" i="4"/>
  <c r="G227" i="4"/>
  <c r="K226" i="4"/>
  <c r="I226" i="4"/>
  <c r="G226" i="4"/>
  <c r="K225" i="4"/>
  <c r="I225" i="4"/>
  <c r="G225" i="4"/>
  <c r="K224" i="4"/>
  <c r="I224" i="4"/>
  <c r="G224" i="4"/>
  <c r="K223" i="4"/>
  <c r="I223" i="4"/>
  <c r="G223" i="4"/>
  <c r="K222" i="4"/>
  <c r="I222" i="4"/>
  <c r="G222" i="4"/>
  <c r="K221" i="4"/>
  <c r="I221" i="4"/>
  <c r="G221" i="4"/>
  <c r="K220" i="4"/>
  <c r="I220" i="4"/>
  <c r="G220" i="4"/>
  <c r="K219" i="4"/>
  <c r="I219" i="4"/>
  <c r="G219" i="4"/>
  <c r="K218" i="4"/>
  <c r="I218" i="4"/>
  <c r="G218" i="4"/>
  <c r="K217" i="4"/>
  <c r="I217" i="4"/>
  <c r="G217" i="4"/>
  <c r="K216" i="4"/>
  <c r="I216" i="4"/>
  <c r="G216" i="4"/>
  <c r="K215" i="4"/>
  <c r="I215" i="4"/>
  <c r="G215" i="4"/>
  <c r="K214" i="4"/>
  <c r="I214" i="4"/>
  <c r="G214" i="4"/>
  <c r="K213" i="4"/>
  <c r="I213" i="4"/>
  <c r="G213" i="4"/>
  <c r="K212" i="4"/>
  <c r="I212" i="4"/>
  <c r="G212" i="4"/>
  <c r="K211" i="4"/>
  <c r="I211" i="4"/>
  <c r="G211" i="4"/>
  <c r="K210" i="4"/>
  <c r="I210" i="4"/>
  <c r="G210" i="4"/>
  <c r="K209" i="4"/>
  <c r="I209" i="4"/>
  <c r="G209" i="4"/>
  <c r="K208" i="4"/>
  <c r="I208" i="4"/>
  <c r="G208" i="4"/>
  <c r="K207" i="4"/>
  <c r="I207" i="4"/>
  <c r="G207" i="4"/>
  <c r="K206" i="4"/>
  <c r="I206" i="4"/>
  <c r="G206" i="4"/>
  <c r="K205" i="4"/>
  <c r="I205" i="4"/>
  <c r="G205" i="4"/>
  <c r="K204" i="4"/>
  <c r="I204" i="4"/>
  <c r="G204" i="4"/>
  <c r="K203" i="4"/>
  <c r="I203" i="4"/>
  <c r="G203" i="4"/>
  <c r="K202" i="4"/>
  <c r="I202" i="4"/>
  <c r="G202" i="4"/>
  <c r="K201" i="4"/>
  <c r="I201" i="4"/>
  <c r="G201" i="4"/>
  <c r="K200" i="4"/>
  <c r="I200" i="4"/>
  <c r="G200" i="4"/>
  <c r="K199" i="4"/>
  <c r="I199" i="4"/>
  <c r="G199" i="4"/>
  <c r="K198" i="4"/>
  <c r="I198" i="4"/>
  <c r="G198" i="4"/>
  <c r="K197" i="4"/>
  <c r="I197" i="4"/>
  <c r="G197" i="4"/>
  <c r="K196" i="4"/>
  <c r="I196" i="4"/>
  <c r="G196" i="4"/>
  <c r="K195" i="4"/>
  <c r="I195" i="4"/>
  <c r="G195" i="4"/>
  <c r="K194" i="4"/>
  <c r="I194" i="4"/>
  <c r="G194" i="4"/>
  <c r="K193" i="4"/>
  <c r="I193" i="4"/>
  <c r="G193" i="4"/>
  <c r="K192" i="4"/>
  <c r="I192" i="4"/>
  <c r="G192" i="4"/>
  <c r="K191" i="4"/>
  <c r="I191" i="4"/>
  <c r="G191" i="4"/>
  <c r="K190" i="4"/>
  <c r="I190" i="4"/>
  <c r="G190" i="4"/>
  <c r="K189" i="4"/>
  <c r="I189" i="4"/>
  <c r="G189" i="4"/>
  <c r="K188" i="4"/>
  <c r="I188" i="4"/>
  <c r="G188" i="4"/>
  <c r="K187" i="4"/>
  <c r="I187" i="4"/>
  <c r="G187" i="4"/>
  <c r="K186" i="4"/>
  <c r="I186" i="4"/>
  <c r="G186" i="4"/>
  <c r="K185" i="4"/>
  <c r="I185" i="4"/>
  <c r="G185" i="4"/>
  <c r="K184" i="4"/>
  <c r="I184" i="4"/>
  <c r="G184" i="4"/>
  <c r="K183" i="4"/>
  <c r="I183" i="4"/>
  <c r="G183" i="4"/>
  <c r="K182" i="4"/>
  <c r="I182" i="4"/>
  <c r="G182" i="4"/>
  <c r="K181" i="4"/>
  <c r="I181" i="4"/>
  <c r="G181" i="4"/>
  <c r="K180" i="4"/>
  <c r="I180" i="4"/>
  <c r="G180" i="4"/>
  <c r="K179" i="4"/>
  <c r="I179" i="4"/>
  <c r="G179" i="4"/>
  <c r="K178" i="4"/>
  <c r="I178" i="4"/>
  <c r="G178" i="4"/>
  <c r="K177" i="4"/>
  <c r="I177" i="4"/>
  <c r="G177" i="4"/>
  <c r="K176" i="4"/>
  <c r="I176" i="4"/>
  <c r="G176" i="4"/>
  <c r="K175" i="4"/>
  <c r="I175" i="4"/>
  <c r="G175" i="4"/>
  <c r="K174" i="4"/>
  <c r="I174" i="4"/>
  <c r="G174" i="4"/>
  <c r="K173" i="4"/>
  <c r="I173" i="4"/>
  <c r="G173" i="4"/>
  <c r="K172" i="4"/>
  <c r="I172" i="4"/>
  <c r="G172" i="4"/>
  <c r="K171" i="4"/>
  <c r="I171" i="4"/>
  <c r="G171" i="4"/>
  <c r="K170" i="4"/>
  <c r="I170" i="4"/>
  <c r="G170" i="4"/>
  <c r="K169" i="4"/>
  <c r="I169" i="4"/>
  <c r="G169" i="4"/>
  <c r="K168" i="4"/>
  <c r="I168" i="4"/>
  <c r="G168" i="4"/>
  <c r="K167" i="4"/>
  <c r="I167" i="4"/>
  <c r="G167" i="4"/>
  <c r="K166" i="4"/>
  <c r="I166" i="4"/>
  <c r="G166" i="4"/>
  <c r="K165" i="4"/>
  <c r="I165" i="4"/>
  <c r="G165" i="4"/>
  <c r="K164" i="4"/>
  <c r="I164" i="4"/>
  <c r="G164" i="4"/>
  <c r="K163" i="4"/>
  <c r="I163" i="4"/>
  <c r="G163" i="4"/>
  <c r="K162" i="4"/>
  <c r="I162" i="4"/>
  <c r="G162" i="4"/>
  <c r="K161" i="4"/>
  <c r="I161" i="4"/>
  <c r="G161" i="4"/>
  <c r="K160" i="4"/>
  <c r="I160" i="4"/>
  <c r="G160" i="4"/>
  <c r="K159" i="4"/>
  <c r="I159" i="4"/>
  <c r="G159" i="4"/>
  <c r="K158" i="4"/>
  <c r="I158" i="4"/>
  <c r="G158" i="4"/>
  <c r="K157" i="4"/>
  <c r="I157" i="4"/>
  <c r="G157" i="4"/>
  <c r="K156" i="4"/>
  <c r="I156" i="4"/>
  <c r="G156" i="4"/>
  <c r="K155" i="4"/>
  <c r="I155" i="4"/>
  <c r="G155" i="4"/>
  <c r="K154" i="4"/>
  <c r="I154" i="4"/>
  <c r="G154" i="4"/>
  <c r="K153" i="4"/>
  <c r="I153" i="4"/>
  <c r="G153" i="4"/>
  <c r="K152" i="4"/>
  <c r="I152" i="4"/>
  <c r="G152" i="4"/>
  <c r="K151" i="4"/>
  <c r="I151" i="4"/>
  <c r="G151" i="4"/>
  <c r="K150" i="4"/>
  <c r="I150" i="4"/>
  <c r="G150" i="4"/>
  <c r="K149" i="4"/>
  <c r="I149" i="4"/>
  <c r="G149" i="4"/>
  <c r="K148" i="4"/>
  <c r="I148" i="4"/>
  <c r="G148" i="4"/>
  <c r="K147" i="4"/>
  <c r="I147" i="4"/>
  <c r="G147" i="4"/>
  <c r="K146" i="4"/>
  <c r="I146" i="4"/>
  <c r="G146" i="4"/>
  <c r="K145" i="4"/>
  <c r="I145" i="4"/>
  <c r="G145" i="4"/>
  <c r="K144" i="4"/>
  <c r="I144" i="4"/>
  <c r="G144" i="4"/>
  <c r="K143" i="4"/>
  <c r="I143" i="4"/>
  <c r="G143" i="4"/>
  <c r="K142" i="4"/>
  <c r="I142" i="4"/>
  <c r="G142" i="4"/>
  <c r="K141" i="4"/>
  <c r="I141" i="4"/>
  <c r="G141" i="4"/>
  <c r="K140" i="4"/>
  <c r="I140" i="4"/>
  <c r="G140" i="4"/>
  <c r="K139" i="4"/>
  <c r="I139" i="4"/>
  <c r="G139" i="4"/>
  <c r="K138" i="4"/>
  <c r="I138" i="4"/>
  <c r="G138" i="4"/>
  <c r="K137" i="4"/>
  <c r="I137" i="4"/>
  <c r="G137" i="4"/>
  <c r="K136" i="4"/>
  <c r="I136" i="4"/>
  <c r="G136" i="4"/>
  <c r="K135" i="4"/>
  <c r="I135" i="4"/>
  <c r="G135" i="4"/>
  <c r="K134" i="4"/>
  <c r="I134" i="4"/>
  <c r="G134" i="4"/>
  <c r="K133" i="4"/>
  <c r="I133" i="4"/>
  <c r="G133" i="4"/>
  <c r="K132" i="4"/>
  <c r="I132" i="4"/>
  <c r="G132" i="4"/>
  <c r="K131" i="4"/>
  <c r="I131" i="4"/>
  <c r="G131" i="4"/>
  <c r="K130" i="4"/>
  <c r="I130" i="4"/>
  <c r="G130" i="4"/>
  <c r="K129" i="4"/>
  <c r="I129" i="4"/>
  <c r="G129" i="4"/>
  <c r="K128" i="4"/>
  <c r="I128" i="4"/>
  <c r="G128" i="4"/>
  <c r="K127" i="4"/>
  <c r="I127" i="4"/>
  <c r="G127" i="4"/>
  <c r="K126" i="4"/>
  <c r="I126" i="4"/>
  <c r="G126" i="4"/>
  <c r="K125" i="4"/>
  <c r="I125" i="4"/>
  <c r="G125" i="4"/>
  <c r="K124" i="4"/>
  <c r="I124" i="4"/>
  <c r="G124" i="4"/>
  <c r="K123" i="4"/>
  <c r="I123" i="4"/>
  <c r="G123" i="4"/>
  <c r="K122" i="4"/>
  <c r="I122" i="4"/>
  <c r="G122" i="4"/>
  <c r="K121" i="4"/>
  <c r="I121" i="4"/>
  <c r="G121" i="4"/>
  <c r="K120" i="4"/>
  <c r="I120" i="4"/>
  <c r="G120" i="4"/>
  <c r="K119" i="4"/>
  <c r="I119" i="4"/>
  <c r="G119" i="4"/>
  <c r="K118" i="4"/>
  <c r="I118" i="4"/>
  <c r="G118" i="4"/>
  <c r="K117" i="4"/>
  <c r="I117" i="4"/>
  <c r="G117" i="4"/>
  <c r="K116" i="4"/>
  <c r="I116" i="4"/>
  <c r="G116" i="4"/>
  <c r="K115" i="4"/>
  <c r="I115" i="4"/>
  <c r="G115" i="4"/>
  <c r="K114" i="4"/>
  <c r="I114" i="4"/>
  <c r="G114" i="4"/>
  <c r="K113" i="4"/>
  <c r="I113" i="4"/>
  <c r="G113" i="4"/>
  <c r="K112" i="4"/>
  <c r="I112" i="4"/>
  <c r="G112" i="4"/>
  <c r="K111" i="4"/>
  <c r="I111" i="4"/>
  <c r="G111" i="4"/>
  <c r="K110" i="4"/>
  <c r="I110" i="4"/>
  <c r="G110" i="4"/>
  <c r="K109" i="4"/>
  <c r="I109" i="4"/>
  <c r="G109" i="4"/>
  <c r="K108" i="4"/>
  <c r="I108" i="4"/>
  <c r="G108" i="4"/>
  <c r="K107" i="4"/>
  <c r="I107" i="4"/>
  <c r="G107" i="4"/>
  <c r="K106" i="4"/>
  <c r="I106" i="4"/>
  <c r="G106" i="4"/>
  <c r="K105" i="4"/>
  <c r="I105" i="4"/>
  <c r="G105" i="4"/>
  <c r="K104" i="4"/>
  <c r="I104" i="4"/>
  <c r="G104" i="4"/>
  <c r="K103" i="4"/>
  <c r="I103" i="4"/>
  <c r="G103" i="4"/>
  <c r="K102" i="4"/>
  <c r="I102" i="4"/>
  <c r="G102" i="4"/>
  <c r="K101" i="4"/>
  <c r="I101" i="4"/>
  <c r="G101" i="4"/>
  <c r="K100" i="4"/>
  <c r="I100" i="4"/>
  <c r="G100" i="4"/>
  <c r="K99" i="4"/>
  <c r="I99" i="4"/>
  <c r="G99" i="4"/>
  <c r="K98" i="4"/>
  <c r="I98" i="4"/>
  <c r="G98" i="4"/>
  <c r="K97" i="4"/>
  <c r="I97" i="4"/>
  <c r="G97" i="4"/>
  <c r="K96" i="4"/>
  <c r="I96" i="4"/>
  <c r="G96" i="4"/>
  <c r="K95" i="4"/>
  <c r="I95" i="4"/>
  <c r="G95" i="4"/>
  <c r="K94" i="4"/>
  <c r="I94" i="4"/>
  <c r="G94" i="4"/>
  <c r="K93" i="4"/>
  <c r="I93" i="4"/>
  <c r="G93" i="4"/>
  <c r="K92" i="4"/>
  <c r="I92" i="4"/>
  <c r="G92" i="4"/>
  <c r="K91" i="4"/>
  <c r="I91" i="4"/>
  <c r="G91" i="4"/>
  <c r="K90" i="4"/>
  <c r="I90" i="4"/>
  <c r="G90" i="4"/>
  <c r="K89" i="4"/>
  <c r="I89" i="4"/>
  <c r="G89" i="4"/>
  <c r="K88" i="4"/>
  <c r="I88" i="4"/>
  <c r="G88" i="4"/>
  <c r="K87" i="4"/>
  <c r="I87" i="4"/>
  <c r="G87" i="4"/>
  <c r="K86" i="4"/>
  <c r="I86" i="4"/>
  <c r="G86" i="4"/>
  <c r="K85" i="4"/>
  <c r="I85" i="4"/>
  <c r="G85" i="4"/>
  <c r="K84" i="4"/>
  <c r="I84" i="4"/>
  <c r="G84" i="4"/>
  <c r="K83" i="4"/>
  <c r="I83" i="4"/>
  <c r="G83" i="4"/>
  <c r="K82" i="4"/>
  <c r="I82" i="4"/>
  <c r="G82" i="4"/>
  <c r="K81" i="4"/>
  <c r="I81" i="4"/>
  <c r="G81" i="4"/>
  <c r="K80" i="4"/>
  <c r="I80" i="4"/>
  <c r="G80" i="4"/>
  <c r="K79" i="4"/>
  <c r="I79" i="4"/>
  <c r="G79" i="4"/>
  <c r="K78" i="4"/>
  <c r="I78" i="4"/>
  <c r="G78" i="4"/>
  <c r="K77" i="4"/>
  <c r="I77" i="4"/>
  <c r="G77" i="4"/>
  <c r="K76" i="4"/>
  <c r="I76" i="4"/>
  <c r="G76" i="4"/>
  <c r="K75" i="4"/>
  <c r="I75" i="4"/>
  <c r="G75" i="4"/>
  <c r="K74" i="4"/>
  <c r="I74" i="4"/>
  <c r="G74" i="4"/>
  <c r="K73" i="4"/>
  <c r="I73" i="4"/>
  <c r="G73" i="4"/>
  <c r="K72" i="4"/>
  <c r="I72" i="4"/>
  <c r="G72" i="4"/>
  <c r="K71" i="4"/>
  <c r="I71" i="4"/>
  <c r="G71" i="4"/>
  <c r="K70" i="4"/>
  <c r="I70" i="4"/>
  <c r="G70" i="4"/>
  <c r="K69" i="4"/>
  <c r="I69" i="4"/>
  <c r="G69" i="4"/>
  <c r="K68" i="4"/>
  <c r="I68" i="4"/>
  <c r="G68" i="4"/>
  <c r="K67" i="4"/>
  <c r="I67" i="4"/>
  <c r="G67" i="4"/>
  <c r="K66" i="4"/>
  <c r="I66" i="4"/>
  <c r="G66" i="4"/>
  <c r="K65" i="4"/>
  <c r="I65" i="4"/>
  <c r="G65" i="4"/>
  <c r="K64" i="4"/>
  <c r="I64" i="4"/>
  <c r="G64" i="4"/>
  <c r="K63" i="4"/>
  <c r="I63" i="4"/>
  <c r="G63" i="4"/>
  <c r="K62" i="4"/>
  <c r="I62" i="4"/>
  <c r="G62" i="4"/>
  <c r="K61" i="4"/>
  <c r="I61" i="4"/>
  <c r="G61" i="4"/>
  <c r="K60" i="4"/>
  <c r="I60" i="4"/>
  <c r="G60" i="4"/>
  <c r="K59" i="4"/>
  <c r="I59" i="4"/>
  <c r="G59" i="4"/>
  <c r="K58" i="4"/>
  <c r="I58" i="4"/>
  <c r="G58" i="4"/>
  <c r="K57" i="4"/>
  <c r="I57" i="4"/>
  <c r="G57" i="4"/>
  <c r="K56" i="4"/>
  <c r="I56" i="4"/>
  <c r="G56" i="4"/>
  <c r="K55" i="4"/>
  <c r="I55" i="4"/>
  <c r="G55" i="4"/>
  <c r="K54" i="4"/>
  <c r="I54" i="4"/>
  <c r="G54" i="4"/>
  <c r="K53" i="4"/>
  <c r="I53" i="4"/>
  <c r="G53" i="4"/>
  <c r="K52" i="4"/>
  <c r="I52" i="4"/>
  <c r="G52" i="4"/>
  <c r="K51" i="4"/>
  <c r="I51" i="4"/>
  <c r="G51" i="4"/>
  <c r="K50" i="4"/>
  <c r="I50" i="4"/>
  <c r="G50" i="4"/>
  <c r="K49" i="4"/>
  <c r="I49" i="4"/>
  <c r="G49" i="4"/>
  <c r="K48" i="4"/>
  <c r="I48" i="4"/>
  <c r="G48" i="4"/>
  <c r="K47" i="4"/>
  <c r="I47" i="4"/>
  <c r="G47" i="4"/>
  <c r="K46" i="4"/>
  <c r="I46" i="4"/>
  <c r="G46" i="4"/>
  <c r="K45" i="4"/>
  <c r="I45" i="4"/>
  <c r="G45" i="4"/>
  <c r="K44" i="4"/>
  <c r="I44" i="4"/>
  <c r="G44" i="4"/>
  <c r="K43" i="4"/>
  <c r="I43" i="4"/>
  <c r="G43" i="4"/>
  <c r="K42" i="4"/>
  <c r="I42" i="4"/>
  <c r="G42" i="4"/>
  <c r="K41" i="4"/>
  <c r="I41" i="4"/>
  <c r="G41" i="4"/>
  <c r="K40" i="4"/>
  <c r="I40" i="4"/>
  <c r="G40" i="4"/>
  <c r="K39" i="4"/>
  <c r="I39" i="4"/>
  <c r="G39" i="4"/>
  <c r="K38" i="4"/>
  <c r="I38" i="4"/>
  <c r="G38" i="4"/>
  <c r="K37" i="4"/>
  <c r="I37" i="4"/>
  <c r="G37" i="4"/>
  <c r="K36" i="4"/>
  <c r="I36" i="4"/>
  <c r="G36" i="4"/>
  <c r="K35" i="4"/>
  <c r="I35" i="4"/>
  <c r="G35" i="4"/>
  <c r="K34" i="4"/>
  <c r="I34" i="4"/>
  <c r="G34" i="4"/>
  <c r="K33" i="4"/>
  <c r="I33" i="4"/>
  <c r="G33" i="4"/>
  <c r="K32" i="4"/>
  <c r="I32" i="4"/>
  <c r="G32" i="4"/>
  <c r="K31" i="4"/>
  <c r="I31" i="4"/>
  <c r="G31" i="4"/>
  <c r="K30" i="4"/>
  <c r="I30" i="4"/>
  <c r="G30" i="4"/>
  <c r="K29" i="4"/>
  <c r="I29" i="4"/>
  <c r="G29" i="4"/>
  <c r="K28" i="4"/>
  <c r="I28" i="4"/>
  <c r="G28" i="4"/>
  <c r="K27" i="4"/>
  <c r="I27" i="4"/>
  <c r="G27" i="4"/>
  <c r="K26" i="4"/>
  <c r="I26" i="4"/>
  <c r="G26" i="4"/>
  <c r="K25" i="4"/>
  <c r="I25" i="4"/>
  <c r="G25" i="4"/>
  <c r="K24" i="4"/>
  <c r="I24" i="4"/>
  <c r="G24" i="4"/>
  <c r="K23" i="4"/>
  <c r="I23" i="4"/>
  <c r="G23" i="4"/>
  <c r="K22" i="4"/>
  <c r="I22" i="4"/>
  <c r="G22" i="4"/>
  <c r="K21" i="4"/>
  <c r="I21" i="4"/>
  <c r="G21" i="4"/>
  <c r="K20" i="4"/>
  <c r="I20" i="4"/>
  <c r="G20" i="4"/>
  <c r="K19" i="4"/>
  <c r="I19" i="4"/>
  <c r="G19" i="4"/>
  <c r="K18" i="4"/>
  <c r="I18" i="4"/>
  <c r="G18" i="4"/>
  <c r="K17" i="4"/>
  <c r="I17" i="4"/>
  <c r="G17" i="4"/>
  <c r="K16" i="4"/>
  <c r="I16" i="4"/>
  <c r="G16" i="4"/>
  <c r="K15" i="4"/>
  <c r="I15" i="4"/>
  <c r="G15" i="4"/>
  <c r="K14" i="4"/>
  <c r="I14" i="4"/>
  <c r="G14" i="4"/>
  <c r="K13" i="4"/>
  <c r="I13" i="4"/>
  <c r="G13" i="4"/>
  <c r="K12" i="4"/>
  <c r="I12" i="4"/>
  <c r="G12" i="4"/>
  <c r="K11" i="4"/>
  <c r="I11" i="4"/>
  <c r="G11" i="4"/>
  <c r="K10" i="4"/>
  <c r="I10" i="4"/>
  <c r="G10" i="4"/>
  <c r="K9" i="4"/>
  <c r="I9" i="4"/>
  <c r="G9" i="4"/>
  <c r="K8" i="4"/>
  <c r="I8" i="4"/>
  <c r="G8" i="4"/>
  <c r="K7" i="4"/>
  <c r="I7" i="4"/>
  <c r="G7" i="4"/>
  <c r="K6" i="4"/>
  <c r="I6" i="4"/>
  <c r="G6" i="4"/>
  <c r="K5" i="4"/>
  <c r="I5" i="4"/>
  <c r="G5" i="4"/>
  <c r="K4" i="4"/>
  <c r="I4" i="4"/>
  <c r="G4" i="4"/>
  <c r="K3" i="4"/>
  <c r="I3" i="4"/>
  <c r="G3" i="4"/>
  <c r="K2" i="4"/>
  <c r="I2" i="4"/>
  <c r="G2" i="4"/>
  <c r="D86" i="23"/>
  <c r="D78" i="23"/>
  <c r="D70" i="23"/>
  <c r="D62" i="23"/>
  <c r="D54" i="23"/>
  <c r="D85" i="23"/>
  <c r="D77" i="23"/>
  <c r="D69" i="23"/>
  <c r="D61" i="23"/>
  <c r="D53" i="23"/>
  <c r="D84" i="23"/>
  <c r="D76" i="23"/>
  <c r="D68" i="23"/>
  <c r="D60" i="23"/>
  <c r="D52" i="23"/>
  <c r="D83" i="23"/>
  <c r="D75" i="23"/>
  <c r="D67" i="23"/>
  <c r="D59" i="23"/>
  <c r="D51" i="23"/>
  <c r="D74" i="23"/>
  <c r="D58" i="23"/>
  <c r="D50" i="23"/>
  <c r="D73" i="23"/>
  <c r="D57" i="23"/>
  <c r="D80" i="23"/>
  <c r="D56" i="23"/>
  <c r="D79" i="23"/>
  <c r="D63" i="23"/>
  <c r="D47" i="23"/>
  <c r="E74" i="23"/>
  <c r="E66" i="23"/>
  <c r="E50" i="23"/>
  <c r="E65" i="23"/>
  <c r="E49" i="23"/>
  <c r="E72" i="23"/>
  <c r="E56" i="23"/>
  <c r="E79" i="23"/>
  <c r="E63" i="23"/>
  <c r="E47" i="23"/>
  <c r="E86" i="23"/>
  <c r="E78" i="23"/>
  <c r="E70" i="23"/>
  <c r="E62" i="23"/>
  <c r="E54" i="23"/>
  <c r="E85" i="23"/>
  <c r="E77" i="23"/>
  <c r="E69" i="23"/>
  <c r="E61" i="23"/>
  <c r="E53" i="23"/>
  <c r="E84" i="23"/>
  <c r="E76" i="23"/>
  <c r="E68" i="23"/>
  <c r="E60" i="23"/>
  <c r="E52" i="23"/>
  <c r="E83" i="23"/>
  <c r="E75" i="23"/>
  <c r="E67" i="23"/>
  <c r="E59" i="23"/>
  <c r="E51" i="23"/>
  <c r="D82" i="23"/>
  <c r="D66" i="23"/>
  <c r="D81" i="23"/>
  <c r="D65" i="23"/>
  <c r="D49" i="23"/>
  <c r="D72" i="23"/>
  <c r="D64" i="23"/>
  <c r="D48" i="23"/>
  <c r="D71" i="23"/>
  <c r="D55" i="23"/>
  <c r="E82" i="23"/>
  <c r="E58" i="23"/>
  <c r="E81" i="23"/>
  <c r="E73" i="23"/>
  <c r="E57" i="23"/>
  <c r="E80" i="23"/>
  <c r="E64" i="23"/>
  <c r="E48" i="23"/>
  <c r="E71" i="23"/>
  <c r="E55" i="23"/>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G61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4" i="1"/>
  <c r="G5" i="1"/>
  <c r="G6" i="1"/>
  <c r="G7" i="1"/>
  <c r="G8" i="1"/>
  <c r="G9" i="1"/>
  <c r="G10" i="1"/>
  <c r="G11" i="1"/>
  <c r="G12" i="1"/>
  <c r="G13" i="1"/>
  <c r="G14" i="1"/>
  <c r="G15" i="1"/>
  <c r="G16" i="1"/>
  <c r="G17" i="1"/>
  <c r="G18" i="1"/>
  <c r="G19" i="1"/>
  <c r="G20" i="1"/>
  <c r="G21" i="1"/>
  <c r="G22" i="1"/>
  <c r="G23" i="1"/>
  <c r="G24" i="1"/>
  <c r="G25" i="1"/>
  <c r="G26" i="1"/>
  <c r="G27" i="1"/>
  <c r="G28" i="1"/>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3ABA144-4CBF-42BD-8445-AC5111C8315A}"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B6BEEDFB-94B7-4F2F-A8AB-ADDA4771DBF6}" keepAlive="1" name="Query - Dataset1" description="Connection to the 'Dataset1' query in the workbook." type="5" refreshedVersion="0" background="1">
    <dbPr connection="Provider=Microsoft.Mashup.OleDb.1;Data Source=$Workbook$;Location=Dataset1;Extended Properties=&quot;&quot;" command="SELECT * FROM [Dataset1]"/>
  </connection>
  <connection id="3" xr16:uid="{AEC9DC69-9887-4BAC-AD0E-6F8D8EE28FC3}" keepAlive="1" name="Query - Dataset2" description="Connection to the 'Dataset2' query in the workbook." type="5" refreshedVersion="0" background="1">
    <dbPr connection="Provider=Microsoft.Mashup.OleDb.1;Data Source=$Workbook$;Location=Dataset2;Extended Properties=&quot;&quot;" command="SELECT * FROM [Dataset2]"/>
  </connection>
  <connection id="4" xr16:uid="{4F5839DC-0E1D-4D3C-982A-0056EE3E5BDD}" keepAlive="1" name="Query - Dataset3" description="Connection to the 'Dataset3' query in the workbook." type="5" refreshedVersion="0" background="1">
    <dbPr connection="Provider=Microsoft.Mashup.OleDb.1;Data Source=$Workbook$;Location=Dataset3;Extended Properties=&quot;&quot;" command="SELECT * FROM [Dataset3]"/>
  </connection>
</connections>
</file>

<file path=xl/sharedStrings.xml><?xml version="1.0" encoding="utf-8"?>
<sst xmlns="http://schemas.openxmlformats.org/spreadsheetml/2006/main" count="5165" uniqueCount="81">
  <si>
    <t xml:space="preserve"> </t>
  </si>
  <si>
    <t>Blanks</t>
  </si>
  <si>
    <t>weekend</t>
  </si>
  <si>
    <t>Weather Situation</t>
  </si>
  <si>
    <t>Weekday</t>
  </si>
  <si>
    <t>Holiday</t>
  </si>
  <si>
    <t>Weather</t>
  </si>
  <si>
    <t xml:space="preserve">Temperature </t>
  </si>
  <si>
    <t>Temperature</t>
  </si>
  <si>
    <t>Hour</t>
  </si>
  <si>
    <t>Date</t>
  </si>
  <si>
    <t>Instant</t>
  </si>
  <si>
    <t>atemp</t>
  </si>
  <si>
    <t>Count</t>
  </si>
  <si>
    <t>Registered</t>
  </si>
  <si>
    <t>Casual</t>
  </si>
  <si>
    <t>Windspeed</t>
  </si>
  <si>
    <t>Humidity</t>
  </si>
  <si>
    <t>Humidity Check</t>
  </si>
  <si>
    <t>Temperature Situation</t>
  </si>
  <si>
    <t>Revised Atemp</t>
  </si>
  <si>
    <t>Month</t>
  </si>
  <si>
    <t>Weekend</t>
  </si>
  <si>
    <t>Safe</t>
  </si>
  <si>
    <t xml:space="preserve">Temperature Situation  </t>
  </si>
  <si>
    <t>Days</t>
  </si>
  <si>
    <t>Cross check</t>
  </si>
  <si>
    <t>Yes</t>
  </si>
  <si>
    <t>Saturday</t>
  </si>
  <si>
    <t>Clean</t>
  </si>
  <si>
    <t>Risky</t>
  </si>
  <si>
    <t>Misty</t>
  </si>
  <si>
    <t>Light Rain</t>
  </si>
  <si>
    <t>Sunday</t>
  </si>
  <si>
    <t>Acceptable</t>
  </si>
  <si>
    <t>No</t>
  </si>
  <si>
    <t>Monday</t>
  </si>
  <si>
    <t>Tuesday</t>
  </si>
  <si>
    <t>Wednesday</t>
  </si>
  <si>
    <t>Thursday</t>
  </si>
  <si>
    <t>Friday</t>
  </si>
  <si>
    <t>Sum</t>
  </si>
  <si>
    <t>Average</t>
  </si>
  <si>
    <t>Count If</t>
  </si>
  <si>
    <t>Left</t>
  </si>
  <si>
    <t xml:space="preserve">Instant </t>
  </si>
  <si>
    <t xml:space="preserve">Days </t>
  </si>
  <si>
    <t>Right</t>
  </si>
  <si>
    <t>Len</t>
  </si>
  <si>
    <t>Functions</t>
  </si>
  <si>
    <t>If function</t>
  </si>
  <si>
    <t>Casual BR</t>
  </si>
  <si>
    <t>Registered BR</t>
  </si>
  <si>
    <t xml:space="preserve">Weekday </t>
  </si>
  <si>
    <t>Heavy rain</t>
  </si>
  <si>
    <t>High humidity</t>
  </si>
  <si>
    <t>Clean weather</t>
  </si>
  <si>
    <t>BR on various days on weekends</t>
  </si>
  <si>
    <t>Standard Dev.</t>
  </si>
  <si>
    <t>C0-relation</t>
  </si>
  <si>
    <t>Variation</t>
  </si>
  <si>
    <t>Mean</t>
  </si>
  <si>
    <t>Forecast(Instant)</t>
  </si>
  <si>
    <t>Lower Confidence Bound(Instant)</t>
  </si>
  <si>
    <t>Upper Confidence Bound(Instant)</t>
  </si>
  <si>
    <t>instant</t>
  </si>
  <si>
    <t>dteday</t>
  </si>
  <si>
    <t>season</t>
  </si>
  <si>
    <t>yr</t>
  </si>
  <si>
    <t>mnth</t>
  </si>
  <si>
    <t>hr</t>
  </si>
  <si>
    <t>holiday</t>
  </si>
  <si>
    <t>weekday</t>
  </si>
  <si>
    <t>weathersit</t>
  </si>
  <si>
    <t>temp</t>
  </si>
  <si>
    <t>Unnamed: 0</t>
  </si>
  <si>
    <t>hum</t>
  </si>
  <si>
    <t>windspeed</t>
  </si>
  <si>
    <t>casual</t>
  </si>
  <si>
    <t>registered</t>
  </si>
  <si>
    <t>cnt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</si>
</sst>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scheme val="minor"/>
    </font>
    <font>
      <b/>
      <sz val="14"/>
      <color theme="1"/>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theme="9"/>
        <bgColor theme="9"/>
      </patternFill>
    </fill>
  </fills>
  <borders count="25">
    <border>
      <left/>
      <right/>
      <top/>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style="thin">
        <color indexed="64"/>
      </bottom>
      <diagonal/>
    </border>
    <border>
      <left style="medium">
        <color rgb="FFCCCCCC"/>
      </left>
      <right/>
      <top style="medium">
        <color rgb="FFCCCCCC"/>
      </top>
      <bottom style="medium">
        <color rgb="FFCCCCCC"/>
      </bottom>
      <diagonal/>
    </border>
    <border>
      <left/>
      <right style="medium">
        <color rgb="FFCCCCCC"/>
      </right>
      <top style="medium">
        <color rgb="FFCCCCCC"/>
      </top>
      <bottom style="medium">
        <color rgb="FFCCCCCC"/>
      </bottom>
      <diagonal/>
    </border>
    <border>
      <left/>
      <right/>
      <top/>
      <bottom style="thin">
        <color indexed="64"/>
      </bottom>
      <diagonal/>
    </border>
    <border>
      <left style="thin">
        <color indexed="64"/>
      </left>
      <right style="thin">
        <color indexed="64"/>
      </right>
      <top style="medium">
        <color rgb="FFCCCCCC"/>
      </top>
      <bottom style="medium">
        <color rgb="FFCCCCCC"/>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right/>
      <top/>
      <bottom style="hair">
        <color indexed="64"/>
      </bottom>
      <diagonal/>
    </border>
    <border>
      <left/>
      <right style="medium">
        <color rgb="FFCCCCCC"/>
      </right>
      <top/>
      <bottom style="medium">
        <color rgb="FFCCCCCC"/>
      </bottom>
      <diagonal/>
    </border>
    <border>
      <left style="medium">
        <color rgb="FFCCCCCC"/>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style="medium">
        <color rgb="FFCCCCCC"/>
      </right>
      <top style="medium">
        <color rgb="FFCCCCCC"/>
      </top>
      <bottom/>
      <diagonal/>
    </border>
    <border>
      <left style="medium">
        <color rgb="FFCCCCCC"/>
      </left>
      <right/>
      <top style="medium">
        <color rgb="FFCCCCCC"/>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70">
    <xf numFmtId="0" fontId="0" fillId="0" borderId="0" xfId="0"/>
    <xf numFmtId="0" fontId="2" fillId="0" borderId="1" xfId="0" applyFont="1" applyBorder="1" applyAlignment="1">
      <alignment horizontal="right" wrapText="1"/>
    </xf>
    <xf numFmtId="14" fontId="2" fillId="0" borderId="1" xfId="0" applyNumberFormat="1" applyFont="1" applyBorder="1" applyAlignment="1">
      <alignment horizontal="right" wrapText="1"/>
    </xf>
    <xf numFmtId="0" fontId="2" fillId="0" borderId="3" xfId="0" applyFont="1" applyBorder="1" applyAlignment="1">
      <alignment horizontal="center" wrapText="1"/>
    </xf>
    <xf numFmtId="0" fontId="2" fillId="0" borderId="4" xfId="0" applyFont="1" applyBorder="1" applyAlignment="1">
      <alignment horizontal="right" wrapText="1"/>
    </xf>
    <xf numFmtId="0" fontId="0" fillId="0" borderId="2" xfId="0" applyBorder="1"/>
    <xf numFmtId="0" fontId="0" fillId="0" borderId="5" xfId="0" applyBorder="1"/>
    <xf numFmtId="0" fontId="0" fillId="0" borderId="8" xfId="0" applyBorder="1"/>
    <xf numFmtId="0" fontId="0" fillId="0" borderId="7" xfId="0" applyBorder="1"/>
    <xf numFmtId="0" fontId="0" fillId="0" borderId="9" xfId="0" applyBorder="1"/>
    <xf numFmtId="0" fontId="0" fillId="0" borderId="10" xfId="0" applyBorder="1"/>
    <xf numFmtId="0" fontId="0" fillId="0" borderId="11" xfId="0" applyBorder="1"/>
    <xf numFmtId="0" fontId="3" fillId="0" borderId="1" xfId="0" applyFont="1" applyBorder="1" applyAlignment="1">
      <alignment vertical="center" wrapText="1"/>
    </xf>
    <xf numFmtId="0" fontId="1" fillId="0" borderId="0" xfId="0" applyFont="1" applyAlignment="1">
      <alignment vertical="center"/>
    </xf>
    <xf numFmtId="0" fontId="0" fillId="0" borderId="0" xfId="0" applyAlignment="1">
      <alignment vertical="center"/>
    </xf>
    <xf numFmtId="0" fontId="1" fillId="0" borderId="0" xfId="0" applyFont="1" applyAlignment="1">
      <alignment vertical="center" wrapText="1"/>
    </xf>
    <xf numFmtId="0" fontId="2" fillId="0" borderId="1" xfId="0" applyFont="1" applyBorder="1" applyAlignment="1">
      <alignment horizontal="center" wrapText="1"/>
    </xf>
    <xf numFmtId="0" fontId="3" fillId="2" borderId="1" xfId="0" applyFont="1" applyFill="1" applyBorder="1" applyAlignment="1">
      <alignment vertical="center" wrapText="1"/>
    </xf>
    <xf numFmtId="0" fontId="2" fillId="2" borderId="4" xfId="0" applyFont="1" applyFill="1" applyBorder="1" applyAlignment="1">
      <alignment horizontal="right" wrapText="1"/>
    </xf>
    <xf numFmtId="0" fontId="2" fillId="2" borderId="6" xfId="0" applyFont="1" applyFill="1" applyBorder="1" applyAlignment="1">
      <alignment horizontal="right" wrapText="1"/>
    </xf>
    <xf numFmtId="0" fontId="0" fillId="2" borderId="0" xfId="0" applyFill="1"/>
    <xf numFmtId="0" fontId="2" fillId="2" borderId="1" xfId="0" applyFont="1" applyFill="1" applyBorder="1" applyAlignment="1">
      <alignment horizontal="right" wrapText="1"/>
    </xf>
    <xf numFmtId="0" fontId="3" fillId="2" borderId="0" xfId="0" applyFont="1" applyFill="1" applyAlignment="1">
      <alignment vertical="center" wrapText="1"/>
    </xf>
    <xf numFmtId="0" fontId="2" fillId="2" borderId="0" xfId="0" applyFont="1" applyFill="1" applyAlignment="1">
      <alignment horizontal="right" wrapText="1"/>
    </xf>
    <xf numFmtId="0" fontId="1" fillId="2" borderId="0" xfId="0" applyFont="1" applyFill="1" applyAlignment="1">
      <alignment vertical="center" wrapText="1"/>
    </xf>
    <xf numFmtId="0" fontId="1" fillId="2" borderId="0" xfId="0" applyFont="1" applyFill="1" applyAlignment="1">
      <alignment horizontal="right" vertical="center"/>
    </xf>
    <xf numFmtId="0" fontId="0" fillId="2" borderId="0" xfId="0" applyFill="1" applyAlignment="1">
      <alignment horizontal="right" vertical="center"/>
    </xf>
    <xf numFmtId="0" fontId="0" fillId="0" borderId="1" xfId="0" applyBorder="1" applyAlignment="1">
      <alignment wrapText="1"/>
    </xf>
    <xf numFmtId="0" fontId="0" fillId="0" borderId="1" xfId="0" applyBorder="1" applyAlignment="1">
      <alignment horizontal="right" wrapText="1"/>
    </xf>
    <xf numFmtId="0" fontId="0" fillId="2" borderId="1" xfId="0" applyFill="1" applyBorder="1" applyAlignment="1">
      <alignment horizontal="right" wrapText="1"/>
    </xf>
    <xf numFmtId="0" fontId="0" fillId="2" borderId="1" xfId="0" applyFill="1" applyBorder="1" applyAlignment="1">
      <alignment horizontal="left" wrapText="1"/>
    </xf>
    <xf numFmtId="0" fontId="1" fillId="2" borderId="0" xfId="0" applyFont="1" applyFill="1" applyAlignment="1">
      <alignment vertical="center"/>
    </xf>
    <xf numFmtId="0" fontId="0" fillId="0" borderId="4" xfId="0" applyBorder="1" applyAlignment="1">
      <alignment horizontal="right" wrapText="1"/>
    </xf>
    <xf numFmtId="0" fontId="0" fillId="0" borderId="3" xfId="0" applyBorder="1" applyAlignment="1">
      <alignment horizontal="right" wrapText="1"/>
    </xf>
    <xf numFmtId="0" fontId="1" fillId="0" borderId="12" xfId="0" applyFont="1" applyBorder="1" applyAlignment="1">
      <alignment vertical="center" wrapText="1"/>
    </xf>
    <xf numFmtId="0" fontId="1" fillId="0" borderId="13" xfId="0" applyFont="1" applyBorder="1" applyAlignment="1">
      <alignment vertical="center" wrapText="1"/>
    </xf>
    <xf numFmtId="0" fontId="1" fillId="2" borderId="13" xfId="0" applyFont="1" applyFill="1" applyBorder="1" applyAlignment="1">
      <alignment vertical="center" wrapText="1"/>
    </xf>
    <xf numFmtId="0" fontId="1" fillId="0" borderId="14" xfId="0" applyFont="1" applyBorder="1" applyAlignment="1">
      <alignment vertical="center" wrapText="1"/>
    </xf>
    <xf numFmtId="0" fontId="0" fillId="0" borderId="15" xfId="0" applyBorder="1" applyAlignment="1">
      <alignment horizontal="right" wrapText="1"/>
    </xf>
    <xf numFmtId="0" fontId="0" fillId="0" borderId="16" xfId="0" applyBorder="1" applyAlignment="1">
      <alignment horizontal="right" wrapText="1"/>
    </xf>
    <xf numFmtId="0" fontId="0" fillId="2" borderId="16" xfId="0" applyFill="1" applyBorder="1" applyAlignment="1">
      <alignment horizontal="right" wrapText="1"/>
    </xf>
    <xf numFmtId="0" fontId="0" fillId="2" borderId="16" xfId="0" applyFill="1" applyBorder="1" applyAlignment="1">
      <alignment horizontal="left" wrapText="1"/>
    </xf>
    <xf numFmtId="0" fontId="0" fillId="0" borderId="17" xfId="0" applyBorder="1" applyAlignment="1">
      <alignment horizontal="right" wrapText="1"/>
    </xf>
    <xf numFmtId="0" fontId="3" fillId="0" borderId="4" xfId="0" applyFont="1" applyBorder="1" applyAlignment="1">
      <alignment vertical="center" wrapText="1"/>
    </xf>
    <xf numFmtId="0" fontId="3" fillId="0" borderId="3" xfId="0" applyFont="1" applyBorder="1" applyAlignment="1">
      <alignment vertical="center" wrapText="1"/>
    </xf>
    <xf numFmtId="0" fontId="2" fillId="0" borderId="3" xfId="0" applyFont="1" applyBorder="1" applyAlignment="1">
      <alignment horizontal="right" wrapText="1"/>
    </xf>
    <xf numFmtId="14" fontId="0" fillId="0" borderId="0" xfId="0" applyNumberFormat="1"/>
    <xf numFmtId="0" fontId="0" fillId="0" borderId="0" xfId="0" applyAlignment="1">
      <alignment vertical="center" wrapText="1"/>
    </xf>
    <xf numFmtId="14" fontId="0" fillId="0" borderId="0" xfId="0" applyNumberFormat="1" applyAlignment="1">
      <alignment vertical="center" wrapText="1"/>
    </xf>
    <xf numFmtId="0" fontId="0" fillId="0" borderId="19" xfId="0" applyBorder="1" applyAlignment="1">
      <alignment vertical="center" wrapText="1"/>
    </xf>
    <xf numFmtId="0" fontId="0" fillId="0" borderId="20" xfId="0" applyBorder="1" applyAlignment="1">
      <alignment vertical="center" wrapText="1"/>
    </xf>
    <xf numFmtId="0" fontId="0" fillId="0" borderId="21" xfId="0" applyBorder="1"/>
    <xf numFmtId="0" fontId="0" fillId="0" borderId="22" xfId="0" applyBorder="1"/>
    <xf numFmtId="0" fontId="1" fillId="0" borderId="0" xfId="0" applyFont="1"/>
    <xf numFmtId="0" fontId="0" fillId="0" borderId="23" xfId="0" applyBorder="1"/>
    <xf numFmtId="0" fontId="0" fillId="0" borderId="24" xfId="0" applyBorder="1"/>
    <xf numFmtId="0" fontId="4" fillId="3" borderId="0" xfId="0" applyFont="1" applyFill="1" applyAlignment="1">
      <alignment vertical="center" wrapText="1"/>
    </xf>
    <xf numFmtId="14" fontId="4" fillId="3" borderId="0" xfId="0" applyNumberFormat="1" applyFont="1" applyFill="1" applyAlignment="1">
      <alignment vertical="center" wrapText="1"/>
    </xf>
    <xf numFmtId="0" fontId="0" fillId="0" borderId="18" xfId="0" applyBorder="1" applyAlignment="1">
      <alignment vertical="center" wrapText="1"/>
    </xf>
    <xf numFmtId="2" fontId="0" fillId="0" borderId="0" xfId="0" applyNumberFormat="1"/>
    <xf numFmtId="0" fontId="5" fillId="0" borderId="19" xfId="0" applyFont="1" applyBorder="1" applyAlignment="1">
      <alignment horizontal="center" vertical="center" wrapText="1"/>
    </xf>
    <xf numFmtId="0" fontId="0" fillId="0" borderId="19" xfId="0" applyBorder="1" applyAlignment="1">
      <alignment horizontal="center" vertical="center" wrapText="1"/>
    </xf>
    <xf numFmtId="0" fontId="1" fillId="2" borderId="0" xfId="0" applyFont="1" applyFill="1" applyAlignment="1">
      <alignment horizontal="center"/>
    </xf>
    <xf numFmtId="0" fontId="1" fillId="0" borderId="0" xfId="0" applyFont="1" applyAlignment="1">
      <alignment horizontal="center" vertical="center" wrapText="1"/>
    </xf>
    <xf numFmtId="0" fontId="2" fillId="0" borderId="0" xfId="0" applyFont="1" applyAlignment="1">
      <alignment wrapText="1"/>
    </xf>
    <xf numFmtId="0" fontId="2" fillId="0" borderId="0" xfId="0" applyFont="1" applyAlignment="1">
      <alignment horizontal="right" wrapText="1"/>
    </xf>
    <xf numFmtId="14" fontId="2" fillId="0" borderId="0" xfId="0" applyNumberFormat="1" applyFont="1" applyAlignment="1">
      <alignment horizontal="right" wrapText="1"/>
    </xf>
    <xf numFmtId="0" fontId="2" fillId="0" borderId="0" xfId="0" applyFont="1" applyAlignment="1">
      <alignment horizontal="center" wrapText="1"/>
    </xf>
    <xf numFmtId="0" fontId="0" fillId="0" borderId="0" xfId="0" applyAlignment="1">
      <alignment wrapText="1"/>
    </xf>
    <xf numFmtId="0" fontId="0" fillId="0" borderId="0" xfId="0" applyAlignment="1">
      <alignment horizontal="right" wrapText="1"/>
    </xf>
  </cellXfs>
  <cellStyles count="1">
    <cellStyle name="Normal" xfId="0" builtinId="0"/>
  </cellStyles>
  <dxfs count="56">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alignment horizontal="general" vertical="center" textRotation="0" wrapText="1" indent="0" justifyLastLine="0" shrinkToFit="0" readingOrder="0"/>
    </dxf>
    <dxf>
      <numFmt numFmtId="2" formatCode="0.00"/>
    </dxf>
    <dxf>
      <numFmt numFmtId="2" formatCode="0.00"/>
    </dxf>
    <dxf>
      <numFmt numFmtId="19" formatCode="dd/mm/yyyy"/>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9" tint="0.59999389629810485"/>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9" tint="0.59999389629810485"/>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fill>
        <patternFill patternType="solid">
          <fgColor indexed="64"/>
          <bgColor theme="9" tint="0.59999389629810485"/>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theme="9" tint="0.59999389629810485"/>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theme="9" tint="0.59999389629810485"/>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numFmt numFmtId="19" formatCode="dd/mm/yyyy"/>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left style="medium">
          <color rgb="FFCCCCCC"/>
        </left>
        <right style="medium">
          <color rgb="FFCCCCCC"/>
        </right>
      </border>
    </dxf>
    <dxf>
      <font>
        <b val="0"/>
        <i val="0"/>
        <strike val="0"/>
        <condense val="0"/>
        <extend val="0"/>
        <outline val="0"/>
        <shadow val="0"/>
        <u val="none"/>
        <vertAlign val="baseline"/>
        <sz val="10"/>
        <color theme="1"/>
        <name val="Arial"/>
        <family val="2"/>
        <scheme val="none"/>
      </font>
      <alignment horizontal="right" vertical="bottom" textRotation="0" wrapText="1" indent="0" justifyLastLine="0" shrinkToFit="0" readingOrder="0"/>
    </dxf>
    <dxf>
      <font>
        <b/>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border diagonalUp="0" diagonalDown="0" outline="0">
        <left style="medium">
          <color rgb="FFCCCCCC"/>
        </left>
        <right style="medium">
          <color rgb="FFCCCCCC"/>
        </right>
        <top/>
        <bottom/>
      </border>
    </dxf>
    <dxf>
      <alignment horizontal="right"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theme="9" tint="0.59999389629810485"/>
        </patternFill>
      </fill>
      <alignment horizontal="lef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ill>
        <patternFill patternType="solid">
          <fgColor indexed="64"/>
          <bgColor theme="9" tint="0.59999389629810485"/>
        </patternFill>
      </fill>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alignment horizontal="right"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alignment horizontal="right"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alignment horizontal="right" vertical="bottom" textRotation="0" wrapText="1" indent="0" justifyLastLine="0" shrinkToFit="0" readingOrder="0"/>
    </dxf>
    <dxf>
      <border outline="0">
        <bottom style="medium">
          <color rgb="FFCCCCCC"/>
        </bottom>
      </border>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outline="0">
        <left style="medium">
          <color rgb="FFCCCCCC"/>
        </left>
        <right style="medium">
          <color rgb="FFCCCCCC"/>
        </right>
        <top/>
        <bottom/>
      </border>
    </dxf>
    <dxf>
      <border>
        <left style="thin">
          <color rgb="FF9C0006"/>
        </left>
        <right style="thin">
          <color rgb="FF9C0006"/>
        </right>
        <top style="thin">
          <color rgb="FF9C0006"/>
        </top>
        <bottom style="thin">
          <color rgb="FF9C0006"/>
        </bottom>
      </border>
    </dxf>
    <dxf>
      <font>
        <color rgb="FF9C0006"/>
      </font>
      <fill>
        <patternFill>
          <bgColor rgb="FFFFC7CE"/>
        </patternFill>
      </fill>
    </dxf>
    <dxf>
      <font>
        <color rgb="FF9C0006"/>
      </font>
      <fill>
        <patternFill>
          <bgColor rgb="FFFFC7CE"/>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font>
        <b/>
      </font>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622791372958184E-2"/>
          <c:y val="7.8770458805348623E-2"/>
          <c:w val="0.88677674920835203"/>
          <c:h val="0.62084096277410072"/>
        </c:manualLayout>
      </c:layout>
      <c:lineChart>
        <c:grouping val="standard"/>
        <c:varyColors val="0"/>
        <c:ser>
          <c:idx val="0"/>
          <c:order val="0"/>
          <c:tx>
            <c:strRef>
              <c:f>'Sheet forecasting'!$B$1</c:f>
              <c:strCache>
                <c:ptCount val="1"/>
                <c:pt idx="0">
                  <c:v>Instant</c:v>
                </c:pt>
              </c:strCache>
            </c:strRef>
          </c:tx>
          <c:spPr>
            <a:ln w="28575" cap="rnd">
              <a:solidFill>
                <a:schemeClr val="accent1"/>
              </a:solidFill>
              <a:round/>
            </a:ln>
            <a:effectLst/>
          </c:spPr>
          <c:marker>
            <c:symbol val="none"/>
          </c:marker>
          <c:val>
            <c:numRef>
              <c:f>'Sheet forecasting'!$B$2:$B$86</c:f>
              <c:numCache>
                <c:formatCode>General</c:formatCode>
                <c:ptCount val="85"/>
                <c:pt idx="0">
                  <c:v>12.5</c:v>
                </c:pt>
                <c:pt idx="1">
                  <c:v>36</c:v>
                </c:pt>
                <c:pt idx="2">
                  <c:v>58.5</c:v>
                </c:pt>
                <c:pt idx="3">
                  <c:v>81</c:v>
                </c:pt>
                <c:pt idx="4">
                  <c:v>104</c:v>
                </c:pt>
                <c:pt idx="5">
                  <c:v>127</c:v>
                </c:pt>
                <c:pt idx="6">
                  <c:v>150</c:v>
                </c:pt>
                <c:pt idx="7">
                  <c:v>173.5</c:v>
                </c:pt>
                <c:pt idx="8">
                  <c:v>197.5</c:v>
                </c:pt>
                <c:pt idx="9">
                  <c:v>221.5</c:v>
                </c:pt>
                <c:pt idx="10">
                  <c:v>244.5</c:v>
                </c:pt>
                <c:pt idx="11">
                  <c:v>266.5</c:v>
                </c:pt>
                <c:pt idx="12">
                  <c:v>289.5</c:v>
                </c:pt>
                <c:pt idx="13">
                  <c:v>313</c:v>
                </c:pt>
                <c:pt idx="14">
                  <c:v>336.5</c:v>
                </c:pt>
                <c:pt idx="15">
                  <c:v>360.5</c:v>
                </c:pt>
                <c:pt idx="16">
                  <c:v>384.5</c:v>
                </c:pt>
                <c:pt idx="17">
                  <c:v>402.5</c:v>
                </c:pt>
                <c:pt idx="18">
                  <c:v>420</c:v>
                </c:pt>
                <c:pt idx="19">
                  <c:v>443.5</c:v>
                </c:pt>
                <c:pt idx="20">
                  <c:v>467.5</c:v>
                </c:pt>
                <c:pt idx="21">
                  <c:v>491</c:v>
                </c:pt>
                <c:pt idx="22">
                  <c:v>514</c:v>
                </c:pt>
                <c:pt idx="23">
                  <c:v>537</c:v>
                </c:pt>
                <c:pt idx="24">
                  <c:v>560</c:v>
                </c:pt>
                <c:pt idx="25">
                  <c:v>579.06666666666672</c:v>
                </c:pt>
                <c:pt idx="26">
                  <c:v>591.5</c:v>
                </c:pt>
                <c:pt idx="27">
                  <c:v>607</c:v>
                </c:pt>
                <c:pt idx="28">
                  <c:v>630</c:v>
                </c:pt>
                <c:pt idx="29">
                  <c:v>653</c:v>
                </c:pt>
                <c:pt idx="30">
                  <c:v>676.5</c:v>
                </c:pt>
                <c:pt idx="31">
                  <c:v>700</c:v>
                </c:pt>
                <c:pt idx="32">
                  <c:v>723.5</c:v>
                </c:pt>
                <c:pt idx="33">
                  <c:v>747</c:v>
                </c:pt>
                <c:pt idx="34">
                  <c:v>770</c:v>
                </c:pt>
                <c:pt idx="35">
                  <c:v>793.5</c:v>
                </c:pt>
                <c:pt idx="36">
                  <c:v>817.5</c:v>
                </c:pt>
                <c:pt idx="37">
                  <c:v>841.5</c:v>
                </c:pt>
                <c:pt idx="38">
                  <c:v>865.5</c:v>
                </c:pt>
                <c:pt idx="39">
                  <c:v>889</c:v>
                </c:pt>
                <c:pt idx="40">
                  <c:v>912</c:v>
                </c:pt>
                <c:pt idx="41">
                  <c:v>934.5</c:v>
                </c:pt>
                <c:pt idx="42">
                  <c:v>957.5</c:v>
                </c:pt>
                <c:pt idx="43">
                  <c:v>981</c:v>
                </c:pt>
                <c:pt idx="44">
                  <c:v>996.5</c:v>
                </c:pt>
              </c:numCache>
            </c:numRef>
          </c:val>
          <c:smooth val="0"/>
          <c:extLst>
            <c:ext xmlns:c16="http://schemas.microsoft.com/office/drawing/2014/chart" uri="{C3380CC4-5D6E-409C-BE32-E72D297353CC}">
              <c16:uniqueId val="{00000000-263D-44D9-A0AC-C4B0425469C4}"/>
            </c:ext>
          </c:extLst>
        </c:ser>
        <c:ser>
          <c:idx val="1"/>
          <c:order val="1"/>
          <c:tx>
            <c:strRef>
              <c:f>'Sheet forecasting'!$C$1</c:f>
              <c:strCache>
                <c:ptCount val="1"/>
                <c:pt idx="0">
                  <c:v>Forecast(Instant)</c:v>
                </c:pt>
              </c:strCache>
            </c:strRef>
          </c:tx>
          <c:spPr>
            <a:ln w="25400" cap="rnd">
              <a:solidFill>
                <a:schemeClr val="accent2"/>
              </a:solidFill>
              <a:round/>
            </a:ln>
            <a:effectLst/>
          </c:spPr>
          <c:marker>
            <c:symbol val="none"/>
          </c:marker>
          <c:cat>
            <c:numRef>
              <c:f>'Sheet forecasting'!$A$2:$A$86</c:f>
              <c:numCache>
                <c:formatCode>m/d/yyyy</c:formatCode>
                <c:ptCount val="8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pt idx="62">
                  <c:v>40606</c:v>
                </c:pt>
                <c:pt idx="63">
                  <c:v>40607</c:v>
                </c:pt>
                <c:pt idx="64">
                  <c:v>40608</c:v>
                </c:pt>
                <c:pt idx="65">
                  <c:v>40609</c:v>
                </c:pt>
                <c:pt idx="66">
                  <c:v>40610</c:v>
                </c:pt>
                <c:pt idx="67">
                  <c:v>40611</c:v>
                </c:pt>
                <c:pt idx="68">
                  <c:v>40612</c:v>
                </c:pt>
                <c:pt idx="69">
                  <c:v>40613</c:v>
                </c:pt>
                <c:pt idx="70">
                  <c:v>40614</c:v>
                </c:pt>
                <c:pt idx="71">
                  <c:v>40615</c:v>
                </c:pt>
                <c:pt idx="72">
                  <c:v>40616</c:v>
                </c:pt>
                <c:pt idx="73">
                  <c:v>40617</c:v>
                </c:pt>
                <c:pt idx="74">
                  <c:v>40618</c:v>
                </c:pt>
                <c:pt idx="75">
                  <c:v>40619</c:v>
                </c:pt>
                <c:pt idx="76">
                  <c:v>40620</c:v>
                </c:pt>
                <c:pt idx="77">
                  <c:v>40621</c:v>
                </c:pt>
                <c:pt idx="78">
                  <c:v>40622</c:v>
                </c:pt>
                <c:pt idx="79">
                  <c:v>40623</c:v>
                </c:pt>
                <c:pt idx="80">
                  <c:v>40624</c:v>
                </c:pt>
                <c:pt idx="81">
                  <c:v>40625</c:v>
                </c:pt>
                <c:pt idx="82">
                  <c:v>40626</c:v>
                </c:pt>
                <c:pt idx="83">
                  <c:v>40627</c:v>
                </c:pt>
                <c:pt idx="84">
                  <c:v>40628</c:v>
                </c:pt>
              </c:numCache>
            </c:numRef>
          </c:cat>
          <c:val>
            <c:numRef>
              <c:f>'Sheet forecasting'!$C$2:$C$86</c:f>
              <c:numCache>
                <c:formatCode>General</c:formatCode>
                <c:ptCount val="85"/>
                <c:pt idx="44">
                  <c:v>996.5</c:v>
                </c:pt>
                <c:pt idx="45">
                  <c:v>1013.9878274088956</c:v>
                </c:pt>
                <c:pt idx="46">
                  <c:v>1031.4599500331856</c:v>
                </c:pt>
                <c:pt idx="47">
                  <c:v>1048.9320726574756</c:v>
                </c:pt>
                <c:pt idx="48">
                  <c:v>1066.4041952817656</c:v>
                </c:pt>
                <c:pt idx="49">
                  <c:v>1083.8763179060556</c:v>
                </c:pt>
                <c:pt idx="50">
                  <c:v>1101.3484405303459</c:v>
                </c:pt>
                <c:pt idx="51">
                  <c:v>1118.8205631546359</c:v>
                </c:pt>
                <c:pt idx="52">
                  <c:v>1136.2926857789259</c:v>
                </c:pt>
                <c:pt idx="53">
                  <c:v>1153.764808403216</c:v>
                </c:pt>
                <c:pt idx="54">
                  <c:v>1171.236931027506</c:v>
                </c:pt>
                <c:pt idx="55">
                  <c:v>1188.709053651796</c:v>
                </c:pt>
                <c:pt idx="56">
                  <c:v>1206.181176276086</c:v>
                </c:pt>
                <c:pt idx="57">
                  <c:v>1223.6532989003761</c:v>
                </c:pt>
                <c:pt idx="58">
                  <c:v>1241.1254215246661</c:v>
                </c:pt>
                <c:pt idx="59">
                  <c:v>1258.5975441489563</c:v>
                </c:pt>
                <c:pt idx="60">
                  <c:v>1276.0696667732464</c:v>
                </c:pt>
                <c:pt idx="61">
                  <c:v>1293.5417893975364</c:v>
                </c:pt>
                <c:pt idx="62">
                  <c:v>1311.0139120218264</c:v>
                </c:pt>
                <c:pt idx="63">
                  <c:v>1328.4860346461164</c:v>
                </c:pt>
                <c:pt idx="64">
                  <c:v>1345.9581572704064</c:v>
                </c:pt>
                <c:pt idx="65">
                  <c:v>1363.4302798946965</c:v>
                </c:pt>
                <c:pt idx="66">
                  <c:v>1380.9024025189865</c:v>
                </c:pt>
                <c:pt idx="67">
                  <c:v>1398.3745251432765</c:v>
                </c:pt>
                <c:pt idx="68">
                  <c:v>1415.8466477675665</c:v>
                </c:pt>
                <c:pt idx="69">
                  <c:v>1433.3187703918566</c:v>
                </c:pt>
                <c:pt idx="70">
                  <c:v>1450.7908930161466</c:v>
                </c:pt>
                <c:pt idx="71">
                  <c:v>1468.2630156404366</c:v>
                </c:pt>
                <c:pt idx="72">
                  <c:v>1485.7351382647266</c:v>
                </c:pt>
                <c:pt idx="73">
                  <c:v>1503.2072608890169</c:v>
                </c:pt>
                <c:pt idx="74">
                  <c:v>1520.6793835133069</c:v>
                </c:pt>
                <c:pt idx="75">
                  <c:v>1538.1515061375969</c:v>
                </c:pt>
                <c:pt idx="76">
                  <c:v>1555.6236287618869</c:v>
                </c:pt>
                <c:pt idx="77">
                  <c:v>1573.095751386177</c:v>
                </c:pt>
                <c:pt idx="78">
                  <c:v>1590.567874010467</c:v>
                </c:pt>
                <c:pt idx="79">
                  <c:v>1608.0399966347572</c:v>
                </c:pt>
                <c:pt idx="80">
                  <c:v>1625.5121192590473</c:v>
                </c:pt>
                <c:pt idx="81">
                  <c:v>1642.9842418833373</c:v>
                </c:pt>
                <c:pt idx="82">
                  <c:v>1660.4563645076273</c:v>
                </c:pt>
                <c:pt idx="83">
                  <c:v>1677.9284871319173</c:v>
                </c:pt>
                <c:pt idx="84">
                  <c:v>1695.4006097562074</c:v>
                </c:pt>
              </c:numCache>
            </c:numRef>
          </c:val>
          <c:smooth val="0"/>
          <c:extLst>
            <c:ext xmlns:c16="http://schemas.microsoft.com/office/drawing/2014/chart" uri="{C3380CC4-5D6E-409C-BE32-E72D297353CC}">
              <c16:uniqueId val="{00000001-263D-44D9-A0AC-C4B0425469C4}"/>
            </c:ext>
          </c:extLst>
        </c:ser>
        <c:ser>
          <c:idx val="2"/>
          <c:order val="2"/>
          <c:tx>
            <c:strRef>
              <c:f>'Sheet forecasting'!$D$1</c:f>
              <c:strCache>
                <c:ptCount val="1"/>
                <c:pt idx="0">
                  <c:v>Lower Confidence Bound(Instant)</c:v>
                </c:pt>
              </c:strCache>
            </c:strRef>
          </c:tx>
          <c:spPr>
            <a:ln w="12700" cap="rnd">
              <a:solidFill>
                <a:srgbClr val="ED7D31"/>
              </a:solidFill>
              <a:prstDash val="solid"/>
              <a:round/>
            </a:ln>
            <a:effectLst/>
          </c:spPr>
          <c:marker>
            <c:symbol val="none"/>
          </c:marker>
          <c:cat>
            <c:numRef>
              <c:f>'Sheet forecasting'!$A$2:$A$86</c:f>
              <c:numCache>
                <c:formatCode>m/d/yyyy</c:formatCode>
                <c:ptCount val="8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pt idx="62">
                  <c:v>40606</c:v>
                </c:pt>
                <c:pt idx="63">
                  <c:v>40607</c:v>
                </c:pt>
                <c:pt idx="64">
                  <c:v>40608</c:v>
                </c:pt>
                <c:pt idx="65">
                  <c:v>40609</c:v>
                </c:pt>
                <c:pt idx="66">
                  <c:v>40610</c:v>
                </c:pt>
                <c:pt idx="67">
                  <c:v>40611</c:v>
                </c:pt>
                <c:pt idx="68">
                  <c:v>40612</c:v>
                </c:pt>
                <c:pt idx="69">
                  <c:v>40613</c:v>
                </c:pt>
                <c:pt idx="70">
                  <c:v>40614</c:v>
                </c:pt>
                <c:pt idx="71">
                  <c:v>40615</c:v>
                </c:pt>
                <c:pt idx="72">
                  <c:v>40616</c:v>
                </c:pt>
                <c:pt idx="73">
                  <c:v>40617</c:v>
                </c:pt>
                <c:pt idx="74">
                  <c:v>40618</c:v>
                </c:pt>
                <c:pt idx="75">
                  <c:v>40619</c:v>
                </c:pt>
                <c:pt idx="76">
                  <c:v>40620</c:v>
                </c:pt>
                <c:pt idx="77">
                  <c:v>40621</c:v>
                </c:pt>
                <c:pt idx="78">
                  <c:v>40622</c:v>
                </c:pt>
                <c:pt idx="79">
                  <c:v>40623</c:v>
                </c:pt>
                <c:pt idx="80">
                  <c:v>40624</c:v>
                </c:pt>
                <c:pt idx="81">
                  <c:v>40625</c:v>
                </c:pt>
                <c:pt idx="82">
                  <c:v>40626</c:v>
                </c:pt>
                <c:pt idx="83">
                  <c:v>40627</c:v>
                </c:pt>
                <c:pt idx="84">
                  <c:v>40628</c:v>
                </c:pt>
              </c:numCache>
            </c:numRef>
          </c:cat>
          <c:val>
            <c:numRef>
              <c:f>'Sheet forecasting'!$D$2:$D$86</c:f>
              <c:numCache>
                <c:formatCode>General</c:formatCode>
                <c:ptCount val="85"/>
                <c:pt idx="44" formatCode="0.00">
                  <c:v>996.5</c:v>
                </c:pt>
                <c:pt idx="45" formatCode="0.00">
                  <c:v>1009.0521047979985</c:v>
                </c:pt>
                <c:pt idx="46" formatCode="0.00">
                  <c:v>1021.5245365732901</c:v>
                </c:pt>
                <c:pt idx="47" formatCode="0.00">
                  <c:v>1033.1053835273949</c:v>
                </c:pt>
                <c:pt idx="48" formatCode="0.00">
                  <c:v>1043.8873172932881</c:v>
                </c:pt>
                <c:pt idx="49" formatCode="0.00">
                  <c:v>1053.9493559945086</c:v>
                </c:pt>
                <c:pt idx="50" formatCode="0.00">
                  <c:v>1063.3529494084421</c:v>
                </c:pt>
                <c:pt idx="51" formatCode="0.00">
                  <c:v>1072.1467356340729</c:v>
                </c:pt>
                <c:pt idx="52" formatCode="0.00">
                  <c:v>1080.3702123824303</c:v>
                </c:pt>
                <c:pt idx="53" formatCode="0.00">
                  <c:v>1088.0561985888619</c:v>
                </c:pt>
                <c:pt idx="54" formatCode="0.00">
                  <c:v>1095.2324917733949</c:v>
                </c:pt>
                <c:pt idx="55" formatCode="0.00">
                  <c:v>1101.923014045042</c:v>
                </c:pt>
                <c:pt idx="56" formatCode="0.00">
                  <c:v>1108.148627861452</c:v>
                </c:pt>
                <c:pt idx="57" formatCode="0.00">
                  <c:v>1113.9277325427031</c:v>
                </c:pt>
                <c:pt idx="58" formatCode="0.00">
                  <c:v>1119.2767110094887</c:v>
                </c:pt>
                <c:pt idx="59" formatCode="0.00">
                  <c:v>1124.2102714412381</c:v>
                </c:pt>
                <c:pt idx="60" formatCode="0.00">
                  <c:v>1128.7417134195591</c:v>
                </c:pt>
                <c:pt idx="61" formatCode="0.00">
                  <c:v>1132.8831386283753</c:v>
                </c:pt>
                <c:pt idx="62" formatCode="0.00">
                  <c:v>1136.6456200630689</c:v>
                </c:pt>
                <c:pt idx="63" formatCode="0.00">
                  <c:v>1140.0393396568418</c:v>
                </c:pt>
                <c:pt idx="64" formatCode="0.00">
                  <c:v>1143.0737014973761</c:v>
                </c:pt>
                <c:pt idx="65" formatCode="0.00">
                  <c:v>1145.7574259177215</c:v>
                </c:pt>
                <c:pt idx="66" formatCode="0.00">
                  <c:v>1148.0986284152971</c:v>
                </c:pt>
                <c:pt idx="67" formatCode="0.00">
                  <c:v>1150.10488640005</c:v>
                </c:pt>
                <c:pt idx="68" formatCode="0.00">
                  <c:v>1151.7832960792909</c:v>
                </c:pt>
                <c:pt idx="69" formatCode="0.00">
                  <c:v>1153.1405212745569</c:v>
                </c:pt>
                <c:pt idx="70" formatCode="0.00">
                  <c:v>1154.1828355825799</c:v>
                </c:pt>
                <c:pt idx="71" formatCode="0.00">
                  <c:v>1154.9161590020876</c:v>
                </c:pt>
                <c:pt idx="72" formatCode="0.00">
                  <c:v>1155.3460899257288</c:v>
                </c:pt>
                <c:pt idx="73" formatCode="0.00">
                  <c:v>1155.4779332242217</c:v>
                </c:pt>
                <c:pt idx="74" formatCode="0.00">
                  <c:v>1155.3167250152437</c:v>
                </c:pt>
                <c:pt idx="75" formatCode="0.00">
                  <c:v>1154.8672546034552</c:v>
                </c:pt>
                <c:pt idx="76" formatCode="0.00">
                  <c:v>1154.1340839936479</c:v>
                </c:pt>
                <c:pt idx="77" formatCode="0.00">
                  <c:v>1153.1215653113813</c:v>
                </c:pt>
                <c:pt idx="78" formatCode="0.00">
                  <c:v>1151.8338564108767</c:v>
                </c:pt>
                <c:pt idx="79" formatCode="0.00">
                  <c:v>1150.2749349055637</c:v>
                </c:pt>
                <c:pt idx="80" formatCode="0.00">
                  <c:v>1148.4486108203864</c:v>
                </c:pt>
                <c:pt idx="81" formatCode="0.00">
                  <c:v>1146.358538035111</c:v>
                </c:pt>
                <c:pt idx="82" formatCode="0.00">
                  <c:v>1144.0082246631598</c:v>
                </c:pt>
                <c:pt idx="83" formatCode="0.00">
                  <c:v>1141.4010424899393</c:v>
                </c:pt>
                <c:pt idx="84" formatCode="0.00">
                  <c:v>1138.5402355774379</c:v>
                </c:pt>
              </c:numCache>
            </c:numRef>
          </c:val>
          <c:smooth val="0"/>
          <c:extLst>
            <c:ext xmlns:c16="http://schemas.microsoft.com/office/drawing/2014/chart" uri="{C3380CC4-5D6E-409C-BE32-E72D297353CC}">
              <c16:uniqueId val="{00000002-263D-44D9-A0AC-C4B0425469C4}"/>
            </c:ext>
          </c:extLst>
        </c:ser>
        <c:ser>
          <c:idx val="3"/>
          <c:order val="3"/>
          <c:tx>
            <c:strRef>
              <c:f>'Sheet forecasting'!$E$1</c:f>
              <c:strCache>
                <c:ptCount val="1"/>
                <c:pt idx="0">
                  <c:v>Upper Confidence Bound(Instant)</c:v>
                </c:pt>
              </c:strCache>
            </c:strRef>
          </c:tx>
          <c:spPr>
            <a:ln w="12700" cap="rnd">
              <a:solidFill>
                <a:srgbClr val="ED7D31"/>
              </a:solidFill>
              <a:prstDash val="solid"/>
              <a:round/>
            </a:ln>
            <a:effectLst/>
          </c:spPr>
          <c:marker>
            <c:symbol val="none"/>
          </c:marker>
          <c:cat>
            <c:numRef>
              <c:f>'Sheet forecasting'!$A$2:$A$86</c:f>
              <c:numCache>
                <c:formatCode>m/d/yyyy</c:formatCode>
                <c:ptCount val="85"/>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pt idx="62">
                  <c:v>40606</c:v>
                </c:pt>
                <c:pt idx="63">
                  <c:v>40607</c:v>
                </c:pt>
                <c:pt idx="64">
                  <c:v>40608</c:v>
                </c:pt>
                <c:pt idx="65">
                  <c:v>40609</c:v>
                </c:pt>
                <c:pt idx="66">
                  <c:v>40610</c:v>
                </c:pt>
                <c:pt idx="67">
                  <c:v>40611</c:v>
                </c:pt>
                <c:pt idx="68">
                  <c:v>40612</c:v>
                </c:pt>
                <c:pt idx="69">
                  <c:v>40613</c:v>
                </c:pt>
                <c:pt idx="70">
                  <c:v>40614</c:v>
                </c:pt>
                <c:pt idx="71">
                  <c:v>40615</c:v>
                </c:pt>
                <c:pt idx="72">
                  <c:v>40616</c:v>
                </c:pt>
                <c:pt idx="73">
                  <c:v>40617</c:v>
                </c:pt>
                <c:pt idx="74">
                  <c:v>40618</c:v>
                </c:pt>
                <c:pt idx="75">
                  <c:v>40619</c:v>
                </c:pt>
                <c:pt idx="76">
                  <c:v>40620</c:v>
                </c:pt>
                <c:pt idx="77">
                  <c:v>40621</c:v>
                </c:pt>
                <c:pt idx="78">
                  <c:v>40622</c:v>
                </c:pt>
                <c:pt idx="79">
                  <c:v>40623</c:v>
                </c:pt>
                <c:pt idx="80">
                  <c:v>40624</c:v>
                </c:pt>
                <c:pt idx="81">
                  <c:v>40625</c:v>
                </c:pt>
                <c:pt idx="82">
                  <c:v>40626</c:v>
                </c:pt>
                <c:pt idx="83">
                  <c:v>40627</c:v>
                </c:pt>
                <c:pt idx="84">
                  <c:v>40628</c:v>
                </c:pt>
              </c:numCache>
            </c:numRef>
          </c:cat>
          <c:val>
            <c:numRef>
              <c:f>'Sheet forecasting'!$E$2:$E$86</c:f>
              <c:numCache>
                <c:formatCode>General</c:formatCode>
                <c:ptCount val="85"/>
                <c:pt idx="44" formatCode="0.00">
                  <c:v>996.5</c:v>
                </c:pt>
                <c:pt idx="45" formatCode="0.00">
                  <c:v>1018.9235500197926</c:v>
                </c:pt>
                <c:pt idx="46" formatCode="0.00">
                  <c:v>1041.395363493081</c:v>
                </c:pt>
                <c:pt idx="47" formatCode="0.00">
                  <c:v>1064.7587617875563</c:v>
                </c:pt>
                <c:pt idx="48" formatCode="0.00">
                  <c:v>1088.9210732702431</c:v>
                </c:pt>
                <c:pt idx="49" formatCode="0.00">
                  <c:v>1113.8032798176027</c:v>
                </c:pt>
                <c:pt idx="50" formatCode="0.00">
                  <c:v>1139.3439316522497</c:v>
                </c:pt>
                <c:pt idx="51" formatCode="0.00">
                  <c:v>1165.4943906751989</c:v>
                </c:pt>
                <c:pt idx="52" formatCode="0.00">
                  <c:v>1192.2151591754216</c:v>
                </c:pt>
                <c:pt idx="53" formatCode="0.00">
                  <c:v>1219.47341821757</c:v>
                </c:pt>
                <c:pt idx="54" formatCode="0.00">
                  <c:v>1247.241370281617</c:v>
                </c:pt>
                <c:pt idx="55" formatCode="0.00">
                  <c:v>1275.49509325855</c:v>
                </c:pt>
                <c:pt idx="56" formatCode="0.00">
                  <c:v>1304.21372469072</c:v>
                </c:pt>
                <c:pt idx="57" formatCode="0.00">
                  <c:v>1333.378865258049</c:v>
                </c:pt>
                <c:pt idx="58" formatCode="0.00">
                  <c:v>1362.9741320398434</c:v>
                </c:pt>
                <c:pt idx="59" formatCode="0.00">
                  <c:v>1392.9848168566746</c:v>
                </c:pt>
                <c:pt idx="60" formatCode="0.00">
                  <c:v>1423.3976201269336</c:v>
                </c:pt>
                <c:pt idx="61" formatCode="0.00">
                  <c:v>1454.2004401666975</c:v>
                </c:pt>
                <c:pt idx="62" formatCode="0.00">
                  <c:v>1485.3822039805839</c:v>
                </c:pt>
                <c:pt idx="63" formatCode="0.00">
                  <c:v>1516.9327296353911</c:v>
                </c:pt>
                <c:pt idx="64" formatCode="0.00">
                  <c:v>1548.8426130434368</c:v>
                </c:pt>
                <c:pt idx="65" formatCode="0.00">
                  <c:v>1581.1031338716714</c:v>
                </c:pt>
                <c:pt idx="66" formatCode="0.00">
                  <c:v>1613.7061766226759</c:v>
                </c:pt>
                <c:pt idx="67" formatCode="0.00">
                  <c:v>1646.6441638865031</c:v>
                </c:pt>
                <c:pt idx="68" formatCode="0.00">
                  <c:v>1679.9099994558421</c:v>
                </c:pt>
                <c:pt idx="69" formatCode="0.00">
                  <c:v>1713.4970195091562</c:v>
                </c:pt>
                <c:pt idx="70" formatCode="0.00">
                  <c:v>1747.3989504497133</c:v>
                </c:pt>
                <c:pt idx="71" formatCode="0.00">
                  <c:v>1781.6098722787856</c:v>
                </c:pt>
                <c:pt idx="72" formatCode="0.00">
                  <c:v>1816.1241866037244</c:v>
                </c:pt>
                <c:pt idx="73" formatCode="0.00">
                  <c:v>1850.936588553812</c:v>
                </c:pt>
                <c:pt idx="74" formatCode="0.00">
                  <c:v>1886.0420420113701</c:v>
                </c:pt>
                <c:pt idx="75" formatCode="0.00">
                  <c:v>1921.4357576717387</c:v>
                </c:pt>
                <c:pt idx="76" formatCode="0.00">
                  <c:v>1957.113173530126</c:v>
                </c:pt>
                <c:pt idx="77" formatCode="0.00">
                  <c:v>1993.0699374609726</c:v>
                </c:pt>
                <c:pt idx="78" formatCode="0.00">
                  <c:v>2029.3018916100573</c:v>
                </c:pt>
                <c:pt idx="79" formatCode="0.00">
                  <c:v>2065.8050583639506</c:v>
                </c:pt>
                <c:pt idx="80" formatCode="0.00">
                  <c:v>2102.5756276977081</c:v>
                </c:pt>
                <c:pt idx="81" formatCode="0.00">
                  <c:v>2139.6099457315636</c:v>
                </c:pt>
                <c:pt idx="82" formatCode="0.00">
                  <c:v>2176.9045043520946</c:v>
                </c:pt>
                <c:pt idx="83" formatCode="0.00">
                  <c:v>2214.4559317738954</c:v>
                </c:pt>
                <c:pt idx="84" formatCode="0.00">
                  <c:v>2252.260983934977</c:v>
                </c:pt>
              </c:numCache>
            </c:numRef>
          </c:val>
          <c:smooth val="0"/>
          <c:extLst>
            <c:ext xmlns:c16="http://schemas.microsoft.com/office/drawing/2014/chart" uri="{C3380CC4-5D6E-409C-BE32-E72D297353CC}">
              <c16:uniqueId val="{00000003-263D-44D9-A0AC-C4B0425469C4}"/>
            </c:ext>
          </c:extLst>
        </c:ser>
        <c:dLbls>
          <c:showLegendKey val="0"/>
          <c:showVal val="0"/>
          <c:showCatName val="0"/>
          <c:showSerName val="0"/>
          <c:showPercent val="0"/>
          <c:showBubbleSize val="0"/>
        </c:dLbls>
        <c:smooth val="0"/>
        <c:axId val="1929054239"/>
        <c:axId val="1929046079"/>
      </c:lineChart>
      <c:catAx>
        <c:axId val="1929054239"/>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046079"/>
        <c:crosses val="autoZero"/>
        <c:auto val="1"/>
        <c:lblAlgn val="ctr"/>
        <c:lblOffset val="100"/>
        <c:noMultiLvlLbl val="0"/>
      </c:catAx>
      <c:valAx>
        <c:axId val="1929046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0542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accent6">
                    <a:lumMod val="50000"/>
                  </a:schemeClr>
                </a:solidFill>
                <a:latin typeface="+mn-lt"/>
                <a:ea typeface="+mn-ea"/>
                <a:cs typeface="+mn-cs"/>
              </a:defRPr>
            </a:pPr>
            <a:r>
              <a:rPr lang="en-IN" sz="1600" b="1">
                <a:solidFill>
                  <a:schemeClr val="accent6">
                    <a:lumMod val="50000"/>
                  </a:schemeClr>
                </a:solidFill>
              </a:rPr>
              <a:t>Bike</a:t>
            </a:r>
            <a:r>
              <a:rPr lang="en-IN" sz="1600" b="1" baseline="0">
                <a:solidFill>
                  <a:schemeClr val="accent6">
                    <a:lumMod val="50000"/>
                  </a:schemeClr>
                </a:solidFill>
              </a:rPr>
              <a:t> Rentals as per Temperature</a:t>
            </a:r>
            <a:endParaRPr lang="en-IN" sz="1600" b="1">
              <a:solidFill>
                <a:schemeClr val="accent6">
                  <a:lumMod val="50000"/>
                </a:schemeClr>
              </a:solidFill>
            </a:endParaRPr>
          </a:p>
        </c:rich>
      </c:tx>
      <c:layout>
        <c:manualLayout>
          <c:xMode val="edge"/>
          <c:yMode val="edge"/>
          <c:x val="1.9797101449275357E-2"/>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6">
                  <a:lumMod val="50000"/>
                </a:schemeClr>
              </a:solidFill>
              <a:latin typeface="+mn-lt"/>
              <a:ea typeface="+mn-ea"/>
              <a:cs typeface="+mn-cs"/>
            </a:defRPr>
          </a:pPr>
          <a:endParaRPr lang="en-IN"/>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s>
    <c:plotArea>
      <c:layout>
        <c:manualLayout>
          <c:layoutTarget val="inner"/>
          <c:xMode val="edge"/>
          <c:yMode val="edge"/>
          <c:x val="8.7069833483929257E-2"/>
          <c:y val="0.22652158063575387"/>
          <c:w val="0.42271071550838762"/>
          <c:h val="0.67516294838145252"/>
        </c:manualLayout>
      </c:layout>
      <c:doughnutChart>
        <c:varyColors val="1"/>
        <c:ser>
          <c:idx val="0"/>
          <c:order val="0"/>
          <c:tx>
            <c:v>Sum of Casual</c:v>
          </c:tx>
          <c:dPt>
            <c:idx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1-5B25-4A4D-853D-154341A929F1}"/>
              </c:ext>
            </c:extLst>
          </c:dPt>
          <c:dPt>
            <c:idx val="1"/>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3-5B25-4A4D-853D-154341A929F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Risky</c:v>
              </c:pt>
              <c:pt idx="1">
                <c:v>Safe</c:v>
              </c:pt>
            </c:strLit>
          </c:cat>
          <c:val>
            <c:numLit>
              <c:formatCode>General</c:formatCode>
              <c:ptCount val="2"/>
              <c:pt idx="0">
                <c:v>908</c:v>
              </c:pt>
              <c:pt idx="1">
                <c:v>4012</c:v>
              </c:pt>
            </c:numLit>
          </c:val>
          <c:extLst>
            <c:ext xmlns:c16="http://schemas.microsoft.com/office/drawing/2014/chart" uri="{C3380CC4-5D6E-409C-BE32-E72D297353CC}">
              <c16:uniqueId val="{00000004-5B25-4A4D-853D-154341A929F1}"/>
            </c:ext>
          </c:extLst>
        </c:ser>
        <c:ser>
          <c:idx val="1"/>
          <c:order val="1"/>
          <c:tx>
            <c:v>Sum of Registered</c:v>
          </c:tx>
          <c:dPt>
            <c:idx val="0"/>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6-5B25-4A4D-853D-154341A929F1}"/>
              </c:ext>
            </c:extLst>
          </c:dPt>
          <c:dPt>
            <c:idx val="1"/>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8-5B25-4A4D-853D-154341A929F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Risky</c:v>
              </c:pt>
              <c:pt idx="1">
                <c:v>Safe</c:v>
              </c:pt>
            </c:strLit>
          </c:cat>
          <c:val>
            <c:numLit>
              <c:formatCode>General</c:formatCode>
              <c:ptCount val="2"/>
              <c:pt idx="0">
                <c:v>4437</c:v>
              </c:pt>
              <c:pt idx="1">
                <c:v>48911</c:v>
              </c:pt>
            </c:numLit>
          </c:val>
          <c:extLst>
            <c:ext xmlns:c16="http://schemas.microsoft.com/office/drawing/2014/chart" uri="{C3380CC4-5D6E-409C-BE32-E72D297353CC}">
              <c16:uniqueId val="{00000009-5B25-4A4D-853D-154341A929F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50241538285975118"/>
          <c:y val="0.81859179060950715"/>
          <c:w val="0.26229508196721313"/>
          <c:h val="0.14539187809857101"/>
        </c:manualLayout>
      </c:layout>
      <c:overlay val="0"/>
      <c:spPr>
        <a:solidFill>
          <a:schemeClr val="bg1">
            <a:alpha val="62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Bike</a:t>
            </a:r>
            <a:r>
              <a:rPr lang="en-US" sz="1600" b="1" baseline="0"/>
              <a:t> Rentals as per  Windspeed</a:t>
            </a:r>
            <a:endParaRPr lang="en-US" sz="1600" b="1"/>
          </a:p>
        </c:rich>
      </c:tx>
      <c:layout>
        <c:manualLayout>
          <c:xMode val="edge"/>
          <c:yMode val="edge"/>
          <c:x val="0.24805555555555556"/>
          <c:y val="5.4534849810440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a:sp3d contourW="25400">
            <a:contourClr>
              <a:schemeClr val="lt1"/>
            </a:contourClr>
          </a:sp3d>
        </c:spPr>
      </c:pivotFmt>
      <c:pivotFmt>
        <c:idx val="2"/>
        <c:spPr>
          <a:solidFill>
            <a:schemeClr val="accent6"/>
          </a:solidFill>
          <a:ln w="19050">
            <a:solidFill>
              <a:schemeClr val="lt1"/>
            </a:solidFill>
          </a:ln>
          <a:effectLst/>
          <a:sp3d contourW="25400">
            <a:contourClr>
              <a:schemeClr val="lt1"/>
            </a:contourClr>
          </a:sp3d>
        </c:spPr>
      </c:pivotFmt>
      <c:pivotFmt>
        <c:idx val="3"/>
        <c:spPr>
          <a:solidFill>
            <a:schemeClr val="accent6"/>
          </a:solidFill>
          <a:ln w="19050">
            <a:solidFill>
              <a:schemeClr val="lt1"/>
            </a:solidFill>
          </a:ln>
          <a:effectLst/>
          <a:sp3d contourW="25400">
            <a:contourClr>
              <a:schemeClr val="lt1"/>
            </a:contourClr>
          </a:sp3d>
        </c:spPr>
      </c:pivotFmt>
      <c:pivotFmt>
        <c:idx val="4"/>
        <c:spPr>
          <a:solidFill>
            <a:schemeClr val="accent6"/>
          </a:solidFill>
          <a:ln w="19050">
            <a:solidFill>
              <a:schemeClr val="lt1"/>
            </a:solidFill>
          </a:ln>
          <a:effectLst/>
          <a:sp3d contourW="25400">
            <a:contourClr>
              <a:schemeClr val="lt1"/>
            </a:contourClr>
          </a:sp3d>
        </c:spPr>
      </c:pivotFmt>
      <c:pivotFmt>
        <c:idx val="5"/>
        <c:spPr>
          <a:solidFill>
            <a:schemeClr val="accent6"/>
          </a:solidFill>
          <a:ln w="19050">
            <a:solidFill>
              <a:schemeClr val="lt1"/>
            </a:solidFill>
          </a:ln>
          <a:effectLst/>
          <a:sp3d contourW="25400">
            <a:contourClr>
              <a:schemeClr val="lt1"/>
            </a:contourClr>
          </a:sp3d>
        </c:spPr>
      </c:pivotFmt>
      <c:pivotFmt>
        <c:idx val="6"/>
        <c:spPr>
          <a:solidFill>
            <a:schemeClr val="accent6"/>
          </a:solidFill>
          <a:ln w="19050">
            <a:solidFill>
              <a:schemeClr val="lt1"/>
            </a:solidFill>
          </a:ln>
          <a:effectLst/>
          <a:sp3d contourW="25400">
            <a:contourClr>
              <a:schemeClr val="lt1"/>
            </a:contourClr>
          </a:sp3d>
        </c:spPr>
      </c:pivotFmt>
      <c:pivotFmt>
        <c:idx val="7"/>
        <c:spPr>
          <a:solidFill>
            <a:schemeClr val="accent6"/>
          </a:solidFill>
          <a:ln w="19050">
            <a:solidFill>
              <a:schemeClr val="lt1"/>
            </a:solidFill>
          </a:ln>
          <a:effectLst/>
          <a:sp3d contourW="25400">
            <a:contourClr>
              <a:schemeClr val="lt1"/>
            </a:contourClr>
          </a:sp3d>
        </c:spPr>
      </c:pivotFmt>
      <c:pivotFmt>
        <c:idx val="8"/>
        <c:spPr>
          <a:solidFill>
            <a:schemeClr val="accent6"/>
          </a:solidFill>
          <a:ln w="19050">
            <a:solidFill>
              <a:schemeClr val="lt1"/>
            </a:solidFill>
          </a:ln>
          <a:effectLst/>
          <a:sp3d contourW="25400">
            <a:contourClr>
              <a:schemeClr val="lt1"/>
            </a:contourClr>
          </a:sp3d>
        </c:spPr>
      </c:pivotFmt>
      <c:pivotFmt>
        <c:idx val="9"/>
        <c:spPr>
          <a:solidFill>
            <a:schemeClr val="accent6"/>
          </a:solidFill>
          <a:ln w="19050">
            <a:solidFill>
              <a:schemeClr val="lt1"/>
            </a:solidFill>
          </a:ln>
          <a:effectLst/>
          <a:sp3d contourW="25400">
            <a:contourClr>
              <a:schemeClr val="lt1"/>
            </a:contourClr>
          </a:sp3d>
        </c:spPr>
      </c:pivotFmt>
      <c:pivotFmt>
        <c:idx val="10"/>
        <c:spPr>
          <a:solidFill>
            <a:schemeClr val="accent6"/>
          </a:solidFill>
          <a:ln w="19050">
            <a:solidFill>
              <a:schemeClr val="lt1"/>
            </a:solidFill>
          </a:ln>
          <a:effectLst/>
          <a:sp3d contourW="25400">
            <a:contourClr>
              <a:schemeClr val="lt1"/>
            </a:contourClr>
          </a:sp3d>
        </c:spPr>
      </c:pivotFmt>
      <c:pivotFmt>
        <c:idx val="11"/>
        <c:spPr>
          <a:solidFill>
            <a:schemeClr val="accent6"/>
          </a:solidFill>
          <a:ln w="19050">
            <a:solidFill>
              <a:schemeClr val="lt1"/>
            </a:solidFill>
          </a:ln>
          <a:effectLst/>
          <a:sp3d contourW="25400">
            <a:contourClr>
              <a:schemeClr val="lt1"/>
            </a:contourClr>
          </a:sp3d>
        </c:spPr>
      </c:pivotFmt>
      <c:pivotFmt>
        <c:idx val="12"/>
        <c:spPr>
          <a:solidFill>
            <a:schemeClr val="accent6"/>
          </a:solidFill>
          <a:ln w="19050">
            <a:solidFill>
              <a:schemeClr val="lt1"/>
            </a:solidFill>
          </a:ln>
          <a:effectLst/>
          <a:sp3d contourW="25400">
            <a:contourClr>
              <a:schemeClr val="lt1"/>
            </a:contourClr>
          </a:sp3d>
        </c:spPr>
      </c:pivotFmt>
      <c:pivotFmt>
        <c:idx val="13"/>
        <c:spPr>
          <a:solidFill>
            <a:schemeClr val="accent6"/>
          </a:solidFill>
          <a:ln w="19050">
            <a:solidFill>
              <a:schemeClr val="lt1"/>
            </a:solidFill>
          </a:ln>
          <a:effectLst/>
          <a:sp3d contourW="25400">
            <a:contourClr>
              <a:schemeClr val="lt1"/>
            </a:contourClr>
          </a:sp3d>
        </c:spPr>
      </c:pivotFmt>
      <c:pivotFmt>
        <c:idx val="14"/>
        <c:spPr>
          <a:solidFill>
            <a:schemeClr val="accent6"/>
          </a:solidFill>
          <a:ln w="19050">
            <a:solidFill>
              <a:schemeClr val="lt1"/>
            </a:solidFill>
          </a:ln>
          <a:effectLst/>
          <a:sp3d contourW="25400">
            <a:contourClr>
              <a:schemeClr val="lt1"/>
            </a:contourClr>
          </a:sp3d>
        </c:spPr>
      </c:pivotFmt>
      <c:pivotFmt>
        <c:idx val="15"/>
        <c:spPr>
          <a:solidFill>
            <a:schemeClr val="accent6"/>
          </a:solidFill>
          <a:ln w="19050">
            <a:solidFill>
              <a:schemeClr val="lt1"/>
            </a:solidFill>
          </a:ln>
          <a:effectLst/>
          <a:sp3d contourW="25400">
            <a:contourClr>
              <a:schemeClr val="lt1"/>
            </a:contourClr>
          </a:sp3d>
        </c:spPr>
      </c:pivotFmt>
      <c:pivotFmt>
        <c:idx val="16"/>
        <c:spPr>
          <a:solidFill>
            <a:schemeClr val="accent6"/>
          </a:solidFill>
          <a:ln w="19050">
            <a:solidFill>
              <a:schemeClr val="lt1"/>
            </a:solidFill>
          </a:ln>
          <a:effectLst/>
          <a:sp3d contourW="25400">
            <a:contourClr>
              <a:schemeClr val="lt1"/>
            </a:contourClr>
          </a:sp3d>
        </c:spPr>
      </c:pivotFmt>
      <c:pivotFmt>
        <c:idx val="17"/>
        <c:spPr>
          <a:solidFill>
            <a:schemeClr val="accent6"/>
          </a:solidFill>
          <a:ln w="19050">
            <a:solidFill>
              <a:schemeClr val="lt1"/>
            </a:solidFill>
          </a:ln>
          <a:effectLst/>
          <a:sp3d contourW="25400">
            <a:contourClr>
              <a:schemeClr val="lt1"/>
            </a:contourClr>
          </a:sp3d>
        </c:spPr>
      </c:pivotFmt>
      <c:pivotFmt>
        <c:idx val="18"/>
        <c:spPr>
          <a:solidFill>
            <a:schemeClr val="accent6"/>
          </a:solidFill>
          <a:ln w="19050">
            <a:solidFill>
              <a:schemeClr val="lt1"/>
            </a:solidFill>
          </a:ln>
          <a:effectLst/>
          <a:sp3d contourW="25400">
            <a:contourClr>
              <a:schemeClr val="lt1"/>
            </a:contourClr>
          </a:sp3d>
        </c:spPr>
      </c:pivotFmt>
      <c:pivotFmt>
        <c:idx val="19"/>
        <c:spPr>
          <a:solidFill>
            <a:schemeClr val="accent6"/>
          </a:solidFill>
          <a:ln w="19050">
            <a:solidFill>
              <a:schemeClr val="lt1"/>
            </a:solidFill>
          </a:ln>
          <a:effectLst/>
          <a:sp3d contourW="25400">
            <a:contourClr>
              <a:schemeClr val="lt1"/>
            </a:contourClr>
          </a:sp3d>
        </c:spPr>
      </c:pivotFmt>
      <c:pivotFmt>
        <c:idx val="20"/>
        <c:spPr>
          <a:solidFill>
            <a:schemeClr val="accent6"/>
          </a:solidFill>
          <a:ln w="19050">
            <a:solidFill>
              <a:schemeClr val="lt1"/>
            </a:solidFill>
          </a:ln>
          <a:effectLst/>
          <a:sp3d contourW="25400">
            <a:contourClr>
              <a:schemeClr val="lt1"/>
            </a:contourClr>
          </a:sp3d>
        </c:spPr>
      </c:pivotFmt>
      <c:pivotFmt>
        <c:idx val="21"/>
        <c:spPr>
          <a:solidFill>
            <a:schemeClr val="accent6"/>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w="19050">
            <a:solidFill>
              <a:schemeClr val="lt1"/>
            </a:solidFill>
          </a:ln>
          <a:effectLst/>
          <a:sp3d contourW="25400">
            <a:contourClr>
              <a:schemeClr val="lt1"/>
            </a:contourClr>
          </a:sp3d>
        </c:spPr>
      </c:pivotFmt>
      <c:pivotFmt>
        <c:idx val="23"/>
        <c:spPr>
          <a:solidFill>
            <a:schemeClr val="accent6"/>
          </a:solidFill>
          <a:ln w="19050">
            <a:solidFill>
              <a:schemeClr val="lt1"/>
            </a:solidFill>
          </a:ln>
          <a:effectLst/>
          <a:sp3d contourW="25400">
            <a:contourClr>
              <a:schemeClr val="lt1"/>
            </a:contourClr>
          </a:sp3d>
        </c:spPr>
      </c:pivotFmt>
      <c:pivotFmt>
        <c:idx val="24"/>
        <c:spPr>
          <a:solidFill>
            <a:schemeClr val="accent6"/>
          </a:solidFill>
          <a:ln w="19050">
            <a:solidFill>
              <a:schemeClr val="lt1"/>
            </a:solidFill>
          </a:ln>
          <a:effectLst/>
          <a:sp3d contourW="25400">
            <a:contourClr>
              <a:schemeClr val="lt1"/>
            </a:contourClr>
          </a:sp3d>
        </c:spPr>
      </c:pivotFmt>
      <c:pivotFmt>
        <c:idx val="25"/>
        <c:spPr>
          <a:solidFill>
            <a:schemeClr val="accent6"/>
          </a:solidFill>
          <a:ln w="19050">
            <a:solidFill>
              <a:schemeClr val="lt1"/>
            </a:solidFill>
          </a:ln>
          <a:effectLst/>
          <a:sp3d contourW="25400">
            <a:contourClr>
              <a:schemeClr val="lt1"/>
            </a:contourClr>
          </a:sp3d>
        </c:spPr>
      </c:pivotFmt>
      <c:pivotFmt>
        <c:idx val="26"/>
        <c:spPr>
          <a:solidFill>
            <a:schemeClr val="accent6"/>
          </a:solidFill>
          <a:ln w="19050">
            <a:solidFill>
              <a:schemeClr val="lt1"/>
            </a:solidFill>
          </a:ln>
          <a:effectLst/>
          <a:sp3d contourW="25400">
            <a:contourClr>
              <a:schemeClr val="lt1"/>
            </a:contourClr>
          </a:sp3d>
        </c:spPr>
      </c:pivotFmt>
      <c:pivotFmt>
        <c:idx val="27"/>
        <c:spPr>
          <a:solidFill>
            <a:schemeClr val="accent6"/>
          </a:solidFill>
          <a:ln w="19050">
            <a:solidFill>
              <a:schemeClr val="lt1"/>
            </a:solidFill>
          </a:ln>
          <a:effectLst/>
          <a:sp3d contourW="25400">
            <a:contourClr>
              <a:schemeClr val="lt1"/>
            </a:contourClr>
          </a:sp3d>
        </c:spPr>
      </c:pivotFmt>
      <c:pivotFmt>
        <c:idx val="28"/>
        <c:spPr>
          <a:solidFill>
            <a:schemeClr val="accent6"/>
          </a:solidFill>
          <a:ln w="19050">
            <a:solidFill>
              <a:schemeClr val="lt1"/>
            </a:solidFill>
          </a:ln>
          <a:effectLst/>
          <a:sp3d contourW="25400">
            <a:contourClr>
              <a:schemeClr val="lt1"/>
            </a:contourClr>
          </a:sp3d>
        </c:spPr>
      </c:pivotFmt>
      <c:pivotFmt>
        <c:idx val="29"/>
        <c:spPr>
          <a:solidFill>
            <a:schemeClr val="accent6"/>
          </a:solidFill>
          <a:ln w="19050">
            <a:solidFill>
              <a:schemeClr val="lt1"/>
            </a:solidFill>
          </a:ln>
          <a:effectLst/>
          <a:sp3d contourW="25400">
            <a:contourClr>
              <a:schemeClr val="lt1"/>
            </a:contourClr>
          </a:sp3d>
        </c:spPr>
      </c:pivotFmt>
      <c:pivotFmt>
        <c:idx val="30"/>
        <c:spPr>
          <a:solidFill>
            <a:schemeClr val="accent6"/>
          </a:solidFill>
          <a:ln w="19050">
            <a:solidFill>
              <a:schemeClr val="lt1"/>
            </a:solidFill>
          </a:ln>
          <a:effectLst/>
          <a:sp3d contourW="25400">
            <a:contourClr>
              <a:schemeClr val="lt1"/>
            </a:contourClr>
          </a:sp3d>
        </c:spPr>
      </c:pivotFmt>
      <c:pivotFmt>
        <c:idx val="31"/>
        <c:spPr>
          <a:solidFill>
            <a:schemeClr val="accent6"/>
          </a:solidFill>
          <a:ln w="19050">
            <a:solidFill>
              <a:schemeClr val="lt1"/>
            </a:solidFill>
          </a:ln>
          <a:effectLst/>
          <a:sp3d contourW="25400">
            <a:contourClr>
              <a:schemeClr val="lt1"/>
            </a:contourClr>
          </a:sp3d>
        </c:spPr>
      </c:pivotFmt>
      <c:pivotFmt>
        <c:idx val="32"/>
        <c:spPr>
          <a:solidFill>
            <a:schemeClr val="accent6"/>
          </a:solidFill>
          <a:ln w="19050">
            <a:solidFill>
              <a:schemeClr val="lt1"/>
            </a:solidFill>
          </a:ln>
          <a:effectLst/>
          <a:sp3d contourW="25400">
            <a:contourClr>
              <a:schemeClr val="lt1"/>
            </a:contourClr>
          </a:sp3d>
        </c:spPr>
      </c:pivotFmt>
      <c:pivotFmt>
        <c:idx val="33"/>
        <c:spPr>
          <a:solidFill>
            <a:schemeClr val="accent6"/>
          </a:solidFill>
          <a:ln w="19050">
            <a:solidFill>
              <a:schemeClr val="lt1"/>
            </a:solidFill>
          </a:ln>
          <a:effectLst/>
          <a:sp3d contourW="25400">
            <a:contourClr>
              <a:schemeClr val="lt1"/>
            </a:contourClr>
          </a:sp3d>
        </c:spPr>
      </c:pivotFmt>
      <c:pivotFmt>
        <c:idx val="34"/>
        <c:spPr>
          <a:solidFill>
            <a:schemeClr val="accent6"/>
          </a:solidFill>
          <a:ln w="19050">
            <a:solidFill>
              <a:schemeClr val="lt1"/>
            </a:solidFill>
          </a:ln>
          <a:effectLst/>
          <a:sp3d contourW="25400">
            <a:contourClr>
              <a:schemeClr val="lt1"/>
            </a:contourClr>
          </a:sp3d>
        </c:spPr>
      </c:pivotFmt>
      <c:pivotFmt>
        <c:idx val="35"/>
        <c:spPr>
          <a:solidFill>
            <a:schemeClr val="accent6"/>
          </a:solidFill>
          <a:ln w="19050">
            <a:solidFill>
              <a:schemeClr val="lt1"/>
            </a:solidFill>
          </a:ln>
          <a:effectLst/>
          <a:sp3d contourW="25400">
            <a:contourClr>
              <a:schemeClr val="lt1"/>
            </a:contourClr>
          </a:sp3d>
        </c:spPr>
      </c:pivotFmt>
      <c:pivotFmt>
        <c:idx val="36"/>
        <c:spPr>
          <a:solidFill>
            <a:schemeClr val="accent6"/>
          </a:solidFill>
          <a:ln w="19050">
            <a:solidFill>
              <a:schemeClr val="lt1"/>
            </a:solidFill>
          </a:ln>
          <a:effectLst/>
          <a:sp3d contourW="25400">
            <a:contourClr>
              <a:schemeClr val="lt1"/>
            </a:contourClr>
          </a:sp3d>
        </c:spPr>
      </c:pivotFmt>
      <c:pivotFmt>
        <c:idx val="37"/>
        <c:spPr>
          <a:solidFill>
            <a:schemeClr val="accent6"/>
          </a:solidFill>
          <a:ln w="19050">
            <a:solidFill>
              <a:schemeClr val="lt1"/>
            </a:solidFill>
          </a:ln>
          <a:effectLst/>
          <a:sp3d contourW="25400">
            <a:contourClr>
              <a:schemeClr val="lt1"/>
            </a:contourClr>
          </a:sp3d>
        </c:spPr>
      </c:pivotFmt>
      <c:pivotFmt>
        <c:idx val="38"/>
        <c:spPr>
          <a:solidFill>
            <a:schemeClr val="accent6"/>
          </a:solidFill>
          <a:ln w="19050">
            <a:solidFill>
              <a:schemeClr val="lt1"/>
            </a:solidFill>
          </a:ln>
          <a:effectLst/>
          <a:sp3d contourW="25400">
            <a:contourClr>
              <a:schemeClr val="lt1"/>
            </a:contourClr>
          </a:sp3d>
        </c:spPr>
      </c:pivotFmt>
      <c:pivotFmt>
        <c:idx val="39"/>
        <c:spPr>
          <a:solidFill>
            <a:schemeClr val="accent6"/>
          </a:solidFill>
          <a:ln w="19050">
            <a:solidFill>
              <a:schemeClr val="lt1"/>
            </a:solidFill>
          </a:ln>
          <a:effectLst/>
          <a:sp3d contourW="25400">
            <a:contourClr>
              <a:schemeClr val="lt1"/>
            </a:contourClr>
          </a:sp3d>
        </c:spPr>
      </c:pivotFmt>
      <c:pivotFmt>
        <c:idx val="40"/>
        <c:spPr>
          <a:solidFill>
            <a:schemeClr val="accent6"/>
          </a:solidFill>
          <a:ln w="19050">
            <a:solidFill>
              <a:schemeClr val="lt1"/>
            </a:solidFill>
          </a:ln>
          <a:effectLst/>
          <a:sp3d contourW="25400">
            <a:contourClr>
              <a:schemeClr val="lt1"/>
            </a:contourClr>
          </a:sp3d>
        </c:spPr>
      </c:pivotFmt>
      <c:pivotFmt>
        <c:idx val="41"/>
        <c:spPr>
          <a:solidFill>
            <a:schemeClr val="accent6"/>
          </a:solidFill>
          <a:ln w="19050">
            <a:solidFill>
              <a:schemeClr val="lt1"/>
            </a:solidFill>
          </a:ln>
          <a:effectLst/>
          <a:sp3d contourW="25400">
            <a:contourClr>
              <a:schemeClr val="lt1"/>
            </a:contourClr>
          </a:sp3d>
        </c:spPr>
      </c:pivotFmt>
      <c:pivotFmt>
        <c:idx val="42"/>
        <c:spPr>
          <a:solidFill>
            <a:schemeClr val="accent6"/>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6"/>
          </a:solidFill>
          <a:ln w="25400">
            <a:solidFill>
              <a:schemeClr val="lt1"/>
            </a:solidFill>
          </a:ln>
          <a:effectLst/>
          <a:sp3d contourW="25400">
            <a:contourClr>
              <a:schemeClr val="lt1"/>
            </a:contourClr>
          </a:sp3d>
        </c:spPr>
      </c:pivotFmt>
      <c:pivotFmt>
        <c:idx val="44"/>
        <c:spPr>
          <a:solidFill>
            <a:schemeClr val="accent6"/>
          </a:solidFill>
          <a:ln w="25400">
            <a:solidFill>
              <a:schemeClr val="lt1"/>
            </a:solidFill>
          </a:ln>
          <a:effectLst/>
          <a:sp3d contourW="25400">
            <a:contourClr>
              <a:schemeClr val="lt1"/>
            </a:contourClr>
          </a:sp3d>
        </c:spPr>
      </c:pivotFmt>
      <c:pivotFmt>
        <c:idx val="45"/>
        <c:spPr>
          <a:solidFill>
            <a:schemeClr val="accent6"/>
          </a:solidFill>
          <a:ln w="25400">
            <a:solidFill>
              <a:schemeClr val="lt1"/>
            </a:solidFill>
          </a:ln>
          <a:effectLst/>
          <a:sp3d contourW="25400">
            <a:contourClr>
              <a:schemeClr val="lt1"/>
            </a:contourClr>
          </a:sp3d>
        </c:spPr>
      </c:pivotFmt>
      <c:pivotFmt>
        <c:idx val="46"/>
        <c:spPr>
          <a:solidFill>
            <a:schemeClr val="accent6"/>
          </a:solidFill>
          <a:ln w="25400">
            <a:solidFill>
              <a:schemeClr val="lt1"/>
            </a:solidFill>
          </a:ln>
          <a:effectLst/>
          <a:sp3d contourW="25400">
            <a:contourClr>
              <a:schemeClr val="lt1"/>
            </a:contourClr>
          </a:sp3d>
        </c:spPr>
      </c:pivotFmt>
      <c:pivotFmt>
        <c:idx val="47"/>
        <c:spPr>
          <a:solidFill>
            <a:schemeClr val="accent6"/>
          </a:solidFill>
          <a:ln w="25400">
            <a:solidFill>
              <a:schemeClr val="lt1"/>
            </a:solidFill>
          </a:ln>
          <a:effectLst/>
          <a:sp3d contourW="25400">
            <a:contourClr>
              <a:schemeClr val="lt1"/>
            </a:contourClr>
          </a:sp3d>
        </c:spPr>
      </c:pivotFmt>
      <c:pivotFmt>
        <c:idx val="48"/>
        <c:spPr>
          <a:solidFill>
            <a:schemeClr val="accent6"/>
          </a:solidFill>
          <a:ln w="25400">
            <a:solidFill>
              <a:schemeClr val="lt1"/>
            </a:solidFill>
          </a:ln>
          <a:effectLst/>
          <a:sp3d contourW="25400">
            <a:contourClr>
              <a:schemeClr val="lt1"/>
            </a:contourClr>
          </a:sp3d>
        </c:spPr>
      </c:pivotFmt>
      <c:pivotFmt>
        <c:idx val="49"/>
        <c:spPr>
          <a:solidFill>
            <a:schemeClr val="accent6"/>
          </a:solidFill>
          <a:ln w="25400">
            <a:solidFill>
              <a:schemeClr val="lt1"/>
            </a:solidFill>
          </a:ln>
          <a:effectLst/>
          <a:sp3d contourW="25400">
            <a:contourClr>
              <a:schemeClr val="lt1"/>
            </a:contourClr>
          </a:sp3d>
        </c:spPr>
      </c:pivotFmt>
      <c:pivotFmt>
        <c:idx val="50"/>
        <c:spPr>
          <a:solidFill>
            <a:schemeClr val="accent6"/>
          </a:solidFill>
          <a:ln w="25400">
            <a:solidFill>
              <a:schemeClr val="lt1"/>
            </a:solidFill>
          </a:ln>
          <a:effectLst/>
          <a:sp3d contourW="25400">
            <a:contourClr>
              <a:schemeClr val="lt1"/>
            </a:contourClr>
          </a:sp3d>
        </c:spPr>
      </c:pivotFmt>
      <c:pivotFmt>
        <c:idx val="51"/>
        <c:spPr>
          <a:solidFill>
            <a:schemeClr val="accent6"/>
          </a:solidFill>
          <a:ln w="25400">
            <a:solidFill>
              <a:schemeClr val="lt1"/>
            </a:solidFill>
          </a:ln>
          <a:effectLst/>
          <a:sp3d contourW="25400">
            <a:contourClr>
              <a:schemeClr val="lt1"/>
            </a:contourClr>
          </a:sp3d>
        </c:spPr>
      </c:pivotFmt>
      <c:pivotFmt>
        <c:idx val="52"/>
        <c:spPr>
          <a:solidFill>
            <a:schemeClr val="accent6"/>
          </a:solidFill>
          <a:ln w="25400">
            <a:solidFill>
              <a:schemeClr val="lt1"/>
            </a:solidFill>
          </a:ln>
          <a:effectLst/>
          <a:sp3d contourW="25400">
            <a:contourClr>
              <a:schemeClr val="lt1"/>
            </a:contourClr>
          </a:sp3d>
        </c:spPr>
      </c:pivotFmt>
      <c:pivotFmt>
        <c:idx val="53"/>
        <c:spPr>
          <a:solidFill>
            <a:schemeClr val="accent6"/>
          </a:solidFill>
          <a:ln w="25400">
            <a:solidFill>
              <a:schemeClr val="lt1"/>
            </a:solidFill>
          </a:ln>
          <a:effectLst/>
          <a:sp3d contourW="25400">
            <a:contourClr>
              <a:schemeClr val="lt1"/>
            </a:contourClr>
          </a:sp3d>
        </c:spPr>
      </c:pivotFmt>
      <c:pivotFmt>
        <c:idx val="54"/>
        <c:spPr>
          <a:solidFill>
            <a:schemeClr val="accent6"/>
          </a:solidFill>
          <a:ln w="25400">
            <a:solidFill>
              <a:schemeClr val="lt1"/>
            </a:solidFill>
          </a:ln>
          <a:effectLst/>
          <a:sp3d contourW="25400">
            <a:contourClr>
              <a:schemeClr val="lt1"/>
            </a:contourClr>
          </a:sp3d>
        </c:spPr>
      </c:pivotFmt>
      <c:pivotFmt>
        <c:idx val="55"/>
        <c:spPr>
          <a:solidFill>
            <a:schemeClr val="accent6"/>
          </a:solidFill>
          <a:ln w="25400">
            <a:solidFill>
              <a:schemeClr val="lt1"/>
            </a:solidFill>
          </a:ln>
          <a:effectLst/>
          <a:sp3d contourW="25400">
            <a:contourClr>
              <a:schemeClr val="lt1"/>
            </a:contourClr>
          </a:sp3d>
        </c:spPr>
      </c:pivotFmt>
      <c:pivotFmt>
        <c:idx val="56"/>
        <c:spPr>
          <a:solidFill>
            <a:schemeClr val="accent6"/>
          </a:solidFill>
          <a:ln w="25400">
            <a:solidFill>
              <a:schemeClr val="lt1"/>
            </a:solidFill>
          </a:ln>
          <a:effectLst/>
          <a:sp3d contourW="25400">
            <a:contourClr>
              <a:schemeClr val="lt1"/>
            </a:contourClr>
          </a:sp3d>
        </c:spPr>
      </c:pivotFmt>
      <c:pivotFmt>
        <c:idx val="57"/>
        <c:spPr>
          <a:solidFill>
            <a:schemeClr val="accent6"/>
          </a:solidFill>
          <a:ln w="25400">
            <a:solidFill>
              <a:schemeClr val="lt1"/>
            </a:solidFill>
          </a:ln>
          <a:effectLst/>
          <a:sp3d contourW="25400">
            <a:contourClr>
              <a:schemeClr val="lt1"/>
            </a:contourClr>
          </a:sp3d>
        </c:spPr>
      </c:pivotFmt>
      <c:pivotFmt>
        <c:idx val="58"/>
        <c:spPr>
          <a:solidFill>
            <a:schemeClr val="accent6"/>
          </a:solidFill>
          <a:ln w="25400">
            <a:solidFill>
              <a:schemeClr val="lt1"/>
            </a:solidFill>
          </a:ln>
          <a:effectLst/>
          <a:sp3d contourW="25400">
            <a:contourClr>
              <a:schemeClr val="lt1"/>
            </a:contourClr>
          </a:sp3d>
        </c:spPr>
      </c:pivotFmt>
      <c:pivotFmt>
        <c:idx val="59"/>
        <c:spPr>
          <a:solidFill>
            <a:schemeClr val="accent6"/>
          </a:solidFill>
          <a:ln w="25400">
            <a:solidFill>
              <a:schemeClr val="lt1"/>
            </a:solidFill>
          </a:ln>
          <a:effectLst/>
          <a:sp3d contourW="25400">
            <a:contourClr>
              <a:schemeClr val="lt1"/>
            </a:contourClr>
          </a:sp3d>
        </c:spPr>
      </c:pivotFmt>
      <c:pivotFmt>
        <c:idx val="60"/>
        <c:spPr>
          <a:solidFill>
            <a:schemeClr val="accent6"/>
          </a:solidFill>
          <a:ln w="25400">
            <a:solidFill>
              <a:schemeClr val="lt1"/>
            </a:solidFill>
          </a:ln>
          <a:effectLst/>
          <a:sp3d contourW="25400">
            <a:contourClr>
              <a:schemeClr val="lt1"/>
            </a:contourClr>
          </a:sp3d>
        </c:spPr>
      </c:pivotFmt>
      <c:pivotFmt>
        <c:idx val="61"/>
        <c:spPr>
          <a:solidFill>
            <a:schemeClr val="accent6"/>
          </a:solidFill>
          <a:ln w="25400">
            <a:solidFill>
              <a:schemeClr val="lt1"/>
            </a:solidFill>
          </a:ln>
          <a:effectLst/>
          <a:sp3d contourW="25400">
            <a:contourClr>
              <a:schemeClr val="lt1"/>
            </a:contourClr>
          </a:sp3d>
        </c:spPr>
      </c:pivotFmt>
      <c:pivotFmt>
        <c:idx val="62"/>
        <c:spPr>
          <a:solidFill>
            <a:schemeClr val="accent6"/>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5711789151356079"/>
          <c:y val="0.31251239428404781"/>
          <c:w val="0.71909755030621181"/>
          <c:h val="0.63826006124234469"/>
        </c:manualLayout>
      </c:layout>
      <c:pie3DChart>
        <c:varyColors val="1"/>
        <c:ser>
          <c:idx val="0"/>
          <c:order val="0"/>
          <c:tx>
            <c:v>Total</c:v>
          </c:tx>
          <c:dPt>
            <c:idx val="0"/>
            <c:bubble3D val="0"/>
            <c:spPr>
              <a:solidFill>
                <a:schemeClr val="accent6">
                  <a:shade val="3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8A24-4747-9F9A-247F21FF0811}"/>
              </c:ext>
            </c:extLst>
          </c:dPt>
          <c:dPt>
            <c:idx val="1"/>
            <c:bubble3D val="0"/>
            <c:spPr>
              <a:solidFill>
                <a:schemeClr val="accent6">
                  <a:shade val="4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8A24-4747-9F9A-247F21FF0811}"/>
              </c:ext>
            </c:extLst>
          </c:dPt>
          <c:dPt>
            <c:idx val="2"/>
            <c:bubble3D val="0"/>
            <c:spPr>
              <a:solidFill>
                <a:schemeClr val="accent6">
                  <a:shade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8A24-4747-9F9A-247F21FF0811}"/>
              </c:ext>
            </c:extLst>
          </c:dPt>
          <c:dPt>
            <c:idx val="3"/>
            <c:bubble3D val="0"/>
            <c:spPr>
              <a:solidFill>
                <a:schemeClr val="accent6">
                  <a:shade val="5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8A24-4747-9F9A-247F21FF0811}"/>
              </c:ext>
            </c:extLst>
          </c:dPt>
          <c:dPt>
            <c:idx val="4"/>
            <c:bubble3D val="0"/>
            <c:spPr>
              <a:solidFill>
                <a:schemeClr val="accent6">
                  <a:shade val="6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8A24-4747-9F9A-247F21FF0811}"/>
              </c:ext>
            </c:extLst>
          </c:dPt>
          <c:dPt>
            <c:idx val="5"/>
            <c:bubble3D val="0"/>
            <c:spPr>
              <a:solidFill>
                <a:schemeClr val="accent6">
                  <a:shade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B-8A24-4747-9F9A-247F21FF0811}"/>
              </c:ext>
            </c:extLst>
          </c:dPt>
          <c:dPt>
            <c:idx val="6"/>
            <c:bubble3D val="0"/>
            <c:spPr>
              <a:solidFill>
                <a:schemeClr val="accent6">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A24-4747-9F9A-247F21FF0811}"/>
              </c:ext>
            </c:extLst>
          </c:dPt>
          <c:dPt>
            <c:idx val="7"/>
            <c:bubble3D val="0"/>
            <c:spPr>
              <a:solidFill>
                <a:schemeClr val="accent6">
                  <a:shade val="8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A24-4747-9F9A-247F21FF0811}"/>
              </c:ext>
            </c:extLst>
          </c:dPt>
          <c:dPt>
            <c:idx val="8"/>
            <c:bubble3D val="0"/>
            <c:spPr>
              <a:solidFill>
                <a:schemeClr val="accent6">
                  <a:shade val="9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A24-4747-9F9A-247F21FF0811}"/>
              </c:ext>
            </c:extLst>
          </c:dPt>
          <c:dPt>
            <c:idx val="9"/>
            <c:bubble3D val="0"/>
            <c:spPr>
              <a:solidFill>
                <a:schemeClr val="accent6">
                  <a:shade val="9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A24-4747-9F9A-247F21FF0811}"/>
              </c:ext>
            </c:extLst>
          </c:dPt>
          <c:dPt>
            <c:idx val="10"/>
            <c:bubble3D val="0"/>
            <c:spPr>
              <a:solidFill>
                <a:schemeClr val="accent6">
                  <a:tint val="9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A24-4747-9F9A-247F21FF0811}"/>
              </c:ext>
            </c:extLst>
          </c:dPt>
          <c:dPt>
            <c:idx val="11"/>
            <c:bubble3D val="0"/>
            <c:spPr>
              <a:solidFill>
                <a:schemeClr val="accent6">
                  <a:tint val="9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8A24-4747-9F9A-247F21FF0811}"/>
              </c:ext>
            </c:extLst>
          </c:dPt>
          <c:dPt>
            <c:idx val="12"/>
            <c:bubble3D val="0"/>
            <c:spPr>
              <a:solidFill>
                <a:schemeClr val="accent6">
                  <a:tint val="8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8A24-4747-9F9A-247F21FF0811}"/>
              </c:ext>
            </c:extLst>
          </c:dPt>
          <c:dPt>
            <c:idx val="13"/>
            <c:bubble3D val="0"/>
            <c:spPr>
              <a:solidFill>
                <a:schemeClr val="accent6">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8A24-4747-9F9A-247F21FF0811}"/>
              </c:ext>
            </c:extLst>
          </c:dPt>
          <c:dPt>
            <c:idx val="14"/>
            <c:bubble3D val="0"/>
            <c:spPr>
              <a:solidFill>
                <a:schemeClr val="accent6">
                  <a:tint val="7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8A24-4747-9F9A-247F21FF0811}"/>
              </c:ext>
            </c:extLst>
          </c:dPt>
          <c:dPt>
            <c:idx val="15"/>
            <c:bubble3D val="0"/>
            <c:spPr>
              <a:solidFill>
                <a:schemeClr val="accent6">
                  <a:tint val="6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8A24-4747-9F9A-247F21FF0811}"/>
              </c:ext>
            </c:extLst>
          </c:dPt>
          <c:dPt>
            <c:idx val="16"/>
            <c:bubble3D val="0"/>
            <c:spPr>
              <a:solidFill>
                <a:schemeClr val="accent6">
                  <a:tint val="5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8A24-4747-9F9A-247F21FF0811}"/>
              </c:ext>
            </c:extLst>
          </c:dPt>
          <c:dPt>
            <c:idx val="17"/>
            <c:bubble3D val="0"/>
            <c:spPr>
              <a:solidFill>
                <a:schemeClr val="accent6">
                  <a:tint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8A24-4747-9F9A-247F21FF0811}"/>
              </c:ext>
            </c:extLst>
          </c:dPt>
          <c:dPt>
            <c:idx val="18"/>
            <c:bubble3D val="0"/>
            <c:spPr>
              <a:solidFill>
                <a:schemeClr val="accent6">
                  <a:tint val="4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8A24-4747-9F9A-247F21FF0811}"/>
              </c:ext>
            </c:extLst>
          </c:dPt>
          <c:dPt>
            <c:idx val="19"/>
            <c:bubble3D val="0"/>
            <c:spPr>
              <a:solidFill>
                <a:schemeClr val="accent6">
                  <a:tint val="3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8A24-4747-9F9A-247F21FF081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0"/>
              <c:pt idx="0">
                <c:v>0</c:v>
              </c:pt>
              <c:pt idx="1">
                <c:v>0.0896</c:v>
              </c:pt>
              <c:pt idx="2">
                <c:v>0.1045</c:v>
              </c:pt>
              <c:pt idx="3">
                <c:v>0.1343</c:v>
              </c:pt>
              <c:pt idx="4">
                <c:v>0.1642</c:v>
              </c:pt>
              <c:pt idx="5">
                <c:v>0.194</c:v>
              </c:pt>
              <c:pt idx="6">
                <c:v>0.2239</c:v>
              </c:pt>
              <c:pt idx="7">
                <c:v>0.2537</c:v>
              </c:pt>
              <c:pt idx="8">
                <c:v>0.2836</c:v>
              </c:pt>
              <c:pt idx="9">
                <c:v>0.2985</c:v>
              </c:pt>
              <c:pt idx="10">
                <c:v>0.3284</c:v>
              </c:pt>
              <c:pt idx="11">
                <c:v>0.3582</c:v>
              </c:pt>
              <c:pt idx="12">
                <c:v>0.3881</c:v>
              </c:pt>
              <c:pt idx="13">
                <c:v>0.4179</c:v>
              </c:pt>
              <c:pt idx="14">
                <c:v>0.4478</c:v>
              </c:pt>
              <c:pt idx="15">
                <c:v>0.4627</c:v>
              </c:pt>
              <c:pt idx="16">
                <c:v>0.4925</c:v>
              </c:pt>
              <c:pt idx="17">
                <c:v>0.5224</c:v>
              </c:pt>
              <c:pt idx="18">
                <c:v>0.5522</c:v>
              </c:pt>
              <c:pt idx="19">
                <c:v>0.5821</c:v>
              </c:pt>
            </c:strLit>
          </c:cat>
          <c:val>
            <c:numLit>
              <c:formatCode>General</c:formatCode>
              <c:ptCount val="20"/>
              <c:pt idx="0">
                <c:v>7845</c:v>
              </c:pt>
              <c:pt idx="1">
                <c:v>4149</c:v>
              </c:pt>
              <c:pt idx="2">
                <c:v>4350</c:v>
              </c:pt>
              <c:pt idx="3">
                <c:v>5261</c:v>
              </c:pt>
              <c:pt idx="4">
                <c:v>5609</c:v>
              </c:pt>
              <c:pt idx="5">
                <c:v>4668</c:v>
              </c:pt>
              <c:pt idx="6">
                <c:v>3546</c:v>
              </c:pt>
              <c:pt idx="7">
                <c:v>4074</c:v>
              </c:pt>
              <c:pt idx="8">
                <c:v>3516</c:v>
              </c:pt>
              <c:pt idx="9">
                <c:v>2872</c:v>
              </c:pt>
              <c:pt idx="10">
                <c:v>3572</c:v>
              </c:pt>
              <c:pt idx="11">
                <c:v>2069</c:v>
              </c:pt>
              <c:pt idx="12">
                <c:v>1250</c:v>
              </c:pt>
              <c:pt idx="13">
                <c:v>1432</c:v>
              </c:pt>
              <c:pt idx="14">
                <c:v>1107</c:v>
              </c:pt>
              <c:pt idx="15">
                <c:v>881</c:v>
              </c:pt>
              <c:pt idx="16">
                <c:v>629</c:v>
              </c:pt>
              <c:pt idx="17">
                <c:v>682</c:v>
              </c:pt>
              <c:pt idx="18">
                <c:v>374</c:v>
              </c:pt>
              <c:pt idx="19">
                <c:v>382</c:v>
              </c:pt>
            </c:numLit>
          </c:val>
          <c:extLst>
            <c:ext xmlns:c16="http://schemas.microsoft.com/office/drawing/2014/chart" uri="{C3380CC4-5D6E-409C-BE32-E72D297353CC}">
              <c16:uniqueId val="{00000028-8A24-4747-9F9A-247F21FF0811}"/>
            </c:ext>
          </c:extLst>
        </c:ser>
        <c:dLbls>
          <c:dLblPos val="bestFit"/>
          <c:showLegendKey val="0"/>
          <c:showVal val="1"/>
          <c:showCatName val="0"/>
          <c:showSerName val="0"/>
          <c:showPercent val="0"/>
          <c:showBubbleSize val="0"/>
          <c:showLeaderLines val="1"/>
        </c:dLbls>
      </c:pie3DChart>
      <c:spPr>
        <a:noFill/>
        <a:ln>
          <a:noFill/>
        </a:ln>
        <a:effectLst/>
      </c:spPr>
    </c:plotArea>
    <c:legend>
      <c:legendPos val="l"/>
      <c:overlay val="0"/>
      <c:spPr>
        <a:solidFill>
          <a:schemeClr val="bg1">
            <a:alpha val="61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Bike</a:t>
            </a:r>
            <a:r>
              <a:rPr lang="en-US" sz="1600" b="1" baseline="0"/>
              <a:t> Rentals on various days</a:t>
            </a:r>
            <a:endParaRPr lang="en-US" sz="1600" b="1"/>
          </a:p>
        </c:rich>
      </c:tx>
      <c:layout>
        <c:manualLayout>
          <c:xMode val="edge"/>
          <c:yMode val="edge"/>
          <c:x val="5.3590332458442684E-2"/>
          <c:y val="0.1517570720326625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96719160104987"/>
          <c:y val="0.28830635753864098"/>
          <c:w val="0.69810586176727896"/>
          <c:h val="0.59647054534849819"/>
        </c:manualLayout>
      </c:layout>
      <c:bar3DChart>
        <c:barDir val="bar"/>
        <c:grouping val="clustered"/>
        <c:varyColors val="0"/>
        <c:ser>
          <c:idx val="0"/>
          <c:order val="0"/>
          <c:tx>
            <c:v>Sum of Registered</c:v>
          </c:tx>
          <c:spPr>
            <a:solidFill>
              <a:schemeClr val="accent6">
                <a:shade val="76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Monday</c:v>
              </c:pt>
              <c:pt idx="1">
                <c:v>Tuesday</c:v>
              </c:pt>
              <c:pt idx="2">
                <c:v>Wednesday</c:v>
              </c:pt>
              <c:pt idx="3">
                <c:v>Thursday</c:v>
              </c:pt>
              <c:pt idx="4">
                <c:v>Friday</c:v>
              </c:pt>
              <c:pt idx="5">
                <c:v>Saturday</c:v>
              </c:pt>
              <c:pt idx="6">
                <c:v>Sunday</c:v>
              </c:pt>
            </c:strLit>
          </c:cat>
          <c:val>
            <c:numLit>
              <c:formatCode>General</c:formatCode>
              <c:ptCount val="7"/>
              <c:pt idx="0">
                <c:v>7916</c:v>
              </c:pt>
              <c:pt idx="1">
                <c:v>7926</c:v>
              </c:pt>
              <c:pt idx="2">
                <c:v>7670</c:v>
              </c:pt>
              <c:pt idx="3">
                <c:v>8126</c:v>
              </c:pt>
              <c:pt idx="4">
                <c:v>8543</c:v>
              </c:pt>
              <c:pt idx="5">
                <c:v>6523</c:v>
              </c:pt>
              <c:pt idx="6">
                <c:v>6644</c:v>
              </c:pt>
            </c:numLit>
          </c:val>
          <c:extLst>
            <c:ext xmlns:c16="http://schemas.microsoft.com/office/drawing/2014/chart" uri="{C3380CC4-5D6E-409C-BE32-E72D297353CC}">
              <c16:uniqueId val="{00000000-6ADF-4886-B1C0-BB65DEFF4C65}"/>
            </c:ext>
          </c:extLst>
        </c:ser>
        <c:ser>
          <c:idx val="1"/>
          <c:order val="1"/>
          <c:tx>
            <c:v>Sum of Casual</c:v>
          </c:tx>
          <c:spPr>
            <a:solidFill>
              <a:schemeClr val="accent6">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Monday</c:v>
              </c:pt>
              <c:pt idx="1">
                <c:v>Tuesday</c:v>
              </c:pt>
              <c:pt idx="2">
                <c:v>Wednesday</c:v>
              </c:pt>
              <c:pt idx="3">
                <c:v>Thursday</c:v>
              </c:pt>
              <c:pt idx="4">
                <c:v>Friday</c:v>
              </c:pt>
              <c:pt idx="5">
                <c:v>Saturday</c:v>
              </c:pt>
              <c:pt idx="6">
                <c:v>Sunday</c:v>
              </c:pt>
            </c:strLit>
          </c:cat>
          <c:val>
            <c:numLit>
              <c:formatCode>General</c:formatCode>
              <c:ptCount val="7"/>
              <c:pt idx="0">
                <c:v>534</c:v>
              </c:pt>
              <c:pt idx="1">
                <c:v>457</c:v>
              </c:pt>
              <c:pt idx="2">
                <c:v>343</c:v>
              </c:pt>
              <c:pt idx="3">
                <c:v>332</c:v>
              </c:pt>
              <c:pt idx="4">
                <c:v>552</c:v>
              </c:pt>
              <c:pt idx="5">
                <c:v>1225</c:v>
              </c:pt>
              <c:pt idx="6">
                <c:v>1477</c:v>
              </c:pt>
            </c:numLit>
          </c:val>
          <c:extLst>
            <c:ext xmlns:c16="http://schemas.microsoft.com/office/drawing/2014/chart" uri="{C3380CC4-5D6E-409C-BE32-E72D297353CC}">
              <c16:uniqueId val="{00000001-6ADF-4886-B1C0-BB65DEFF4C65}"/>
            </c:ext>
          </c:extLst>
        </c:ser>
        <c:dLbls>
          <c:showLegendKey val="0"/>
          <c:showVal val="1"/>
          <c:showCatName val="0"/>
          <c:showSerName val="0"/>
          <c:showPercent val="0"/>
          <c:showBubbleSize val="0"/>
        </c:dLbls>
        <c:gapWidth val="150"/>
        <c:shape val="box"/>
        <c:axId val="1678138224"/>
        <c:axId val="1678138704"/>
        <c:axId val="0"/>
      </c:bar3DChart>
      <c:catAx>
        <c:axId val="167813822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78138704"/>
        <c:crosses val="autoZero"/>
        <c:auto val="1"/>
        <c:lblAlgn val="ctr"/>
        <c:lblOffset val="100"/>
        <c:noMultiLvlLbl val="0"/>
      </c:catAx>
      <c:valAx>
        <c:axId val="1678138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78138224"/>
        <c:crosses val="autoZero"/>
        <c:crossBetween val="between"/>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legend>
      <c:legendPos val="t"/>
      <c:legendEntry>
        <c:idx val="0"/>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53670494313210848"/>
          <c:y val="0.23509040536599593"/>
          <c:w val="0.45922878390201227"/>
          <c:h val="7.5947433654126553E-2"/>
        </c:manualLayout>
      </c:layou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Casual and Registered</a:t>
            </a:r>
            <a:r>
              <a:rPr lang="en-IN" sz="1600" b="1" baseline="0"/>
              <a:t> </a:t>
            </a:r>
            <a:r>
              <a:rPr lang="en-IN" sz="1600" b="1"/>
              <a:t>Bike</a:t>
            </a:r>
            <a:r>
              <a:rPr lang="en-IN" sz="1600" b="1" baseline="0"/>
              <a:t> Rentals </a:t>
            </a:r>
            <a:endParaRPr lang="en-IN" sz="1600" b="1"/>
          </a:p>
        </c:rich>
      </c:tx>
      <c:layout>
        <c:manualLayout>
          <c:xMode val="edge"/>
          <c:yMode val="edge"/>
          <c:x val="5.0361111111111113E-2"/>
          <c:y val="0.128608923884514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5425524934383201"/>
          <c:y val="0.20772929425488482"/>
          <c:w val="0.6012117235345581"/>
          <c:h val="0.57207859434237385"/>
        </c:manualLayout>
      </c:layout>
      <c:bar3DChart>
        <c:barDir val="col"/>
        <c:grouping val="clustered"/>
        <c:varyColors val="0"/>
        <c:ser>
          <c:idx val="0"/>
          <c:order val="0"/>
          <c:tx>
            <c:v>Sum of Casual</c:v>
          </c:tx>
          <c:spPr>
            <a:solidFill>
              <a:schemeClr val="accent6">
                <a:tint val="77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4920</c:v>
              </c:pt>
            </c:numLit>
          </c:val>
          <c:extLst>
            <c:ext xmlns:c16="http://schemas.microsoft.com/office/drawing/2014/chart" uri="{C3380CC4-5D6E-409C-BE32-E72D297353CC}">
              <c16:uniqueId val="{00000000-9BCB-40DD-A54E-686B6EBFB603}"/>
            </c:ext>
          </c:extLst>
        </c:ser>
        <c:ser>
          <c:idx val="1"/>
          <c:order val="1"/>
          <c:tx>
            <c:v>Sum of Registered</c:v>
          </c:tx>
          <c:spPr>
            <a:solidFill>
              <a:schemeClr val="accent6">
                <a:shade val="76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Total</c:v>
              </c:pt>
            </c:strLit>
          </c:cat>
          <c:val>
            <c:numLit>
              <c:formatCode>General</c:formatCode>
              <c:ptCount val="1"/>
              <c:pt idx="0">
                <c:v>53348</c:v>
              </c:pt>
            </c:numLit>
          </c:val>
          <c:extLst>
            <c:ext xmlns:c16="http://schemas.microsoft.com/office/drawing/2014/chart" uri="{C3380CC4-5D6E-409C-BE32-E72D297353CC}">
              <c16:uniqueId val="{00000001-9BCB-40DD-A54E-686B6EBFB603}"/>
            </c:ext>
          </c:extLst>
        </c:ser>
        <c:dLbls>
          <c:showLegendKey val="0"/>
          <c:showVal val="0"/>
          <c:showCatName val="0"/>
          <c:showSerName val="0"/>
          <c:showPercent val="0"/>
          <c:showBubbleSize val="0"/>
        </c:dLbls>
        <c:gapWidth val="150"/>
        <c:shape val="box"/>
        <c:axId val="1524558448"/>
        <c:axId val="1524571408"/>
        <c:axId val="0"/>
      </c:bar3DChart>
      <c:catAx>
        <c:axId val="1524558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4571408"/>
        <c:crosses val="autoZero"/>
        <c:auto val="1"/>
        <c:lblAlgn val="ctr"/>
        <c:lblOffset val="100"/>
        <c:noMultiLvlLbl val="0"/>
      </c:catAx>
      <c:valAx>
        <c:axId val="1524571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245584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layout>
        <c:manualLayout>
          <c:xMode val="edge"/>
          <c:yMode val="edge"/>
          <c:x val="1.3800306211723535E-2"/>
          <c:y val="0.40284667541557306"/>
          <c:w val="0.23342191601049869"/>
          <c:h val="0.306850758238553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Bike</a:t>
            </a:r>
            <a:r>
              <a:rPr lang="en-US" b="1" baseline="0"/>
              <a:t> Rentals in Various months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dLbl>
          <c:idx val="0"/>
          <c:layout>
            <c:manualLayout>
              <c:x val="4.1507024265644954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dLbl>
          <c:idx val="0"/>
          <c:layout>
            <c:manualLayout>
              <c:x val="4.469987228607906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tint val="65000"/>
            </a:schemeClr>
          </a:solidFill>
          <a:ln>
            <a:noFill/>
          </a:ln>
          <a:effectLst/>
          <a:sp3d/>
        </c:spPr>
        <c:dLbl>
          <c:idx val="0"/>
          <c:layout>
            <c:manualLayout>
              <c:x val="3.1928480204342274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tint val="65000"/>
            </a:schemeClr>
          </a:solidFill>
          <a:ln>
            <a:noFill/>
          </a:ln>
          <a:effectLst/>
          <a:sp3d/>
        </c:spPr>
        <c:dLbl>
          <c:idx val="0"/>
          <c:layout>
            <c:manualLayout>
              <c:x val="3.5121328224776503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a:sp3d/>
        </c:spPr>
        <c:dLbl>
          <c:idx val="0"/>
          <c:layout>
            <c:manualLayout>
              <c:x val="4.1507024265644954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a:sp3d/>
        </c:spPr>
        <c:dLbl>
          <c:idx val="0"/>
          <c:layout>
            <c:manualLayout>
              <c:x val="4.469987228607906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tint val="65000"/>
            </a:schemeClr>
          </a:solidFill>
          <a:ln>
            <a:noFill/>
          </a:ln>
          <a:effectLst/>
          <a:sp3d/>
        </c:spPr>
        <c:dLbl>
          <c:idx val="0"/>
          <c:layout>
            <c:manualLayout>
              <c:x val="3.1928480204342274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tint val="65000"/>
            </a:schemeClr>
          </a:solidFill>
          <a:ln>
            <a:noFill/>
          </a:ln>
          <a:effectLst/>
          <a:sp3d/>
        </c:spPr>
        <c:dLbl>
          <c:idx val="0"/>
          <c:layout>
            <c:manualLayout>
              <c:x val="3.5121328224776503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4.1507024265644954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dLbl>
          <c:idx val="0"/>
          <c:layout>
            <c:manualLayout>
              <c:x val="4.469987228607906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3.1928480204342274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3.5121328224776503E-2"/>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020796251043332"/>
          <c:y val="0.26328484981044037"/>
          <c:w val="0.6370337687674098"/>
          <c:h val="0.56552165354330708"/>
        </c:manualLayout>
      </c:layout>
      <c:bar3DChart>
        <c:barDir val="col"/>
        <c:grouping val="clustered"/>
        <c:varyColors val="0"/>
        <c:ser>
          <c:idx val="0"/>
          <c:order val="0"/>
          <c:tx>
            <c:v>Sum of Count</c:v>
          </c:tx>
          <c:spPr>
            <a:solidFill>
              <a:schemeClr val="accent6">
                <a:shade val="6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1</c:v>
              </c:pt>
              <c:pt idx="1">
                <c:v>2</c:v>
              </c:pt>
            </c:strLit>
          </c:cat>
          <c:val>
            <c:numLit>
              <c:formatCode>General</c:formatCode>
              <c:ptCount val="2"/>
              <c:pt idx="0">
                <c:v>38153</c:v>
              </c:pt>
              <c:pt idx="1">
                <c:v>20115</c:v>
              </c:pt>
            </c:numLit>
          </c:val>
          <c:extLst>
            <c:ext xmlns:c16="http://schemas.microsoft.com/office/drawing/2014/chart" uri="{C3380CC4-5D6E-409C-BE32-E72D297353CC}">
              <c16:uniqueId val="{00000000-2095-4D6B-B7F5-F9751C299084}"/>
            </c:ext>
          </c:extLst>
        </c:ser>
        <c:ser>
          <c:idx val="1"/>
          <c:order val="1"/>
          <c:tx>
            <c:v>Sum of Registered</c:v>
          </c:tx>
          <c:spPr>
            <a:solidFill>
              <a:schemeClr val="accent6"/>
            </a:solidFill>
            <a:ln>
              <a:noFill/>
            </a:ln>
            <a:effectLst/>
            <a:sp3d/>
          </c:spPr>
          <c:invertIfNegative val="0"/>
          <c:dLbls>
            <c:dLbl>
              <c:idx val="0"/>
              <c:layout>
                <c:manualLayout>
                  <c:x val="4.150702426564495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095-4D6B-B7F5-F9751C299084}"/>
                </c:ext>
              </c:extLst>
            </c:dLbl>
            <c:dLbl>
              <c:idx val="1"/>
              <c:layout>
                <c:manualLayout>
                  <c:x val="4.4699872286079065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095-4D6B-B7F5-F9751C2990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1</c:v>
              </c:pt>
              <c:pt idx="1">
                <c:v>2</c:v>
              </c:pt>
            </c:strLit>
          </c:cat>
          <c:val>
            <c:numLit>
              <c:formatCode>General</c:formatCode>
              <c:ptCount val="2"/>
              <c:pt idx="0">
                <c:v>35081</c:v>
              </c:pt>
              <c:pt idx="1">
                <c:v>18267</c:v>
              </c:pt>
            </c:numLit>
          </c:val>
          <c:extLst>
            <c:ext xmlns:c16="http://schemas.microsoft.com/office/drawing/2014/chart" uri="{C3380CC4-5D6E-409C-BE32-E72D297353CC}">
              <c16:uniqueId val="{00000003-2095-4D6B-B7F5-F9751C299084}"/>
            </c:ext>
          </c:extLst>
        </c:ser>
        <c:ser>
          <c:idx val="2"/>
          <c:order val="2"/>
          <c:tx>
            <c:v>Sum of Casual</c:v>
          </c:tx>
          <c:spPr>
            <a:solidFill>
              <a:schemeClr val="accent6">
                <a:tint val="65000"/>
              </a:schemeClr>
            </a:solidFill>
            <a:ln>
              <a:noFill/>
            </a:ln>
            <a:effectLst/>
            <a:sp3d/>
          </c:spPr>
          <c:invertIfNegative val="0"/>
          <c:dLbls>
            <c:dLbl>
              <c:idx val="0"/>
              <c:layout>
                <c:manualLayout>
                  <c:x val="3.1928480204342274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95-4D6B-B7F5-F9751C299084}"/>
                </c:ext>
              </c:extLst>
            </c:dLbl>
            <c:dLbl>
              <c:idx val="1"/>
              <c:layout>
                <c:manualLayout>
                  <c:x val="3.5121328224776503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95-4D6B-B7F5-F9751C299084}"/>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1</c:v>
              </c:pt>
              <c:pt idx="1">
                <c:v>2</c:v>
              </c:pt>
            </c:strLit>
          </c:cat>
          <c:val>
            <c:numLit>
              <c:formatCode>General</c:formatCode>
              <c:ptCount val="2"/>
              <c:pt idx="0">
                <c:v>3072</c:v>
              </c:pt>
              <c:pt idx="1">
                <c:v>1848</c:v>
              </c:pt>
            </c:numLit>
          </c:val>
          <c:extLst>
            <c:ext xmlns:c16="http://schemas.microsoft.com/office/drawing/2014/chart" uri="{C3380CC4-5D6E-409C-BE32-E72D297353CC}">
              <c16:uniqueId val="{00000006-2095-4D6B-B7F5-F9751C299084}"/>
            </c:ext>
          </c:extLst>
        </c:ser>
        <c:dLbls>
          <c:showLegendKey val="0"/>
          <c:showVal val="1"/>
          <c:showCatName val="0"/>
          <c:showSerName val="0"/>
          <c:showPercent val="0"/>
          <c:showBubbleSize val="0"/>
        </c:dLbls>
        <c:gapWidth val="150"/>
        <c:shape val="box"/>
        <c:axId val="1004668048"/>
        <c:axId val="1004667088"/>
        <c:axId val="0"/>
      </c:bar3DChart>
      <c:catAx>
        <c:axId val="1004668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67088"/>
        <c:crosses val="autoZero"/>
        <c:auto val="1"/>
        <c:lblAlgn val="ctr"/>
        <c:lblOffset val="100"/>
        <c:noMultiLvlLbl val="0"/>
      </c:catAx>
      <c:valAx>
        <c:axId val="1004667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04668048"/>
        <c:crosses val="autoZero"/>
        <c:crossBetween val="between"/>
      </c:valAx>
      <c:spPr>
        <a:noFill/>
        <a:ln>
          <a:noFill/>
        </a:ln>
        <a:effectLst/>
      </c:spPr>
    </c:plotArea>
    <c:legend>
      <c:legendPos val="r"/>
      <c:layout>
        <c:manualLayout>
          <c:xMode val="edge"/>
          <c:yMode val="edge"/>
          <c:x val="0.77320597138001423"/>
          <c:y val="0.40031277340332466"/>
          <c:w val="0.18847985237477499"/>
          <c:h val="0.4405318606007583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Bike</a:t>
            </a:r>
            <a:r>
              <a:rPr lang="en-US" sz="1600" b="1" baseline="0"/>
              <a:t> Rentals as per Weather </a:t>
            </a:r>
            <a:endParaRPr lang="en-US" sz="1600" b="1"/>
          </a:p>
        </c:rich>
      </c:tx>
      <c:layout>
        <c:manualLayout>
          <c:xMode val="edge"/>
          <c:yMode val="edge"/>
          <c:x val="0.23923600174978127"/>
          <c:y val="4.52755905511811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hade val="65000"/>
            </a:schemeClr>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tint val="65000"/>
            </a:schemeClr>
          </a:solidFill>
          <a:ln w="19050">
            <a:solidFill>
              <a:schemeClr val="lt1"/>
            </a:solidFill>
          </a:ln>
          <a:effectLst/>
        </c:spPr>
      </c:pivotFmt>
      <c:pivotFmt>
        <c:idx val="8"/>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hade val="65000"/>
            </a:schemeClr>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tint val="65000"/>
            </a:schemeClr>
          </a:solidFill>
          <a:ln w="19050">
            <a:solidFill>
              <a:schemeClr val="lt1"/>
            </a:solidFill>
          </a:ln>
          <a:effectLst/>
        </c:spPr>
      </c:pivotFmt>
    </c:pivotFmts>
    <c:plotArea>
      <c:layout>
        <c:manualLayout>
          <c:layoutTarget val="inner"/>
          <c:xMode val="edge"/>
          <c:yMode val="edge"/>
          <c:x val="2.8489720034995652E-2"/>
          <c:y val="0.14717665500145816"/>
          <c:w val="0.46591447944006986"/>
          <c:h val="0.77652413240011653"/>
        </c:manualLayout>
      </c:layout>
      <c:doughnutChart>
        <c:varyColors val="1"/>
        <c:ser>
          <c:idx val="0"/>
          <c:order val="0"/>
          <c:tx>
            <c:v>Total</c:v>
          </c:tx>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AD3B-4424-ABE6-8BA87791C5B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AD3B-4424-ABE6-8BA87791C5B2}"/>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AD3B-4424-ABE6-8BA87791C5B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Clean</c:v>
              </c:pt>
              <c:pt idx="1">
                <c:v>Light Rain</c:v>
              </c:pt>
              <c:pt idx="2">
                <c:v>Misty</c:v>
              </c:pt>
            </c:strLit>
          </c:cat>
          <c:val>
            <c:numLit>
              <c:formatCode>General</c:formatCode>
              <c:ptCount val="3"/>
              <c:pt idx="0">
                <c:v>37373</c:v>
              </c:pt>
              <c:pt idx="1">
                <c:v>2789</c:v>
              </c:pt>
              <c:pt idx="2">
                <c:v>18106</c:v>
              </c:pt>
            </c:numLit>
          </c:val>
          <c:extLst>
            <c:ext xmlns:c16="http://schemas.microsoft.com/office/drawing/2014/chart" uri="{C3380CC4-5D6E-409C-BE32-E72D297353CC}">
              <c16:uniqueId val="{00000006-AD3B-4424-ABE6-8BA87791C5B2}"/>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4032283317919072"/>
          <c:y val="0.83145997375328085"/>
          <c:w val="0.43464279877203899"/>
          <c:h val="8.2514597894364342E-2"/>
        </c:manualLayout>
      </c:layout>
      <c:overlay val="0"/>
      <c:spPr>
        <a:solidFill>
          <a:schemeClr val="bg1">
            <a:alpha val="66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Bike</a:t>
            </a:r>
            <a:r>
              <a:rPr lang="en-US" b="1" baseline="0"/>
              <a:t> Rentals as per Humidity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hade val="76000"/>
            </a:schemeClr>
          </a:solidFill>
          <a:ln w="19050">
            <a:solidFill>
              <a:schemeClr val="lt1"/>
            </a:solidFill>
          </a:ln>
          <a:effectLst/>
        </c:spPr>
      </c:pivotFmt>
      <c:pivotFmt>
        <c:idx val="3"/>
        <c:spPr>
          <a:solidFill>
            <a:schemeClr val="accent6">
              <a:tint val="77000"/>
            </a:schemeClr>
          </a:solidFill>
          <a:ln w="19050">
            <a:solidFill>
              <a:schemeClr val="lt1"/>
            </a:solidFill>
          </a:ln>
          <a:effectLst/>
        </c:spPr>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hade val="76000"/>
            </a:schemeClr>
          </a:solidFill>
          <a:ln w="19050">
            <a:solidFill>
              <a:schemeClr val="lt1"/>
            </a:solidFill>
          </a:ln>
          <a:effectLst/>
        </c:spPr>
      </c:pivotFmt>
      <c:pivotFmt>
        <c:idx val="6"/>
        <c:spPr>
          <a:solidFill>
            <a:schemeClr val="accent6">
              <a:tint val="77000"/>
            </a:schemeClr>
          </a:solidFill>
          <a:ln w="19050">
            <a:solidFill>
              <a:schemeClr val="lt1"/>
            </a:solidFill>
          </a:ln>
          <a:effectLst/>
        </c:spPr>
      </c:pivotFmt>
    </c:pivotFmts>
    <c:plotArea>
      <c:layout>
        <c:manualLayout>
          <c:layoutTarget val="inner"/>
          <c:xMode val="edge"/>
          <c:yMode val="edge"/>
          <c:x val="0.11785914766434542"/>
          <c:y val="0.2291790609507145"/>
          <c:w val="0.53467348373360846"/>
          <c:h val="0.7708209390492855"/>
        </c:manualLayout>
      </c:layout>
      <c:pieChart>
        <c:varyColors val="1"/>
        <c:ser>
          <c:idx val="0"/>
          <c:order val="0"/>
          <c:tx>
            <c:v>Total</c:v>
          </c:tx>
          <c:explosion val="42"/>
          <c:dPt>
            <c:idx val="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1-42D0-4E71-9F6C-F61C5EA9335F}"/>
              </c:ext>
            </c:extLst>
          </c:dPt>
          <c:dPt>
            <c:idx val="1"/>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3-42D0-4E71-9F6C-F61C5EA9335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Acceptable</c:v>
              </c:pt>
              <c:pt idx="1">
                <c:v>Risky</c:v>
              </c:pt>
            </c:strLit>
          </c:cat>
          <c:val>
            <c:numLit>
              <c:formatCode>General</c:formatCode>
              <c:ptCount val="2"/>
              <c:pt idx="0">
                <c:v>46318</c:v>
              </c:pt>
              <c:pt idx="1">
                <c:v>11950</c:v>
              </c:pt>
            </c:numLit>
          </c:val>
          <c:extLst>
            <c:ext xmlns:c16="http://schemas.microsoft.com/office/drawing/2014/chart" uri="{C3380CC4-5D6E-409C-BE32-E72D297353CC}">
              <c16:uniqueId val="{00000004-42D0-4E71-9F6C-F61C5EA9335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8413615928066798"/>
          <c:y val="0.26293926800816569"/>
          <c:w val="0.23603082851637763"/>
          <c:h val="0.223517424905220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9">
  <a:schemeClr val="accent6"/>
</cs:colorStyle>
</file>

<file path=xl/charts/colors8.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563881</xdr:colOff>
      <xdr:row>1</xdr:row>
      <xdr:rowOff>22860</xdr:rowOff>
    </xdr:from>
    <xdr:to>
      <xdr:col>14</xdr:col>
      <xdr:colOff>22861</xdr:colOff>
      <xdr:row>20</xdr:row>
      <xdr:rowOff>13335</xdr:rowOff>
    </xdr:to>
    <xdr:graphicFrame macro="">
      <xdr:nvGraphicFramePr>
        <xdr:cNvPr id="2" name="Chart 1">
          <a:extLst>
            <a:ext uri="{FF2B5EF4-FFF2-40B4-BE49-F238E27FC236}">
              <a16:creationId xmlns:a16="http://schemas.microsoft.com/office/drawing/2014/main" id="{DE51FD65-9536-6DDF-ADC8-FFD9E4476D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6</xdr:col>
      <xdr:colOff>155932</xdr:colOff>
      <xdr:row>0</xdr:row>
      <xdr:rowOff>0</xdr:rowOff>
    </xdr:from>
    <xdr:ext cx="6729022" cy="937629"/>
    <xdr:sp macro="" textlink="">
      <xdr:nvSpPr>
        <xdr:cNvPr id="2" name="Rectangle 1">
          <a:extLst>
            <a:ext uri="{FF2B5EF4-FFF2-40B4-BE49-F238E27FC236}">
              <a16:creationId xmlns:a16="http://schemas.microsoft.com/office/drawing/2014/main" id="{009E46D5-4118-FF2E-7900-A12501BB87AC}"/>
            </a:ext>
          </a:extLst>
        </xdr:cNvPr>
        <xdr:cNvSpPr/>
      </xdr:nvSpPr>
      <xdr:spPr>
        <a:xfrm>
          <a:off x="3813532" y="0"/>
          <a:ext cx="6729022" cy="937629"/>
        </a:xfrm>
        <a:prstGeom prst="rect">
          <a:avLst/>
        </a:prstGeom>
        <a:noFill/>
        <a:ln>
          <a:noFill/>
        </a:ln>
      </xdr:spPr>
      <xdr:txBody>
        <a:bodyPr wrap="none" lIns="91440" tIns="45720" rIns="91440" bIns="45720">
          <a:spAutoFit/>
        </a:bodyPr>
        <a:lstStyle/>
        <a:p>
          <a:pPr algn="ctr"/>
          <a:r>
            <a:rPr lang="en-US" sz="5400" b="1" cap="none" spc="0">
              <a:ln w="13462">
                <a:solidFill>
                  <a:schemeClr val="bg1"/>
                </a:solidFill>
                <a:prstDash val="solid"/>
              </a:ln>
              <a:solidFill>
                <a:schemeClr val="accent6">
                  <a:lumMod val="50000"/>
                </a:schemeClr>
              </a:solidFill>
              <a:effectLst>
                <a:outerShdw dist="38100" dir="2700000" algn="bl" rotWithShape="0">
                  <a:schemeClr val="accent5"/>
                </a:outerShdw>
              </a:effectLst>
            </a:rPr>
            <a:t>Bike</a:t>
          </a:r>
          <a:r>
            <a:rPr lang="en-US" sz="5400" b="1" cap="none" spc="0" baseline="0">
              <a:ln w="13462">
                <a:solidFill>
                  <a:schemeClr val="bg1"/>
                </a:solidFill>
                <a:prstDash val="solid"/>
              </a:ln>
              <a:solidFill>
                <a:schemeClr val="accent6">
                  <a:lumMod val="50000"/>
                </a:schemeClr>
              </a:solidFill>
              <a:effectLst>
                <a:outerShdw dist="38100" dir="2700000" algn="bl" rotWithShape="0">
                  <a:schemeClr val="accent5"/>
                </a:outerShdw>
              </a:effectLst>
            </a:rPr>
            <a:t> Rental Dashboard</a:t>
          </a:r>
          <a:endParaRPr lang="en-US" sz="5400" b="1" cap="none" spc="0">
            <a:ln w="13462">
              <a:solidFill>
                <a:schemeClr val="bg1"/>
              </a:solidFill>
              <a:prstDash val="solid"/>
            </a:ln>
            <a:solidFill>
              <a:schemeClr val="accent6">
                <a:lumMod val="50000"/>
              </a:schemeClr>
            </a:solidFill>
            <a:effectLst>
              <a:outerShdw dist="38100" dir="2700000" algn="bl" rotWithShape="0">
                <a:schemeClr val="accent5"/>
              </a:outerShdw>
            </a:effectLst>
          </a:endParaRPr>
        </a:p>
      </xdr:txBody>
    </xdr:sp>
    <xdr:clientData/>
  </xdr:oneCellAnchor>
  <xdr:oneCellAnchor>
    <xdr:from>
      <xdr:col>11</xdr:col>
      <xdr:colOff>418171</xdr:colOff>
      <xdr:row>3</xdr:row>
      <xdr:rowOff>45535</xdr:rowOff>
    </xdr:from>
    <xdr:ext cx="184730" cy="937629"/>
    <xdr:sp macro="" textlink="">
      <xdr:nvSpPr>
        <xdr:cNvPr id="3" name="Rectangle 2">
          <a:extLst>
            <a:ext uri="{FF2B5EF4-FFF2-40B4-BE49-F238E27FC236}">
              <a16:creationId xmlns:a16="http://schemas.microsoft.com/office/drawing/2014/main" id="{C2B48B14-2EEF-8662-0FEF-4A0402EF1712}"/>
            </a:ext>
          </a:extLst>
        </xdr:cNvPr>
        <xdr:cNvSpPr/>
      </xdr:nvSpPr>
      <xdr:spPr>
        <a:xfrm>
          <a:off x="7123771" y="594175"/>
          <a:ext cx="184730" cy="937629"/>
        </a:xfrm>
        <a:prstGeom prst="rect">
          <a:avLst/>
        </a:prstGeom>
        <a:noFill/>
      </xdr:spPr>
      <xdr:txBody>
        <a:bodyPr wrap="none" lIns="91440" tIns="45720" rIns="91440" bIns="45720">
          <a:spAutoFit/>
        </a:bodyPr>
        <a:lstStyle/>
        <a:p>
          <a:pPr algn="ctr"/>
          <a:endParaRPr lang="en-US" sz="5400" b="1" cap="none" spc="0">
            <a:ln w="13462">
              <a:solidFill>
                <a:schemeClr val="bg1"/>
              </a:solidFill>
              <a:prstDash val="solid"/>
            </a:ln>
            <a:solidFill>
              <a:schemeClr val="tx1">
                <a:lumMod val="85000"/>
                <a:lumOff val="15000"/>
              </a:schemeClr>
            </a:solidFill>
            <a:effectLst>
              <a:outerShdw dist="38100" dir="2700000" algn="bl" rotWithShape="0">
                <a:schemeClr val="accent5"/>
              </a:outerShdw>
            </a:effectLst>
          </a:endParaRPr>
        </a:p>
      </xdr:txBody>
    </xdr:sp>
    <xdr:clientData/>
  </xdr:oneCellAnchor>
  <xdr:twoCellAnchor>
    <xdr:from>
      <xdr:col>17</xdr:col>
      <xdr:colOff>281940</xdr:colOff>
      <xdr:row>0</xdr:row>
      <xdr:rowOff>99060</xdr:rowOff>
    </xdr:from>
    <xdr:to>
      <xdr:col>23</xdr:col>
      <xdr:colOff>243840</xdr:colOff>
      <xdr:row>14</xdr:row>
      <xdr:rowOff>91440</xdr:rowOff>
    </xdr:to>
    <xdr:graphicFrame macro="">
      <xdr:nvGraphicFramePr>
        <xdr:cNvPr id="4" name="Chart 3">
          <a:extLst>
            <a:ext uri="{FF2B5EF4-FFF2-40B4-BE49-F238E27FC236}">
              <a16:creationId xmlns:a16="http://schemas.microsoft.com/office/drawing/2014/main" id="{32613E49-D631-4993-B473-13CBC058E8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22860</xdr:colOff>
      <xdr:row>15</xdr:row>
      <xdr:rowOff>60960</xdr:rowOff>
    </xdr:from>
    <xdr:to>
      <xdr:col>9</xdr:col>
      <xdr:colOff>327660</xdr:colOff>
      <xdr:row>30</xdr:row>
      <xdr:rowOff>60960</xdr:rowOff>
    </xdr:to>
    <xdr:graphicFrame macro="">
      <xdr:nvGraphicFramePr>
        <xdr:cNvPr id="6" name="Chart 5">
          <a:extLst>
            <a:ext uri="{FF2B5EF4-FFF2-40B4-BE49-F238E27FC236}">
              <a16:creationId xmlns:a16="http://schemas.microsoft.com/office/drawing/2014/main" id="{9F9E6670-033C-4027-8466-3E542683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16</xdr:row>
      <xdr:rowOff>76200</xdr:rowOff>
    </xdr:from>
    <xdr:to>
      <xdr:col>1</xdr:col>
      <xdr:colOff>601980</xdr:colOff>
      <xdr:row>28</xdr:row>
      <xdr:rowOff>152400</xdr:rowOff>
    </xdr:to>
    <mc:AlternateContent xmlns:mc="http://schemas.openxmlformats.org/markup-compatibility/2006" xmlns:a14="http://schemas.microsoft.com/office/drawing/2010/main">
      <mc:Choice Requires="a14">
        <xdr:graphicFrame macro="">
          <xdr:nvGraphicFramePr>
            <xdr:cNvPr id="7" name="Windspeed 1">
              <a:extLst>
                <a:ext uri="{FF2B5EF4-FFF2-40B4-BE49-F238E27FC236}">
                  <a16:creationId xmlns:a16="http://schemas.microsoft.com/office/drawing/2014/main" id="{68BC580E-DAEA-4917-B250-97E97A4741E1}"/>
                </a:ext>
              </a:extLst>
            </xdr:cNvPr>
            <xdr:cNvGraphicFramePr/>
          </xdr:nvGraphicFramePr>
          <xdr:xfrm>
            <a:off x="0" y="0"/>
            <a:ext cx="0" cy="0"/>
          </xdr:xfrm>
          <a:graphic>
            <a:graphicData uri="http://schemas.microsoft.com/office/drawing/2010/slicer">
              <sle:slicer xmlns:sle="http://schemas.microsoft.com/office/drawing/2010/slicer" name="Windspeed 1"/>
            </a:graphicData>
          </a:graphic>
        </xdr:graphicFrame>
      </mc:Choice>
      <mc:Fallback xmlns="">
        <xdr:sp macro="" textlink="">
          <xdr:nvSpPr>
            <xdr:cNvPr id="0" name=""/>
            <xdr:cNvSpPr>
              <a:spLocks noTextEdit="1"/>
            </xdr:cNvSpPr>
          </xdr:nvSpPr>
          <xdr:spPr>
            <a:xfrm>
              <a:off x="0" y="3002280"/>
              <a:ext cx="1211580" cy="2270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381000</xdr:colOff>
      <xdr:row>2</xdr:row>
      <xdr:rowOff>45720</xdr:rowOff>
    </xdr:from>
    <xdr:to>
      <xdr:col>17</xdr:col>
      <xdr:colOff>76200</xdr:colOff>
      <xdr:row>17</xdr:row>
      <xdr:rowOff>45720</xdr:rowOff>
    </xdr:to>
    <xdr:graphicFrame macro="">
      <xdr:nvGraphicFramePr>
        <xdr:cNvPr id="8" name="Chart 7">
          <a:extLst>
            <a:ext uri="{FF2B5EF4-FFF2-40B4-BE49-F238E27FC236}">
              <a16:creationId xmlns:a16="http://schemas.microsoft.com/office/drawing/2014/main" id="{00284CDC-32C7-4EE6-B7F1-0CC5652C9C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297180</xdr:colOff>
      <xdr:row>4</xdr:row>
      <xdr:rowOff>99060</xdr:rowOff>
    </xdr:from>
    <xdr:to>
      <xdr:col>9</xdr:col>
      <xdr:colOff>91440</xdr:colOff>
      <xdr:row>14</xdr:row>
      <xdr:rowOff>144780</xdr:rowOff>
    </xdr:to>
    <mc:AlternateContent xmlns:mc="http://schemas.openxmlformats.org/markup-compatibility/2006" xmlns:a14="http://schemas.microsoft.com/office/drawing/2010/main">
      <mc:Choice Requires="a14">
        <xdr:graphicFrame macro="">
          <xdr:nvGraphicFramePr>
            <xdr:cNvPr id="9" name="Days 1">
              <a:extLst>
                <a:ext uri="{FF2B5EF4-FFF2-40B4-BE49-F238E27FC236}">
                  <a16:creationId xmlns:a16="http://schemas.microsoft.com/office/drawing/2014/main" id="{A7B3E4C2-0FF2-4178-A9CB-C5D463370754}"/>
                </a:ext>
              </a:extLst>
            </xdr:cNvPr>
            <xdr:cNvGraphicFramePr/>
          </xdr:nvGraphicFramePr>
          <xdr:xfrm>
            <a:off x="0" y="0"/>
            <a:ext cx="0" cy="0"/>
          </xdr:xfrm>
          <a:graphic>
            <a:graphicData uri="http://schemas.microsoft.com/office/drawing/2010/slicer">
              <sle:slicer xmlns:sle="http://schemas.microsoft.com/office/drawing/2010/slicer" name="Days 1"/>
            </a:graphicData>
          </a:graphic>
        </xdr:graphicFrame>
      </mc:Choice>
      <mc:Fallback xmlns="">
        <xdr:sp macro="" textlink="">
          <xdr:nvSpPr>
            <xdr:cNvPr id="0" name=""/>
            <xdr:cNvSpPr>
              <a:spLocks noTextEdit="1"/>
            </xdr:cNvSpPr>
          </xdr:nvSpPr>
          <xdr:spPr>
            <a:xfrm>
              <a:off x="3954780" y="830580"/>
              <a:ext cx="1623060" cy="1874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144780</xdr:colOff>
      <xdr:row>14</xdr:row>
      <xdr:rowOff>152400</xdr:rowOff>
    </xdr:from>
    <xdr:to>
      <xdr:col>24</xdr:col>
      <xdr:colOff>22860</xdr:colOff>
      <xdr:row>29</xdr:row>
      <xdr:rowOff>152400</xdr:rowOff>
    </xdr:to>
    <xdr:graphicFrame macro="">
      <xdr:nvGraphicFramePr>
        <xdr:cNvPr id="10" name="Chart 9">
          <a:extLst>
            <a:ext uri="{FF2B5EF4-FFF2-40B4-BE49-F238E27FC236}">
              <a16:creationId xmlns:a16="http://schemas.microsoft.com/office/drawing/2014/main" id="{D4C3D56F-12D7-4CD6-B0D4-5B423A05AE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548640</xdr:colOff>
      <xdr:row>17</xdr:row>
      <xdr:rowOff>121920</xdr:rowOff>
    </xdr:from>
    <xdr:to>
      <xdr:col>17</xdr:col>
      <xdr:colOff>83820</xdr:colOff>
      <xdr:row>32</xdr:row>
      <xdr:rowOff>121920</xdr:rowOff>
    </xdr:to>
    <xdr:graphicFrame macro="">
      <xdr:nvGraphicFramePr>
        <xdr:cNvPr id="11" name="Chart 10">
          <a:extLst>
            <a:ext uri="{FF2B5EF4-FFF2-40B4-BE49-F238E27FC236}">
              <a16:creationId xmlns:a16="http://schemas.microsoft.com/office/drawing/2014/main" id="{1240CD78-850B-4CA4-824B-57E3A78F8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190500</xdr:colOff>
      <xdr:row>30</xdr:row>
      <xdr:rowOff>15240</xdr:rowOff>
    </xdr:from>
    <xdr:to>
      <xdr:col>21</xdr:col>
      <xdr:colOff>45720</xdr:colOff>
      <xdr:row>37</xdr:row>
      <xdr:rowOff>160020</xdr:rowOff>
    </xdr:to>
    <mc:AlternateContent xmlns:mc="http://schemas.openxmlformats.org/markup-compatibility/2006" xmlns:tsle="http://schemas.microsoft.com/office/drawing/2012/timeslicer">
      <mc:Choice Requires="tsle">
        <xdr:graphicFrame macro="">
          <xdr:nvGraphicFramePr>
            <xdr:cNvPr id="12" name="Date 1">
              <a:extLst>
                <a:ext uri="{FF2B5EF4-FFF2-40B4-BE49-F238E27FC236}">
                  <a16:creationId xmlns:a16="http://schemas.microsoft.com/office/drawing/2014/main" id="{349B13C4-45C0-44D4-9E98-96160D0210A7}"/>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0553700" y="5501640"/>
              <a:ext cx="2293620" cy="142494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0</xdr:colOff>
      <xdr:row>0</xdr:row>
      <xdr:rowOff>0</xdr:rowOff>
    </xdr:from>
    <xdr:to>
      <xdr:col>6</xdr:col>
      <xdr:colOff>68577</xdr:colOff>
      <xdr:row>14</xdr:row>
      <xdr:rowOff>152400</xdr:rowOff>
    </xdr:to>
    <xdr:graphicFrame macro="">
      <xdr:nvGraphicFramePr>
        <xdr:cNvPr id="13" name="Chart 12">
          <a:extLst>
            <a:ext uri="{FF2B5EF4-FFF2-40B4-BE49-F238E27FC236}">
              <a16:creationId xmlns:a16="http://schemas.microsoft.com/office/drawing/2014/main" id="{3013FEE9-A78C-4877-8010-E120AAE0D5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xdr:col>
      <xdr:colOff>211666</xdr:colOff>
      <xdr:row>4</xdr:row>
      <xdr:rowOff>8467</xdr:rowOff>
    </xdr:from>
    <xdr:to>
      <xdr:col>5</xdr:col>
      <xdr:colOff>575733</xdr:colOff>
      <xdr:row>10</xdr:row>
      <xdr:rowOff>79586</xdr:rowOff>
    </xdr:to>
    <mc:AlternateContent xmlns:mc="http://schemas.openxmlformats.org/markup-compatibility/2006" xmlns:a14="http://schemas.microsoft.com/office/drawing/2010/main">
      <mc:Choice Requires="a14">
        <xdr:graphicFrame macro="">
          <xdr:nvGraphicFramePr>
            <xdr:cNvPr id="14" name="Weather 1">
              <a:extLst>
                <a:ext uri="{FF2B5EF4-FFF2-40B4-BE49-F238E27FC236}">
                  <a16:creationId xmlns:a16="http://schemas.microsoft.com/office/drawing/2014/main" id="{94B9D3E6-35EF-478D-83D7-C216419C63C5}"/>
                </a:ext>
              </a:extLst>
            </xdr:cNvPr>
            <xdr:cNvGraphicFramePr/>
          </xdr:nvGraphicFramePr>
          <xdr:xfrm>
            <a:off x="0" y="0"/>
            <a:ext cx="0" cy="0"/>
          </xdr:xfrm>
          <a:graphic>
            <a:graphicData uri="http://schemas.microsoft.com/office/drawing/2010/slicer">
              <sle:slicer xmlns:sle="http://schemas.microsoft.com/office/drawing/2010/slicer" name="Weather 1"/>
            </a:graphicData>
          </a:graphic>
        </xdr:graphicFrame>
      </mc:Choice>
      <mc:Fallback xmlns="">
        <xdr:sp macro="" textlink="">
          <xdr:nvSpPr>
            <xdr:cNvPr id="0" name=""/>
            <xdr:cNvSpPr>
              <a:spLocks noTextEdit="1"/>
            </xdr:cNvSpPr>
          </xdr:nvSpPr>
          <xdr:spPr>
            <a:xfrm>
              <a:off x="2040466" y="753534"/>
              <a:ext cx="1583267" cy="1188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414867</xdr:colOff>
      <xdr:row>5</xdr:row>
      <xdr:rowOff>50800</xdr:rowOff>
    </xdr:from>
    <xdr:to>
      <xdr:col>22</xdr:col>
      <xdr:colOff>452967</xdr:colOff>
      <xdr:row>10</xdr:row>
      <xdr:rowOff>18626</xdr:rowOff>
    </xdr:to>
    <mc:AlternateContent xmlns:mc="http://schemas.openxmlformats.org/markup-compatibility/2006" xmlns:a14="http://schemas.microsoft.com/office/drawing/2010/main">
      <mc:Choice Requires="a14">
        <xdr:graphicFrame macro="">
          <xdr:nvGraphicFramePr>
            <xdr:cNvPr id="15" name="Temperature Situation   1">
              <a:extLst>
                <a:ext uri="{FF2B5EF4-FFF2-40B4-BE49-F238E27FC236}">
                  <a16:creationId xmlns:a16="http://schemas.microsoft.com/office/drawing/2014/main" id="{D58E88AC-69BF-437D-BAB4-DF5FF73DDABE}"/>
                </a:ext>
              </a:extLst>
            </xdr:cNvPr>
            <xdr:cNvGraphicFramePr/>
          </xdr:nvGraphicFramePr>
          <xdr:xfrm>
            <a:off x="0" y="0"/>
            <a:ext cx="0" cy="0"/>
          </xdr:xfrm>
          <a:graphic>
            <a:graphicData uri="http://schemas.microsoft.com/office/drawing/2010/slicer">
              <sle:slicer xmlns:sle="http://schemas.microsoft.com/office/drawing/2010/slicer" name="Temperature Situation   1"/>
            </a:graphicData>
          </a:graphic>
        </xdr:graphicFrame>
      </mc:Choice>
      <mc:Fallback xmlns="">
        <xdr:sp macro="" textlink="">
          <xdr:nvSpPr>
            <xdr:cNvPr id="0" name=""/>
            <xdr:cNvSpPr>
              <a:spLocks noTextEdit="1"/>
            </xdr:cNvSpPr>
          </xdr:nvSpPr>
          <xdr:spPr>
            <a:xfrm>
              <a:off x="12606867" y="965200"/>
              <a:ext cx="1257300" cy="8822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414867</xdr:colOff>
      <xdr:row>0</xdr:row>
      <xdr:rowOff>84667</xdr:rowOff>
    </xdr:from>
    <xdr:to>
      <xdr:col>30</xdr:col>
      <xdr:colOff>102447</xdr:colOff>
      <xdr:row>15</xdr:row>
      <xdr:rowOff>33867</xdr:rowOff>
    </xdr:to>
    <xdr:graphicFrame macro="">
      <xdr:nvGraphicFramePr>
        <xdr:cNvPr id="5" name="Chart 4">
          <a:extLst>
            <a:ext uri="{FF2B5EF4-FFF2-40B4-BE49-F238E27FC236}">
              <a16:creationId xmlns:a16="http://schemas.microsoft.com/office/drawing/2014/main" id="{0223B2D2-AE39-4DF7-A11B-63511E4284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31.002864004629" createdVersion="8" refreshedVersion="8" minRefreshableVersion="3" recordCount="999" xr:uid="{D9062DD5-EBCC-490D-AD93-07CC9261CA7A}">
  <cacheSource type="worksheet">
    <worksheetSource name="Append1"/>
  </cacheSource>
  <cacheFields count="19">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acheField>
    <cacheField name="Month" numFmtId="0">
      <sharedItems containsSemiMixedTypes="0" containsString="0" containsNumber="1" containsInteger="1" minValue="1" maxValue="2"/>
    </cacheField>
    <cacheField name="Hour" numFmtId="0">
      <sharedItems containsSemiMixedTypes="0" containsString="0" containsNumber="1" containsInteger="1" minValue="0" maxValue="23"/>
    </cacheField>
    <cacheField name="Holiday" numFmtId="0">
      <sharedItems/>
    </cacheField>
    <cacheField name="Weekday" numFmtId="0">
      <sharedItems containsSemiMixedTypes="0" containsString="0" containsNumber="1" containsInteger="1" minValue="0" maxValue="6"/>
    </cacheField>
    <cacheField name="Weekend" numFmtId="0">
      <sharedItems/>
    </cacheField>
    <cacheField name="Days" numFmtId="0">
      <sharedItems/>
    </cacheField>
    <cacheField name="Weather Situation" numFmtId="0">
      <sharedItems containsSemiMixedTypes="0" containsString="0" containsNumber="1" containsInteger="1" minValue="1" maxValue="3"/>
    </cacheField>
    <cacheField name="Weather" numFmtId="0">
      <sharedItems count="3">
        <s v="Clean"/>
        <s v="Misty"/>
        <s v="Light Rain"/>
      </sharedItems>
    </cacheField>
    <cacheField name="Temperature "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Temperature Situation  " numFmtId="0">
      <sharedItems count="2">
        <s v="Safe"/>
        <s v="Risky"/>
      </sharedItems>
    </cacheField>
    <cacheField name="Revised Atemp" numFmtId="0">
      <sharedItems containsSemiMixedTypes="0" containsString="0" containsNumber="1" minValue="0" maxValue="0.45450000000000002"/>
    </cacheField>
    <cacheField name="Humidity" numFmtId="0">
      <sharedItems containsSemiMixedTypes="0" containsString="0" containsNumber="1" minValue="0.21" maxValue="1"/>
    </cacheField>
    <cacheField name="Humidity Check" numFmtId="0">
      <sharedItems/>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ount"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14430804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8.06558263889" createdVersion="8" refreshedVersion="8" minRefreshableVersion="3" recordCount="999" xr:uid="{CFB8C24C-F2BB-40F7-91BE-607B253EFEF0}">
  <cacheSource type="worksheet">
    <worksheetSource name="Append1"/>
  </cacheSource>
  <cacheFields count="19">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acheField>
    <cacheField name="Month" numFmtId="0">
      <sharedItems containsSemiMixedTypes="0" containsString="0" containsNumber="1" containsInteger="1" minValue="1" maxValue="2"/>
    </cacheField>
    <cacheField name="Hour" numFmtId="0">
      <sharedItems containsSemiMixedTypes="0" containsString="0" containsNumber="1" containsInteger="1" minValue="0" maxValue="23"/>
    </cacheField>
    <cacheField name="Holiday" numFmtId="0">
      <sharedItems/>
    </cacheField>
    <cacheField name="Weekday" numFmtId="0">
      <sharedItems containsSemiMixedTypes="0" containsString="0" containsNumber="1" containsInteger="1" minValue="0" maxValue="6"/>
    </cacheField>
    <cacheField name="Weekend" numFmtId="0">
      <sharedItems count="2">
        <s v="Yes"/>
        <s v="No"/>
      </sharedItems>
    </cacheField>
    <cacheField name="Days" numFmtId="0">
      <sharedItems count="7">
        <s v="Saturday"/>
        <s v="Sunday"/>
        <s v="Monday"/>
        <s v="Tuesday"/>
        <s v="Wednesday"/>
        <s v="Thursday"/>
        <s v="Friday"/>
      </sharedItems>
    </cacheField>
    <cacheField name="Weather Situation" numFmtId="0">
      <sharedItems containsSemiMixedTypes="0" containsString="0" containsNumber="1" containsInteger="1" minValue="1" maxValue="3" count="3">
        <n v="1"/>
        <n v="2"/>
        <n v="3"/>
      </sharedItems>
    </cacheField>
    <cacheField name="Weather" numFmtId="0">
      <sharedItems count="3">
        <s v="Clean"/>
        <s v="Misty"/>
        <s v="Light Rain"/>
      </sharedItems>
    </cacheField>
    <cacheField name="Temperature " numFmtId="0">
      <sharedItems containsSemiMixedTypes="0" containsString="0" containsNumber="1" minValue="0.02" maxValue="0.46"/>
    </cacheField>
    <cacheField name="Temperature Situation  " numFmtId="0">
      <sharedItems count="2">
        <s v="Safe"/>
        <s v="Risky"/>
      </sharedItems>
    </cacheField>
    <cacheField name="Revised Atemp" numFmtId="0">
      <sharedItems containsSemiMixedTypes="0" containsString="0" containsNumber="1" minValue="0" maxValue="0.45450000000000002"/>
    </cacheField>
    <cacheField name="Humidity" numFmtId="0">
      <sharedItems containsSemiMixedTypes="0" containsString="0" containsNumber="1" minValue="0.21" maxValue="1"/>
    </cacheField>
    <cacheField name="Humidity Check" numFmtId="0">
      <sharedItems count="2">
        <s v="Risky"/>
        <s v="Acceptable"/>
      </sharedItems>
    </cacheField>
    <cacheField name="Windspeed" numFmtId="0">
      <sharedItems containsSemiMixedTypes="0" containsString="0" containsNumber="1" minValue="0" maxValue="0.58209999999999995" count="20">
        <n v="0"/>
        <n v="8.9599999999999999E-2"/>
        <n v="0.25369999999999998"/>
        <n v="0.28360000000000002"/>
        <n v="0.29849999999999999"/>
        <n v="0.19400000000000001"/>
        <n v="0.22389999999999999"/>
        <n v="0.1343"/>
        <n v="0.16420000000000001"/>
        <n v="0.32840000000000003"/>
        <n v="0.44779999999999998"/>
        <n v="0.35820000000000002"/>
        <n v="0.41789999999999999"/>
        <n v="0.3881"/>
        <n v="0.1045"/>
        <n v="0.49249999999999999"/>
        <n v="0.55220000000000002"/>
        <n v="0.4627"/>
        <n v="0.52239999999999998"/>
        <n v="0.58209999999999995"/>
      </sharedItems>
    </cacheField>
    <cacheField name="Casual" numFmtId="0">
      <sharedItems containsSemiMixedTypes="0" containsString="0" containsNumber="1" containsInteger="1" minValue="0" maxValue="62" count="42">
        <n v="3"/>
        <n v="8"/>
        <n v="5"/>
        <n v="0"/>
        <n v="2"/>
        <n v="1"/>
        <n v="12"/>
        <n v="26"/>
        <n v="29"/>
        <n v="47"/>
        <n v="35"/>
        <n v="40"/>
        <n v="41"/>
        <n v="15"/>
        <n v="9"/>
        <n v="6"/>
        <n v="11"/>
        <n v="4"/>
        <n v="7"/>
        <n v="16"/>
        <n v="20"/>
        <n v="19"/>
        <n v="10"/>
        <n v="13"/>
        <n v="14"/>
        <n v="18"/>
        <n v="17"/>
        <n v="21"/>
        <n v="33"/>
        <n v="23"/>
        <n v="22"/>
        <n v="24"/>
        <n v="28"/>
        <n v="48"/>
        <n v="52"/>
        <n v="42"/>
        <n v="30"/>
        <n v="27"/>
        <n v="32"/>
        <n v="58"/>
        <n v="62"/>
        <n v="51"/>
      </sharedItems>
    </cacheField>
    <cacheField name="Registered" numFmtId="0">
      <sharedItems containsSemiMixedTypes="0" containsString="0" containsNumber="1" containsInteger="1" minValue="0" maxValue="247" count="186">
        <n v="13"/>
        <n v="32"/>
        <n v="27"/>
        <n v="10"/>
        <n v="1"/>
        <n v="0"/>
        <n v="2"/>
        <n v="7"/>
        <n v="6"/>
        <n v="24"/>
        <n v="30"/>
        <n v="55"/>
        <n v="47"/>
        <n v="71"/>
        <n v="70"/>
        <n v="52"/>
        <n v="26"/>
        <n v="31"/>
        <n v="25"/>
        <n v="17"/>
        <n v="16"/>
        <n v="8"/>
        <n v="4"/>
        <n v="19"/>
        <n v="46"/>
        <n v="54"/>
        <n v="73"/>
        <n v="64"/>
        <n v="67"/>
        <n v="58"/>
        <n v="43"/>
        <n v="29"/>
        <n v="20"/>
        <n v="9"/>
        <n v="5"/>
        <n v="3"/>
        <n v="63"/>
        <n v="153"/>
        <n v="81"/>
        <n v="33"/>
        <n v="41"/>
        <n v="48"/>
        <n v="53"/>
        <n v="66"/>
        <n v="146"/>
        <n v="148"/>
        <n v="102"/>
        <n v="49"/>
        <n v="11"/>
        <n v="36"/>
        <n v="92"/>
        <n v="177"/>
        <n v="98"/>
        <n v="37"/>
        <n v="50"/>
        <n v="79"/>
        <n v="68"/>
        <n v="202"/>
        <n v="179"/>
        <n v="110"/>
        <n v="34"/>
        <n v="87"/>
        <n v="192"/>
        <n v="109"/>
        <n v="74"/>
        <n v="65"/>
        <n v="85"/>
        <n v="186"/>
        <n v="166"/>
        <n v="127"/>
        <n v="82"/>
        <n v="40"/>
        <n v="18"/>
        <n v="95"/>
        <n v="216"/>
        <n v="116"/>
        <n v="42"/>
        <n v="57"/>
        <n v="78"/>
        <n v="59"/>
        <n v="163"/>
        <n v="158"/>
        <n v="51"/>
        <n v="76"/>
        <n v="190"/>
        <n v="125"/>
        <n v="178"/>
        <n v="39"/>
        <n v="14"/>
        <n v="15"/>
        <n v="56"/>
        <n v="60"/>
        <n v="90"/>
        <n v="83"/>
        <n v="69"/>
        <n v="28"/>
        <n v="35"/>
        <n v="22"/>
        <n v="12"/>
        <n v="77"/>
        <n v="44"/>
        <n v="38"/>
        <n v="75"/>
        <n v="184"/>
        <n v="174"/>
        <n v="154"/>
        <n v="97"/>
        <n v="214"/>
        <n v="45"/>
        <n v="72"/>
        <n v="130"/>
        <n v="94"/>
        <n v="139"/>
        <n v="135"/>
        <n v="197"/>
        <n v="137"/>
        <n v="141"/>
        <n v="156"/>
        <n v="117"/>
        <n v="155"/>
        <n v="134"/>
        <n v="89"/>
        <n v="80"/>
        <n v="108"/>
        <n v="61"/>
        <n v="124"/>
        <n v="132"/>
        <n v="196"/>
        <n v="107"/>
        <n v="100"/>
        <n v="247"/>
        <n v="140"/>
        <n v="86"/>
        <n v="62"/>
        <n v="207"/>
        <n v="210"/>
        <n v="159"/>
        <n v="151"/>
        <n v="119"/>
        <n v="93"/>
        <n v="23"/>
        <n v="171"/>
        <n v="145"/>
        <n v="101"/>
        <n v="21"/>
        <n v="103"/>
        <n v="233"/>
        <n v="208"/>
        <n v="218"/>
        <n v="133"/>
        <n v="147"/>
        <n v="84"/>
        <n v="88"/>
        <n v="104"/>
        <n v="182"/>
        <n v="112"/>
        <n v="114"/>
        <n v="172"/>
        <n v="165"/>
        <n v="105"/>
        <n v="183"/>
        <n v="175"/>
        <n v="170"/>
        <n v="217"/>
        <n v="91"/>
        <n v="195"/>
        <n v="152"/>
        <n v="126"/>
        <n v="115"/>
        <n v="223"/>
        <n v="123"/>
        <n v="236"/>
        <n v="128"/>
        <n v="198"/>
        <n v="157"/>
        <n v="168"/>
        <n v="99"/>
        <n v="173"/>
        <n v="121"/>
        <n v="212"/>
        <n v="111"/>
        <n v="193"/>
        <n v="113"/>
        <n v="122"/>
        <n v="106"/>
        <n v="96"/>
      </sharedItems>
    </cacheField>
    <cacheField name="Count"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150044853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29.602730324077" createdVersion="8" refreshedVersion="8" minRefreshableVersion="3" recordCount="999" xr:uid="{99889B5A-536F-4F18-A4B3-B5804C06CA75}">
  <cacheSource type="worksheet">
    <worksheetSource name="Append1"/>
  </cacheSource>
  <cacheFields count="19">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Month" numFmtId="0">
      <sharedItems containsSemiMixedTypes="0" containsString="0" containsNumber="1" containsInteger="1" minValue="1" maxValue="2" count="2">
        <n v="1"/>
        <n v="2"/>
      </sharedItems>
    </cacheField>
    <cacheField name="Hour" numFmtId="0">
      <sharedItems containsSemiMixedTypes="0" containsString="0" containsNumber="1" containsInteger="1" minValue="0" maxValue="23"/>
    </cacheField>
    <cacheField name="Holiday" numFmtId="0">
      <sharedItems/>
    </cacheField>
    <cacheField name="Weekday" numFmtId="0">
      <sharedItems containsSemiMixedTypes="0" containsString="0" containsNumber="1" containsInteger="1" minValue="0" maxValue="6"/>
    </cacheField>
    <cacheField name="Weekend" numFmtId="0">
      <sharedItems/>
    </cacheField>
    <cacheField name="Days" numFmtId="0">
      <sharedItems/>
    </cacheField>
    <cacheField name="Weather Situation" numFmtId="0">
      <sharedItems containsSemiMixedTypes="0" containsString="0" containsNumber="1" containsInteger="1" minValue="1" maxValue="3"/>
    </cacheField>
    <cacheField name="Weather" numFmtId="0">
      <sharedItems/>
    </cacheField>
    <cacheField name="Temperature " numFmtId="0">
      <sharedItems containsSemiMixedTypes="0" containsString="0" containsNumber="1" minValue="0.02" maxValue="0.46"/>
    </cacheField>
    <cacheField name="Temperature Situation  " numFmtId="0">
      <sharedItems/>
    </cacheField>
    <cacheField name="Revised Atemp" numFmtId="0">
      <sharedItems containsSemiMixedTypes="0" containsString="0" containsNumber="1" minValue="0" maxValue="0.45450000000000002"/>
    </cacheField>
    <cacheField name="Humidity" numFmtId="0">
      <sharedItems containsSemiMixedTypes="0" containsString="0" containsNumber="1" minValue="0.21" maxValue="1"/>
    </cacheField>
    <cacheField name="Humidity Check" numFmtId="0">
      <sharedItems/>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ount="186">
        <n v="13"/>
        <n v="32"/>
        <n v="27"/>
        <n v="10"/>
        <n v="1"/>
        <n v="0"/>
        <n v="2"/>
        <n v="7"/>
        <n v="6"/>
        <n v="24"/>
        <n v="30"/>
        <n v="55"/>
        <n v="47"/>
        <n v="71"/>
        <n v="70"/>
        <n v="52"/>
        <n v="26"/>
        <n v="31"/>
        <n v="25"/>
        <n v="17"/>
        <n v="16"/>
        <n v="8"/>
        <n v="4"/>
        <n v="19"/>
        <n v="46"/>
        <n v="54"/>
        <n v="73"/>
        <n v="64"/>
        <n v="67"/>
        <n v="58"/>
        <n v="43"/>
        <n v="29"/>
        <n v="20"/>
        <n v="9"/>
        <n v="5"/>
        <n v="3"/>
        <n v="63"/>
        <n v="153"/>
        <n v="81"/>
        <n v="33"/>
        <n v="41"/>
        <n v="48"/>
        <n v="53"/>
        <n v="66"/>
        <n v="146"/>
        <n v="148"/>
        <n v="102"/>
        <n v="49"/>
        <n v="11"/>
        <n v="36"/>
        <n v="92"/>
        <n v="177"/>
        <n v="98"/>
        <n v="37"/>
        <n v="50"/>
        <n v="79"/>
        <n v="68"/>
        <n v="202"/>
        <n v="179"/>
        <n v="110"/>
        <n v="34"/>
        <n v="87"/>
        <n v="192"/>
        <n v="109"/>
        <n v="74"/>
        <n v="65"/>
        <n v="85"/>
        <n v="186"/>
        <n v="166"/>
        <n v="127"/>
        <n v="82"/>
        <n v="40"/>
        <n v="18"/>
        <n v="95"/>
        <n v="216"/>
        <n v="116"/>
        <n v="42"/>
        <n v="57"/>
        <n v="78"/>
        <n v="59"/>
        <n v="163"/>
        <n v="158"/>
        <n v="51"/>
        <n v="76"/>
        <n v="190"/>
        <n v="125"/>
        <n v="178"/>
        <n v="39"/>
        <n v="14"/>
        <n v="15"/>
        <n v="56"/>
        <n v="60"/>
        <n v="90"/>
        <n v="83"/>
        <n v="69"/>
        <n v="28"/>
        <n v="35"/>
        <n v="22"/>
        <n v="12"/>
        <n v="77"/>
        <n v="44"/>
        <n v="38"/>
        <n v="75"/>
        <n v="184"/>
        <n v="174"/>
        <n v="154"/>
        <n v="97"/>
        <n v="214"/>
        <n v="45"/>
        <n v="72"/>
        <n v="130"/>
        <n v="94"/>
        <n v="139"/>
        <n v="135"/>
        <n v="197"/>
        <n v="137"/>
        <n v="141"/>
        <n v="156"/>
        <n v="117"/>
        <n v="155"/>
        <n v="134"/>
        <n v="89"/>
        <n v="80"/>
        <n v="108"/>
        <n v="61"/>
        <n v="124"/>
        <n v="132"/>
        <n v="196"/>
        <n v="107"/>
        <n v="100"/>
        <n v="247"/>
        <n v="140"/>
        <n v="86"/>
        <n v="62"/>
        <n v="207"/>
        <n v="210"/>
        <n v="159"/>
        <n v="151"/>
        <n v="119"/>
        <n v="93"/>
        <n v="23"/>
        <n v="171"/>
        <n v="145"/>
        <n v="101"/>
        <n v="21"/>
        <n v="103"/>
        <n v="233"/>
        <n v="208"/>
        <n v="218"/>
        <n v="133"/>
        <n v="147"/>
        <n v="84"/>
        <n v="88"/>
        <n v="104"/>
        <n v="182"/>
        <n v="112"/>
        <n v="114"/>
        <n v="172"/>
        <n v="165"/>
        <n v="105"/>
        <n v="183"/>
        <n v="175"/>
        <n v="170"/>
        <n v="217"/>
        <n v="91"/>
        <n v="195"/>
        <n v="152"/>
        <n v="126"/>
        <n v="115"/>
        <n v="223"/>
        <n v="123"/>
        <n v="236"/>
        <n v="128"/>
        <n v="198"/>
        <n v="157"/>
        <n v="168"/>
        <n v="99"/>
        <n v="173"/>
        <n v="121"/>
        <n v="212"/>
        <n v="111"/>
        <n v="193"/>
        <n v="113"/>
        <n v="122"/>
        <n v="106"/>
        <n v="96"/>
      </sharedItems>
    </cacheField>
    <cacheField name="Count" numFmtId="0">
      <sharedItems containsSemiMixedTypes="0" containsString="0" containsNumber="1" containsInteger="1" minValue="1" maxValue="249"/>
    </cacheField>
  </cacheFields>
  <extLst>
    <ext xmlns:x14="http://schemas.microsoft.com/office/spreadsheetml/2009/9/main" uri="{725AE2AE-9491-48be-B2B4-4EB974FC3084}">
      <x14:pivotCacheDefinition pivotCacheId="7362185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n v="1"/>
    <d v="2011-01-01T00:00:00"/>
    <n v="1"/>
    <n v="0"/>
    <b v="0"/>
    <n v="6"/>
    <s v="Yes"/>
    <s v="Saturday"/>
    <n v="1"/>
    <x v="0"/>
    <x v="0"/>
    <x v="0"/>
    <n v="0.28789999999999999"/>
    <n v="0.81"/>
    <s v="Risky"/>
    <n v="0"/>
    <n v="3"/>
    <n v="13"/>
    <n v="16"/>
  </r>
  <r>
    <n v="2"/>
    <d v="2011-01-01T00:00:00"/>
    <n v="1"/>
    <n v="1"/>
    <b v="0"/>
    <n v="6"/>
    <s v="Yes"/>
    <s v="Saturday"/>
    <n v="1"/>
    <x v="0"/>
    <x v="1"/>
    <x v="0"/>
    <n v="0.2727"/>
    <n v="0.8"/>
    <s v="Risky"/>
    <n v="0"/>
    <n v="8"/>
    <n v="32"/>
    <n v="40"/>
  </r>
  <r>
    <n v="3"/>
    <d v="2011-01-01T00:00:00"/>
    <n v="1"/>
    <n v="2"/>
    <b v="0"/>
    <n v="6"/>
    <s v="Yes"/>
    <s v="Saturday"/>
    <n v="1"/>
    <x v="0"/>
    <x v="1"/>
    <x v="0"/>
    <n v="0.2727"/>
    <n v="0.8"/>
    <s v="Risky"/>
    <n v="0"/>
    <n v="5"/>
    <n v="27"/>
    <n v="32"/>
  </r>
  <r>
    <n v="4"/>
    <d v="2011-01-01T00:00:00"/>
    <n v="1"/>
    <n v="3"/>
    <b v="0"/>
    <n v="6"/>
    <s v="Yes"/>
    <s v="Saturday"/>
    <n v="1"/>
    <x v="0"/>
    <x v="0"/>
    <x v="0"/>
    <n v="0.28789999999999999"/>
    <n v="0.75"/>
    <s v="Risky"/>
    <n v="0"/>
    <n v="3"/>
    <n v="10"/>
    <n v="13"/>
  </r>
  <r>
    <n v="5"/>
    <d v="2011-01-01T00:00:00"/>
    <n v="1"/>
    <n v="4"/>
    <b v="0"/>
    <n v="6"/>
    <s v="Yes"/>
    <s v="Saturday"/>
    <n v="1"/>
    <x v="0"/>
    <x v="0"/>
    <x v="0"/>
    <n v="0.28789999999999999"/>
    <n v="0.75"/>
    <s v="Risky"/>
    <n v="0"/>
    <n v="0"/>
    <n v="1"/>
    <n v="1"/>
  </r>
  <r>
    <n v="6"/>
    <d v="2011-01-01T00:00:00"/>
    <n v="1"/>
    <n v="5"/>
    <b v="0"/>
    <n v="6"/>
    <s v="Yes"/>
    <s v="Saturday"/>
    <n v="2"/>
    <x v="1"/>
    <x v="0"/>
    <x v="0"/>
    <n v="0.2576"/>
    <n v="0.75"/>
    <s v="Risky"/>
    <n v="8.9599999999999999E-2"/>
    <n v="0"/>
    <n v="1"/>
    <n v="1"/>
  </r>
  <r>
    <n v="7"/>
    <d v="2011-01-01T00:00:00"/>
    <n v="1"/>
    <n v="6"/>
    <b v="0"/>
    <n v="6"/>
    <s v="Yes"/>
    <s v="Saturday"/>
    <n v="1"/>
    <x v="0"/>
    <x v="1"/>
    <x v="0"/>
    <n v="0.2727"/>
    <n v="0.8"/>
    <s v="Risky"/>
    <n v="0"/>
    <n v="2"/>
    <n v="0"/>
    <n v="2"/>
  </r>
  <r>
    <n v="8"/>
    <d v="2011-01-01T00:00:00"/>
    <n v="1"/>
    <n v="7"/>
    <b v="0"/>
    <n v="6"/>
    <s v="Yes"/>
    <s v="Saturday"/>
    <n v="1"/>
    <x v="0"/>
    <x v="2"/>
    <x v="0"/>
    <n v="0.2576"/>
    <n v="0.86"/>
    <s v="Risky"/>
    <n v="0"/>
    <n v="1"/>
    <n v="2"/>
    <n v="3"/>
  </r>
  <r>
    <n v="9"/>
    <d v="2011-01-01T00:00:00"/>
    <n v="1"/>
    <n v="8"/>
    <b v="0"/>
    <n v="6"/>
    <s v="Yes"/>
    <s v="Saturday"/>
    <n v="1"/>
    <x v="0"/>
    <x v="0"/>
    <x v="0"/>
    <n v="0.19892385786802047"/>
    <n v="0.75"/>
    <s v="Risky"/>
    <n v="0"/>
    <n v="1"/>
    <n v="7"/>
    <n v="8"/>
  </r>
  <r>
    <n v="10"/>
    <d v="2011-01-01T00:00:00"/>
    <n v="1"/>
    <n v="9"/>
    <b v="0"/>
    <n v="6"/>
    <s v="Yes"/>
    <s v="Saturday"/>
    <n v="1"/>
    <x v="0"/>
    <x v="3"/>
    <x v="0"/>
    <n v="0.34849999999999998"/>
    <n v="0.76"/>
    <s v="Risky"/>
    <n v="0"/>
    <n v="8"/>
    <n v="6"/>
    <n v="14"/>
  </r>
  <r>
    <n v="11"/>
    <d v="2011-01-01T00:00:00"/>
    <n v="1"/>
    <n v="10"/>
    <b v="0"/>
    <n v="6"/>
    <s v="Yes"/>
    <s v="Saturday"/>
    <n v="1"/>
    <x v="0"/>
    <x v="4"/>
    <x v="1"/>
    <n v="0.39389999999999997"/>
    <n v="0.76"/>
    <s v="Risky"/>
    <n v="0.25369999999999998"/>
    <n v="12"/>
    <n v="24"/>
    <n v="36"/>
  </r>
  <r>
    <n v="12"/>
    <d v="2011-01-01T00:00:00"/>
    <n v="1"/>
    <n v="11"/>
    <b v="0"/>
    <n v="6"/>
    <s v="Yes"/>
    <s v="Saturday"/>
    <n v="1"/>
    <x v="0"/>
    <x v="5"/>
    <x v="1"/>
    <n v="0.33329999999999999"/>
    <n v="0.81"/>
    <s v="Risky"/>
    <n v="0.28360000000000002"/>
    <n v="26"/>
    <n v="30"/>
    <n v="56"/>
  </r>
  <r>
    <n v="13"/>
    <d v="2011-01-01T00:00:00"/>
    <n v="1"/>
    <n v="12"/>
    <b v="0"/>
    <n v="6"/>
    <s v="Yes"/>
    <s v="Saturday"/>
    <n v="1"/>
    <x v="0"/>
    <x v="6"/>
    <x v="1"/>
    <n v="0.42420000000000002"/>
    <n v="0.77"/>
    <s v="Risky"/>
    <n v="0.28360000000000002"/>
    <n v="29"/>
    <n v="55"/>
    <n v="84"/>
  </r>
  <r>
    <n v="14"/>
    <d v="2011-01-01T00:00:00"/>
    <n v="1"/>
    <n v="13"/>
    <b v="0"/>
    <n v="6"/>
    <s v="Yes"/>
    <s v="Saturday"/>
    <n v="2"/>
    <x v="1"/>
    <x v="7"/>
    <x v="1"/>
    <n v="0.45450000000000002"/>
    <n v="0.72"/>
    <s v="Risky"/>
    <n v="0.29849999999999999"/>
    <n v="47"/>
    <n v="47"/>
    <n v="94"/>
  </r>
  <r>
    <n v="15"/>
    <d v="2011-01-01T00:00:00"/>
    <n v="1"/>
    <n v="14"/>
    <b v="0"/>
    <n v="6"/>
    <s v="Yes"/>
    <s v="Saturday"/>
    <n v="2"/>
    <x v="1"/>
    <x v="7"/>
    <x v="1"/>
    <n v="0.45450000000000002"/>
    <n v="0.72"/>
    <s v="Risky"/>
    <n v="0.28360000000000002"/>
    <n v="35"/>
    <n v="71"/>
    <n v="106"/>
  </r>
  <r>
    <n v="16"/>
    <d v="2011-01-01T00:00:00"/>
    <n v="1"/>
    <n v="15"/>
    <b v="0"/>
    <n v="6"/>
    <s v="Yes"/>
    <s v="Saturday"/>
    <n v="2"/>
    <x v="1"/>
    <x v="8"/>
    <x v="1"/>
    <n v="0.43940000000000001"/>
    <n v="0.77"/>
    <s v="Risky"/>
    <n v="0.29849999999999999"/>
    <n v="40"/>
    <n v="70"/>
    <n v="110"/>
  </r>
  <r>
    <n v="17"/>
    <d v="2011-01-01T00:00:00"/>
    <n v="1"/>
    <n v="16"/>
    <b v="0"/>
    <n v="6"/>
    <s v="Yes"/>
    <s v="Saturday"/>
    <n v="2"/>
    <x v="1"/>
    <x v="6"/>
    <x v="1"/>
    <n v="0.42420000000000002"/>
    <n v="0.82"/>
    <s v="Risky"/>
    <n v="0.29849999999999999"/>
    <n v="41"/>
    <n v="52"/>
    <n v="93"/>
  </r>
  <r>
    <n v="18"/>
    <d v="2011-01-01T00:00:00"/>
    <n v="1"/>
    <n v="17"/>
    <b v="0"/>
    <n v="6"/>
    <s v="Yes"/>
    <s v="Saturday"/>
    <n v="2"/>
    <x v="1"/>
    <x v="8"/>
    <x v="1"/>
    <n v="0.19604030874785608"/>
    <n v="0.82"/>
    <s v="Risky"/>
    <n v="0.28360000000000002"/>
    <n v="15"/>
    <n v="52"/>
    <n v="67"/>
  </r>
  <r>
    <n v="19"/>
    <d v="2011-01-01T00:00:00"/>
    <n v="1"/>
    <n v="18"/>
    <b v="0"/>
    <n v="6"/>
    <s v="Yes"/>
    <s v="Saturday"/>
    <n v="3"/>
    <x v="2"/>
    <x v="6"/>
    <x v="1"/>
    <n v="0.42420000000000002"/>
    <n v="0.88"/>
    <s v="Risky"/>
    <n v="0.25369999999999998"/>
    <n v="9"/>
    <n v="26"/>
    <n v="35"/>
  </r>
  <r>
    <n v="20"/>
    <d v="2011-01-01T00:00:00"/>
    <n v="1"/>
    <n v="19"/>
    <b v="0"/>
    <n v="6"/>
    <s v="Yes"/>
    <s v="Saturday"/>
    <n v="3"/>
    <x v="2"/>
    <x v="6"/>
    <x v="1"/>
    <n v="0.42420000000000002"/>
    <n v="0.88"/>
    <s v="Risky"/>
    <n v="0.25369999999999998"/>
    <n v="6"/>
    <n v="31"/>
    <n v="37"/>
  </r>
  <r>
    <n v="21"/>
    <d v="2011-01-01T00:00:00"/>
    <n v="1"/>
    <n v="20"/>
    <b v="0"/>
    <n v="6"/>
    <s v="Yes"/>
    <s v="Saturday"/>
    <n v="2"/>
    <x v="1"/>
    <x v="9"/>
    <x v="1"/>
    <n v="0.40910000000000002"/>
    <n v="0.87"/>
    <s v="Risky"/>
    <n v="0.25369999999999998"/>
    <n v="11"/>
    <n v="25"/>
    <n v="36"/>
  </r>
  <r>
    <n v="22"/>
    <d v="2011-01-01T00:00:00"/>
    <n v="1"/>
    <n v="21"/>
    <b v="0"/>
    <n v="6"/>
    <s v="Yes"/>
    <s v="Saturday"/>
    <n v="2"/>
    <x v="1"/>
    <x v="9"/>
    <x v="1"/>
    <n v="0.40910000000000002"/>
    <n v="0.87"/>
    <s v="Risky"/>
    <n v="0.19400000000000001"/>
    <n v="3"/>
    <n v="31"/>
    <n v="34"/>
  </r>
  <r>
    <n v="23"/>
    <d v="2011-01-01T00:00:00"/>
    <n v="1"/>
    <n v="22"/>
    <b v="0"/>
    <n v="6"/>
    <s v="Yes"/>
    <s v="Saturday"/>
    <n v="2"/>
    <x v="1"/>
    <x v="9"/>
    <x v="1"/>
    <n v="0.40910000000000002"/>
    <n v="0.94"/>
    <s v="Risky"/>
    <n v="0.22389999999999999"/>
    <n v="11"/>
    <n v="17"/>
    <n v="28"/>
  </r>
  <r>
    <n v="24"/>
    <d v="2011-01-01T00:00:00"/>
    <n v="1"/>
    <n v="23"/>
    <b v="0"/>
    <n v="6"/>
    <s v="Yes"/>
    <s v="Saturday"/>
    <n v="2"/>
    <x v="1"/>
    <x v="7"/>
    <x v="1"/>
    <n v="0.19414498269896208"/>
    <n v="0.88"/>
    <s v="Risky"/>
    <n v="0.29849999999999999"/>
    <n v="15"/>
    <n v="24"/>
    <n v="39"/>
  </r>
  <r>
    <n v="25"/>
    <d v="2011-01-02T00:00:00"/>
    <n v="1"/>
    <n v="0"/>
    <b v="0"/>
    <n v="0"/>
    <s v="Yes"/>
    <s v="Sunday"/>
    <n v="2"/>
    <x v="1"/>
    <x v="7"/>
    <x v="1"/>
    <n v="0.45450000000000002"/>
    <n v="0.88"/>
    <s v="Risky"/>
    <n v="0.29849999999999999"/>
    <n v="4"/>
    <n v="13"/>
    <n v="17"/>
  </r>
  <r>
    <n v="26"/>
    <d v="2011-01-02T00:00:00"/>
    <n v="1"/>
    <n v="1"/>
    <b v="0"/>
    <n v="0"/>
    <s v="Yes"/>
    <s v="Sunday"/>
    <n v="2"/>
    <x v="1"/>
    <x v="8"/>
    <x v="1"/>
    <n v="0.43940000000000001"/>
    <n v="0.94"/>
    <s v="Risky"/>
    <n v="0.25369999999999998"/>
    <n v="1"/>
    <n v="16"/>
    <n v="17"/>
  </r>
  <r>
    <n v="27"/>
    <d v="2011-01-02T00:00:00"/>
    <n v="1"/>
    <n v="2"/>
    <b v="0"/>
    <n v="0"/>
    <s v="Yes"/>
    <s v="Sunday"/>
    <n v="2"/>
    <x v="1"/>
    <x v="6"/>
    <x v="1"/>
    <n v="0.42420000000000002"/>
    <n v="1"/>
    <s v="Risky"/>
    <n v="0.28360000000000002"/>
    <n v="1"/>
    <n v="8"/>
    <n v="9"/>
  </r>
  <r>
    <n v="28"/>
    <d v="2011-01-02T00:00:00"/>
    <n v="1"/>
    <n v="3"/>
    <b v="0"/>
    <n v="0"/>
    <s v="Yes"/>
    <s v="Sunday"/>
    <n v="2"/>
    <x v="1"/>
    <x v="7"/>
    <x v="1"/>
    <n v="0.45450000000000002"/>
    <n v="0.94"/>
    <s v="Risky"/>
    <n v="0.19400000000000001"/>
    <n v="2"/>
    <n v="4"/>
    <n v="6"/>
  </r>
  <r>
    <n v="29"/>
    <d v="2011-01-02T00:00:00"/>
    <n v="1"/>
    <n v="4"/>
    <b v="0"/>
    <n v="0"/>
    <s v="Yes"/>
    <s v="Sunday"/>
    <n v="2"/>
    <x v="1"/>
    <x v="7"/>
    <x v="1"/>
    <n v="0.192409756097561"/>
    <n v="0.94"/>
    <s v="Risky"/>
    <n v="0.19400000000000001"/>
    <n v="2"/>
    <n v="1"/>
    <n v="3"/>
  </r>
  <r>
    <n v="30"/>
    <d v="2011-01-02T00:00:00"/>
    <n v="1"/>
    <n v="6"/>
    <b v="0"/>
    <n v="0"/>
    <s v="Yes"/>
    <s v="Sunday"/>
    <n v="3"/>
    <x v="2"/>
    <x v="6"/>
    <x v="1"/>
    <n v="0.42420000000000002"/>
    <n v="0.77"/>
    <s v="Risky"/>
    <n v="0.29849999999999999"/>
    <n v="0"/>
    <n v="2"/>
    <n v="2"/>
  </r>
  <r>
    <n v="31"/>
    <d v="2011-01-02T00:00:00"/>
    <n v="1"/>
    <n v="7"/>
    <b v="0"/>
    <n v="0"/>
    <s v="Yes"/>
    <s v="Sunday"/>
    <n v="2"/>
    <x v="1"/>
    <x v="9"/>
    <x v="1"/>
    <n v="0.40910000000000002"/>
    <n v="0.76"/>
    <s v="Risky"/>
    <n v="0.19400000000000001"/>
    <n v="0"/>
    <n v="1"/>
    <n v="1"/>
  </r>
  <r>
    <n v="32"/>
    <d v="2011-01-02T00:00:00"/>
    <n v="1"/>
    <n v="8"/>
    <b v="0"/>
    <n v="0"/>
    <s v="Yes"/>
    <s v="Sunday"/>
    <n v="3"/>
    <x v="2"/>
    <x v="9"/>
    <x v="1"/>
    <n v="0.40910000000000002"/>
    <n v="0.71"/>
    <s v="Risky"/>
    <n v="0.22389999999999999"/>
    <n v="0"/>
    <n v="8"/>
    <n v="8"/>
  </r>
  <r>
    <n v="33"/>
    <d v="2011-01-02T00:00:00"/>
    <n v="1"/>
    <n v="9"/>
    <b v="0"/>
    <n v="0"/>
    <s v="Yes"/>
    <s v="Sunday"/>
    <n v="2"/>
    <x v="1"/>
    <x v="4"/>
    <x v="1"/>
    <n v="0.19124483362521896"/>
    <n v="0.76"/>
    <s v="Risky"/>
    <n v="0.22389999999999999"/>
    <n v="1"/>
    <n v="19"/>
    <n v="20"/>
  </r>
  <r>
    <n v="34"/>
    <d v="2011-01-02T00:00:00"/>
    <n v="1"/>
    <n v="10"/>
    <b v="0"/>
    <n v="0"/>
    <s v="Yes"/>
    <s v="Sunday"/>
    <n v="2"/>
    <x v="1"/>
    <x v="5"/>
    <x v="1"/>
    <n v="0.34849999999999998"/>
    <n v="0.81"/>
    <s v="Risky"/>
    <n v="0.22389999999999999"/>
    <n v="7"/>
    <n v="46"/>
    <n v="53"/>
  </r>
  <r>
    <n v="35"/>
    <d v="2011-01-02T00:00:00"/>
    <n v="1"/>
    <n v="11"/>
    <b v="0"/>
    <n v="0"/>
    <s v="Yes"/>
    <s v="Sunday"/>
    <n v="2"/>
    <x v="1"/>
    <x v="5"/>
    <x v="1"/>
    <n v="0.33329999999999999"/>
    <n v="0.71"/>
    <s v="Risky"/>
    <n v="0.25369999999999998"/>
    <n v="16"/>
    <n v="54"/>
    <n v="70"/>
  </r>
  <r>
    <n v="36"/>
    <d v="2011-01-02T00:00:00"/>
    <n v="1"/>
    <n v="12"/>
    <b v="0"/>
    <n v="0"/>
    <s v="Yes"/>
    <s v="Sunday"/>
    <n v="2"/>
    <x v="1"/>
    <x v="5"/>
    <x v="1"/>
    <n v="0.33329999999999999"/>
    <n v="0.66"/>
    <s v="Acceptable"/>
    <n v="0.29849999999999999"/>
    <n v="20"/>
    <n v="73"/>
    <n v="93"/>
  </r>
  <r>
    <n v="37"/>
    <d v="2011-01-02T00:00:00"/>
    <n v="1"/>
    <n v="13"/>
    <b v="0"/>
    <n v="0"/>
    <s v="Yes"/>
    <s v="Sunday"/>
    <n v="2"/>
    <x v="1"/>
    <x v="5"/>
    <x v="1"/>
    <n v="0.34849999999999998"/>
    <n v="0.66"/>
    <s v="Acceptable"/>
    <n v="0.1343"/>
    <n v="11"/>
    <n v="64"/>
    <n v="75"/>
  </r>
  <r>
    <n v="38"/>
    <d v="2011-01-02T00:00:00"/>
    <n v="1"/>
    <n v="14"/>
    <b v="0"/>
    <n v="0"/>
    <s v="Yes"/>
    <s v="Sunday"/>
    <n v="3"/>
    <x v="2"/>
    <x v="5"/>
    <x v="1"/>
    <n v="0.19018906525573195"/>
    <n v="0.76"/>
    <s v="Risky"/>
    <n v="0.19400000000000001"/>
    <n v="4"/>
    <n v="55"/>
    <n v="59"/>
  </r>
  <r>
    <n v="39"/>
    <d v="2011-01-02T00:00:00"/>
    <n v="1"/>
    <n v="15"/>
    <b v="0"/>
    <n v="0"/>
    <s v="Yes"/>
    <s v="Sunday"/>
    <n v="3"/>
    <x v="2"/>
    <x v="10"/>
    <x v="0"/>
    <n v="0.33329999999999999"/>
    <n v="0.81"/>
    <s v="Risky"/>
    <n v="0.16420000000000001"/>
    <n v="19"/>
    <n v="55"/>
    <n v="74"/>
  </r>
  <r>
    <n v="40"/>
    <d v="2011-01-02T00:00:00"/>
    <n v="1"/>
    <n v="16"/>
    <b v="0"/>
    <n v="0"/>
    <s v="Yes"/>
    <s v="Sunday"/>
    <n v="3"/>
    <x v="2"/>
    <x v="10"/>
    <x v="0"/>
    <n v="0.33329999999999999"/>
    <n v="0.71"/>
    <s v="Risky"/>
    <n v="0.16420000000000001"/>
    <n v="9"/>
    <n v="67"/>
    <n v="76"/>
  </r>
  <r>
    <n v="41"/>
    <d v="2011-01-02T00:00:00"/>
    <n v="1"/>
    <n v="17"/>
    <b v="0"/>
    <n v="0"/>
    <s v="Yes"/>
    <s v="Sunday"/>
    <n v="1"/>
    <x v="0"/>
    <x v="10"/>
    <x v="0"/>
    <n v="0.33329999999999999"/>
    <n v="0.56999999999999995"/>
    <s v="Acceptable"/>
    <n v="0.19400000000000001"/>
    <n v="7"/>
    <n v="58"/>
    <n v="65"/>
  </r>
  <r>
    <n v="42"/>
    <d v="2011-01-02T00:00:00"/>
    <n v="1"/>
    <n v="18"/>
    <b v="0"/>
    <n v="0"/>
    <s v="Yes"/>
    <s v="Sunday"/>
    <n v="2"/>
    <x v="1"/>
    <x v="5"/>
    <x v="1"/>
    <n v="0.33329999999999999"/>
    <n v="0.46"/>
    <s v="Acceptable"/>
    <n v="0.32840000000000003"/>
    <n v="10"/>
    <n v="43"/>
    <n v="53"/>
  </r>
  <r>
    <n v="43"/>
    <d v="2011-01-02T00:00:00"/>
    <n v="1"/>
    <n v="19"/>
    <b v="0"/>
    <n v="0"/>
    <s v="Yes"/>
    <s v="Sunday"/>
    <n v="1"/>
    <x v="0"/>
    <x v="3"/>
    <x v="0"/>
    <n v="0.28789999999999999"/>
    <n v="0.42"/>
    <s v="Acceptable"/>
    <n v="0.44779999999999998"/>
    <n v="1"/>
    <n v="29"/>
    <n v="30"/>
  </r>
  <r>
    <n v="44"/>
    <d v="2011-01-02T00:00:00"/>
    <n v="1"/>
    <n v="20"/>
    <b v="0"/>
    <n v="0"/>
    <s v="Yes"/>
    <s v="Sunday"/>
    <n v="1"/>
    <x v="0"/>
    <x v="11"/>
    <x v="0"/>
    <n v="0.18899661921708191"/>
    <n v="0.39"/>
    <s v="Acceptable"/>
    <n v="0.35820000000000002"/>
    <n v="5"/>
    <n v="17"/>
    <n v="22"/>
  </r>
  <r>
    <n v="45"/>
    <d v="2011-01-02T00:00:00"/>
    <n v="1"/>
    <n v="21"/>
    <b v="0"/>
    <n v="0"/>
    <s v="Yes"/>
    <s v="Sunday"/>
    <n v="1"/>
    <x v="0"/>
    <x v="12"/>
    <x v="0"/>
    <n v="0.2273"/>
    <n v="0.44"/>
    <s v="Acceptable"/>
    <n v="0.32840000000000003"/>
    <n v="11"/>
    <n v="20"/>
    <n v="31"/>
  </r>
  <r>
    <n v="46"/>
    <d v="2011-01-02T00:00:00"/>
    <n v="1"/>
    <n v="22"/>
    <b v="0"/>
    <n v="0"/>
    <s v="Yes"/>
    <s v="Sunday"/>
    <n v="1"/>
    <x v="0"/>
    <x v="0"/>
    <x v="0"/>
    <n v="0.21210000000000001"/>
    <n v="0.44"/>
    <s v="Acceptable"/>
    <n v="0.29849999999999999"/>
    <n v="0"/>
    <n v="9"/>
    <n v="9"/>
  </r>
  <r>
    <n v="47"/>
    <d v="2011-01-02T00:00:00"/>
    <n v="1"/>
    <n v="23"/>
    <b v="0"/>
    <n v="0"/>
    <s v="Yes"/>
    <s v="Sunday"/>
    <n v="1"/>
    <x v="0"/>
    <x v="1"/>
    <x v="0"/>
    <n v="0.2273"/>
    <n v="0.47"/>
    <s v="Acceptable"/>
    <n v="0.16420000000000001"/>
    <n v="0"/>
    <n v="8"/>
    <n v="8"/>
  </r>
  <r>
    <n v="48"/>
    <d v="2011-01-03T00:00:00"/>
    <n v="1"/>
    <n v="0"/>
    <b v="0"/>
    <n v="1"/>
    <s v="No"/>
    <s v="Monday"/>
    <n v="1"/>
    <x v="0"/>
    <x v="1"/>
    <x v="0"/>
    <n v="0.19700000000000001"/>
    <n v="0.44"/>
    <s v="Acceptable"/>
    <n v="0.35820000000000002"/>
    <n v="0"/>
    <n v="5"/>
    <n v="5"/>
  </r>
  <r>
    <n v="49"/>
    <d v="2011-01-03T00:00:00"/>
    <n v="1"/>
    <n v="1"/>
    <b v="0"/>
    <n v="1"/>
    <s v="No"/>
    <s v="Monday"/>
    <n v="1"/>
    <x v="0"/>
    <x v="2"/>
    <x v="0"/>
    <n v="0.18880358422939073"/>
    <n v="0.44"/>
    <s v="Acceptable"/>
    <n v="0.41789999999999999"/>
    <n v="0"/>
    <n v="2"/>
    <n v="2"/>
  </r>
  <r>
    <n v="50"/>
    <d v="2011-01-03T00:00:00"/>
    <n v="1"/>
    <n v="4"/>
    <b v="0"/>
    <n v="1"/>
    <s v="No"/>
    <s v="Monday"/>
    <n v="1"/>
    <x v="0"/>
    <x v="13"/>
    <x v="0"/>
    <n v="0.13639999999999999"/>
    <n v="0.47"/>
    <s v="Acceptable"/>
    <n v="0.3881"/>
    <n v="0"/>
    <n v="1"/>
    <n v="1"/>
  </r>
  <r>
    <n v="51"/>
    <d v="2011-01-03T00:00:00"/>
    <n v="1"/>
    <n v="5"/>
    <b v="0"/>
    <n v="1"/>
    <s v="No"/>
    <s v="Monday"/>
    <n v="1"/>
    <x v="0"/>
    <x v="13"/>
    <x v="0"/>
    <n v="0.13639999999999999"/>
    <n v="0.47"/>
    <s v="Acceptable"/>
    <n v="0.28360000000000002"/>
    <n v="0"/>
    <n v="3"/>
    <n v="3"/>
  </r>
  <r>
    <n v="52"/>
    <d v="2011-01-03T00:00:00"/>
    <n v="1"/>
    <n v="6"/>
    <b v="0"/>
    <n v="1"/>
    <s v="No"/>
    <s v="Monday"/>
    <n v="1"/>
    <x v="0"/>
    <x v="14"/>
    <x v="0"/>
    <n v="0.1061"/>
    <n v="0.5"/>
    <s v="Acceptable"/>
    <n v="0.3881"/>
    <n v="0"/>
    <n v="30"/>
    <n v="30"/>
  </r>
  <r>
    <n v="53"/>
    <d v="2011-01-03T00:00:00"/>
    <n v="1"/>
    <n v="7"/>
    <b v="0"/>
    <n v="1"/>
    <s v="No"/>
    <s v="Monday"/>
    <n v="1"/>
    <x v="0"/>
    <x v="14"/>
    <x v="0"/>
    <n v="0.13639999999999999"/>
    <n v="0.5"/>
    <s v="Acceptable"/>
    <n v="0.19400000000000001"/>
    <n v="1"/>
    <n v="63"/>
    <n v="64"/>
  </r>
  <r>
    <n v="54"/>
    <d v="2011-01-03T00:00:00"/>
    <n v="1"/>
    <n v="8"/>
    <b v="0"/>
    <n v="1"/>
    <s v="No"/>
    <s v="Monday"/>
    <n v="1"/>
    <x v="0"/>
    <x v="14"/>
    <x v="0"/>
    <n v="0.1212"/>
    <n v="0.5"/>
    <s v="Acceptable"/>
    <n v="0.28360000000000002"/>
    <n v="1"/>
    <n v="153"/>
    <n v="154"/>
  </r>
  <r>
    <n v="55"/>
    <d v="2011-01-03T00:00:00"/>
    <n v="1"/>
    <n v="9"/>
    <b v="0"/>
    <n v="1"/>
    <s v="No"/>
    <s v="Monday"/>
    <n v="1"/>
    <x v="0"/>
    <x v="13"/>
    <x v="0"/>
    <n v="0.13639999999999999"/>
    <n v="0.43"/>
    <s v="Acceptable"/>
    <n v="0.3881"/>
    <n v="7"/>
    <n v="81"/>
    <n v="88"/>
  </r>
  <r>
    <n v="56"/>
    <d v="2011-01-03T00:00:00"/>
    <n v="1"/>
    <n v="10"/>
    <b v="0"/>
    <n v="1"/>
    <s v="No"/>
    <s v="Monday"/>
    <n v="1"/>
    <x v="0"/>
    <x v="15"/>
    <x v="0"/>
    <n v="0.16669999999999999"/>
    <n v="0.43"/>
    <s v="Acceptable"/>
    <n v="0.25369999999999998"/>
    <n v="11"/>
    <n v="33"/>
    <n v="44"/>
  </r>
  <r>
    <n v="57"/>
    <d v="2011-01-03T00:00:00"/>
    <n v="1"/>
    <n v="11"/>
    <b v="0"/>
    <n v="1"/>
    <s v="No"/>
    <s v="Monday"/>
    <n v="1"/>
    <x v="0"/>
    <x v="2"/>
    <x v="0"/>
    <n v="0.18179999999999999"/>
    <n v="0.4"/>
    <s v="Acceptable"/>
    <n v="0.32840000000000003"/>
    <n v="10"/>
    <n v="41"/>
    <n v="51"/>
  </r>
  <r>
    <n v="58"/>
    <d v="2011-01-03T00:00:00"/>
    <n v="1"/>
    <n v="12"/>
    <b v="0"/>
    <n v="1"/>
    <s v="No"/>
    <s v="Monday"/>
    <n v="1"/>
    <x v="0"/>
    <x v="1"/>
    <x v="0"/>
    <n v="0.21210000000000001"/>
    <n v="0.35"/>
    <s v="Acceptable"/>
    <n v="0.29849999999999999"/>
    <n v="13"/>
    <n v="48"/>
    <n v="61"/>
  </r>
  <r>
    <n v="59"/>
    <d v="2011-01-03T00:00:00"/>
    <n v="1"/>
    <n v="13"/>
    <b v="0"/>
    <n v="1"/>
    <s v="No"/>
    <s v="Monday"/>
    <n v="1"/>
    <x v="0"/>
    <x v="0"/>
    <x v="0"/>
    <n v="0.18946976320582881"/>
    <n v="0.35"/>
    <s v="Acceptable"/>
    <n v="0.28360000000000002"/>
    <n v="8"/>
    <n v="53"/>
    <n v="61"/>
  </r>
  <r>
    <n v="60"/>
    <d v="2011-01-03T00:00:00"/>
    <n v="1"/>
    <n v="14"/>
    <b v="0"/>
    <n v="1"/>
    <s v="No"/>
    <s v="Monday"/>
    <n v="1"/>
    <x v="0"/>
    <x v="12"/>
    <x v="0"/>
    <n v="0.2424"/>
    <n v="0.3"/>
    <s v="Acceptable"/>
    <n v="0.28360000000000002"/>
    <n v="11"/>
    <n v="66"/>
    <n v="77"/>
  </r>
  <r>
    <n v="61"/>
    <d v="2011-01-03T00:00:00"/>
    <n v="1"/>
    <n v="15"/>
    <b v="0"/>
    <n v="1"/>
    <s v="No"/>
    <s v="Monday"/>
    <n v="1"/>
    <x v="0"/>
    <x v="12"/>
    <x v="0"/>
    <n v="0.2424"/>
    <n v="0.3"/>
    <s v="Acceptable"/>
    <n v="0.25369999999999998"/>
    <n v="14"/>
    <n v="58"/>
    <n v="72"/>
  </r>
  <r>
    <n v="62"/>
    <d v="2011-01-03T00:00:00"/>
    <n v="1"/>
    <n v="16"/>
    <b v="0"/>
    <n v="1"/>
    <s v="No"/>
    <s v="Monday"/>
    <n v="1"/>
    <x v="0"/>
    <x v="12"/>
    <x v="0"/>
    <n v="0.2424"/>
    <n v="0.3"/>
    <s v="Acceptable"/>
    <n v="0.25369999999999998"/>
    <n v="9"/>
    <n v="67"/>
    <n v="76"/>
  </r>
  <r>
    <n v="63"/>
    <d v="2011-01-03T00:00:00"/>
    <n v="1"/>
    <n v="17"/>
    <b v="0"/>
    <n v="1"/>
    <s v="No"/>
    <s v="Monday"/>
    <n v="1"/>
    <x v="0"/>
    <x v="0"/>
    <x v="0"/>
    <n v="0.2273"/>
    <n v="0.3"/>
    <s v="Acceptable"/>
    <n v="0.22389999999999999"/>
    <n v="11"/>
    <n v="146"/>
    <n v="157"/>
  </r>
  <r>
    <n v="64"/>
    <d v="2011-01-03T00:00:00"/>
    <n v="1"/>
    <n v="18"/>
    <b v="0"/>
    <n v="1"/>
    <s v="No"/>
    <s v="Monday"/>
    <n v="1"/>
    <x v="0"/>
    <x v="0"/>
    <x v="0"/>
    <n v="0.2576"/>
    <n v="0.32"/>
    <s v="Acceptable"/>
    <n v="0.1045"/>
    <n v="9"/>
    <n v="148"/>
    <n v="157"/>
  </r>
  <r>
    <n v="65"/>
    <d v="2011-01-03T00:00:00"/>
    <n v="1"/>
    <n v="19"/>
    <b v="0"/>
    <n v="1"/>
    <s v="No"/>
    <s v="Monday"/>
    <n v="1"/>
    <x v="0"/>
    <x v="2"/>
    <x v="0"/>
    <n v="0.2576"/>
    <n v="0.47"/>
    <s v="Acceptable"/>
    <n v="0"/>
    <n v="8"/>
    <n v="102"/>
    <n v="110"/>
  </r>
  <r>
    <n v="66"/>
    <d v="2011-01-03T00:00:00"/>
    <n v="1"/>
    <n v="20"/>
    <b v="0"/>
    <n v="1"/>
    <s v="No"/>
    <s v="Monday"/>
    <n v="1"/>
    <x v="0"/>
    <x v="2"/>
    <x v="0"/>
    <n v="0.18885672191528544"/>
    <n v="0.47"/>
    <s v="Acceptable"/>
    <n v="0.1045"/>
    <n v="3"/>
    <n v="49"/>
    <n v="52"/>
  </r>
  <r>
    <n v="67"/>
    <d v="2011-01-03T00:00:00"/>
    <n v="1"/>
    <n v="21"/>
    <b v="0"/>
    <n v="1"/>
    <s v="No"/>
    <s v="Monday"/>
    <n v="1"/>
    <x v="0"/>
    <x v="15"/>
    <x v="0"/>
    <n v="0.19700000000000001"/>
    <n v="0.64"/>
    <s v="Acceptable"/>
    <n v="0.1343"/>
    <n v="3"/>
    <n v="49"/>
    <n v="52"/>
  </r>
  <r>
    <n v="68"/>
    <d v="2011-01-03T00:00:00"/>
    <n v="1"/>
    <n v="22"/>
    <b v="0"/>
    <n v="1"/>
    <s v="No"/>
    <s v="Monday"/>
    <n v="1"/>
    <x v="0"/>
    <x v="14"/>
    <x v="0"/>
    <n v="0.1515"/>
    <n v="0.69"/>
    <s v="Acceptable"/>
    <n v="0.1343"/>
    <n v="0"/>
    <n v="20"/>
    <n v="20"/>
  </r>
  <r>
    <n v="69"/>
    <d v="2011-01-03T00:00:00"/>
    <n v="1"/>
    <n v="23"/>
    <b v="0"/>
    <n v="1"/>
    <s v="No"/>
    <s v="Monday"/>
    <n v="1"/>
    <x v="0"/>
    <x v="15"/>
    <x v="0"/>
    <n v="0.21210000000000001"/>
    <n v="0.55000000000000004"/>
    <s v="Acceptable"/>
    <n v="0.1045"/>
    <n v="1"/>
    <n v="11"/>
    <n v="12"/>
  </r>
  <r>
    <n v="70"/>
    <d v="2011-01-04T00:00:00"/>
    <n v="1"/>
    <n v="0"/>
    <b v="0"/>
    <n v="2"/>
    <s v="No"/>
    <s v="Tuesday"/>
    <n v="1"/>
    <x v="0"/>
    <x v="13"/>
    <x v="0"/>
    <n v="0.18886777777777777"/>
    <n v="0.55000000000000004"/>
    <s v="Acceptable"/>
    <n v="0.1045"/>
    <n v="0"/>
    <n v="5"/>
    <n v="5"/>
  </r>
  <r>
    <n v="71"/>
    <d v="2011-01-04T00:00:00"/>
    <n v="1"/>
    <n v="1"/>
    <b v="0"/>
    <n v="2"/>
    <s v="No"/>
    <s v="Tuesday"/>
    <n v="1"/>
    <x v="0"/>
    <x v="13"/>
    <x v="0"/>
    <n v="0.18179999999999999"/>
    <n v="0.59"/>
    <s v="Acceptable"/>
    <n v="0.1045"/>
    <n v="0"/>
    <n v="2"/>
    <n v="2"/>
  </r>
  <r>
    <n v="72"/>
    <d v="2011-01-04T00:00:00"/>
    <n v="1"/>
    <n v="2"/>
    <b v="0"/>
    <n v="2"/>
    <s v="No"/>
    <s v="Tuesday"/>
    <n v="1"/>
    <x v="0"/>
    <x v="14"/>
    <x v="0"/>
    <n v="0.1515"/>
    <n v="0.63"/>
    <s v="Acceptable"/>
    <n v="0.1343"/>
    <n v="0"/>
    <n v="1"/>
    <n v="1"/>
  </r>
  <r>
    <n v="73"/>
    <d v="2011-01-04T00:00:00"/>
    <n v="1"/>
    <n v="4"/>
    <b v="0"/>
    <n v="2"/>
    <s v="No"/>
    <s v="Tuesday"/>
    <n v="1"/>
    <x v="0"/>
    <x v="14"/>
    <x v="0"/>
    <n v="0.18179999999999999"/>
    <n v="0.63"/>
    <s v="Acceptable"/>
    <n v="8.9599999999999999E-2"/>
    <n v="0"/>
    <n v="2"/>
    <n v="2"/>
  </r>
  <r>
    <n v="74"/>
    <d v="2011-01-04T00:00:00"/>
    <n v="1"/>
    <n v="5"/>
    <b v="0"/>
    <n v="2"/>
    <s v="No"/>
    <s v="Tuesday"/>
    <n v="1"/>
    <x v="0"/>
    <x v="16"/>
    <x v="0"/>
    <n v="0.1515"/>
    <n v="0.68"/>
    <s v="Acceptable"/>
    <n v="0.1045"/>
    <n v="0"/>
    <n v="4"/>
    <n v="4"/>
  </r>
  <r>
    <n v="75"/>
    <d v="2011-01-04T00:00:00"/>
    <n v="1"/>
    <n v="6"/>
    <b v="0"/>
    <n v="2"/>
    <s v="No"/>
    <s v="Tuesday"/>
    <n v="1"/>
    <x v="0"/>
    <x v="16"/>
    <x v="0"/>
    <n v="0.1515"/>
    <n v="0.74"/>
    <s v="Risky"/>
    <n v="0.1045"/>
    <n v="0"/>
    <n v="36"/>
    <n v="36"/>
  </r>
  <r>
    <n v="76"/>
    <d v="2011-01-04T00:00:00"/>
    <n v="1"/>
    <n v="7"/>
    <b v="0"/>
    <n v="2"/>
    <s v="No"/>
    <s v="Tuesday"/>
    <n v="1"/>
    <x v="0"/>
    <x v="16"/>
    <x v="0"/>
    <n v="0.1515"/>
    <n v="0.74"/>
    <s v="Risky"/>
    <n v="0.1343"/>
    <n v="2"/>
    <n v="92"/>
    <n v="94"/>
  </r>
  <r>
    <n v="77"/>
    <d v="2011-01-04T00:00:00"/>
    <n v="1"/>
    <n v="8"/>
    <b v="0"/>
    <n v="2"/>
    <s v="No"/>
    <s v="Tuesday"/>
    <n v="1"/>
    <x v="0"/>
    <x v="14"/>
    <x v="0"/>
    <n v="0.1515"/>
    <n v="0.69"/>
    <s v="Acceptable"/>
    <n v="0.16420000000000001"/>
    <n v="2"/>
    <n v="177"/>
    <n v="179"/>
  </r>
  <r>
    <n v="78"/>
    <d v="2011-01-04T00:00:00"/>
    <n v="1"/>
    <n v="9"/>
    <b v="0"/>
    <n v="2"/>
    <s v="No"/>
    <s v="Tuesday"/>
    <n v="1"/>
    <x v="0"/>
    <x v="13"/>
    <x v="0"/>
    <n v="0.1515"/>
    <n v="0.64"/>
    <s v="Acceptable"/>
    <n v="0.22389999999999999"/>
    <n v="2"/>
    <n v="98"/>
    <n v="100"/>
  </r>
  <r>
    <n v="79"/>
    <d v="2011-01-04T00:00:00"/>
    <n v="1"/>
    <n v="10"/>
    <b v="0"/>
    <n v="2"/>
    <s v="No"/>
    <s v="Tuesday"/>
    <n v="2"/>
    <x v="1"/>
    <x v="13"/>
    <x v="0"/>
    <n v="0.13639999999999999"/>
    <n v="0.69"/>
    <s v="Acceptable"/>
    <n v="0.32840000000000003"/>
    <n v="5"/>
    <n v="37"/>
    <n v="42"/>
  </r>
  <r>
    <n v="80"/>
    <d v="2011-01-04T00:00:00"/>
    <n v="1"/>
    <n v="11"/>
    <b v="0"/>
    <n v="2"/>
    <s v="No"/>
    <s v="Tuesday"/>
    <n v="1"/>
    <x v="0"/>
    <x v="1"/>
    <x v="0"/>
    <n v="0.21210000000000001"/>
    <n v="0.51"/>
    <s v="Acceptable"/>
    <n v="0.29849999999999999"/>
    <n v="7"/>
    <n v="50"/>
    <n v="57"/>
  </r>
  <r>
    <n v="81"/>
    <d v="2011-01-04T00:00:00"/>
    <n v="1"/>
    <n v="12"/>
    <b v="0"/>
    <n v="2"/>
    <s v="No"/>
    <s v="Tuesday"/>
    <n v="1"/>
    <x v="0"/>
    <x v="1"/>
    <x v="0"/>
    <n v="0.2273"/>
    <n v="0.51"/>
    <s v="Acceptable"/>
    <n v="0.16420000000000001"/>
    <n v="12"/>
    <n v="66"/>
    <n v="78"/>
  </r>
  <r>
    <n v="82"/>
    <d v="2011-01-04T00:00:00"/>
    <n v="1"/>
    <n v="13"/>
    <b v="0"/>
    <n v="2"/>
    <s v="No"/>
    <s v="Tuesday"/>
    <n v="1"/>
    <x v="0"/>
    <x v="0"/>
    <x v="0"/>
    <n v="0.2273"/>
    <n v="0.56000000000000005"/>
    <s v="Acceptable"/>
    <n v="0.19400000000000001"/>
    <n v="18"/>
    <n v="79"/>
    <n v="97"/>
  </r>
  <r>
    <n v="83"/>
    <d v="2011-01-04T00:00:00"/>
    <n v="1"/>
    <n v="14"/>
    <b v="0"/>
    <n v="2"/>
    <s v="No"/>
    <s v="Tuesday"/>
    <n v="1"/>
    <x v="0"/>
    <x v="12"/>
    <x v="0"/>
    <n v="0.2576"/>
    <n v="0.52"/>
    <s v="Acceptable"/>
    <n v="0.22389999999999999"/>
    <n v="9"/>
    <n v="54"/>
    <n v="63"/>
  </r>
  <r>
    <n v="84"/>
    <d v="2011-01-04T00:00:00"/>
    <n v="1"/>
    <n v="15"/>
    <b v="0"/>
    <n v="2"/>
    <s v="No"/>
    <s v="Tuesday"/>
    <n v="1"/>
    <x v="0"/>
    <x v="17"/>
    <x v="0"/>
    <n v="0.2727"/>
    <n v="0.52"/>
    <s v="Acceptable"/>
    <n v="0.25369999999999998"/>
    <n v="17"/>
    <n v="48"/>
    <n v="65"/>
  </r>
  <r>
    <n v="85"/>
    <d v="2011-01-04T00:00:00"/>
    <n v="1"/>
    <n v="16"/>
    <b v="0"/>
    <n v="2"/>
    <s v="No"/>
    <s v="Tuesday"/>
    <n v="1"/>
    <x v="0"/>
    <x v="11"/>
    <x v="0"/>
    <n v="0.28789999999999999"/>
    <n v="0.49"/>
    <s v="Acceptable"/>
    <n v="0.25369999999999998"/>
    <n v="15"/>
    <n v="68"/>
    <n v="83"/>
  </r>
  <r>
    <n v="86"/>
    <d v="2011-01-04T00:00:00"/>
    <n v="1"/>
    <n v="17"/>
    <b v="0"/>
    <n v="2"/>
    <s v="No"/>
    <s v="Tuesday"/>
    <n v="1"/>
    <x v="0"/>
    <x v="17"/>
    <x v="0"/>
    <n v="0.2727"/>
    <n v="0.48"/>
    <s v="Acceptable"/>
    <n v="0.22389999999999999"/>
    <n v="10"/>
    <n v="202"/>
    <n v="212"/>
  </r>
  <r>
    <n v="87"/>
    <d v="2011-01-04T00:00:00"/>
    <n v="1"/>
    <n v="18"/>
    <b v="0"/>
    <n v="2"/>
    <s v="No"/>
    <s v="Tuesday"/>
    <n v="1"/>
    <x v="0"/>
    <x v="12"/>
    <x v="0"/>
    <n v="0.2576"/>
    <n v="0.48"/>
    <s v="Acceptable"/>
    <n v="0.19400000000000001"/>
    <n v="3"/>
    <n v="179"/>
    <n v="182"/>
  </r>
  <r>
    <n v="88"/>
    <d v="2011-01-04T00:00:00"/>
    <n v="1"/>
    <n v="19"/>
    <b v="0"/>
    <n v="2"/>
    <s v="No"/>
    <s v="Tuesday"/>
    <n v="1"/>
    <x v="0"/>
    <x v="0"/>
    <x v="0"/>
    <n v="0.2576"/>
    <n v="0.48"/>
    <s v="Acceptable"/>
    <n v="0.1045"/>
    <n v="2"/>
    <n v="110"/>
    <n v="112"/>
  </r>
  <r>
    <n v="89"/>
    <d v="2011-01-04T00:00:00"/>
    <n v="1"/>
    <n v="20"/>
    <b v="0"/>
    <n v="2"/>
    <s v="No"/>
    <s v="Tuesday"/>
    <n v="1"/>
    <x v="0"/>
    <x v="0"/>
    <x v="0"/>
    <n v="0.2576"/>
    <n v="0.48"/>
    <s v="Acceptable"/>
    <n v="0.1045"/>
    <n v="1"/>
    <n v="53"/>
    <n v="54"/>
  </r>
  <r>
    <n v="90"/>
    <d v="2011-01-04T00:00:00"/>
    <n v="1"/>
    <n v="21"/>
    <b v="0"/>
    <n v="2"/>
    <s v="No"/>
    <s v="Tuesday"/>
    <n v="1"/>
    <x v="0"/>
    <x v="1"/>
    <x v="0"/>
    <n v="0.2727"/>
    <n v="0.64"/>
    <s v="Acceptable"/>
    <n v="0"/>
    <n v="0"/>
    <n v="48"/>
    <n v="48"/>
  </r>
  <r>
    <n v="91"/>
    <d v="2011-01-04T00:00:00"/>
    <n v="1"/>
    <n v="22"/>
    <b v="0"/>
    <n v="2"/>
    <s v="No"/>
    <s v="Tuesday"/>
    <n v="1"/>
    <x v="0"/>
    <x v="1"/>
    <x v="0"/>
    <n v="0.2576"/>
    <n v="0.64"/>
    <s v="Acceptable"/>
    <n v="8.9599999999999999E-2"/>
    <n v="1"/>
    <n v="34"/>
    <n v="35"/>
  </r>
  <r>
    <n v="92"/>
    <d v="2011-01-04T00:00:00"/>
    <n v="1"/>
    <n v="23"/>
    <b v="0"/>
    <n v="2"/>
    <s v="No"/>
    <s v="Tuesday"/>
    <n v="1"/>
    <x v="0"/>
    <x v="2"/>
    <x v="0"/>
    <n v="0.2273"/>
    <n v="0.69"/>
    <s v="Acceptable"/>
    <n v="8.9599999999999999E-2"/>
    <n v="2"/>
    <n v="9"/>
    <n v="11"/>
  </r>
  <r>
    <n v="93"/>
    <d v="2011-01-05T00:00:00"/>
    <n v="1"/>
    <n v="0"/>
    <b v="0"/>
    <n v="3"/>
    <s v="No"/>
    <s v="Wednesday"/>
    <n v="1"/>
    <x v="0"/>
    <x v="2"/>
    <x v="0"/>
    <n v="0.2576"/>
    <n v="0.64"/>
    <s v="Acceptable"/>
    <n v="0"/>
    <n v="0"/>
    <n v="6"/>
    <n v="6"/>
  </r>
  <r>
    <n v="94"/>
    <d v="2011-01-05T00:00:00"/>
    <n v="1"/>
    <n v="1"/>
    <b v="0"/>
    <n v="3"/>
    <s v="No"/>
    <s v="Wednesday"/>
    <n v="1"/>
    <x v="0"/>
    <x v="13"/>
    <x v="0"/>
    <n v="0.19700000000000001"/>
    <n v="0.74"/>
    <s v="Risky"/>
    <n v="8.9599999999999999E-2"/>
    <n v="0"/>
    <n v="6"/>
    <n v="6"/>
  </r>
  <r>
    <n v="95"/>
    <d v="2011-01-05T00:00:00"/>
    <n v="1"/>
    <n v="2"/>
    <b v="0"/>
    <n v="3"/>
    <s v="No"/>
    <s v="Wednesday"/>
    <n v="1"/>
    <x v="0"/>
    <x v="13"/>
    <x v="0"/>
    <n v="0.19700000000000001"/>
    <n v="0.74"/>
    <s v="Risky"/>
    <n v="8.9599999999999999E-2"/>
    <n v="0"/>
    <n v="2"/>
    <n v="2"/>
  </r>
  <r>
    <n v="96"/>
    <d v="2011-01-05T00:00:00"/>
    <n v="1"/>
    <n v="4"/>
    <b v="0"/>
    <n v="3"/>
    <s v="No"/>
    <s v="Wednesday"/>
    <n v="1"/>
    <x v="0"/>
    <x v="0"/>
    <x v="0"/>
    <n v="0.2273"/>
    <n v="0.48"/>
    <s v="Acceptable"/>
    <n v="0.22389999999999999"/>
    <n v="0"/>
    <n v="2"/>
    <n v="2"/>
  </r>
  <r>
    <n v="97"/>
    <d v="2011-01-05T00:00:00"/>
    <n v="1"/>
    <n v="5"/>
    <b v="0"/>
    <n v="3"/>
    <s v="No"/>
    <s v="Wednesday"/>
    <n v="1"/>
    <x v="0"/>
    <x v="1"/>
    <x v="0"/>
    <n v="0.2273"/>
    <n v="0.47"/>
    <s v="Acceptable"/>
    <n v="0.16420000000000001"/>
    <n v="0"/>
    <n v="3"/>
    <n v="3"/>
  </r>
  <r>
    <n v="98"/>
    <d v="2011-01-05T00:00:00"/>
    <n v="1"/>
    <n v="6"/>
    <b v="0"/>
    <n v="3"/>
    <s v="No"/>
    <s v="Wednesday"/>
    <n v="1"/>
    <x v="0"/>
    <x v="2"/>
    <x v="0"/>
    <n v="0.19700000000000001"/>
    <n v="0.47"/>
    <s v="Acceptable"/>
    <n v="0.22389999999999999"/>
    <n v="0"/>
    <n v="33"/>
    <n v="33"/>
  </r>
  <r>
    <n v="99"/>
    <d v="2011-01-05T00:00:00"/>
    <n v="1"/>
    <n v="7"/>
    <b v="0"/>
    <n v="3"/>
    <s v="No"/>
    <s v="Wednesday"/>
    <n v="1"/>
    <x v="0"/>
    <x v="15"/>
    <x v="0"/>
    <n v="0.18179999999999999"/>
    <n v="0.43"/>
    <s v="Acceptable"/>
    <n v="0.19400000000000001"/>
    <n v="1"/>
    <n v="87"/>
    <n v="88"/>
  </r>
  <r>
    <n v="100"/>
    <d v="2011-01-05T00:00:00"/>
    <n v="1"/>
    <n v="8"/>
    <b v="0"/>
    <n v="3"/>
    <s v="No"/>
    <s v="Wednesday"/>
    <n v="1"/>
    <x v="0"/>
    <x v="2"/>
    <x v="0"/>
    <n v="0.18179999999999999"/>
    <n v="0.4"/>
    <s v="Acceptable"/>
    <n v="0.29849999999999999"/>
    <n v="3"/>
    <n v="192"/>
    <n v="195"/>
  </r>
  <r>
    <n v="101"/>
    <d v="2011-01-05T00:00:00"/>
    <n v="1"/>
    <n v="9"/>
    <b v="0"/>
    <n v="3"/>
    <s v="No"/>
    <s v="Wednesday"/>
    <n v="1"/>
    <x v="0"/>
    <x v="1"/>
    <x v="0"/>
    <n v="0.19700000000000001"/>
    <n v="0.37"/>
    <s v="Acceptable"/>
    <n v="0.32840000000000003"/>
    <n v="6"/>
    <n v="109"/>
    <n v="115"/>
  </r>
  <r>
    <n v="102"/>
    <d v="2011-01-05T00:00:00"/>
    <n v="1"/>
    <n v="10"/>
    <b v="0"/>
    <n v="3"/>
    <s v="No"/>
    <s v="Wednesday"/>
    <n v="1"/>
    <x v="0"/>
    <x v="1"/>
    <x v="0"/>
    <n v="0.19700000000000001"/>
    <n v="0.37"/>
    <s v="Acceptable"/>
    <n v="0.32840000000000003"/>
    <n v="4"/>
    <n v="53"/>
    <n v="57"/>
  </r>
  <r>
    <n v="103"/>
    <d v="2011-01-05T00:00:00"/>
    <n v="1"/>
    <n v="11"/>
    <b v="0"/>
    <n v="3"/>
    <s v="No"/>
    <s v="Wednesday"/>
    <n v="1"/>
    <x v="0"/>
    <x v="12"/>
    <x v="0"/>
    <n v="0.2273"/>
    <n v="0.33"/>
    <s v="Acceptable"/>
    <n v="0.32840000000000003"/>
    <n v="12"/>
    <n v="34"/>
    <n v="46"/>
  </r>
  <r>
    <n v="104"/>
    <d v="2011-01-05T00:00:00"/>
    <n v="1"/>
    <n v="12"/>
    <b v="0"/>
    <n v="3"/>
    <s v="No"/>
    <s v="Wednesday"/>
    <n v="1"/>
    <x v="0"/>
    <x v="12"/>
    <x v="0"/>
    <n v="0.2273"/>
    <n v="0.33"/>
    <s v="Acceptable"/>
    <n v="0.32840000000000003"/>
    <n v="5"/>
    <n v="74"/>
    <n v="79"/>
  </r>
  <r>
    <n v="105"/>
    <d v="2011-01-05T00:00:00"/>
    <n v="1"/>
    <n v="13"/>
    <b v="0"/>
    <n v="3"/>
    <s v="No"/>
    <s v="Wednesday"/>
    <n v="1"/>
    <x v="0"/>
    <x v="17"/>
    <x v="0"/>
    <n v="0.2576"/>
    <n v="0.3"/>
    <s v="Acceptable"/>
    <n v="0.29849999999999999"/>
    <n v="6"/>
    <n v="65"/>
    <n v="71"/>
  </r>
  <r>
    <n v="106"/>
    <d v="2011-01-05T00:00:00"/>
    <n v="1"/>
    <n v="14"/>
    <b v="0"/>
    <n v="3"/>
    <s v="No"/>
    <s v="Wednesday"/>
    <n v="1"/>
    <x v="0"/>
    <x v="11"/>
    <x v="0"/>
    <n v="0.28789999999999999"/>
    <n v="0.28000000000000003"/>
    <s v="Acceptable"/>
    <n v="0.19400000000000001"/>
    <n v="10"/>
    <n v="52"/>
    <n v="62"/>
  </r>
  <r>
    <n v="107"/>
    <d v="2011-01-05T00:00:00"/>
    <n v="1"/>
    <n v="15"/>
    <b v="0"/>
    <n v="3"/>
    <s v="No"/>
    <s v="Wednesday"/>
    <n v="1"/>
    <x v="0"/>
    <x v="11"/>
    <x v="0"/>
    <n v="0.28789999999999999"/>
    <n v="0.28000000000000003"/>
    <s v="Acceptable"/>
    <n v="0.19400000000000001"/>
    <n v="7"/>
    <n v="55"/>
    <n v="62"/>
  </r>
  <r>
    <n v="108"/>
    <d v="2011-01-05T00:00:00"/>
    <n v="1"/>
    <n v="16"/>
    <b v="0"/>
    <n v="3"/>
    <s v="No"/>
    <s v="Wednesday"/>
    <n v="1"/>
    <x v="0"/>
    <x v="11"/>
    <x v="0"/>
    <n v="0.31819999999999998"/>
    <n v="0.28000000000000003"/>
    <s v="Acceptable"/>
    <n v="8.9599999999999999E-2"/>
    <n v="4"/>
    <n v="85"/>
    <n v="89"/>
  </r>
  <r>
    <n v="109"/>
    <d v="2011-01-05T00:00:00"/>
    <n v="1"/>
    <n v="17"/>
    <b v="0"/>
    <n v="3"/>
    <s v="No"/>
    <s v="Wednesday"/>
    <n v="1"/>
    <x v="0"/>
    <x v="0"/>
    <x v="0"/>
    <n v="0.2273"/>
    <n v="0.38"/>
    <s v="Acceptable"/>
    <n v="0.19400000000000001"/>
    <n v="4"/>
    <n v="186"/>
    <n v="190"/>
  </r>
  <r>
    <n v="110"/>
    <d v="2011-01-05T00:00:00"/>
    <n v="1"/>
    <n v="18"/>
    <b v="0"/>
    <n v="3"/>
    <s v="No"/>
    <s v="Wednesday"/>
    <n v="1"/>
    <x v="0"/>
    <x v="0"/>
    <x v="0"/>
    <n v="0.2424"/>
    <n v="0.38"/>
    <s v="Acceptable"/>
    <n v="0.1343"/>
    <n v="3"/>
    <n v="166"/>
    <n v="169"/>
  </r>
  <r>
    <n v="111"/>
    <d v="2011-01-05T00:00:00"/>
    <n v="1"/>
    <n v="19"/>
    <b v="0"/>
    <n v="3"/>
    <s v="No"/>
    <s v="Wednesday"/>
    <n v="1"/>
    <x v="0"/>
    <x v="0"/>
    <x v="0"/>
    <n v="0.2576"/>
    <n v="0.38"/>
    <s v="Acceptable"/>
    <n v="0.1045"/>
    <n v="5"/>
    <n v="127"/>
    <n v="132"/>
  </r>
  <r>
    <n v="112"/>
    <d v="2011-01-05T00:00:00"/>
    <n v="1"/>
    <n v="20"/>
    <b v="0"/>
    <n v="3"/>
    <s v="No"/>
    <s v="Wednesday"/>
    <n v="1"/>
    <x v="0"/>
    <x v="1"/>
    <x v="0"/>
    <n v="0.2273"/>
    <n v="0.47"/>
    <s v="Acceptable"/>
    <n v="0.16420000000000001"/>
    <n v="7"/>
    <n v="82"/>
    <n v="89"/>
  </r>
  <r>
    <n v="113"/>
    <d v="2011-01-05T00:00:00"/>
    <n v="1"/>
    <n v="21"/>
    <b v="0"/>
    <n v="3"/>
    <s v="No"/>
    <s v="Wednesday"/>
    <n v="1"/>
    <x v="0"/>
    <x v="2"/>
    <x v="0"/>
    <n v="0.19700000000000001"/>
    <n v="0.51"/>
    <s v="Acceptable"/>
    <n v="0.19400000000000001"/>
    <n v="3"/>
    <n v="40"/>
    <n v="43"/>
  </r>
  <r>
    <n v="114"/>
    <d v="2011-01-05T00:00:00"/>
    <n v="1"/>
    <n v="22"/>
    <b v="0"/>
    <n v="3"/>
    <s v="No"/>
    <s v="Wednesday"/>
    <n v="1"/>
    <x v="0"/>
    <x v="15"/>
    <x v="0"/>
    <n v="0.19700000000000001"/>
    <n v="0.55000000000000004"/>
    <s v="Acceptable"/>
    <n v="0.1343"/>
    <n v="1"/>
    <n v="41"/>
    <n v="42"/>
  </r>
  <r>
    <n v="115"/>
    <d v="2011-01-05T00:00:00"/>
    <n v="1"/>
    <n v="23"/>
    <b v="0"/>
    <n v="3"/>
    <s v="No"/>
    <s v="Wednesday"/>
    <n v="1"/>
    <x v="0"/>
    <x v="2"/>
    <x v="0"/>
    <n v="0.2576"/>
    <n v="0.47"/>
    <s v="Acceptable"/>
    <n v="0"/>
    <n v="1"/>
    <n v="18"/>
    <n v="19"/>
  </r>
  <r>
    <n v="116"/>
    <d v="2011-01-06T00:00:00"/>
    <n v="1"/>
    <n v="0"/>
    <b v="0"/>
    <n v="4"/>
    <s v="No"/>
    <s v="Thursday"/>
    <n v="1"/>
    <x v="0"/>
    <x v="15"/>
    <x v="0"/>
    <n v="0.2424"/>
    <n v="0.55000000000000004"/>
    <s v="Acceptable"/>
    <n v="0"/>
    <n v="0"/>
    <n v="11"/>
    <n v="11"/>
  </r>
  <r>
    <n v="117"/>
    <d v="2011-01-06T00:00:00"/>
    <n v="1"/>
    <n v="1"/>
    <b v="0"/>
    <n v="4"/>
    <s v="No"/>
    <s v="Thursday"/>
    <n v="1"/>
    <x v="0"/>
    <x v="13"/>
    <x v="0"/>
    <n v="0.2273"/>
    <n v="0.64"/>
    <s v="Acceptable"/>
    <n v="0"/>
    <n v="0"/>
    <n v="4"/>
    <n v="4"/>
  </r>
  <r>
    <n v="118"/>
    <d v="2011-01-06T00:00:00"/>
    <n v="1"/>
    <n v="2"/>
    <b v="0"/>
    <n v="4"/>
    <s v="No"/>
    <s v="Thursday"/>
    <n v="1"/>
    <x v="0"/>
    <x v="13"/>
    <x v="0"/>
    <n v="0.2273"/>
    <n v="0.64"/>
    <s v="Acceptable"/>
    <n v="0"/>
    <n v="0"/>
    <n v="2"/>
    <n v="2"/>
  </r>
  <r>
    <n v="119"/>
    <d v="2011-01-06T00:00:00"/>
    <n v="1"/>
    <n v="4"/>
    <b v="0"/>
    <n v="4"/>
    <s v="No"/>
    <s v="Thursday"/>
    <n v="2"/>
    <x v="1"/>
    <x v="13"/>
    <x v="0"/>
    <n v="0.19700000000000001"/>
    <n v="0.64"/>
    <s v="Acceptable"/>
    <n v="8.9599999999999999E-2"/>
    <n v="0"/>
    <n v="1"/>
    <n v="1"/>
  </r>
  <r>
    <n v="120"/>
    <d v="2011-01-06T00:00:00"/>
    <n v="1"/>
    <n v="5"/>
    <b v="0"/>
    <n v="4"/>
    <s v="No"/>
    <s v="Thursday"/>
    <n v="2"/>
    <x v="1"/>
    <x v="14"/>
    <x v="0"/>
    <n v="0.18179999999999999"/>
    <n v="0.69"/>
    <s v="Acceptable"/>
    <n v="8.9599999999999999E-2"/>
    <n v="0"/>
    <n v="4"/>
    <n v="4"/>
  </r>
  <r>
    <n v="121"/>
    <d v="2011-01-06T00:00:00"/>
    <n v="1"/>
    <n v="6"/>
    <b v="0"/>
    <n v="4"/>
    <s v="No"/>
    <s v="Thursday"/>
    <n v="2"/>
    <x v="1"/>
    <x v="14"/>
    <x v="0"/>
    <n v="0.16669999999999999"/>
    <n v="0.63"/>
    <s v="Acceptable"/>
    <n v="0.1045"/>
    <n v="0"/>
    <n v="36"/>
    <n v="36"/>
  </r>
  <r>
    <n v="122"/>
    <d v="2011-01-06T00:00:00"/>
    <n v="1"/>
    <n v="7"/>
    <b v="0"/>
    <n v="4"/>
    <s v="No"/>
    <s v="Thursday"/>
    <n v="2"/>
    <x v="1"/>
    <x v="13"/>
    <x v="0"/>
    <n v="0.2273"/>
    <n v="0.59"/>
    <s v="Acceptable"/>
    <n v="0"/>
    <n v="0"/>
    <n v="95"/>
    <n v="95"/>
  </r>
  <r>
    <n v="123"/>
    <d v="2011-01-06T00:00:00"/>
    <n v="1"/>
    <n v="8"/>
    <b v="0"/>
    <n v="4"/>
    <s v="No"/>
    <s v="Thursday"/>
    <n v="1"/>
    <x v="0"/>
    <x v="13"/>
    <x v="0"/>
    <n v="0.2273"/>
    <n v="0.59"/>
    <s v="Acceptable"/>
    <n v="0"/>
    <n v="3"/>
    <n v="216"/>
    <n v="219"/>
  </r>
  <r>
    <n v="124"/>
    <d v="2011-01-06T00:00:00"/>
    <n v="1"/>
    <n v="9"/>
    <b v="0"/>
    <n v="4"/>
    <s v="No"/>
    <s v="Thursday"/>
    <n v="2"/>
    <x v="1"/>
    <x v="15"/>
    <x v="0"/>
    <n v="0.2424"/>
    <n v="0.51"/>
    <s v="Acceptable"/>
    <n v="0"/>
    <n v="6"/>
    <n v="116"/>
    <n v="122"/>
  </r>
  <r>
    <n v="125"/>
    <d v="2011-01-06T00:00:00"/>
    <n v="1"/>
    <n v="10"/>
    <b v="0"/>
    <n v="4"/>
    <s v="No"/>
    <s v="Thursday"/>
    <n v="1"/>
    <x v="0"/>
    <x v="2"/>
    <x v="0"/>
    <n v="0.2576"/>
    <n v="0.47"/>
    <s v="Acceptable"/>
    <n v="0"/>
    <n v="3"/>
    <n v="42"/>
    <n v="45"/>
  </r>
  <r>
    <n v="126"/>
    <d v="2011-01-06T00:00:00"/>
    <n v="1"/>
    <n v="11"/>
    <b v="0"/>
    <n v="4"/>
    <s v="No"/>
    <s v="Thursday"/>
    <n v="1"/>
    <x v="0"/>
    <x v="1"/>
    <x v="0"/>
    <n v="0.2576"/>
    <n v="0.44"/>
    <s v="Acceptable"/>
    <n v="8.9599999999999999E-2"/>
    <n v="2"/>
    <n v="57"/>
    <n v="59"/>
  </r>
  <r>
    <n v="127"/>
    <d v="2011-01-06T00:00:00"/>
    <n v="1"/>
    <n v="12"/>
    <b v="0"/>
    <n v="4"/>
    <s v="No"/>
    <s v="Thursday"/>
    <n v="1"/>
    <x v="0"/>
    <x v="12"/>
    <x v="0"/>
    <n v="0.28789999999999999"/>
    <n v="0.35"/>
    <s v="Acceptable"/>
    <n v="0"/>
    <n v="6"/>
    <n v="78"/>
    <n v="84"/>
  </r>
  <r>
    <n v="128"/>
    <d v="2011-01-06T00:00:00"/>
    <n v="1"/>
    <n v="13"/>
    <b v="0"/>
    <n v="4"/>
    <s v="No"/>
    <s v="Thursday"/>
    <n v="1"/>
    <x v="0"/>
    <x v="12"/>
    <x v="0"/>
    <n v="0.2727"/>
    <n v="0.35"/>
    <s v="Acceptable"/>
    <n v="0.1045"/>
    <n v="12"/>
    <n v="55"/>
    <n v="67"/>
  </r>
  <r>
    <n v="129"/>
    <d v="2011-01-06T00:00:00"/>
    <n v="1"/>
    <n v="14"/>
    <b v="0"/>
    <n v="4"/>
    <s v="No"/>
    <s v="Thursday"/>
    <n v="1"/>
    <x v="0"/>
    <x v="17"/>
    <x v="0"/>
    <n v="0.2727"/>
    <n v="0.36"/>
    <s v="Acceptable"/>
    <n v="0.16420000000000001"/>
    <n v="11"/>
    <n v="59"/>
    <n v="70"/>
  </r>
  <r>
    <n v="130"/>
    <d v="2011-01-06T00:00:00"/>
    <n v="1"/>
    <n v="15"/>
    <b v="0"/>
    <n v="4"/>
    <s v="No"/>
    <s v="Thursday"/>
    <n v="1"/>
    <x v="0"/>
    <x v="17"/>
    <x v="0"/>
    <n v="0.2727"/>
    <n v="0.36"/>
    <s v="Acceptable"/>
    <n v="0"/>
    <n v="8"/>
    <n v="54"/>
    <n v="62"/>
  </r>
  <r>
    <n v="131"/>
    <d v="2011-01-06T00:00:00"/>
    <n v="1"/>
    <n v="16"/>
    <b v="0"/>
    <n v="4"/>
    <s v="No"/>
    <s v="Thursday"/>
    <n v="1"/>
    <x v="0"/>
    <x v="12"/>
    <x v="0"/>
    <n v="0.2576"/>
    <n v="0.38"/>
    <s v="Acceptable"/>
    <n v="0.16420000000000001"/>
    <n v="12"/>
    <n v="74"/>
    <n v="86"/>
  </r>
  <r>
    <n v="132"/>
    <d v="2011-01-06T00:00:00"/>
    <n v="1"/>
    <n v="17"/>
    <b v="0"/>
    <n v="4"/>
    <s v="No"/>
    <s v="Thursday"/>
    <n v="1"/>
    <x v="0"/>
    <x v="1"/>
    <x v="0"/>
    <n v="0.2273"/>
    <n v="0.51"/>
    <s v="Acceptable"/>
    <n v="0.16420000000000001"/>
    <n v="9"/>
    <n v="163"/>
    <n v="172"/>
  </r>
  <r>
    <n v="133"/>
    <d v="2011-01-06T00:00:00"/>
    <n v="1"/>
    <n v="18"/>
    <b v="0"/>
    <n v="4"/>
    <s v="No"/>
    <s v="Thursday"/>
    <n v="1"/>
    <x v="0"/>
    <x v="1"/>
    <x v="0"/>
    <n v="0.2273"/>
    <n v="0.51"/>
    <s v="Acceptable"/>
    <n v="0.1343"/>
    <n v="5"/>
    <n v="158"/>
    <n v="163"/>
  </r>
  <r>
    <n v="134"/>
    <d v="2011-01-06T00:00:00"/>
    <n v="1"/>
    <n v="19"/>
    <b v="0"/>
    <n v="4"/>
    <s v="No"/>
    <s v="Thursday"/>
    <n v="1"/>
    <x v="0"/>
    <x v="1"/>
    <x v="0"/>
    <n v="0.2576"/>
    <n v="0.55000000000000004"/>
    <s v="Acceptable"/>
    <n v="8.9599999999999999E-2"/>
    <n v="3"/>
    <n v="109"/>
    <n v="112"/>
  </r>
  <r>
    <n v="135"/>
    <d v="2011-01-06T00:00:00"/>
    <n v="1"/>
    <n v="20"/>
    <b v="0"/>
    <n v="4"/>
    <s v="No"/>
    <s v="Thursday"/>
    <n v="1"/>
    <x v="0"/>
    <x v="2"/>
    <x v="0"/>
    <n v="0.21210000000000001"/>
    <n v="0.51"/>
    <s v="Acceptable"/>
    <n v="0.16420000000000001"/>
    <n v="3"/>
    <n v="66"/>
    <n v="69"/>
  </r>
  <r>
    <n v="136"/>
    <d v="2011-01-06T00:00:00"/>
    <n v="1"/>
    <n v="21"/>
    <b v="0"/>
    <n v="4"/>
    <s v="No"/>
    <s v="Thursday"/>
    <n v="2"/>
    <x v="1"/>
    <x v="1"/>
    <x v="0"/>
    <n v="0.21210000000000001"/>
    <n v="0.55000000000000004"/>
    <s v="Acceptable"/>
    <n v="0.22389999999999999"/>
    <n v="0"/>
    <n v="48"/>
    <n v="48"/>
  </r>
  <r>
    <n v="137"/>
    <d v="2011-01-06T00:00:00"/>
    <n v="1"/>
    <n v="22"/>
    <b v="0"/>
    <n v="4"/>
    <s v="No"/>
    <s v="Thursday"/>
    <n v="2"/>
    <x v="1"/>
    <x v="1"/>
    <x v="0"/>
    <n v="0.21210000000000001"/>
    <n v="0.51"/>
    <s v="Acceptable"/>
    <n v="0.28360000000000002"/>
    <n v="1"/>
    <n v="51"/>
    <n v="52"/>
  </r>
  <r>
    <n v="138"/>
    <d v="2011-01-06T00:00:00"/>
    <n v="1"/>
    <n v="23"/>
    <b v="0"/>
    <n v="4"/>
    <s v="No"/>
    <s v="Thursday"/>
    <n v="2"/>
    <x v="1"/>
    <x v="2"/>
    <x v="0"/>
    <n v="0.19700000000000001"/>
    <n v="0.59"/>
    <s v="Acceptable"/>
    <n v="0.19400000000000001"/>
    <n v="4"/>
    <n v="19"/>
    <n v="23"/>
  </r>
  <r>
    <n v="139"/>
    <d v="2011-01-07T00:00:00"/>
    <n v="1"/>
    <n v="0"/>
    <b v="0"/>
    <n v="5"/>
    <s v="No"/>
    <s v="Friday"/>
    <n v="2"/>
    <x v="1"/>
    <x v="2"/>
    <x v="0"/>
    <n v="0.19700000000000001"/>
    <n v="0.64"/>
    <s v="Acceptable"/>
    <n v="0.19400000000000001"/>
    <n v="4"/>
    <n v="13"/>
    <n v="17"/>
  </r>
  <r>
    <n v="140"/>
    <d v="2011-01-07T00:00:00"/>
    <n v="1"/>
    <n v="1"/>
    <b v="0"/>
    <n v="5"/>
    <s v="No"/>
    <s v="Friday"/>
    <n v="2"/>
    <x v="1"/>
    <x v="2"/>
    <x v="0"/>
    <n v="0.19700000000000001"/>
    <n v="0.69"/>
    <s v="Acceptable"/>
    <n v="0.22389999999999999"/>
    <n v="2"/>
    <n v="5"/>
    <n v="7"/>
  </r>
  <r>
    <n v="141"/>
    <d v="2011-01-07T00:00:00"/>
    <n v="1"/>
    <n v="2"/>
    <b v="0"/>
    <n v="5"/>
    <s v="No"/>
    <s v="Friday"/>
    <n v="2"/>
    <x v="1"/>
    <x v="2"/>
    <x v="0"/>
    <n v="0.19700000000000001"/>
    <n v="0.69"/>
    <s v="Acceptable"/>
    <n v="0.22389999999999999"/>
    <n v="0"/>
    <n v="1"/>
    <n v="1"/>
  </r>
  <r>
    <n v="142"/>
    <d v="2011-01-07T00:00:00"/>
    <n v="1"/>
    <n v="4"/>
    <b v="0"/>
    <n v="5"/>
    <s v="No"/>
    <s v="Friday"/>
    <n v="2"/>
    <x v="1"/>
    <x v="2"/>
    <x v="0"/>
    <n v="0.21210000000000001"/>
    <n v="0.69"/>
    <s v="Acceptable"/>
    <n v="0.1343"/>
    <n v="0"/>
    <n v="1"/>
    <n v="1"/>
  </r>
  <r>
    <n v="143"/>
    <d v="2011-01-07T00:00:00"/>
    <n v="1"/>
    <n v="5"/>
    <b v="0"/>
    <n v="5"/>
    <s v="No"/>
    <s v="Friday"/>
    <n v="3"/>
    <x v="2"/>
    <x v="1"/>
    <x v="0"/>
    <n v="0.2727"/>
    <n v="0.55000000000000004"/>
    <s v="Acceptable"/>
    <n v="0"/>
    <n v="0"/>
    <n v="5"/>
    <n v="5"/>
  </r>
  <r>
    <n v="144"/>
    <d v="2011-01-07T00:00:00"/>
    <n v="1"/>
    <n v="6"/>
    <b v="0"/>
    <n v="5"/>
    <s v="No"/>
    <s v="Friday"/>
    <n v="2"/>
    <x v="1"/>
    <x v="2"/>
    <x v="0"/>
    <n v="0.2576"/>
    <n v="0.69"/>
    <s v="Acceptable"/>
    <n v="0"/>
    <n v="8"/>
    <n v="26"/>
    <n v="34"/>
  </r>
  <r>
    <n v="145"/>
    <d v="2011-01-07T00:00:00"/>
    <n v="1"/>
    <n v="7"/>
    <b v="0"/>
    <n v="5"/>
    <s v="No"/>
    <s v="Friday"/>
    <n v="1"/>
    <x v="0"/>
    <x v="2"/>
    <x v="0"/>
    <n v="0.21210000000000001"/>
    <n v="0.69"/>
    <s v="Acceptable"/>
    <n v="0.1343"/>
    <n v="8"/>
    <n v="76"/>
    <n v="84"/>
  </r>
  <r>
    <n v="146"/>
    <d v="2011-01-07T00:00:00"/>
    <n v="1"/>
    <n v="8"/>
    <b v="0"/>
    <n v="5"/>
    <s v="No"/>
    <s v="Friday"/>
    <n v="1"/>
    <x v="0"/>
    <x v="2"/>
    <x v="0"/>
    <n v="0.19700000000000001"/>
    <n v="0.51"/>
    <s v="Acceptable"/>
    <n v="0.25369999999999998"/>
    <n v="20"/>
    <n v="190"/>
    <n v="210"/>
  </r>
  <r>
    <n v="147"/>
    <d v="2011-01-07T00:00:00"/>
    <n v="1"/>
    <n v="9"/>
    <b v="0"/>
    <n v="5"/>
    <s v="No"/>
    <s v="Friday"/>
    <n v="1"/>
    <x v="0"/>
    <x v="2"/>
    <x v="0"/>
    <n v="0.18179999999999999"/>
    <n v="0.47"/>
    <s v="Acceptable"/>
    <n v="0.29849999999999999"/>
    <n v="9"/>
    <n v="125"/>
    <n v="134"/>
  </r>
  <r>
    <n v="148"/>
    <d v="2011-01-07T00:00:00"/>
    <n v="1"/>
    <n v="10"/>
    <b v="0"/>
    <n v="5"/>
    <s v="No"/>
    <s v="Friday"/>
    <n v="1"/>
    <x v="0"/>
    <x v="1"/>
    <x v="0"/>
    <n v="0.19700000000000001"/>
    <n v="0.37"/>
    <s v="Acceptable"/>
    <n v="0.32840000000000003"/>
    <n v="16"/>
    <n v="47"/>
    <n v="63"/>
  </r>
  <r>
    <n v="149"/>
    <d v="2011-01-07T00:00:00"/>
    <n v="1"/>
    <n v="11"/>
    <b v="0"/>
    <n v="5"/>
    <s v="No"/>
    <s v="Friday"/>
    <n v="2"/>
    <x v="1"/>
    <x v="2"/>
    <x v="0"/>
    <n v="0.19700000000000001"/>
    <n v="0.4"/>
    <s v="Acceptable"/>
    <n v="0.22389999999999999"/>
    <n v="19"/>
    <n v="48"/>
    <n v="67"/>
  </r>
  <r>
    <n v="150"/>
    <d v="2011-01-07T00:00:00"/>
    <n v="1"/>
    <n v="12"/>
    <b v="0"/>
    <n v="5"/>
    <s v="No"/>
    <s v="Friday"/>
    <n v="2"/>
    <x v="1"/>
    <x v="2"/>
    <x v="0"/>
    <n v="0.19700000000000001"/>
    <n v="0.37"/>
    <s v="Acceptable"/>
    <n v="0.25369999999999998"/>
    <n v="9"/>
    <n v="50"/>
    <n v="59"/>
  </r>
  <r>
    <n v="151"/>
    <d v="2011-01-07T00:00:00"/>
    <n v="1"/>
    <n v="13"/>
    <b v="0"/>
    <n v="5"/>
    <s v="No"/>
    <s v="Friday"/>
    <n v="2"/>
    <x v="1"/>
    <x v="2"/>
    <x v="0"/>
    <n v="0.18179999999999999"/>
    <n v="0.37"/>
    <s v="Acceptable"/>
    <n v="0.28360000000000002"/>
    <n v="9"/>
    <n v="64"/>
    <n v="73"/>
  </r>
  <r>
    <n v="152"/>
    <d v="2011-01-07T00:00:00"/>
    <n v="1"/>
    <n v="14"/>
    <b v="0"/>
    <n v="5"/>
    <s v="No"/>
    <s v="Friday"/>
    <n v="2"/>
    <x v="1"/>
    <x v="2"/>
    <x v="0"/>
    <n v="0.19700000000000001"/>
    <n v="0.4"/>
    <s v="Acceptable"/>
    <n v="0.25369999999999998"/>
    <n v="7"/>
    <n v="43"/>
    <n v="50"/>
  </r>
  <r>
    <n v="153"/>
    <d v="2011-01-07T00:00:00"/>
    <n v="1"/>
    <n v="15"/>
    <b v="0"/>
    <n v="5"/>
    <s v="No"/>
    <s v="Friday"/>
    <n v="2"/>
    <x v="1"/>
    <x v="2"/>
    <x v="0"/>
    <n v="0.21210000000000001"/>
    <n v="0.37"/>
    <s v="Acceptable"/>
    <n v="0.16420000000000001"/>
    <n v="9"/>
    <n v="63"/>
    <n v="72"/>
  </r>
  <r>
    <n v="154"/>
    <d v="2011-01-07T00:00:00"/>
    <n v="1"/>
    <n v="16"/>
    <b v="0"/>
    <n v="5"/>
    <s v="No"/>
    <s v="Friday"/>
    <n v="2"/>
    <x v="1"/>
    <x v="2"/>
    <x v="0"/>
    <n v="0.21210000000000001"/>
    <n v="0.37"/>
    <s v="Acceptable"/>
    <n v="0.16420000000000001"/>
    <n v="5"/>
    <n v="82"/>
    <n v="87"/>
  </r>
  <r>
    <n v="155"/>
    <d v="2011-01-07T00:00:00"/>
    <n v="1"/>
    <n v="17"/>
    <b v="0"/>
    <n v="5"/>
    <s v="No"/>
    <s v="Friday"/>
    <n v="2"/>
    <x v="1"/>
    <x v="2"/>
    <x v="0"/>
    <n v="0.2576"/>
    <n v="0.37"/>
    <s v="Acceptable"/>
    <n v="0"/>
    <n v="9"/>
    <n v="178"/>
    <n v="187"/>
  </r>
  <r>
    <n v="156"/>
    <d v="2011-01-07T00:00:00"/>
    <n v="1"/>
    <n v="18"/>
    <b v="0"/>
    <n v="5"/>
    <s v="No"/>
    <s v="Friday"/>
    <n v="1"/>
    <x v="0"/>
    <x v="2"/>
    <x v="0"/>
    <n v="0.2273"/>
    <n v="0.4"/>
    <s v="Acceptable"/>
    <n v="8.9599999999999999E-2"/>
    <n v="7"/>
    <n v="116"/>
    <n v="123"/>
  </r>
  <r>
    <n v="157"/>
    <d v="2011-01-07T00:00:00"/>
    <n v="1"/>
    <n v="19"/>
    <b v="0"/>
    <n v="5"/>
    <s v="No"/>
    <s v="Friday"/>
    <n v="1"/>
    <x v="0"/>
    <x v="13"/>
    <x v="0"/>
    <n v="0.19700000000000001"/>
    <n v="0.55000000000000004"/>
    <s v="Acceptable"/>
    <n v="8.9599999999999999E-2"/>
    <n v="3"/>
    <n v="92"/>
    <n v="95"/>
  </r>
  <r>
    <n v="158"/>
    <d v="2011-01-07T00:00:00"/>
    <n v="1"/>
    <n v="20"/>
    <b v="0"/>
    <n v="5"/>
    <s v="No"/>
    <s v="Friday"/>
    <n v="1"/>
    <x v="0"/>
    <x v="15"/>
    <x v="0"/>
    <n v="0.21210000000000001"/>
    <n v="0.47"/>
    <s v="Acceptable"/>
    <n v="0.1045"/>
    <n v="1"/>
    <n v="50"/>
    <n v="51"/>
  </r>
  <r>
    <n v="159"/>
    <d v="2011-01-07T00:00:00"/>
    <n v="1"/>
    <n v="21"/>
    <b v="0"/>
    <n v="5"/>
    <s v="No"/>
    <s v="Friday"/>
    <n v="1"/>
    <x v="0"/>
    <x v="15"/>
    <x v="0"/>
    <n v="0.19700000000000001"/>
    <n v="0.47"/>
    <s v="Acceptable"/>
    <n v="0.1343"/>
    <n v="0"/>
    <n v="39"/>
    <n v="39"/>
  </r>
  <r>
    <n v="160"/>
    <d v="2011-01-07T00:00:00"/>
    <n v="1"/>
    <n v="22"/>
    <b v="0"/>
    <n v="5"/>
    <s v="No"/>
    <s v="Friday"/>
    <n v="2"/>
    <x v="1"/>
    <x v="15"/>
    <x v="0"/>
    <n v="0.19700000000000001"/>
    <n v="0.43"/>
    <s v="Acceptable"/>
    <n v="0.16420000000000001"/>
    <n v="2"/>
    <n v="34"/>
    <n v="36"/>
  </r>
  <r>
    <n v="161"/>
    <d v="2011-01-07T00:00:00"/>
    <n v="1"/>
    <n v="23"/>
    <b v="0"/>
    <n v="5"/>
    <s v="No"/>
    <s v="Friday"/>
    <n v="2"/>
    <x v="1"/>
    <x v="15"/>
    <x v="0"/>
    <n v="0.19700000000000001"/>
    <n v="0.51"/>
    <s v="Acceptable"/>
    <n v="0.16420000000000001"/>
    <n v="1"/>
    <n v="14"/>
    <n v="15"/>
  </r>
  <r>
    <n v="162"/>
    <d v="2011-01-08T00:00:00"/>
    <n v="1"/>
    <n v="0"/>
    <b v="0"/>
    <n v="6"/>
    <s v="Yes"/>
    <s v="Saturday"/>
    <n v="2"/>
    <x v="1"/>
    <x v="15"/>
    <x v="0"/>
    <n v="0.19700000000000001"/>
    <n v="0.51"/>
    <s v="Acceptable"/>
    <n v="0.16420000000000001"/>
    <n v="1"/>
    <n v="24"/>
    <n v="25"/>
  </r>
  <r>
    <n v="163"/>
    <d v="2011-01-08T00:00:00"/>
    <n v="1"/>
    <n v="1"/>
    <b v="0"/>
    <n v="6"/>
    <s v="Yes"/>
    <s v="Saturday"/>
    <n v="2"/>
    <x v="1"/>
    <x v="15"/>
    <x v="0"/>
    <n v="0.21210000000000001"/>
    <n v="0.55000000000000004"/>
    <s v="Acceptable"/>
    <n v="8.9599999999999999E-2"/>
    <n v="1"/>
    <n v="15"/>
    <n v="16"/>
  </r>
  <r>
    <n v="164"/>
    <d v="2011-01-08T00:00:00"/>
    <n v="1"/>
    <n v="2"/>
    <b v="0"/>
    <n v="6"/>
    <s v="Yes"/>
    <s v="Saturday"/>
    <n v="2"/>
    <x v="1"/>
    <x v="15"/>
    <x v="0"/>
    <n v="0.2424"/>
    <n v="0.55000000000000004"/>
    <s v="Acceptable"/>
    <n v="0"/>
    <n v="3"/>
    <n v="13"/>
    <n v="16"/>
  </r>
  <r>
    <n v="165"/>
    <d v="2011-01-08T00:00:00"/>
    <n v="1"/>
    <n v="3"/>
    <b v="0"/>
    <n v="6"/>
    <s v="Yes"/>
    <s v="Saturday"/>
    <n v="3"/>
    <x v="2"/>
    <x v="15"/>
    <x v="0"/>
    <n v="0.19700000000000001"/>
    <n v="0.55000000000000004"/>
    <s v="Acceptable"/>
    <n v="0.16420000000000001"/>
    <n v="0"/>
    <n v="7"/>
    <n v="7"/>
  </r>
  <r>
    <n v="166"/>
    <d v="2011-01-08T00:00:00"/>
    <n v="1"/>
    <n v="4"/>
    <b v="0"/>
    <n v="6"/>
    <s v="Yes"/>
    <s v="Saturday"/>
    <n v="3"/>
    <x v="2"/>
    <x v="15"/>
    <x v="0"/>
    <n v="0.19700000000000001"/>
    <n v="0.55000000000000004"/>
    <s v="Acceptable"/>
    <n v="0.16420000000000001"/>
    <n v="0"/>
    <n v="1"/>
    <n v="1"/>
  </r>
  <r>
    <n v="167"/>
    <d v="2011-01-08T00:00:00"/>
    <n v="1"/>
    <n v="5"/>
    <b v="0"/>
    <n v="6"/>
    <s v="Yes"/>
    <s v="Saturday"/>
    <n v="2"/>
    <x v="1"/>
    <x v="13"/>
    <x v="0"/>
    <n v="0.16669999999999999"/>
    <n v="0.74"/>
    <s v="Risky"/>
    <n v="0.16420000000000001"/>
    <n v="0"/>
    <n v="5"/>
    <n v="5"/>
  </r>
  <r>
    <n v="168"/>
    <d v="2011-01-08T00:00:00"/>
    <n v="1"/>
    <n v="6"/>
    <b v="0"/>
    <n v="6"/>
    <s v="Yes"/>
    <s v="Saturday"/>
    <n v="2"/>
    <x v="1"/>
    <x v="13"/>
    <x v="0"/>
    <n v="0.16669999999999999"/>
    <n v="0.74"/>
    <s v="Risky"/>
    <n v="0.16420000000000001"/>
    <n v="0"/>
    <n v="2"/>
    <n v="2"/>
  </r>
  <r>
    <n v="169"/>
    <d v="2011-01-08T00:00:00"/>
    <n v="1"/>
    <n v="7"/>
    <b v="0"/>
    <n v="6"/>
    <s v="Yes"/>
    <s v="Saturday"/>
    <n v="2"/>
    <x v="1"/>
    <x v="13"/>
    <x v="0"/>
    <n v="0.18179999999999999"/>
    <n v="0.74"/>
    <s v="Risky"/>
    <n v="0.1045"/>
    <n v="1"/>
    <n v="8"/>
    <n v="9"/>
  </r>
  <r>
    <n v="170"/>
    <d v="2011-01-08T00:00:00"/>
    <n v="1"/>
    <n v="8"/>
    <b v="0"/>
    <n v="6"/>
    <s v="Yes"/>
    <s v="Saturday"/>
    <n v="3"/>
    <x v="2"/>
    <x v="13"/>
    <x v="0"/>
    <n v="0.18179999999999999"/>
    <n v="0.93"/>
    <s v="Risky"/>
    <n v="0.1045"/>
    <n v="0"/>
    <n v="15"/>
    <n v="15"/>
  </r>
  <r>
    <n v="171"/>
    <d v="2011-01-08T00:00:00"/>
    <n v="1"/>
    <n v="9"/>
    <b v="0"/>
    <n v="6"/>
    <s v="Yes"/>
    <s v="Saturday"/>
    <n v="3"/>
    <x v="2"/>
    <x v="13"/>
    <x v="0"/>
    <n v="0.18179999999999999"/>
    <n v="0.93"/>
    <s v="Risky"/>
    <n v="0.1045"/>
    <n v="0"/>
    <n v="20"/>
    <n v="20"/>
  </r>
  <r>
    <n v="172"/>
    <d v="2011-01-08T00:00:00"/>
    <n v="1"/>
    <n v="10"/>
    <b v="0"/>
    <n v="6"/>
    <s v="Yes"/>
    <s v="Saturday"/>
    <n v="2"/>
    <x v="1"/>
    <x v="15"/>
    <x v="0"/>
    <n v="0.19700000000000001"/>
    <n v="0.8"/>
    <s v="Risky"/>
    <n v="0.16420000000000001"/>
    <n v="5"/>
    <n v="56"/>
    <n v="61"/>
  </r>
  <r>
    <n v="173"/>
    <d v="2011-01-08T00:00:00"/>
    <n v="1"/>
    <n v="11"/>
    <b v="0"/>
    <n v="6"/>
    <s v="Yes"/>
    <s v="Saturday"/>
    <n v="2"/>
    <x v="1"/>
    <x v="2"/>
    <x v="0"/>
    <n v="0.18179999999999999"/>
    <n v="0.69"/>
    <s v="Acceptable"/>
    <n v="0.3881"/>
    <n v="2"/>
    <n v="60"/>
    <n v="62"/>
  </r>
  <r>
    <n v="174"/>
    <d v="2011-01-08T00:00:00"/>
    <n v="1"/>
    <n v="12"/>
    <b v="0"/>
    <n v="6"/>
    <s v="Yes"/>
    <s v="Saturday"/>
    <n v="2"/>
    <x v="1"/>
    <x v="2"/>
    <x v="0"/>
    <n v="0.18179999999999999"/>
    <n v="0.59"/>
    <s v="Acceptable"/>
    <n v="0.35820000000000002"/>
    <n v="8"/>
    <n v="90"/>
    <n v="98"/>
  </r>
  <r>
    <n v="175"/>
    <d v="2011-01-08T00:00:00"/>
    <n v="1"/>
    <n v="13"/>
    <b v="0"/>
    <n v="6"/>
    <s v="Yes"/>
    <s v="Saturday"/>
    <n v="1"/>
    <x v="0"/>
    <x v="2"/>
    <x v="0"/>
    <n v="0.18179999999999999"/>
    <n v="0.44"/>
    <s v="Acceptable"/>
    <n v="0.32840000000000003"/>
    <n v="7"/>
    <n v="95"/>
    <n v="102"/>
  </r>
  <r>
    <n v="176"/>
    <d v="2011-01-08T00:00:00"/>
    <n v="1"/>
    <n v="14"/>
    <b v="0"/>
    <n v="6"/>
    <s v="Yes"/>
    <s v="Saturday"/>
    <n v="1"/>
    <x v="0"/>
    <x v="2"/>
    <x v="0"/>
    <n v="0.16669999999999999"/>
    <n v="0.32"/>
    <s v="Acceptable"/>
    <n v="0.49249999999999999"/>
    <n v="12"/>
    <n v="83"/>
    <n v="95"/>
  </r>
  <r>
    <n v="177"/>
    <d v="2011-01-08T00:00:00"/>
    <n v="1"/>
    <n v="15"/>
    <b v="0"/>
    <n v="6"/>
    <s v="Yes"/>
    <s v="Saturday"/>
    <n v="1"/>
    <x v="0"/>
    <x v="2"/>
    <x v="0"/>
    <n v="0.16669999999999999"/>
    <n v="0.32"/>
    <s v="Acceptable"/>
    <n v="0.44779999999999998"/>
    <n v="5"/>
    <n v="69"/>
    <n v="74"/>
  </r>
  <r>
    <n v="178"/>
    <d v="2011-01-08T00:00:00"/>
    <n v="1"/>
    <n v="16"/>
    <b v="0"/>
    <n v="6"/>
    <s v="Yes"/>
    <s v="Saturday"/>
    <n v="1"/>
    <x v="0"/>
    <x v="15"/>
    <x v="0"/>
    <n v="0.13639999999999999"/>
    <n v="0.28999999999999998"/>
    <s v="Acceptable"/>
    <n v="0.44779999999999998"/>
    <n v="8"/>
    <n v="68"/>
    <n v="76"/>
  </r>
  <r>
    <n v="179"/>
    <d v="2011-01-08T00:00:00"/>
    <n v="1"/>
    <n v="17"/>
    <b v="0"/>
    <n v="6"/>
    <s v="Yes"/>
    <s v="Saturday"/>
    <n v="1"/>
    <x v="0"/>
    <x v="13"/>
    <x v="0"/>
    <n v="0.1212"/>
    <n v="0.37"/>
    <s v="Acceptable"/>
    <n v="0.55220000000000002"/>
    <n v="5"/>
    <n v="64"/>
    <n v="69"/>
  </r>
  <r>
    <n v="180"/>
    <d v="2011-01-08T00:00:00"/>
    <n v="1"/>
    <n v="18"/>
    <b v="0"/>
    <n v="6"/>
    <s v="Yes"/>
    <s v="Saturday"/>
    <n v="1"/>
    <x v="0"/>
    <x v="14"/>
    <x v="0"/>
    <n v="0.1212"/>
    <n v="0.39"/>
    <s v="Acceptable"/>
    <n v="0.29849999999999999"/>
    <n v="3"/>
    <n v="52"/>
    <n v="55"/>
  </r>
  <r>
    <n v="181"/>
    <d v="2011-01-08T00:00:00"/>
    <n v="1"/>
    <n v="19"/>
    <b v="0"/>
    <n v="6"/>
    <s v="Yes"/>
    <s v="Saturday"/>
    <n v="1"/>
    <x v="0"/>
    <x v="14"/>
    <x v="0"/>
    <n v="0.1212"/>
    <n v="0.36"/>
    <s v="Acceptable"/>
    <n v="0.25369999999999998"/>
    <n v="4"/>
    <n v="26"/>
    <n v="30"/>
  </r>
  <r>
    <n v="182"/>
    <d v="2011-01-08T00:00:00"/>
    <n v="1"/>
    <n v="20"/>
    <b v="0"/>
    <n v="6"/>
    <s v="Yes"/>
    <s v="Saturday"/>
    <n v="1"/>
    <x v="0"/>
    <x v="16"/>
    <x v="0"/>
    <n v="0.1212"/>
    <n v="0.36"/>
    <s v="Acceptable"/>
    <n v="0.25369999999999998"/>
    <n v="0"/>
    <n v="28"/>
    <n v="28"/>
  </r>
  <r>
    <n v="183"/>
    <d v="2011-01-08T00:00:00"/>
    <n v="1"/>
    <n v="21"/>
    <b v="0"/>
    <n v="6"/>
    <s v="Yes"/>
    <s v="Saturday"/>
    <n v="1"/>
    <x v="0"/>
    <x v="16"/>
    <x v="0"/>
    <n v="0.1061"/>
    <n v="0.39"/>
    <s v="Acceptable"/>
    <n v="0.35820000000000002"/>
    <n v="2"/>
    <n v="35"/>
    <n v="37"/>
  </r>
  <r>
    <n v="184"/>
    <d v="2011-01-08T00:00:00"/>
    <n v="1"/>
    <n v="22"/>
    <b v="0"/>
    <n v="6"/>
    <s v="Yes"/>
    <s v="Saturday"/>
    <n v="1"/>
    <x v="0"/>
    <x v="16"/>
    <x v="0"/>
    <n v="0.1061"/>
    <n v="0.36"/>
    <s v="Acceptable"/>
    <n v="0.3881"/>
    <n v="1"/>
    <n v="33"/>
    <n v="34"/>
  </r>
  <r>
    <n v="185"/>
    <d v="2011-01-08T00:00:00"/>
    <n v="1"/>
    <n v="23"/>
    <b v="0"/>
    <n v="6"/>
    <s v="Yes"/>
    <s v="Saturday"/>
    <n v="1"/>
    <x v="0"/>
    <x v="18"/>
    <x v="0"/>
    <n v="6.0600000000000001E-2"/>
    <n v="0.39"/>
    <s v="Acceptable"/>
    <n v="0.44779999999999998"/>
    <n v="0"/>
    <n v="22"/>
    <n v="22"/>
  </r>
  <r>
    <n v="186"/>
    <d v="2011-01-09T00:00:00"/>
    <n v="1"/>
    <n v="0"/>
    <b v="0"/>
    <n v="0"/>
    <s v="Yes"/>
    <s v="Sunday"/>
    <n v="1"/>
    <x v="0"/>
    <x v="18"/>
    <x v="0"/>
    <n v="7.5800000000000006E-2"/>
    <n v="0.42"/>
    <s v="Acceptable"/>
    <n v="0.3881"/>
    <n v="1"/>
    <n v="24"/>
    <n v="25"/>
  </r>
  <r>
    <n v="187"/>
    <d v="2011-01-09T00:00:00"/>
    <n v="1"/>
    <n v="1"/>
    <b v="0"/>
    <n v="0"/>
    <s v="Yes"/>
    <s v="Sunday"/>
    <n v="1"/>
    <x v="0"/>
    <x v="18"/>
    <x v="0"/>
    <n v="6.0600000000000001E-2"/>
    <n v="0.42"/>
    <s v="Acceptable"/>
    <n v="0.4627"/>
    <n v="0"/>
    <n v="12"/>
    <n v="12"/>
  </r>
  <r>
    <n v="188"/>
    <d v="2011-01-09T00:00:00"/>
    <n v="1"/>
    <n v="2"/>
    <b v="0"/>
    <n v="0"/>
    <s v="Yes"/>
    <s v="Sunday"/>
    <n v="1"/>
    <x v="0"/>
    <x v="18"/>
    <x v="0"/>
    <n v="6.0600000000000001E-2"/>
    <n v="0.46"/>
    <s v="Acceptable"/>
    <n v="0.4627"/>
    <n v="0"/>
    <n v="11"/>
    <n v="11"/>
  </r>
  <r>
    <n v="189"/>
    <d v="2011-01-09T00:00:00"/>
    <n v="1"/>
    <n v="3"/>
    <b v="0"/>
    <n v="0"/>
    <s v="Yes"/>
    <s v="Sunday"/>
    <n v="1"/>
    <x v="0"/>
    <x v="18"/>
    <x v="0"/>
    <n v="7.5800000000000006E-2"/>
    <n v="0.46"/>
    <s v="Acceptable"/>
    <n v="0.41789999999999999"/>
    <n v="0"/>
    <n v="4"/>
    <n v="4"/>
  </r>
  <r>
    <n v="190"/>
    <d v="2011-01-09T00:00:00"/>
    <n v="1"/>
    <n v="4"/>
    <b v="0"/>
    <n v="0"/>
    <s v="Yes"/>
    <s v="Sunday"/>
    <n v="1"/>
    <x v="0"/>
    <x v="19"/>
    <x v="1"/>
    <n v="9.0899999999999995E-2"/>
    <n v="0.53"/>
    <s v="Acceptable"/>
    <n v="0.19400000000000001"/>
    <n v="0"/>
    <n v="1"/>
    <n v="1"/>
  </r>
  <r>
    <n v="191"/>
    <d v="2011-01-09T00:00:00"/>
    <n v="1"/>
    <n v="5"/>
    <b v="0"/>
    <n v="0"/>
    <s v="Yes"/>
    <s v="Sunday"/>
    <n v="1"/>
    <x v="0"/>
    <x v="19"/>
    <x v="1"/>
    <n v="9.0899999999999995E-2"/>
    <n v="0.53"/>
    <s v="Acceptable"/>
    <n v="0.19400000000000001"/>
    <n v="0"/>
    <n v="1"/>
    <n v="1"/>
  </r>
  <r>
    <n v="192"/>
    <d v="2011-01-09T00:00:00"/>
    <n v="1"/>
    <n v="6"/>
    <b v="0"/>
    <n v="0"/>
    <s v="Yes"/>
    <s v="Sunday"/>
    <n v="1"/>
    <x v="0"/>
    <x v="18"/>
    <x v="0"/>
    <n v="9.0899999999999995E-2"/>
    <n v="0.49"/>
    <s v="Acceptable"/>
    <n v="0.28360000000000002"/>
    <n v="0"/>
    <n v="1"/>
    <n v="1"/>
  </r>
  <r>
    <n v="193"/>
    <d v="2011-01-09T00:00:00"/>
    <n v="1"/>
    <n v="7"/>
    <b v="0"/>
    <n v="0"/>
    <s v="Yes"/>
    <s v="Sunday"/>
    <n v="1"/>
    <x v="0"/>
    <x v="19"/>
    <x v="1"/>
    <n v="9.0899999999999995E-2"/>
    <n v="0.53"/>
    <s v="Acceptable"/>
    <n v="0.19400000000000001"/>
    <n v="1"/>
    <n v="5"/>
    <n v="6"/>
  </r>
  <r>
    <n v="194"/>
    <d v="2011-01-09T00:00:00"/>
    <n v="1"/>
    <n v="8"/>
    <b v="0"/>
    <n v="0"/>
    <s v="Yes"/>
    <s v="Sunday"/>
    <n v="1"/>
    <x v="0"/>
    <x v="18"/>
    <x v="0"/>
    <n v="9.0899999999999995E-2"/>
    <n v="0.49"/>
    <s v="Acceptable"/>
    <n v="0.28360000000000002"/>
    <n v="0"/>
    <n v="10"/>
    <n v="10"/>
  </r>
  <r>
    <n v="195"/>
    <d v="2011-01-09T00:00:00"/>
    <n v="1"/>
    <n v="9"/>
    <b v="0"/>
    <n v="0"/>
    <s v="Yes"/>
    <s v="Sunday"/>
    <n v="1"/>
    <x v="0"/>
    <x v="16"/>
    <x v="0"/>
    <n v="7.5800000000000006E-2"/>
    <n v="0.46"/>
    <s v="Acceptable"/>
    <n v="0.52239999999999998"/>
    <n v="0"/>
    <n v="19"/>
    <n v="19"/>
  </r>
  <r>
    <n v="196"/>
    <d v="2011-01-09T00:00:00"/>
    <n v="1"/>
    <n v="10"/>
    <b v="0"/>
    <n v="0"/>
    <s v="Yes"/>
    <s v="Sunday"/>
    <n v="1"/>
    <x v="0"/>
    <x v="14"/>
    <x v="0"/>
    <n v="0.1061"/>
    <n v="0.43"/>
    <s v="Acceptable"/>
    <n v="0.3881"/>
    <n v="0"/>
    <n v="49"/>
    <n v="49"/>
  </r>
  <r>
    <n v="197"/>
    <d v="2011-01-09T00:00:00"/>
    <n v="1"/>
    <n v="11"/>
    <b v="0"/>
    <n v="0"/>
    <s v="Yes"/>
    <s v="Sunday"/>
    <n v="1"/>
    <x v="0"/>
    <x v="13"/>
    <x v="0"/>
    <n v="0.1212"/>
    <n v="0.4"/>
    <s v="Acceptable"/>
    <n v="0.52239999999999998"/>
    <n v="2"/>
    <n v="47"/>
    <n v="49"/>
  </r>
  <r>
    <n v="198"/>
    <d v="2011-01-09T00:00:00"/>
    <n v="1"/>
    <n v="12"/>
    <b v="0"/>
    <n v="0"/>
    <s v="Yes"/>
    <s v="Sunday"/>
    <n v="1"/>
    <x v="0"/>
    <x v="15"/>
    <x v="0"/>
    <n v="0.13639999999999999"/>
    <n v="0.37"/>
    <s v="Acceptable"/>
    <n v="0.44779999999999998"/>
    <n v="4"/>
    <n v="79"/>
    <n v="83"/>
  </r>
  <r>
    <n v="199"/>
    <d v="2011-01-09T00:00:00"/>
    <n v="1"/>
    <n v="13"/>
    <b v="0"/>
    <n v="0"/>
    <s v="Yes"/>
    <s v="Sunday"/>
    <n v="1"/>
    <x v="0"/>
    <x v="2"/>
    <x v="0"/>
    <n v="0.16669999999999999"/>
    <n v="0.34"/>
    <s v="Acceptable"/>
    <n v="0.44779999999999998"/>
    <n v="6"/>
    <n v="69"/>
    <n v="75"/>
  </r>
  <r>
    <n v="200"/>
    <d v="2011-01-09T00:00:00"/>
    <n v="1"/>
    <n v="14"/>
    <b v="0"/>
    <n v="0"/>
    <s v="Yes"/>
    <s v="Sunday"/>
    <n v="1"/>
    <x v="0"/>
    <x v="1"/>
    <x v="0"/>
    <n v="0.18179999999999999"/>
    <n v="0.32"/>
    <s v="Acceptable"/>
    <n v="0.4627"/>
    <n v="8"/>
    <n v="64"/>
    <n v="72"/>
  </r>
  <r>
    <n v="201"/>
    <d v="2011-01-09T00:00:00"/>
    <n v="1"/>
    <n v="15"/>
    <b v="0"/>
    <n v="0"/>
    <s v="Yes"/>
    <s v="Sunday"/>
    <n v="1"/>
    <x v="0"/>
    <x v="1"/>
    <x v="0"/>
    <n v="0.19700000000000001"/>
    <n v="0.35"/>
    <s v="Acceptable"/>
    <n v="0.35820000000000002"/>
    <n v="5"/>
    <n v="77"/>
    <n v="82"/>
  </r>
  <r>
    <n v="202"/>
    <d v="2011-01-09T00:00:00"/>
    <n v="1"/>
    <n v="16"/>
    <b v="0"/>
    <n v="0"/>
    <s v="Yes"/>
    <s v="Sunday"/>
    <n v="1"/>
    <x v="0"/>
    <x v="2"/>
    <x v="0"/>
    <n v="0.16669999999999999"/>
    <n v="0.34"/>
    <s v="Acceptable"/>
    <n v="0.44779999999999998"/>
    <n v="13"/>
    <n v="79"/>
    <n v="92"/>
  </r>
  <r>
    <n v="203"/>
    <d v="2011-01-09T00:00:00"/>
    <n v="1"/>
    <n v="17"/>
    <b v="0"/>
    <n v="0"/>
    <s v="Yes"/>
    <s v="Sunday"/>
    <n v="1"/>
    <x v="0"/>
    <x v="15"/>
    <x v="0"/>
    <n v="0.1515"/>
    <n v="0.37"/>
    <s v="Acceptable"/>
    <n v="0.3881"/>
    <n v="3"/>
    <n v="59"/>
    <n v="62"/>
  </r>
  <r>
    <n v="204"/>
    <d v="2011-01-09T00:00:00"/>
    <n v="1"/>
    <n v="18"/>
    <b v="0"/>
    <n v="0"/>
    <s v="Yes"/>
    <s v="Sunday"/>
    <n v="1"/>
    <x v="0"/>
    <x v="13"/>
    <x v="0"/>
    <n v="0.13639999999999999"/>
    <n v="0.4"/>
    <s v="Acceptable"/>
    <n v="0.32840000000000003"/>
    <n v="4"/>
    <n v="44"/>
    <n v="48"/>
  </r>
  <r>
    <n v="205"/>
    <d v="2011-01-09T00:00:00"/>
    <n v="1"/>
    <n v="19"/>
    <b v="0"/>
    <n v="0"/>
    <s v="Yes"/>
    <s v="Sunday"/>
    <n v="1"/>
    <x v="0"/>
    <x v="13"/>
    <x v="0"/>
    <n v="0.13639999999999999"/>
    <n v="0.43"/>
    <s v="Acceptable"/>
    <n v="0.32840000000000003"/>
    <n v="1"/>
    <n v="40"/>
    <n v="41"/>
  </r>
  <r>
    <n v="206"/>
    <d v="2011-01-09T00:00:00"/>
    <n v="1"/>
    <n v="20"/>
    <b v="0"/>
    <n v="0"/>
    <s v="Yes"/>
    <s v="Sunday"/>
    <n v="1"/>
    <x v="0"/>
    <x v="14"/>
    <x v="0"/>
    <n v="0.1212"/>
    <n v="0.46"/>
    <s v="Acceptable"/>
    <n v="0.25369999999999998"/>
    <n v="0"/>
    <n v="38"/>
    <n v="38"/>
  </r>
  <r>
    <n v="207"/>
    <d v="2011-01-09T00:00:00"/>
    <n v="1"/>
    <n v="21"/>
    <b v="0"/>
    <n v="0"/>
    <s v="Yes"/>
    <s v="Sunday"/>
    <n v="1"/>
    <x v="0"/>
    <x v="14"/>
    <x v="0"/>
    <n v="0.1061"/>
    <n v="0.46"/>
    <s v="Acceptable"/>
    <n v="0.41789999999999999"/>
    <n v="1"/>
    <n v="19"/>
    <n v="20"/>
  </r>
  <r>
    <n v="208"/>
    <d v="2011-01-09T00:00:00"/>
    <n v="1"/>
    <n v="22"/>
    <b v="0"/>
    <n v="0"/>
    <s v="Yes"/>
    <s v="Sunday"/>
    <n v="1"/>
    <x v="0"/>
    <x v="14"/>
    <x v="0"/>
    <n v="0.1212"/>
    <n v="0.46"/>
    <s v="Acceptable"/>
    <n v="0.29849999999999999"/>
    <n v="5"/>
    <n v="10"/>
    <n v="15"/>
  </r>
  <r>
    <n v="209"/>
    <d v="2011-01-09T00:00:00"/>
    <n v="1"/>
    <n v="23"/>
    <b v="0"/>
    <n v="0"/>
    <s v="Yes"/>
    <s v="Sunday"/>
    <n v="1"/>
    <x v="0"/>
    <x v="16"/>
    <x v="0"/>
    <n v="0.13639999999999999"/>
    <n v="0.5"/>
    <s v="Acceptable"/>
    <n v="0.19400000000000001"/>
    <n v="0"/>
    <n v="6"/>
    <n v="6"/>
  </r>
  <r>
    <n v="210"/>
    <d v="2011-01-10T00:00:00"/>
    <n v="1"/>
    <n v="0"/>
    <b v="0"/>
    <n v="1"/>
    <s v="No"/>
    <s v="Monday"/>
    <n v="1"/>
    <x v="0"/>
    <x v="16"/>
    <x v="0"/>
    <n v="0.1212"/>
    <n v="0.5"/>
    <s v="Acceptable"/>
    <n v="0.28360000000000002"/>
    <n v="2"/>
    <n v="3"/>
    <n v="5"/>
  </r>
  <r>
    <n v="211"/>
    <d v="2011-01-10T00:00:00"/>
    <n v="1"/>
    <n v="1"/>
    <b v="0"/>
    <n v="1"/>
    <s v="No"/>
    <s v="Monday"/>
    <n v="1"/>
    <x v="0"/>
    <x v="16"/>
    <x v="0"/>
    <n v="0.1212"/>
    <n v="0.5"/>
    <s v="Acceptable"/>
    <n v="0.28360000000000002"/>
    <n v="1"/>
    <n v="0"/>
    <n v="1"/>
  </r>
  <r>
    <n v="212"/>
    <d v="2011-01-10T00:00:00"/>
    <n v="1"/>
    <n v="2"/>
    <b v="0"/>
    <n v="1"/>
    <s v="No"/>
    <s v="Monday"/>
    <n v="1"/>
    <x v="0"/>
    <x v="16"/>
    <x v="0"/>
    <n v="0.1212"/>
    <n v="0.5"/>
    <s v="Acceptable"/>
    <n v="0.22389999999999999"/>
    <n v="0"/>
    <n v="3"/>
    <n v="3"/>
  </r>
  <r>
    <n v="213"/>
    <d v="2011-01-10T00:00:00"/>
    <n v="1"/>
    <n v="3"/>
    <b v="0"/>
    <n v="1"/>
    <s v="No"/>
    <s v="Monday"/>
    <n v="1"/>
    <x v="0"/>
    <x v="16"/>
    <x v="0"/>
    <n v="0.1212"/>
    <n v="0.5"/>
    <s v="Acceptable"/>
    <n v="0.22389999999999999"/>
    <n v="0"/>
    <n v="1"/>
    <n v="1"/>
  </r>
  <r>
    <n v="214"/>
    <d v="2011-01-10T00:00:00"/>
    <n v="1"/>
    <n v="4"/>
    <b v="0"/>
    <n v="1"/>
    <s v="No"/>
    <s v="Monday"/>
    <n v="1"/>
    <x v="0"/>
    <x v="18"/>
    <x v="0"/>
    <n v="0.1212"/>
    <n v="0.54"/>
    <s v="Acceptable"/>
    <n v="0.1343"/>
    <n v="1"/>
    <n v="2"/>
    <n v="3"/>
  </r>
  <r>
    <n v="215"/>
    <d v="2011-01-10T00:00:00"/>
    <n v="1"/>
    <n v="5"/>
    <b v="0"/>
    <n v="1"/>
    <s v="No"/>
    <s v="Monday"/>
    <n v="1"/>
    <x v="0"/>
    <x v="18"/>
    <x v="0"/>
    <n v="0.1061"/>
    <n v="0.54"/>
    <s v="Acceptable"/>
    <n v="0.25369999999999998"/>
    <n v="0"/>
    <n v="3"/>
    <n v="3"/>
  </r>
  <r>
    <n v="216"/>
    <d v="2011-01-10T00:00:00"/>
    <n v="1"/>
    <n v="6"/>
    <b v="0"/>
    <n v="1"/>
    <s v="No"/>
    <s v="Monday"/>
    <n v="1"/>
    <x v="0"/>
    <x v="16"/>
    <x v="0"/>
    <n v="0.1212"/>
    <n v="0.5"/>
    <s v="Acceptable"/>
    <n v="0.28360000000000002"/>
    <n v="0"/>
    <n v="31"/>
    <n v="31"/>
  </r>
  <r>
    <n v="217"/>
    <d v="2011-01-10T00:00:00"/>
    <n v="1"/>
    <n v="7"/>
    <b v="0"/>
    <n v="1"/>
    <s v="No"/>
    <s v="Monday"/>
    <n v="1"/>
    <x v="0"/>
    <x v="16"/>
    <x v="0"/>
    <n v="0.1212"/>
    <n v="0.5"/>
    <s v="Acceptable"/>
    <n v="0.22389999999999999"/>
    <n v="2"/>
    <n v="75"/>
    <n v="77"/>
  </r>
  <r>
    <n v="218"/>
    <d v="2011-01-10T00:00:00"/>
    <n v="1"/>
    <n v="8"/>
    <b v="0"/>
    <n v="1"/>
    <s v="No"/>
    <s v="Monday"/>
    <n v="2"/>
    <x v="1"/>
    <x v="16"/>
    <x v="0"/>
    <n v="0.1212"/>
    <n v="0.5"/>
    <s v="Acceptable"/>
    <n v="0.28360000000000002"/>
    <n v="4"/>
    <n v="184"/>
    <n v="188"/>
  </r>
  <r>
    <n v="219"/>
    <d v="2011-01-10T00:00:00"/>
    <n v="1"/>
    <n v="9"/>
    <b v="0"/>
    <n v="1"/>
    <s v="No"/>
    <s v="Monday"/>
    <n v="2"/>
    <x v="1"/>
    <x v="14"/>
    <x v="0"/>
    <n v="0.1212"/>
    <n v="0.5"/>
    <s v="Acceptable"/>
    <n v="0.25369999999999998"/>
    <n v="2"/>
    <n v="92"/>
    <n v="94"/>
  </r>
  <r>
    <n v="220"/>
    <d v="2011-01-10T00:00:00"/>
    <n v="1"/>
    <n v="10"/>
    <b v="0"/>
    <n v="1"/>
    <s v="No"/>
    <s v="Monday"/>
    <n v="2"/>
    <x v="1"/>
    <x v="14"/>
    <x v="0"/>
    <n v="0.1212"/>
    <n v="0.5"/>
    <s v="Acceptable"/>
    <n v="0.29849999999999999"/>
    <n v="0"/>
    <n v="31"/>
    <n v="31"/>
  </r>
  <r>
    <n v="221"/>
    <d v="2011-01-10T00:00:00"/>
    <n v="1"/>
    <n v="11"/>
    <b v="0"/>
    <n v="1"/>
    <s v="No"/>
    <s v="Monday"/>
    <n v="2"/>
    <x v="1"/>
    <x v="13"/>
    <x v="0"/>
    <n v="0.13639999999999999"/>
    <n v="0.47"/>
    <s v="Acceptable"/>
    <n v="0.28360000000000002"/>
    <n v="2"/>
    <n v="28"/>
    <n v="30"/>
  </r>
  <r>
    <n v="222"/>
    <d v="2011-01-10T00:00:00"/>
    <n v="1"/>
    <n v="12"/>
    <b v="0"/>
    <n v="1"/>
    <s v="No"/>
    <s v="Monday"/>
    <n v="2"/>
    <x v="1"/>
    <x v="2"/>
    <x v="0"/>
    <n v="0.18179999999999999"/>
    <n v="0.4"/>
    <s v="Acceptable"/>
    <n v="0.28360000000000002"/>
    <n v="5"/>
    <n v="47"/>
    <n v="52"/>
  </r>
  <r>
    <n v="223"/>
    <d v="2011-01-10T00:00:00"/>
    <n v="1"/>
    <n v="13"/>
    <b v="0"/>
    <n v="1"/>
    <s v="No"/>
    <s v="Monday"/>
    <n v="2"/>
    <x v="1"/>
    <x v="2"/>
    <x v="0"/>
    <n v="0.18179999999999999"/>
    <n v="0.4"/>
    <s v="Acceptable"/>
    <n v="0.28360000000000002"/>
    <n v="4"/>
    <n v="50"/>
    <n v="54"/>
  </r>
  <r>
    <n v="224"/>
    <d v="2011-01-10T00:00:00"/>
    <n v="1"/>
    <n v="14"/>
    <b v="0"/>
    <n v="1"/>
    <s v="No"/>
    <s v="Monday"/>
    <n v="2"/>
    <x v="1"/>
    <x v="2"/>
    <x v="0"/>
    <n v="0.19700000000000001"/>
    <n v="0.4"/>
    <s v="Acceptable"/>
    <n v="0.22389999999999999"/>
    <n v="0"/>
    <n v="47"/>
    <n v="47"/>
  </r>
  <r>
    <n v="225"/>
    <d v="2011-01-10T00:00:00"/>
    <n v="1"/>
    <n v="15"/>
    <b v="0"/>
    <n v="1"/>
    <s v="No"/>
    <s v="Monday"/>
    <n v="2"/>
    <x v="1"/>
    <x v="2"/>
    <x v="0"/>
    <n v="0.19700000000000001"/>
    <n v="0.4"/>
    <s v="Acceptable"/>
    <n v="0.22389999999999999"/>
    <n v="2"/>
    <n v="43"/>
    <n v="45"/>
  </r>
  <r>
    <n v="226"/>
    <d v="2011-01-10T00:00:00"/>
    <n v="1"/>
    <n v="16"/>
    <b v="0"/>
    <n v="1"/>
    <s v="No"/>
    <s v="Monday"/>
    <n v="1"/>
    <x v="0"/>
    <x v="2"/>
    <x v="0"/>
    <n v="0.21210000000000001"/>
    <n v="0.4"/>
    <s v="Acceptable"/>
    <n v="0.1343"/>
    <n v="4"/>
    <n v="70"/>
    <n v="74"/>
  </r>
  <r>
    <n v="227"/>
    <d v="2011-01-10T00:00:00"/>
    <n v="1"/>
    <n v="17"/>
    <b v="0"/>
    <n v="1"/>
    <s v="No"/>
    <s v="Monday"/>
    <n v="1"/>
    <x v="0"/>
    <x v="2"/>
    <x v="0"/>
    <n v="0.2273"/>
    <n v="0.4"/>
    <s v="Acceptable"/>
    <n v="0.1045"/>
    <n v="4"/>
    <n v="174"/>
    <n v="178"/>
  </r>
  <r>
    <n v="228"/>
    <d v="2011-01-10T00:00:00"/>
    <n v="1"/>
    <n v="18"/>
    <b v="0"/>
    <n v="1"/>
    <s v="No"/>
    <s v="Monday"/>
    <n v="1"/>
    <x v="0"/>
    <x v="2"/>
    <x v="0"/>
    <n v="0.19700000000000001"/>
    <n v="0.4"/>
    <s v="Acceptable"/>
    <n v="0.22389999999999999"/>
    <n v="1"/>
    <n v="154"/>
    <n v="155"/>
  </r>
  <r>
    <n v="229"/>
    <d v="2011-01-10T00:00:00"/>
    <n v="1"/>
    <n v="19"/>
    <b v="0"/>
    <n v="1"/>
    <s v="No"/>
    <s v="Monday"/>
    <n v="1"/>
    <x v="0"/>
    <x v="13"/>
    <x v="0"/>
    <n v="0.16669999999999999"/>
    <n v="0.47"/>
    <s v="Acceptable"/>
    <n v="0.16420000000000001"/>
    <n v="3"/>
    <n v="92"/>
    <n v="95"/>
  </r>
  <r>
    <n v="230"/>
    <d v="2011-01-10T00:00:00"/>
    <n v="1"/>
    <n v="20"/>
    <b v="0"/>
    <n v="1"/>
    <s v="No"/>
    <s v="Monday"/>
    <n v="1"/>
    <x v="0"/>
    <x v="13"/>
    <x v="0"/>
    <n v="0.16669999999999999"/>
    <n v="0.5"/>
    <s v="Acceptable"/>
    <n v="0.16420000000000001"/>
    <n v="1"/>
    <n v="73"/>
    <n v="74"/>
  </r>
  <r>
    <n v="231"/>
    <d v="2011-01-10T00:00:00"/>
    <n v="1"/>
    <n v="21"/>
    <b v="0"/>
    <n v="1"/>
    <s v="No"/>
    <s v="Monday"/>
    <n v="1"/>
    <x v="0"/>
    <x v="14"/>
    <x v="0"/>
    <n v="0.13639999999999999"/>
    <n v="0.59"/>
    <s v="Acceptable"/>
    <n v="0.19400000000000001"/>
    <n v="1"/>
    <n v="37"/>
    <n v="38"/>
  </r>
  <r>
    <n v="232"/>
    <d v="2011-01-10T00:00:00"/>
    <n v="1"/>
    <n v="22"/>
    <b v="0"/>
    <n v="1"/>
    <s v="No"/>
    <s v="Monday"/>
    <n v="1"/>
    <x v="0"/>
    <x v="14"/>
    <x v="0"/>
    <n v="0.1515"/>
    <n v="0.59"/>
    <s v="Acceptable"/>
    <n v="0.16420000000000001"/>
    <n v="2"/>
    <n v="22"/>
    <n v="24"/>
  </r>
  <r>
    <n v="233"/>
    <d v="2011-01-10T00:00:00"/>
    <n v="1"/>
    <n v="23"/>
    <b v="0"/>
    <n v="1"/>
    <s v="No"/>
    <s v="Monday"/>
    <n v="1"/>
    <x v="0"/>
    <x v="14"/>
    <x v="0"/>
    <n v="0.1515"/>
    <n v="0.59"/>
    <s v="Acceptable"/>
    <n v="0.16420000000000001"/>
    <n v="0"/>
    <n v="18"/>
    <n v="18"/>
  </r>
  <r>
    <n v="234"/>
    <d v="2011-01-11T00:00:00"/>
    <n v="1"/>
    <n v="0"/>
    <b v="0"/>
    <n v="2"/>
    <s v="No"/>
    <s v="Tuesday"/>
    <n v="1"/>
    <x v="0"/>
    <x v="14"/>
    <x v="0"/>
    <n v="0.16669999999999999"/>
    <n v="0.59"/>
    <s v="Acceptable"/>
    <n v="0.1045"/>
    <n v="2"/>
    <n v="10"/>
    <n v="12"/>
  </r>
  <r>
    <n v="235"/>
    <d v="2011-01-11T00:00:00"/>
    <n v="1"/>
    <n v="1"/>
    <b v="0"/>
    <n v="2"/>
    <s v="No"/>
    <s v="Tuesday"/>
    <n v="1"/>
    <x v="0"/>
    <x v="14"/>
    <x v="0"/>
    <n v="0.1515"/>
    <n v="0.59"/>
    <s v="Acceptable"/>
    <n v="0.16420000000000001"/>
    <n v="0"/>
    <n v="3"/>
    <n v="3"/>
  </r>
  <r>
    <n v="236"/>
    <d v="2011-01-11T00:00:00"/>
    <n v="1"/>
    <n v="2"/>
    <b v="0"/>
    <n v="2"/>
    <s v="No"/>
    <s v="Tuesday"/>
    <n v="2"/>
    <x v="1"/>
    <x v="13"/>
    <x v="0"/>
    <n v="0.1515"/>
    <n v="0.55000000000000004"/>
    <s v="Acceptable"/>
    <n v="0.19400000000000001"/>
    <n v="0"/>
    <n v="3"/>
    <n v="3"/>
  </r>
  <r>
    <n v="237"/>
    <d v="2011-01-11T00:00:00"/>
    <n v="1"/>
    <n v="5"/>
    <b v="0"/>
    <n v="2"/>
    <s v="No"/>
    <s v="Tuesday"/>
    <n v="2"/>
    <x v="1"/>
    <x v="13"/>
    <x v="0"/>
    <n v="0.18179999999999999"/>
    <n v="0.55000000000000004"/>
    <s v="Acceptable"/>
    <n v="0.1343"/>
    <n v="0"/>
    <n v="6"/>
    <n v="6"/>
  </r>
  <r>
    <n v="238"/>
    <d v="2011-01-11T00:00:00"/>
    <n v="1"/>
    <n v="6"/>
    <b v="0"/>
    <n v="2"/>
    <s v="No"/>
    <s v="Tuesday"/>
    <n v="2"/>
    <x v="1"/>
    <x v="13"/>
    <x v="0"/>
    <n v="0.18179999999999999"/>
    <n v="0.55000000000000004"/>
    <s v="Acceptable"/>
    <n v="0.1343"/>
    <n v="0"/>
    <n v="27"/>
    <n v="27"/>
  </r>
  <r>
    <n v="239"/>
    <d v="2011-01-11T00:00:00"/>
    <n v="1"/>
    <n v="7"/>
    <b v="0"/>
    <n v="2"/>
    <s v="No"/>
    <s v="Tuesday"/>
    <n v="2"/>
    <x v="1"/>
    <x v="13"/>
    <x v="0"/>
    <n v="0.2273"/>
    <n v="0.55000000000000004"/>
    <s v="Acceptable"/>
    <n v="0"/>
    <n v="2"/>
    <n v="97"/>
    <n v="99"/>
  </r>
  <r>
    <n v="240"/>
    <d v="2011-01-11T00:00:00"/>
    <n v="1"/>
    <n v="8"/>
    <b v="0"/>
    <n v="2"/>
    <s v="No"/>
    <s v="Tuesday"/>
    <n v="2"/>
    <x v="1"/>
    <x v="15"/>
    <x v="0"/>
    <n v="0.21210000000000001"/>
    <n v="0.51"/>
    <s v="Acceptable"/>
    <n v="8.9599999999999999E-2"/>
    <n v="3"/>
    <n v="214"/>
    <n v="217"/>
  </r>
  <r>
    <n v="241"/>
    <d v="2011-01-11T00:00:00"/>
    <n v="1"/>
    <n v="9"/>
    <b v="0"/>
    <n v="2"/>
    <s v="No"/>
    <s v="Tuesday"/>
    <n v="2"/>
    <x v="1"/>
    <x v="15"/>
    <x v="0"/>
    <n v="0.19700000000000001"/>
    <n v="0.51"/>
    <s v="Acceptable"/>
    <n v="0.16420000000000001"/>
    <n v="3"/>
    <n v="127"/>
    <n v="130"/>
  </r>
  <r>
    <n v="242"/>
    <d v="2011-01-11T00:00:00"/>
    <n v="1"/>
    <n v="10"/>
    <b v="0"/>
    <n v="2"/>
    <s v="No"/>
    <s v="Tuesday"/>
    <n v="2"/>
    <x v="1"/>
    <x v="2"/>
    <x v="0"/>
    <n v="0.21210000000000001"/>
    <n v="0.51"/>
    <s v="Acceptable"/>
    <n v="0.16420000000000001"/>
    <n v="3"/>
    <n v="51"/>
    <n v="54"/>
  </r>
  <r>
    <n v="243"/>
    <d v="2011-01-11T00:00:00"/>
    <n v="1"/>
    <n v="11"/>
    <b v="0"/>
    <n v="2"/>
    <s v="No"/>
    <s v="Tuesday"/>
    <n v="2"/>
    <x v="1"/>
    <x v="2"/>
    <x v="0"/>
    <n v="0.21210000000000001"/>
    <n v="0.47"/>
    <s v="Acceptable"/>
    <n v="0.1343"/>
    <n v="4"/>
    <n v="31"/>
    <n v="35"/>
  </r>
  <r>
    <n v="244"/>
    <d v="2011-01-11T00:00:00"/>
    <n v="1"/>
    <n v="12"/>
    <b v="0"/>
    <n v="2"/>
    <s v="No"/>
    <s v="Tuesday"/>
    <n v="2"/>
    <x v="1"/>
    <x v="2"/>
    <x v="0"/>
    <n v="0.2273"/>
    <n v="0.51"/>
    <s v="Acceptable"/>
    <n v="0.1045"/>
    <n v="2"/>
    <n v="55"/>
    <n v="57"/>
  </r>
  <r>
    <n v="245"/>
    <d v="2011-01-11T00:00:00"/>
    <n v="1"/>
    <n v="13"/>
    <b v="0"/>
    <n v="2"/>
    <s v="No"/>
    <s v="Tuesday"/>
    <n v="2"/>
    <x v="1"/>
    <x v="2"/>
    <x v="0"/>
    <n v="0.2273"/>
    <n v="0.59"/>
    <s v="Acceptable"/>
    <n v="8.9599999999999999E-2"/>
    <n v="6"/>
    <n v="46"/>
    <n v="52"/>
  </r>
  <r>
    <n v="246"/>
    <d v="2011-01-11T00:00:00"/>
    <n v="1"/>
    <n v="14"/>
    <b v="0"/>
    <n v="2"/>
    <s v="No"/>
    <s v="Tuesday"/>
    <n v="2"/>
    <x v="1"/>
    <x v="2"/>
    <x v="0"/>
    <n v="0.2273"/>
    <n v="0.59"/>
    <s v="Acceptable"/>
    <n v="8.9599999999999999E-2"/>
    <n v="3"/>
    <n v="60"/>
    <n v="63"/>
  </r>
  <r>
    <n v="247"/>
    <d v="2011-01-11T00:00:00"/>
    <n v="1"/>
    <n v="15"/>
    <b v="0"/>
    <n v="2"/>
    <s v="No"/>
    <s v="Tuesday"/>
    <n v="2"/>
    <x v="1"/>
    <x v="13"/>
    <x v="0"/>
    <n v="0.19700000000000001"/>
    <n v="0.8"/>
    <s v="Risky"/>
    <n v="8.9599999999999999E-2"/>
    <n v="2"/>
    <n v="45"/>
    <n v="47"/>
  </r>
  <r>
    <n v="248"/>
    <d v="2011-01-11T00:00:00"/>
    <n v="1"/>
    <n v="16"/>
    <b v="0"/>
    <n v="2"/>
    <s v="No"/>
    <s v="Tuesday"/>
    <n v="2"/>
    <x v="1"/>
    <x v="13"/>
    <x v="0"/>
    <n v="0.1515"/>
    <n v="0.86"/>
    <s v="Risky"/>
    <n v="0.22389999999999999"/>
    <n v="4"/>
    <n v="72"/>
    <n v="76"/>
  </r>
  <r>
    <n v="249"/>
    <d v="2011-01-11T00:00:00"/>
    <n v="1"/>
    <n v="17"/>
    <b v="0"/>
    <n v="2"/>
    <s v="No"/>
    <s v="Tuesday"/>
    <n v="2"/>
    <x v="1"/>
    <x v="13"/>
    <x v="0"/>
    <n v="0.1515"/>
    <n v="0.86"/>
    <s v="Risky"/>
    <n v="0.22389999999999999"/>
    <n v="6"/>
    <n v="130"/>
    <n v="136"/>
  </r>
  <r>
    <n v="250"/>
    <d v="2011-01-11T00:00:00"/>
    <n v="1"/>
    <n v="18"/>
    <b v="0"/>
    <n v="2"/>
    <s v="No"/>
    <s v="Tuesday"/>
    <n v="3"/>
    <x v="2"/>
    <x v="13"/>
    <x v="0"/>
    <n v="0.18179999999999999"/>
    <n v="0.93"/>
    <s v="Risky"/>
    <n v="0.1045"/>
    <n v="1"/>
    <n v="94"/>
    <n v="95"/>
  </r>
  <r>
    <n v="251"/>
    <d v="2011-01-11T00:00:00"/>
    <n v="1"/>
    <n v="19"/>
    <b v="0"/>
    <n v="2"/>
    <s v="No"/>
    <s v="Tuesday"/>
    <n v="3"/>
    <x v="2"/>
    <x v="13"/>
    <x v="0"/>
    <n v="0.2273"/>
    <n v="0.93"/>
    <s v="Risky"/>
    <n v="0"/>
    <n v="0"/>
    <n v="51"/>
    <n v="51"/>
  </r>
  <r>
    <n v="252"/>
    <d v="2011-01-11T00:00:00"/>
    <n v="1"/>
    <n v="20"/>
    <b v="0"/>
    <n v="2"/>
    <s v="No"/>
    <s v="Tuesday"/>
    <n v="3"/>
    <x v="2"/>
    <x v="13"/>
    <x v="0"/>
    <n v="0.1515"/>
    <n v="0.93"/>
    <s v="Risky"/>
    <n v="0.19400000000000001"/>
    <n v="0"/>
    <n v="32"/>
    <n v="32"/>
  </r>
  <r>
    <n v="253"/>
    <d v="2011-01-11T00:00:00"/>
    <n v="1"/>
    <n v="21"/>
    <b v="0"/>
    <n v="2"/>
    <s v="No"/>
    <s v="Tuesday"/>
    <n v="3"/>
    <x v="2"/>
    <x v="13"/>
    <x v="0"/>
    <n v="0.19700000000000001"/>
    <n v="0.86"/>
    <s v="Risky"/>
    <n v="8.9599999999999999E-2"/>
    <n v="0"/>
    <n v="20"/>
    <n v="20"/>
  </r>
  <r>
    <n v="254"/>
    <d v="2011-01-11T00:00:00"/>
    <n v="1"/>
    <n v="22"/>
    <b v="0"/>
    <n v="2"/>
    <s v="No"/>
    <s v="Tuesday"/>
    <n v="3"/>
    <x v="2"/>
    <x v="13"/>
    <x v="0"/>
    <n v="0.18179999999999999"/>
    <n v="0.93"/>
    <s v="Risky"/>
    <n v="0.1045"/>
    <n v="1"/>
    <n v="28"/>
    <n v="29"/>
  </r>
  <r>
    <n v="255"/>
    <d v="2011-01-11T00:00:00"/>
    <n v="1"/>
    <n v="23"/>
    <b v="0"/>
    <n v="2"/>
    <s v="No"/>
    <s v="Tuesday"/>
    <n v="3"/>
    <x v="2"/>
    <x v="13"/>
    <x v="0"/>
    <n v="0.19700000000000001"/>
    <n v="0.93"/>
    <s v="Risky"/>
    <n v="8.9599999999999999E-2"/>
    <n v="1"/>
    <n v="18"/>
    <n v="19"/>
  </r>
  <r>
    <n v="256"/>
    <d v="2011-01-12T00:00:00"/>
    <n v="1"/>
    <n v="0"/>
    <b v="0"/>
    <n v="3"/>
    <s v="No"/>
    <s v="Wednesday"/>
    <n v="2"/>
    <x v="1"/>
    <x v="13"/>
    <x v="0"/>
    <n v="0.19700000000000001"/>
    <n v="0.86"/>
    <s v="Risky"/>
    <n v="8.9599999999999999E-2"/>
    <n v="0"/>
    <n v="7"/>
    <n v="7"/>
  </r>
  <r>
    <n v="257"/>
    <d v="2011-01-12T00:00:00"/>
    <n v="1"/>
    <n v="1"/>
    <b v="0"/>
    <n v="3"/>
    <s v="No"/>
    <s v="Wednesday"/>
    <n v="2"/>
    <x v="1"/>
    <x v="13"/>
    <x v="0"/>
    <n v="0.18179999999999999"/>
    <n v="0.86"/>
    <s v="Risky"/>
    <n v="0.1045"/>
    <n v="0"/>
    <n v="6"/>
    <n v="6"/>
  </r>
  <r>
    <n v="258"/>
    <d v="2011-01-12T00:00:00"/>
    <n v="1"/>
    <n v="2"/>
    <b v="0"/>
    <n v="3"/>
    <s v="No"/>
    <s v="Wednesday"/>
    <n v="1"/>
    <x v="0"/>
    <x v="14"/>
    <x v="0"/>
    <n v="0.1515"/>
    <n v="0.86"/>
    <s v="Risky"/>
    <n v="0.1343"/>
    <n v="0"/>
    <n v="1"/>
    <n v="1"/>
  </r>
  <r>
    <n v="259"/>
    <d v="2011-01-12T00:00:00"/>
    <n v="1"/>
    <n v="5"/>
    <b v="0"/>
    <n v="3"/>
    <s v="No"/>
    <s v="Wednesday"/>
    <n v="1"/>
    <x v="0"/>
    <x v="14"/>
    <x v="0"/>
    <n v="0.1515"/>
    <n v="0.86"/>
    <s v="Risky"/>
    <n v="0.16420000000000001"/>
    <n v="0"/>
    <n v="5"/>
    <n v="5"/>
  </r>
  <r>
    <n v="260"/>
    <d v="2011-01-12T00:00:00"/>
    <n v="1"/>
    <n v="6"/>
    <b v="0"/>
    <n v="3"/>
    <s v="No"/>
    <s v="Wednesday"/>
    <n v="1"/>
    <x v="0"/>
    <x v="16"/>
    <x v="0"/>
    <n v="0.1515"/>
    <n v="0.93"/>
    <s v="Risky"/>
    <n v="0.1343"/>
    <n v="0"/>
    <n v="16"/>
    <n v="16"/>
  </r>
  <r>
    <n v="261"/>
    <d v="2011-01-12T00:00:00"/>
    <n v="1"/>
    <n v="7"/>
    <b v="0"/>
    <n v="3"/>
    <s v="No"/>
    <s v="Wednesday"/>
    <n v="1"/>
    <x v="0"/>
    <x v="14"/>
    <x v="0"/>
    <n v="0.1515"/>
    <n v="0.69"/>
    <s v="Acceptable"/>
    <n v="0.1343"/>
    <n v="0"/>
    <n v="54"/>
    <n v="54"/>
  </r>
  <r>
    <n v="262"/>
    <d v="2011-01-12T00:00:00"/>
    <n v="1"/>
    <n v="8"/>
    <b v="0"/>
    <n v="3"/>
    <s v="No"/>
    <s v="Wednesday"/>
    <n v="1"/>
    <x v="0"/>
    <x v="13"/>
    <x v="0"/>
    <n v="0.16669999999999999"/>
    <n v="0.59"/>
    <s v="Acceptable"/>
    <n v="0.16420000000000001"/>
    <n v="3"/>
    <n v="125"/>
    <n v="128"/>
  </r>
  <r>
    <n v="263"/>
    <d v="2011-01-12T00:00:00"/>
    <n v="1"/>
    <n v="9"/>
    <b v="0"/>
    <n v="3"/>
    <s v="No"/>
    <s v="Wednesday"/>
    <n v="1"/>
    <x v="0"/>
    <x v="13"/>
    <x v="0"/>
    <n v="0.13639999999999999"/>
    <n v="0.59"/>
    <s v="Acceptable"/>
    <n v="0.32840000000000003"/>
    <n v="3"/>
    <n v="78"/>
    <n v="81"/>
  </r>
  <r>
    <n v="264"/>
    <d v="2011-01-12T00:00:00"/>
    <n v="1"/>
    <n v="10"/>
    <b v="0"/>
    <n v="3"/>
    <s v="No"/>
    <s v="Wednesday"/>
    <n v="1"/>
    <x v="0"/>
    <x v="15"/>
    <x v="0"/>
    <n v="0.18179999999999999"/>
    <n v="0.55000000000000004"/>
    <s v="Acceptable"/>
    <n v="0.22389999999999999"/>
    <n v="0"/>
    <n v="39"/>
    <n v="39"/>
  </r>
  <r>
    <n v="265"/>
    <d v="2011-01-12T00:00:00"/>
    <n v="1"/>
    <n v="11"/>
    <b v="0"/>
    <n v="3"/>
    <s v="No"/>
    <s v="Wednesday"/>
    <n v="1"/>
    <x v="0"/>
    <x v="2"/>
    <x v="0"/>
    <n v="0.18179999999999999"/>
    <n v="0.51"/>
    <s v="Acceptable"/>
    <n v="0.3881"/>
    <n v="3"/>
    <n v="32"/>
    <n v="35"/>
  </r>
  <r>
    <n v="266"/>
    <d v="2011-01-12T00:00:00"/>
    <n v="1"/>
    <n v="12"/>
    <b v="0"/>
    <n v="3"/>
    <s v="No"/>
    <s v="Wednesday"/>
    <n v="1"/>
    <x v="0"/>
    <x v="2"/>
    <x v="0"/>
    <n v="0.1515"/>
    <n v="0.47"/>
    <s v="Acceptable"/>
    <n v="0.58209999999999995"/>
    <n v="3"/>
    <n v="52"/>
    <n v="55"/>
  </r>
  <r>
    <n v="267"/>
    <d v="2011-01-12T00:00:00"/>
    <n v="1"/>
    <n v="13"/>
    <b v="0"/>
    <n v="3"/>
    <s v="No"/>
    <s v="Wednesday"/>
    <n v="1"/>
    <x v="0"/>
    <x v="1"/>
    <x v="0"/>
    <n v="0.19700000000000001"/>
    <n v="0.44"/>
    <s v="Acceptable"/>
    <n v="0.35820000000000002"/>
    <n v="0"/>
    <n v="49"/>
    <n v="49"/>
  </r>
  <r>
    <n v="268"/>
    <d v="2011-01-12T00:00:00"/>
    <n v="1"/>
    <n v="14"/>
    <b v="0"/>
    <n v="3"/>
    <s v="No"/>
    <s v="Wednesday"/>
    <n v="1"/>
    <x v="0"/>
    <x v="2"/>
    <x v="0"/>
    <n v="0.18179999999999999"/>
    <n v="0.47"/>
    <s v="Acceptable"/>
    <n v="0.32840000000000003"/>
    <n v="0"/>
    <n v="44"/>
    <n v="44"/>
  </r>
  <r>
    <n v="269"/>
    <d v="2011-01-12T00:00:00"/>
    <n v="1"/>
    <n v="15"/>
    <b v="0"/>
    <n v="3"/>
    <s v="No"/>
    <s v="Wednesday"/>
    <n v="1"/>
    <x v="0"/>
    <x v="2"/>
    <x v="0"/>
    <n v="0.16669999999999999"/>
    <n v="0.47"/>
    <s v="Acceptable"/>
    <n v="0.41789999999999999"/>
    <n v="1"/>
    <n v="48"/>
    <n v="49"/>
  </r>
  <r>
    <n v="270"/>
    <d v="2011-01-12T00:00:00"/>
    <n v="1"/>
    <n v="16"/>
    <b v="0"/>
    <n v="3"/>
    <s v="No"/>
    <s v="Wednesday"/>
    <n v="1"/>
    <x v="0"/>
    <x v="1"/>
    <x v="0"/>
    <n v="0.19700000000000001"/>
    <n v="0.44"/>
    <s v="Acceptable"/>
    <n v="0.32840000000000003"/>
    <n v="5"/>
    <n v="63"/>
    <n v="68"/>
  </r>
  <r>
    <n v="271"/>
    <d v="2011-01-12T00:00:00"/>
    <n v="1"/>
    <n v="17"/>
    <b v="0"/>
    <n v="3"/>
    <s v="No"/>
    <s v="Wednesday"/>
    <n v="1"/>
    <x v="0"/>
    <x v="2"/>
    <x v="0"/>
    <n v="0.18179999999999999"/>
    <n v="0.47"/>
    <s v="Acceptable"/>
    <n v="0.35820000000000002"/>
    <n v="0"/>
    <n v="139"/>
    <n v="139"/>
  </r>
  <r>
    <n v="272"/>
    <d v="2011-01-12T00:00:00"/>
    <n v="1"/>
    <n v="18"/>
    <b v="0"/>
    <n v="3"/>
    <s v="No"/>
    <s v="Wednesday"/>
    <n v="1"/>
    <x v="0"/>
    <x v="2"/>
    <x v="0"/>
    <n v="0.1515"/>
    <n v="0.47"/>
    <s v="Acceptable"/>
    <n v="0.52239999999999998"/>
    <n v="2"/>
    <n v="135"/>
    <n v="137"/>
  </r>
  <r>
    <n v="273"/>
    <d v="2011-01-12T00:00:00"/>
    <n v="1"/>
    <n v="19"/>
    <b v="0"/>
    <n v="3"/>
    <s v="No"/>
    <s v="Wednesday"/>
    <n v="1"/>
    <x v="0"/>
    <x v="15"/>
    <x v="0"/>
    <n v="0.1515"/>
    <n v="0.47"/>
    <s v="Acceptable"/>
    <n v="0.41789999999999999"/>
    <n v="1"/>
    <n v="82"/>
    <n v="83"/>
  </r>
  <r>
    <n v="274"/>
    <d v="2011-01-12T00:00:00"/>
    <n v="1"/>
    <n v="20"/>
    <b v="0"/>
    <n v="3"/>
    <s v="No"/>
    <s v="Wednesday"/>
    <n v="1"/>
    <x v="0"/>
    <x v="13"/>
    <x v="0"/>
    <n v="0.13639999999999999"/>
    <n v="0.5"/>
    <s v="Acceptable"/>
    <n v="0.32840000000000003"/>
    <n v="2"/>
    <n v="54"/>
    <n v="56"/>
  </r>
  <r>
    <n v="275"/>
    <d v="2011-01-12T00:00:00"/>
    <n v="1"/>
    <n v="21"/>
    <b v="0"/>
    <n v="3"/>
    <s v="No"/>
    <s v="Wednesday"/>
    <n v="1"/>
    <x v="0"/>
    <x v="13"/>
    <x v="0"/>
    <n v="0.13639999999999999"/>
    <n v="0.55000000000000004"/>
    <s v="Acceptable"/>
    <n v="0.32840000000000003"/>
    <n v="0"/>
    <n v="57"/>
    <n v="57"/>
  </r>
  <r>
    <n v="276"/>
    <d v="2011-01-12T00:00:00"/>
    <n v="1"/>
    <n v="22"/>
    <b v="0"/>
    <n v="3"/>
    <s v="No"/>
    <s v="Wednesday"/>
    <n v="1"/>
    <x v="0"/>
    <x v="13"/>
    <x v="0"/>
    <n v="0.1212"/>
    <n v="0.55000000000000004"/>
    <s v="Acceptable"/>
    <n v="0.44779999999999998"/>
    <n v="1"/>
    <n v="32"/>
    <n v="33"/>
  </r>
  <r>
    <n v="277"/>
    <d v="2011-01-12T00:00:00"/>
    <n v="1"/>
    <n v="23"/>
    <b v="0"/>
    <n v="3"/>
    <s v="No"/>
    <s v="Wednesday"/>
    <n v="1"/>
    <x v="0"/>
    <x v="14"/>
    <x v="0"/>
    <n v="0.1061"/>
    <n v="0.59"/>
    <s v="Acceptable"/>
    <n v="0.41789999999999999"/>
    <n v="1"/>
    <n v="19"/>
    <n v="20"/>
  </r>
  <r>
    <n v="278"/>
    <d v="2011-01-13T00:00:00"/>
    <n v="1"/>
    <n v="0"/>
    <b v="0"/>
    <n v="4"/>
    <s v="No"/>
    <s v="Thursday"/>
    <n v="1"/>
    <x v="0"/>
    <x v="14"/>
    <x v="0"/>
    <n v="0.1212"/>
    <n v="0.59"/>
    <s v="Acceptable"/>
    <n v="0.28360000000000002"/>
    <n v="1"/>
    <n v="6"/>
    <n v="7"/>
  </r>
  <r>
    <n v="279"/>
    <d v="2011-01-13T00:00:00"/>
    <n v="1"/>
    <n v="1"/>
    <b v="0"/>
    <n v="4"/>
    <s v="No"/>
    <s v="Thursday"/>
    <n v="1"/>
    <x v="0"/>
    <x v="14"/>
    <x v="0"/>
    <n v="0.1212"/>
    <n v="0.5"/>
    <s v="Acceptable"/>
    <n v="0.28360000000000002"/>
    <n v="0"/>
    <n v="2"/>
    <n v="2"/>
  </r>
  <r>
    <n v="280"/>
    <d v="2011-01-13T00:00:00"/>
    <n v="1"/>
    <n v="2"/>
    <b v="0"/>
    <n v="4"/>
    <s v="No"/>
    <s v="Thursday"/>
    <n v="1"/>
    <x v="0"/>
    <x v="14"/>
    <x v="0"/>
    <n v="0.1212"/>
    <n v="0.5"/>
    <s v="Acceptable"/>
    <n v="0.35820000000000002"/>
    <n v="0"/>
    <n v="2"/>
    <n v="2"/>
  </r>
  <r>
    <n v="281"/>
    <d v="2011-01-13T00:00:00"/>
    <n v="1"/>
    <n v="3"/>
    <b v="0"/>
    <n v="4"/>
    <s v="No"/>
    <s v="Thursday"/>
    <n v="1"/>
    <x v="0"/>
    <x v="14"/>
    <x v="0"/>
    <n v="0.1212"/>
    <n v="0.5"/>
    <s v="Acceptable"/>
    <n v="0.32840000000000003"/>
    <n v="0"/>
    <n v="3"/>
    <n v="3"/>
  </r>
  <r>
    <n v="282"/>
    <d v="2011-01-13T00:00:00"/>
    <n v="1"/>
    <n v="4"/>
    <b v="0"/>
    <n v="4"/>
    <s v="No"/>
    <s v="Thursday"/>
    <n v="1"/>
    <x v="0"/>
    <x v="14"/>
    <x v="0"/>
    <n v="0.1212"/>
    <n v="0.5"/>
    <s v="Acceptable"/>
    <n v="0.25369999999999998"/>
    <n v="0"/>
    <n v="4"/>
    <n v="4"/>
  </r>
  <r>
    <n v="283"/>
    <d v="2011-01-13T00:00:00"/>
    <n v="1"/>
    <n v="5"/>
    <b v="0"/>
    <n v="4"/>
    <s v="No"/>
    <s v="Thursday"/>
    <n v="1"/>
    <x v="0"/>
    <x v="14"/>
    <x v="0"/>
    <n v="0.1212"/>
    <n v="0.5"/>
    <s v="Acceptable"/>
    <n v="0.29849999999999999"/>
    <n v="0"/>
    <n v="3"/>
    <n v="3"/>
  </r>
  <r>
    <n v="284"/>
    <d v="2011-01-13T00:00:00"/>
    <n v="1"/>
    <n v="6"/>
    <b v="0"/>
    <n v="4"/>
    <s v="No"/>
    <s v="Thursday"/>
    <n v="1"/>
    <x v="0"/>
    <x v="16"/>
    <x v="0"/>
    <n v="0.1515"/>
    <n v="0.54"/>
    <s v="Acceptable"/>
    <n v="0.1343"/>
    <n v="0"/>
    <n v="28"/>
    <n v="28"/>
  </r>
  <r>
    <n v="285"/>
    <d v="2011-01-13T00:00:00"/>
    <n v="1"/>
    <n v="7"/>
    <b v="0"/>
    <n v="4"/>
    <s v="No"/>
    <s v="Thursday"/>
    <n v="1"/>
    <x v="0"/>
    <x v="16"/>
    <x v="0"/>
    <n v="0.1515"/>
    <n v="0.54"/>
    <s v="Acceptable"/>
    <n v="0.1343"/>
    <n v="0"/>
    <n v="72"/>
    <n v="72"/>
  </r>
  <r>
    <n v="286"/>
    <d v="2011-01-13T00:00:00"/>
    <n v="1"/>
    <n v="8"/>
    <b v="0"/>
    <n v="4"/>
    <s v="No"/>
    <s v="Thursday"/>
    <n v="1"/>
    <x v="0"/>
    <x v="14"/>
    <x v="0"/>
    <n v="0.13639999999999999"/>
    <n v="0.5"/>
    <s v="Acceptable"/>
    <n v="0.19400000000000001"/>
    <n v="5"/>
    <n v="197"/>
    <n v="202"/>
  </r>
  <r>
    <n v="287"/>
    <d v="2011-01-13T00:00:00"/>
    <n v="1"/>
    <n v="9"/>
    <b v="0"/>
    <n v="4"/>
    <s v="No"/>
    <s v="Thursday"/>
    <n v="1"/>
    <x v="0"/>
    <x v="14"/>
    <x v="0"/>
    <n v="0.1212"/>
    <n v="0.5"/>
    <s v="Acceptable"/>
    <n v="0.32840000000000003"/>
    <n v="2"/>
    <n v="137"/>
    <n v="139"/>
  </r>
  <r>
    <n v="288"/>
    <d v="2011-01-13T00:00:00"/>
    <n v="1"/>
    <n v="10"/>
    <b v="0"/>
    <n v="4"/>
    <s v="No"/>
    <s v="Thursday"/>
    <n v="2"/>
    <x v="1"/>
    <x v="13"/>
    <x v="0"/>
    <n v="0.13639999999999999"/>
    <n v="0.5"/>
    <s v="Acceptable"/>
    <n v="0.35820000000000002"/>
    <n v="2"/>
    <n v="36"/>
    <n v="38"/>
  </r>
  <r>
    <n v="289"/>
    <d v="2011-01-13T00:00:00"/>
    <n v="1"/>
    <n v="11"/>
    <b v="0"/>
    <n v="4"/>
    <s v="No"/>
    <s v="Thursday"/>
    <n v="2"/>
    <x v="1"/>
    <x v="2"/>
    <x v="0"/>
    <n v="0.16669999999999999"/>
    <n v="0.44"/>
    <s v="Acceptable"/>
    <n v="0.44779999999999998"/>
    <n v="4"/>
    <n v="33"/>
    <n v="37"/>
  </r>
  <r>
    <n v="290"/>
    <d v="2011-01-13T00:00:00"/>
    <n v="1"/>
    <n v="12"/>
    <b v="0"/>
    <n v="4"/>
    <s v="No"/>
    <s v="Thursday"/>
    <n v="1"/>
    <x v="0"/>
    <x v="2"/>
    <x v="0"/>
    <n v="0.16669999999999999"/>
    <n v="0.44"/>
    <s v="Acceptable"/>
    <n v="0.41789999999999999"/>
    <n v="3"/>
    <n v="49"/>
    <n v="52"/>
  </r>
  <r>
    <n v="291"/>
    <d v="2011-01-13T00:00:00"/>
    <n v="1"/>
    <n v="13"/>
    <b v="0"/>
    <n v="4"/>
    <s v="No"/>
    <s v="Thursday"/>
    <n v="1"/>
    <x v="0"/>
    <x v="1"/>
    <x v="0"/>
    <n v="0.19700000000000001"/>
    <n v="0.41"/>
    <s v="Acceptable"/>
    <n v="0.44779999999999998"/>
    <n v="2"/>
    <n v="81"/>
    <n v="83"/>
  </r>
  <r>
    <n v="292"/>
    <d v="2011-01-13T00:00:00"/>
    <n v="1"/>
    <n v="14"/>
    <b v="0"/>
    <n v="4"/>
    <s v="No"/>
    <s v="Thursday"/>
    <n v="1"/>
    <x v="0"/>
    <x v="1"/>
    <x v="0"/>
    <n v="0.19700000000000001"/>
    <n v="0.41"/>
    <s v="Acceptable"/>
    <n v="0.3881"/>
    <n v="3"/>
    <n v="39"/>
    <n v="42"/>
  </r>
  <r>
    <n v="293"/>
    <d v="2011-01-13T00:00:00"/>
    <n v="1"/>
    <n v="15"/>
    <b v="0"/>
    <n v="4"/>
    <s v="No"/>
    <s v="Thursday"/>
    <n v="1"/>
    <x v="0"/>
    <x v="0"/>
    <x v="0"/>
    <n v="0.21210000000000001"/>
    <n v="0.38"/>
    <s v="Acceptable"/>
    <n v="0.29849999999999999"/>
    <n v="5"/>
    <n v="55"/>
    <n v="60"/>
  </r>
  <r>
    <n v="294"/>
    <d v="2011-01-13T00:00:00"/>
    <n v="1"/>
    <n v="16"/>
    <b v="0"/>
    <n v="4"/>
    <s v="No"/>
    <s v="Thursday"/>
    <n v="1"/>
    <x v="0"/>
    <x v="0"/>
    <x v="0"/>
    <n v="0.21210000000000001"/>
    <n v="0.38"/>
    <s v="Acceptable"/>
    <n v="0.35820000000000002"/>
    <n v="2"/>
    <n v="76"/>
    <n v="78"/>
  </r>
  <r>
    <n v="295"/>
    <d v="2011-01-13T00:00:00"/>
    <n v="1"/>
    <n v="17"/>
    <b v="0"/>
    <n v="4"/>
    <s v="No"/>
    <s v="Thursday"/>
    <n v="1"/>
    <x v="0"/>
    <x v="2"/>
    <x v="0"/>
    <n v="0.18179999999999999"/>
    <n v="0.4"/>
    <s v="Acceptable"/>
    <n v="0.28360000000000002"/>
    <n v="4"/>
    <n v="158"/>
    <n v="162"/>
  </r>
  <r>
    <n v="296"/>
    <d v="2011-01-13T00:00:00"/>
    <n v="1"/>
    <n v="18"/>
    <b v="0"/>
    <n v="4"/>
    <s v="No"/>
    <s v="Thursday"/>
    <n v="1"/>
    <x v="0"/>
    <x v="2"/>
    <x v="0"/>
    <n v="0.18179999999999999"/>
    <n v="0.4"/>
    <s v="Acceptable"/>
    <n v="0.32840000000000003"/>
    <n v="3"/>
    <n v="141"/>
    <n v="144"/>
  </r>
  <r>
    <n v="297"/>
    <d v="2011-01-13T00:00:00"/>
    <n v="1"/>
    <n v="19"/>
    <b v="0"/>
    <n v="4"/>
    <s v="No"/>
    <s v="Thursday"/>
    <n v="1"/>
    <x v="0"/>
    <x v="13"/>
    <x v="0"/>
    <n v="0.1515"/>
    <n v="0.47"/>
    <s v="Acceptable"/>
    <n v="0.25369999999999998"/>
    <n v="1"/>
    <n v="98"/>
    <n v="99"/>
  </r>
  <r>
    <n v="298"/>
    <d v="2011-01-13T00:00:00"/>
    <n v="1"/>
    <n v="20"/>
    <b v="0"/>
    <n v="4"/>
    <s v="No"/>
    <s v="Thursday"/>
    <n v="1"/>
    <x v="0"/>
    <x v="13"/>
    <x v="0"/>
    <n v="0.1515"/>
    <n v="0.47"/>
    <s v="Acceptable"/>
    <n v="0.22389999999999999"/>
    <n v="0"/>
    <n v="64"/>
    <n v="64"/>
  </r>
  <r>
    <n v="299"/>
    <d v="2011-01-13T00:00:00"/>
    <n v="1"/>
    <n v="21"/>
    <b v="0"/>
    <n v="4"/>
    <s v="No"/>
    <s v="Thursday"/>
    <n v="1"/>
    <x v="0"/>
    <x v="14"/>
    <x v="0"/>
    <n v="0.1212"/>
    <n v="0.46"/>
    <s v="Acceptable"/>
    <n v="0.29849999999999999"/>
    <n v="0"/>
    <n v="40"/>
    <n v="40"/>
  </r>
  <r>
    <n v="300"/>
    <d v="2011-01-13T00:00:00"/>
    <n v="1"/>
    <n v="22"/>
    <b v="0"/>
    <n v="4"/>
    <s v="No"/>
    <s v="Thursday"/>
    <n v="1"/>
    <x v="0"/>
    <x v="14"/>
    <x v="0"/>
    <n v="0.1212"/>
    <n v="0.46"/>
    <s v="Acceptable"/>
    <n v="0.32840000000000003"/>
    <n v="0"/>
    <n v="30"/>
    <n v="30"/>
  </r>
  <r>
    <n v="301"/>
    <d v="2011-01-13T00:00:00"/>
    <n v="1"/>
    <n v="23"/>
    <b v="0"/>
    <n v="4"/>
    <s v="No"/>
    <s v="Thursday"/>
    <n v="1"/>
    <x v="0"/>
    <x v="16"/>
    <x v="0"/>
    <n v="0.13639999999999999"/>
    <n v="0.5"/>
    <s v="Acceptable"/>
    <n v="0.19400000000000001"/>
    <n v="1"/>
    <n v="14"/>
    <n v="15"/>
  </r>
  <r>
    <n v="302"/>
    <d v="2011-01-14T00:00:00"/>
    <n v="1"/>
    <n v="0"/>
    <b v="0"/>
    <n v="5"/>
    <s v="No"/>
    <s v="Friday"/>
    <n v="1"/>
    <x v="0"/>
    <x v="16"/>
    <x v="0"/>
    <n v="0.13639999999999999"/>
    <n v="0.5"/>
    <s v="Acceptable"/>
    <n v="0.19400000000000001"/>
    <n v="0"/>
    <n v="14"/>
    <n v="14"/>
  </r>
  <r>
    <n v="303"/>
    <d v="2011-01-14T00:00:00"/>
    <n v="1"/>
    <n v="1"/>
    <b v="0"/>
    <n v="5"/>
    <s v="No"/>
    <s v="Friday"/>
    <n v="1"/>
    <x v="0"/>
    <x v="18"/>
    <x v="0"/>
    <n v="0.1212"/>
    <n v="0.54"/>
    <s v="Acceptable"/>
    <n v="0.16420000000000001"/>
    <n v="0"/>
    <n v="5"/>
    <n v="5"/>
  </r>
  <r>
    <n v="304"/>
    <d v="2011-01-14T00:00:00"/>
    <n v="1"/>
    <n v="2"/>
    <b v="0"/>
    <n v="5"/>
    <s v="No"/>
    <s v="Friday"/>
    <n v="1"/>
    <x v="0"/>
    <x v="18"/>
    <x v="0"/>
    <n v="0.1212"/>
    <n v="0.54"/>
    <s v="Acceptable"/>
    <n v="0.1343"/>
    <n v="0"/>
    <n v="1"/>
    <n v="1"/>
  </r>
  <r>
    <n v="305"/>
    <d v="2011-01-14T00:00:00"/>
    <n v="1"/>
    <n v="3"/>
    <b v="0"/>
    <n v="5"/>
    <s v="No"/>
    <s v="Friday"/>
    <n v="1"/>
    <x v="0"/>
    <x v="18"/>
    <x v="0"/>
    <n v="0.13639999999999999"/>
    <n v="0.54"/>
    <s v="Acceptable"/>
    <n v="0.1045"/>
    <n v="0"/>
    <n v="1"/>
    <n v="1"/>
  </r>
  <r>
    <n v="306"/>
    <d v="2011-01-14T00:00:00"/>
    <n v="1"/>
    <n v="5"/>
    <b v="0"/>
    <n v="5"/>
    <s v="No"/>
    <s v="Friday"/>
    <n v="1"/>
    <x v="0"/>
    <x v="18"/>
    <x v="0"/>
    <n v="0.13639999999999999"/>
    <n v="0.54"/>
    <s v="Acceptable"/>
    <n v="8.9599999999999999E-2"/>
    <n v="0"/>
    <n v="8"/>
    <n v="8"/>
  </r>
  <r>
    <n v="307"/>
    <d v="2011-01-14T00:00:00"/>
    <n v="1"/>
    <n v="6"/>
    <b v="0"/>
    <n v="5"/>
    <s v="No"/>
    <s v="Friday"/>
    <n v="1"/>
    <x v="0"/>
    <x v="18"/>
    <x v="0"/>
    <n v="0.18179999999999999"/>
    <n v="0.54"/>
    <s v="Acceptable"/>
    <n v="0"/>
    <n v="0"/>
    <n v="17"/>
    <n v="17"/>
  </r>
  <r>
    <n v="308"/>
    <d v="2011-01-14T00:00:00"/>
    <n v="1"/>
    <n v="7"/>
    <b v="0"/>
    <n v="5"/>
    <s v="No"/>
    <s v="Friday"/>
    <n v="1"/>
    <x v="0"/>
    <x v="18"/>
    <x v="0"/>
    <n v="0.1212"/>
    <n v="0.74"/>
    <s v="Risky"/>
    <n v="0.16420000000000001"/>
    <n v="0"/>
    <n v="70"/>
    <n v="70"/>
  </r>
  <r>
    <n v="309"/>
    <d v="2011-01-14T00:00:00"/>
    <n v="1"/>
    <n v="8"/>
    <b v="0"/>
    <n v="5"/>
    <s v="No"/>
    <s v="Friday"/>
    <n v="1"/>
    <x v="0"/>
    <x v="16"/>
    <x v="0"/>
    <n v="0.16669999999999999"/>
    <n v="0.68"/>
    <s v="Acceptable"/>
    <n v="0"/>
    <n v="2"/>
    <n v="156"/>
    <n v="158"/>
  </r>
  <r>
    <n v="310"/>
    <d v="2011-01-14T00:00:00"/>
    <n v="1"/>
    <n v="9"/>
    <b v="0"/>
    <n v="5"/>
    <s v="No"/>
    <s v="Friday"/>
    <n v="1"/>
    <x v="0"/>
    <x v="14"/>
    <x v="0"/>
    <n v="0.1515"/>
    <n v="0.69"/>
    <s v="Acceptable"/>
    <n v="0.1343"/>
    <n v="0"/>
    <n v="117"/>
    <n v="117"/>
  </r>
  <r>
    <n v="311"/>
    <d v="2011-01-14T00:00:00"/>
    <n v="1"/>
    <n v="10"/>
    <b v="0"/>
    <n v="5"/>
    <s v="No"/>
    <s v="Friday"/>
    <n v="1"/>
    <x v="0"/>
    <x v="15"/>
    <x v="0"/>
    <n v="0.18179999999999999"/>
    <n v="0.55000000000000004"/>
    <s v="Acceptable"/>
    <n v="0.19400000000000001"/>
    <n v="4"/>
    <n v="40"/>
    <n v="44"/>
  </r>
  <r>
    <n v="312"/>
    <d v="2011-01-14T00:00:00"/>
    <n v="1"/>
    <n v="11"/>
    <b v="0"/>
    <n v="5"/>
    <s v="No"/>
    <s v="Friday"/>
    <n v="1"/>
    <x v="0"/>
    <x v="15"/>
    <x v="0"/>
    <n v="0.16669999999999999"/>
    <n v="0.51"/>
    <s v="Acceptable"/>
    <n v="0.28360000000000002"/>
    <n v="6"/>
    <n v="47"/>
    <n v="53"/>
  </r>
  <r>
    <n v="313"/>
    <d v="2011-01-14T00:00:00"/>
    <n v="1"/>
    <n v="12"/>
    <b v="0"/>
    <n v="5"/>
    <s v="No"/>
    <s v="Friday"/>
    <n v="1"/>
    <x v="0"/>
    <x v="2"/>
    <x v="0"/>
    <n v="0.19700000000000001"/>
    <n v="0.44"/>
    <s v="Acceptable"/>
    <n v="0.25369999999999998"/>
    <n v="2"/>
    <n v="59"/>
    <n v="61"/>
  </r>
  <r>
    <n v="314"/>
    <d v="2011-01-14T00:00:00"/>
    <n v="1"/>
    <n v="13"/>
    <b v="0"/>
    <n v="5"/>
    <s v="No"/>
    <s v="Friday"/>
    <n v="1"/>
    <x v="0"/>
    <x v="1"/>
    <x v="0"/>
    <n v="0.19700000000000001"/>
    <n v="0.37"/>
    <s v="Acceptable"/>
    <n v="0.3881"/>
    <n v="4"/>
    <n v="73"/>
    <n v="77"/>
  </r>
  <r>
    <n v="315"/>
    <d v="2011-01-14T00:00:00"/>
    <n v="1"/>
    <n v="14"/>
    <b v="0"/>
    <n v="5"/>
    <s v="No"/>
    <s v="Friday"/>
    <n v="1"/>
    <x v="0"/>
    <x v="1"/>
    <x v="0"/>
    <n v="0.21210000000000001"/>
    <n v="0.41"/>
    <s v="Acceptable"/>
    <n v="0.28360000000000002"/>
    <n v="5"/>
    <n v="59"/>
    <n v="64"/>
  </r>
  <r>
    <n v="316"/>
    <d v="2011-01-14T00:00:00"/>
    <n v="1"/>
    <n v="15"/>
    <b v="0"/>
    <n v="5"/>
    <s v="No"/>
    <s v="Friday"/>
    <n v="1"/>
    <x v="0"/>
    <x v="0"/>
    <x v="0"/>
    <n v="0.2424"/>
    <n v="0.38"/>
    <s v="Acceptable"/>
    <n v="0.16420000000000001"/>
    <n v="9"/>
    <n v="59"/>
    <n v="68"/>
  </r>
  <r>
    <n v="317"/>
    <d v="2011-01-14T00:00:00"/>
    <n v="1"/>
    <n v="16"/>
    <b v="0"/>
    <n v="5"/>
    <s v="No"/>
    <s v="Friday"/>
    <n v="1"/>
    <x v="0"/>
    <x v="1"/>
    <x v="0"/>
    <n v="0.2424"/>
    <n v="0.41"/>
    <s v="Acceptable"/>
    <n v="0.1045"/>
    <n v="3"/>
    <n v="87"/>
    <n v="90"/>
  </r>
  <r>
    <n v="318"/>
    <d v="2011-01-14T00:00:00"/>
    <n v="1"/>
    <n v="17"/>
    <b v="0"/>
    <n v="5"/>
    <s v="No"/>
    <s v="Friday"/>
    <n v="1"/>
    <x v="0"/>
    <x v="1"/>
    <x v="0"/>
    <n v="0.2273"/>
    <n v="0.41"/>
    <s v="Acceptable"/>
    <n v="0.16420000000000001"/>
    <n v="4"/>
    <n v="155"/>
    <n v="159"/>
  </r>
  <r>
    <n v="319"/>
    <d v="2011-01-14T00:00:00"/>
    <n v="1"/>
    <n v="18"/>
    <b v="0"/>
    <n v="5"/>
    <s v="No"/>
    <s v="Friday"/>
    <n v="1"/>
    <x v="0"/>
    <x v="2"/>
    <x v="0"/>
    <n v="0.2576"/>
    <n v="0.47"/>
    <s v="Acceptable"/>
    <n v="0"/>
    <n v="5"/>
    <n v="134"/>
    <n v="139"/>
  </r>
  <r>
    <n v="320"/>
    <d v="2011-01-14T00:00:00"/>
    <n v="1"/>
    <n v="19"/>
    <b v="0"/>
    <n v="5"/>
    <s v="No"/>
    <s v="Friday"/>
    <n v="1"/>
    <x v="0"/>
    <x v="13"/>
    <x v="0"/>
    <n v="0.19700000000000001"/>
    <n v="0.59"/>
    <s v="Acceptable"/>
    <n v="8.9599999999999999E-2"/>
    <n v="3"/>
    <n v="89"/>
    <n v="92"/>
  </r>
  <r>
    <n v="321"/>
    <d v="2011-01-14T00:00:00"/>
    <n v="1"/>
    <n v="20"/>
    <b v="0"/>
    <n v="5"/>
    <s v="No"/>
    <s v="Friday"/>
    <n v="1"/>
    <x v="0"/>
    <x v="15"/>
    <x v="0"/>
    <n v="0.2424"/>
    <n v="0.59"/>
    <s v="Acceptable"/>
    <n v="0"/>
    <n v="0"/>
    <n v="68"/>
    <n v="68"/>
  </r>
  <r>
    <n v="322"/>
    <d v="2011-01-14T00:00:00"/>
    <n v="1"/>
    <n v="21"/>
    <b v="0"/>
    <n v="5"/>
    <s v="No"/>
    <s v="Friday"/>
    <n v="1"/>
    <x v="0"/>
    <x v="13"/>
    <x v="0"/>
    <n v="0.2273"/>
    <n v="0.69"/>
    <s v="Acceptable"/>
    <n v="0"/>
    <n v="4"/>
    <n v="48"/>
    <n v="52"/>
  </r>
  <r>
    <n v="323"/>
    <d v="2011-01-14T00:00:00"/>
    <n v="1"/>
    <n v="22"/>
    <b v="0"/>
    <n v="5"/>
    <s v="No"/>
    <s v="Friday"/>
    <n v="2"/>
    <x v="1"/>
    <x v="13"/>
    <x v="0"/>
    <n v="0.2273"/>
    <n v="0.69"/>
    <s v="Acceptable"/>
    <n v="0"/>
    <n v="2"/>
    <n v="34"/>
    <n v="36"/>
  </r>
  <r>
    <n v="324"/>
    <d v="2011-01-14T00:00:00"/>
    <n v="1"/>
    <n v="23"/>
    <b v="0"/>
    <n v="5"/>
    <s v="No"/>
    <s v="Friday"/>
    <n v="2"/>
    <x v="1"/>
    <x v="15"/>
    <x v="0"/>
    <n v="0.2424"/>
    <n v="0.55000000000000004"/>
    <s v="Acceptable"/>
    <n v="0"/>
    <n v="1"/>
    <n v="26"/>
    <n v="27"/>
  </r>
  <r>
    <n v="325"/>
    <d v="2011-01-15T00:00:00"/>
    <n v="1"/>
    <n v="0"/>
    <b v="0"/>
    <n v="6"/>
    <s v="Yes"/>
    <s v="Saturday"/>
    <n v="1"/>
    <x v="0"/>
    <x v="15"/>
    <x v="0"/>
    <n v="0.2424"/>
    <n v="0.55000000000000004"/>
    <s v="Acceptable"/>
    <n v="0"/>
    <n v="3"/>
    <n v="25"/>
    <n v="28"/>
  </r>
  <r>
    <n v="326"/>
    <d v="2011-01-15T00:00:00"/>
    <n v="1"/>
    <n v="1"/>
    <b v="0"/>
    <n v="6"/>
    <s v="Yes"/>
    <s v="Saturday"/>
    <n v="2"/>
    <x v="1"/>
    <x v="13"/>
    <x v="0"/>
    <n v="0.19700000000000001"/>
    <n v="0.59"/>
    <s v="Acceptable"/>
    <n v="8.9599999999999999E-2"/>
    <n v="2"/>
    <n v="18"/>
    <n v="20"/>
  </r>
  <r>
    <n v="327"/>
    <d v="2011-01-15T00:00:00"/>
    <n v="1"/>
    <n v="2"/>
    <b v="0"/>
    <n v="6"/>
    <s v="Yes"/>
    <s v="Saturday"/>
    <n v="2"/>
    <x v="1"/>
    <x v="13"/>
    <x v="0"/>
    <n v="0.19700000000000001"/>
    <n v="0.59"/>
    <s v="Acceptable"/>
    <n v="8.9599999999999999E-2"/>
    <n v="0"/>
    <n v="12"/>
    <n v="12"/>
  </r>
  <r>
    <n v="328"/>
    <d v="2011-01-15T00:00:00"/>
    <n v="1"/>
    <n v="3"/>
    <b v="0"/>
    <n v="6"/>
    <s v="Yes"/>
    <s v="Saturday"/>
    <n v="2"/>
    <x v="1"/>
    <x v="13"/>
    <x v="0"/>
    <n v="0.2273"/>
    <n v="0.59"/>
    <s v="Acceptable"/>
    <n v="0"/>
    <n v="1"/>
    <n v="7"/>
    <n v="8"/>
  </r>
  <r>
    <n v="329"/>
    <d v="2011-01-15T00:00:00"/>
    <n v="1"/>
    <n v="4"/>
    <b v="0"/>
    <n v="6"/>
    <s v="Yes"/>
    <s v="Saturday"/>
    <n v="2"/>
    <x v="1"/>
    <x v="13"/>
    <x v="0"/>
    <n v="0.2273"/>
    <n v="0.59"/>
    <s v="Acceptable"/>
    <n v="0"/>
    <n v="0"/>
    <n v="5"/>
    <n v="5"/>
  </r>
  <r>
    <n v="330"/>
    <d v="2011-01-15T00:00:00"/>
    <n v="1"/>
    <n v="5"/>
    <b v="0"/>
    <n v="6"/>
    <s v="Yes"/>
    <s v="Saturday"/>
    <n v="1"/>
    <x v="0"/>
    <x v="13"/>
    <x v="0"/>
    <n v="0.2273"/>
    <n v="0.59"/>
    <s v="Acceptable"/>
    <n v="0"/>
    <n v="0"/>
    <n v="1"/>
    <n v="1"/>
  </r>
  <r>
    <n v="331"/>
    <d v="2011-01-15T00:00:00"/>
    <n v="1"/>
    <n v="6"/>
    <b v="0"/>
    <n v="6"/>
    <s v="Yes"/>
    <s v="Saturday"/>
    <n v="1"/>
    <x v="0"/>
    <x v="14"/>
    <x v="0"/>
    <n v="0.16669999999999999"/>
    <n v="0.63"/>
    <s v="Acceptable"/>
    <n v="0.1045"/>
    <n v="1"/>
    <n v="2"/>
    <n v="3"/>
  </r>
  <r>
    <n v="332"/>
    <d v="2011-01-15T00:00:00"/>
    <n v="1"/>
    <n v="7"/>
    <b v="0"/>
    <n v="6"/>
    <s v="Yes"/>
    <s v="Saturday"/>
    <n v="1"/>
    <x v="0"/>
    <x v="14"/>
    <x v="0"/>
    <n v="0.21210000000000001"/>
    <n v="0.63"/>
    <s v="Acceptable"/>
    <n v="0"/>
    <n v="1"/>
    <n v="9"/>
    <n v="10"/>
  </r>
  <r>
    <n v="333"/>
    <d v="2011-01-15T00:00:00"/>
    <n v="1"/>
    <n v="8"/>
    <b v="0"/>
    <n v="6"/>
    <s v="Yes"/>
    <s v="Saturday"/>
    <n v="1"/>
    <x v="0"/>
    <x v="14"/>
    <x v="0"/>
    <n v="0.1515"/>
    <n v="0.63"/>
    <s v="Acceptable"/>
    <n v="0.1343"/>
    <n v="1"/>
    <n v="22"/>
    <n v="23"/>
  </r>
  <r>
    <n v="334"/>
    <d v="2011-01-15T00:00:00"/>
    <n v="1"/>
    <n v="9"/>
    <b v="0"/>
    <n v="6"/>
    <s v="Yes"/>
    <s v="Saturday"/>
    <n v="1"/>
    <x v="0"/>
    <x v="13"/>
    <x v="0"/>
    <n v="0.18179999999999999"/>
    <n v="0.64"/>
    <s v="Acceptable"/>
    <n v="0.1343"/>
    <n v="2"/>
    <n v="31"/>
    <n v="33"/>
  </r>
  <r>
    <n v="335"/>
    <d v="2011-01-15T00:00:00"/>
    <n v="1"/>
    <n v="10"/>
    <b v="0"/>
    <n v="6"/>
    <s v="Yes"/>
    <s v="Saturday"/>
    <n v="1"/>
    <x v="0"/>
    <x v="15"/>
    <x v="0"/>
    <n v="0.19700000000000001"/>
    <n v="0.59"/>
    <s v="Acceptable"/>
    <n v="0.16420000000000001"/>
    <n v="2"/>
    <n v="57"/>
    <n v="59"/>
  </r>
  <r>
    <n v="336"/>
    <d v="2011-01-15T00:00:00"/>
    <n v="1"/>
    <n v="11"/>
    <b v="0"/>
    <n v="6"/>
    <s v="Yes"/>
    <s v="Saturday"/>
    <n v="1"/>
    <x v="0"/>
    <x v="2"/>
    <x v="0"/>
    <n v="0.19700000000000001"/>
    <n v="0.55000000000000004"/>
    <s v="Acceptable"/>
    <n v="0.22389999999999999"/>
    <n v="18"/>
    <n v="54"/>
    <n v="72"/>
  </r>
  <r>
    <n v="337"/>
    <d v="2011-01-15T00:00:00"/>
    <n v="1"/>
    <n v="12"/>
    <b v="0"/>
    <n v="6"/>
    <s v="Yes"/>
    <s v="Saturday"/>
    <n v="1"/>
    <x v="0"/>
    <x v="0"/>
    <x v="0"/>
    <n v="0.2273"/>
    <n v="0.48"/>
    <s v="Acceptable"/>
    <n v="0.22389999999999999"/>
    <n v="15"/>
    <n v="74"/>
    <n v="89"/>
  </r>
  <r>
    <n v="338"/>
    <d v="2011-01-15T00:00:00"/>
    <n v="1"/>
    <n v="13"/>
    <b v="0"/>
    <n v="6"/>
    <s v="Yes"/>
    <s v="Saturday"/>
    <n v="1"/>
    <x v="0"/>
    <x v="17"/>
    <x v="0"/>
    <n v="0.2576"/>
    <n v="0.38"/>
    <s v="Acceptable"/>
    <n v="0.29849999999999999"/>
    <n v="21"/>
    <n v="80"/>
    <n v="101"/>
  </r>
  <r>
    <n v="339"/>
    <d v="2011-01-15T00:00:00"/>
    <n v="1"/>
    <n v="14"/>
    <b v="0"/>
    <n v="6"/>
    <s v="Yes"/>
    <s v="Saturday"/>
    <n v="1"/>
    <x v="0"/>
    <x v="11"/>
    <x v="0"/>
    <n v="0.28789999999999999"/>
    <n v="0.39"/>
    <s v="Acceptable"/>
    <n v="0.28360000000000002"/>
    <n v="26"/>
    <n v="92"/>
    <n v="118"/>
  </r>
  <r>
    <n v="340"/>
    <d v="2011-01-15T00:00:00"/>
    <n v="1"/>
    <n v="15"/>
    <b v="0"/>
    <n v="6"/>
    <s v="Yes"/>
    <s v="Saturday"/>
    <n v="2"/>
    <x v="1"/>
    <x v="3"/>
    <x v="0"/>
    <n v="0.31819999999999998"/>
    <n v="0.36"/>
    <s v="Acceptable"/>
    <n v="0.19400000000000001"/>
    <n v="21"/>
    <n v="108"/>
    <n v="129"/>
  </r>
  <r>
    <n v="341"/>
    <d v="2011-01-15T00:00:00"/>
    <n v="1"/>
    <n v="16"/>
    <b v="0"/>
    <n v="6"/>
    <s v="Yes"/>
    <s v="Saturday"/>
    <n v="2"/>
    <x v="1"/>
    <x v="10"/>
    <x v="0"/>
    <n v="0.33329999999999999"/>
    <n v="0.34"/>
    <s v="Acceptable"/>
    <n v="0.19400000000000001"/>
    <n v="33"/>
    <n v="95"/>
    <n v="128"/>
  </r>
  <r>
    <n v="342"/>
    <d v="2011-01-15T00:00:00"/>
    <n v="1"/>
    <n v="17"/>
    <b v="0"/>
    <n v="6"/>
    <s v="Yes"/>
    <s v="Saturday"/>
    <n v="2"/>
    <x v="1"/>
    <x v="3"/>
    <x v="0"/>
    <n v="0.30299999999999999"/>
    <n v="0.36"/>
    <s v="Acceptable"/>
    <n v="0.28360000000000002"/>
    <n v="29"/>
    <n v="54"/>
    <n v="83"/>
  </r>
  <r>
    <n v="343"/>
    <d v="2011-01-15T00:00:00"/>
    <n v="1"/>
    <n v="18"/>
    <b v="0"/>
    <n v="6"/>
    <s v="Yes"/>
    <s v="Saturday"/>
    <n v="2"/>
    <x v="1"/>
    <x v="11"/>
    <x v="0"/>
    <n v="0.28789999999999999"/>
    <n v="0.45"/>
    <s v="Acceptable"/>
    <n v="0.25369999999999998"/>
    <n v="15"/>
    <n v="69"/>
    <n v="84"/>
  </r>
  <r>
    <n v="344"/>
    <d v="2011-01-15T00:00:00"/>
    <n v="1"/>
    <n v="19"/>
    <b v="0"/>
    <n v="6"/>
    <s v="Yes"/>
    <s v="Saturday"/>
    <n v="2"/>
    <x v="1"/>
    <x v="3"/>
    <x v="0"/>
    <n v="0.30299999999999999"/>
    <n v="0.39"/>
    <s v="Acceptable"/>
    <n v="0.25369999999999998"/>
    <n v="14"/>
    <n v="60"/>
    <n v="74"/>
  </r>
  <r>
    <n v="345"/>
    <d v="2011-01-15T00:00:00"/>
    <n v="1"/>
    <n v="20"/>
    <b v="0"/>
    <n v="6"/>
    <s v="Yes"/>
    <s v="Saturday"/>
    <n v="2"/>
    <x v="1"/>
    <x v="3"/>
    <x v="0"/>
    <n v="0.30299999999999999"/>
    <n v="0.39"/>
    <s v="Acceptable"/>
    <n v="0.25369999999999998"/>
    <n v="6"/>
    <n v="35"/>
    <n v="41"/>
  </r>
  <r>
    <n v="346"/>
    <d v="2011-01-15T00:00:00"/>
    <n v="1"/>
    <n v="21"/>
    <b v="0"/>
    <n v="6"/>
    <s v="Yes"/>
    <s v="Saturday"/>
    <n v="2"/>
    <x v="1"/>
    <x v="3"/>
    <x v="0"/>
    <n v="0.30299999999999999"/>
    <n v="0.39"/>
    <s v="Acceptable"/>
    <n v="0.22389999999999999"/>
    <n v="6"/>
    <n v="51"/>
    <n v="57"/>
  </r>
  <r>
    <n v="347"/>
    <d v="2011-01-15T00:00:00"/>
    <n v="1"/>
    <n v="22"/>
    <b v="0"/>
    <n v="6"/>
    <s v="Yes"/>
    <s v="Saturday"/>
    <n v="2"/>
    <x v="1"/>
    <x v="11"/>
    <x v="0"/>
    <n v="0.31819999999999998"/>
    <n v="0.42"/>
    <s v="Acceptable"/>
    <n v="0.1045"/>
    <n v="0"/>
    <n v="26"/>
    <n v="26"/>
  </r>
  <r>
    <n v="348"/>
    <d v="2011-01-15T00:00:00"/>
    <n v="1"/>
    <n v="23"/>
    <b v="0"/>
    <n v="6"/>
    <s v="Yes"/>
    <s v="Saturday"/>
    <n v="1"/>
    <x v="0"/>
    <x v="11"/>
    <x v="0"/>
    <n v="0.28789999999999999"/>
    <n v="0.45"/>
    <s v="Acceptable"/>
    <n v="0.28360000000000002"/>
    <n v="5"/>
    <n v="39"/>
    <n v="44"/>
  </r>
  <r>
    <n v="349"/>
    <d v="2011-01-16T00:00:00"/>
    <n v="1"/>
    <n v="0"/>
    <b v="0"/>
    <n v="0"/>
    <s v="Yes"/>
    <s v="Sunday"/>
    <n v="1"/>
    <x v="0"/>
    <x v="12"/>
    <x v="0"/>
    <n v="0.30299999999999999"/>
    <n v="0.56000000000000005"/>
    <s v="Acceptable"/>
    <n v="0"/>
    <n v="6"/>
    <n v="33"/>
    <n v="39"/>
  </r>
  <r>
    <n v="350"/>
    <d v="2011-01-16T00:00:00"/>
    <n v="1"/>
    <n v="1"/>
    <b v="0"/>
    <n v="0"/>
    <s v="Yes"/>
    <s v="Sunday"/>
    <n v="1"/>
    <x v="0"/>
    <x v="12"/>
    <x v="0"/>
    <n v="0.2727"/>
    <n v="0.56000000000000005"/>
    <s v="Acceptable"/>
    <n v="0.1343"/>
    <n v="4"/>
    <n v="19"/>
    <n v="23"/>
  </r>
  <r>
    <n v="351"/>
    <d v="2011-01-16T00:00:00"/>
    <n v="1"/>
    <n v="2"/>
    <b v="0"/>
    <n v="0"/>
    <s v="Yes"/>
    <s v="Sunday"/>
    <n v="1"/>
    <x v="0"/>
    <x v="12"/>
    <x v="0"/>
    <n v="0.28789999999999999"/>
    <n v="0.56000000000000005"/>
    <s v="Acceptable"/>
    <n v="8.9599999999999999E-2"/>
    <n v="3"/>
    <n v="13"/>
    <n v="16"/>
  </r>
  <r>
    <n v="352"/>
    <d v="2011-01-16T00:00:00"/>
    <n v="1"/>
    <n v="3"/>
    <b v="0"/>
    <n v="0"/>
    <s v="Yes"/>
    <s v="Sunday"/>
    <n v="1"/>
    <x v="0"/>
    <x v="1"/>
    <x v="0"/>
    <n v="0.2727"/>
    <n v="0.69"/>
    <s v="Acceptable"/>
    <n v="0"/>
    <n v="9"/>
    <n v="6"/>
    <n v="15"/>
  </r>
  <r>
    <n v="353"/>
    <d v="2011-01-16T00:00:00"/>
    <n v="1"/>
    <n v="4"/>
    <b v="0"/>
    <n v="0"/>
    <s v="Yes"/>
    <s v="Sunday"/>
    <n v="1"/>
    <x v="0"/>
    <x v="12"/>
    <x v="0"/>
    <n v="0.2576"/>
    <n v="0.56000000000000005"/>
    <s v="Acceptable"/>
    <n v="0.16420000000000001"/>
    <n v="0"/>
    <n v="1"/>
    <n v="1"/>
  </r>
  <r>
    <n v="354"/>
    <d v="2011-01-16T00:00:00"/>
    <n v="1"/>
    <n v="5"/>
    <b v="0"/>
    <n v="0"/>
    <s v="Yes"/>
    <s v="Sunday"/>
    <n v="2"/>
    <x v="1"/>
    <x v="12"/>
    <x v="0"/>
    <n v="0.2576"/>
    <n v="0.56000000000000005"/>
    <s v="Acceptable"/>
    <n v="0.16420000000000001"/>
    <n v="1"/>
    <n v="1"/>
    <n v="2"/>
  </r>
  <r>
    <n v="355"/>
    <d v="2011-01-16T00:00:00"/>
    <n v="1"/>
    <n v="6"/>
    <b v="0"/>
    <n v="0"/>
    <s v="Yes"/>
    <s v="Sunday"/>
    <n v="2"/>
    <x v="1"/>
    <x v="12"/>
    <x v="0"/>
    <n v="0.2576"/>
    <n v="0.56000000000000005"/>
    <s v="Acceptable"/>
    <n v="0.16420000000000001"/>
    <n v="0"/>
    <n v="1"/>
    <n v="1"/>
  </r>
  <r>
    <n v="356"/>
    <d v="2011-01-16T00:00:00"/>
    <n v="1"/>
    <n v="7"/>
    <b v="0"/>
    <n v="0"/>
    <s v="Yes"/>
    <s v="Sunday"/>
    <n v="2"/>
    <x v="1"/>
    <x v="0"/>
    <x v="0"/>
    <n v="0.21210000000000001"/>
    <n v="0.56000000000000005"/>
    <s v="Acceptable"/>
    <n v="0.29849999999999999"/>
    <n v="0"/>
    <n v="3"/>
    <n v="3"/>
  </r>
  <r>
    <n v="357"/>
    <d v="2011-01-16T00:00:00"/>
    <n v="1"/>
    <n v="8"/>
    <b v="0"/>
    <n v="0"/>
    <s v="Yes"/>
    <s v="Sunday"/>
    <n v="1"/>
    <x v="0"/>
    <x v="1"/>
    <x v="0"/>
    <n v="0.21210000000000001"/>
    <n v="0.55000000000000004"/>
    <s v="Acceptable"/>
    <n v="0.28360000000000002"/>
    <n v="0"/>
    <n v="18"/>
    <n v="18"/>
  </r>
  <r>
    <n v="358"/>
    <d v="2011-01-16T00:00:00"/>
    <n v="1"/>
    <n v="9"/>
    <b v="0"/>
    <n v="0"/>
    <s v="Yes"/>
    <s v="Sunday"/>
    <n v="1"/>
    <x v="0"/>
    <x v="1"/>
    <x v="0"/>
    <n v="0.21210000000000001"/>
    <n v="0.51"/>
    <s v="Acceptable"/>
    <n v="0.25369999999999998"/>
    <n v="3"/>
    <n v="29"/>
    <n v="32"/>
  </r>
  <r>
    <n v="359"/>
    <d v="2011-01-16T00:00:00"/>
    <n v="1"/>
    <n v="10"/>
    <b v="0"/>
    <n v="0"/>
    <s v="Yes"/>
    <s v="Sunday"/>
    <n v="1"/>
    <x v="0"/>
    <x v="1"/>
    <x v="0"/>
    <n v="0.21210000000000001"/>
    <n v="0.51"/>
    <s v="Acceptable"/>
    <n v="0.28360000000000002"/>
    <n v="8"/>
    <n v="71"/>
    <n v="79"/>
  </r>
  <r>
    <n v="360"/>
    <d v="2011-01-16T00:00:00"/>
    <n v="1"/>
    <n v="11"/>
    <b v="0"/>
    <n v="0"/>
    <s v="Yes"/>
    <s v="Sunday"/>
    <n v="1"/>
    <x v="0"/>
    <x v="0"/>
    <x v="0"/>
    <n v="0.2273"/>
    <n v="0.44"/>
    <s v="Acceptable"/>
    <n v="0.25369999999999998"/>
    <n v="23"/>
    <n v="70"/>
    <n v="93"/>
  </r>
  <r>
    <n v="361"/>
    <d v="2011-01-16T00:00:00"/>
    <n v="1"/>
    <n v="12"/>
    <b v="0"/>
    <n v="0"/>
    <s v="Yes"/>
    <s v="Sunday"/>
    <n v="1"/>
    <x v="0"/>
    <x v="0"/>
    <x v="0"/>
    <n v="0.21210000000000001"/>
    <n v="0.41"/>
    <s v="Acceptable"/>
    <n v="0.28360000000000002"/>
    <n v="29"/>
    <n v="75"/>
    <n v="104"/>
  </r>
  <r>
    <n v="362"/>
    <d v="2011-01-16T00:00:00"/>
    <n v="1"/>
    <n v="13"/>
    <b v="0"/>
    <n v="0"/>
    <s v="Yes"/>
    <s v="Sunday"/>
    <n v="1"/>
    <x v="0"/>
    <x v="12"/>
    <x v="0"/>
    <n v="0.2273"/>
    <n v="0.35"/>
    <s v="Acceptable"/>
    <n v="0.29849999999999999"/>
    <n v="23"/>
    <n v="95"/>
    <n v="118"/>
  </r>
  <r>
    <n v="363"/>
    <d v="2011-01-16T00:00:00"/>
    <n v="1"/>
    <n v="14"/>
    <b v="0"/>
    <n v="0"/>
    <s v="Yes"/>
    <s v="Sunday"/>
    <n v="1"/>
    <x v="0"/>
    <x v="17"/>
    <x v="0"/>
    <n v="0.2727"/>
    <n v="0.36"/>
    <s v="Acceptable"/>
    <n v="0.25369999999999998"/>
    <n v="22"/>
    <n v="69"/>
    <n v="91"/>
  </r>
  <r>
    <n v="364"/>
    <d v="2011-01-16T00:00:00"/>
    <n v="1"/>
    <n v="15"/>
    <b v="0"/>
    <n v="0"/>
    <s v="Yes"/>
    <s v="Sunday"/>
    <n v="1"/>
    <x v="0"/>
    <x v="12"/>
    <x v="0"/>
    <n v="0.2424"/>
    <n v="0.38"/>
    <s v="Acceptable"/>
    <n v="0.25369999999999998"/>
    <n v="35"/>
    <n v="78"/>
    <n v="113"/>
  </r>
  <r>
    <n v="365"/>
    <d v="2011-01-16T00:00:00"/>
    <n v="1"/>
    <n v="16"/>
    <b v="0"/>
    <n v="0"/>
    <s v="Yes"/>
    <s v="Sunday"/>
    <n v="1"/>
    <x v="0"/>
    <x v="0"/>
    <x v="0"/>
    <n v="0.2273"/>
    <n v="0.38"/>
    <s v="Acceptable"/>
    <n v="0.22389999999999999"/>
    <n v="22"/>
    <n v="77"/>
    <n v="99"/>
  </r>
  <r>
    <n v="366"/>
    <d v="2011-01-16T00:00:00"/>
    <n v="1"/>
    <n v="17"/>
    <b v="0"/>
    <n v="0"/>
    <s v="Yes"/>
    <s v="Sunday"/>
    <n v="1"/>
    <x v="0"/>
    <x v="1"/>
    <x v="0"/>
    <n v="0.21210000000000001"/>
    <n v="0.37"/>
    <s v="Acceptable"/>
    <n v="0.25369999999999998"/>
    <n v="23"/>
    <n v="82"/>
    <n v="105"/>
  </r>
  <r>
    <n v="367"/>
    <d v="2011-01-16T00:00:00"/>
    <n v="1"/>
    <n v="18"/>
    <b v="0"/>
    <n v="0"/>
    <s v="Yes"/>
    <s v="Sunday"/>
    <n v="1"/>
    <x v="0"/>
    <x v="2"/>
    <x v="0"/>
    <n v="0.21210000000000001"/>
    <n v="0.4"/>
    <s v="Acceptable"/>
    <n v="0.16420000000000001"/>
    <n v="11"/>
    <n v="56"/>
    <n v="67"/>
  </r>
  <r>
    <n v="368"/>
    <d v="2011-01-16T00:00:00"/>
    <n v="1"/>
    <n v="19"/>
    <b v="0"/>
    <n v="0"/>
    <s v="Yes"/>
    <s v="Sunday"/>
    <n v="1"/>
    <x v="0"/>
    <x v="15"/>
    <x v="0"/>
    <n v="0.19700000000000001"/>
    <n v="0.47"/>
    <s v="Acceptable"/>
    <n v="0.1343"/>
    <n v="14"/>
    <n v="47"/>
    <n v="61"/>
  </r>
  <r>
    <n v="369"/>
    <d v="2011-01-16T00:00:00"/>
    <n v="1"/>
    <n v="20"/>
    <b v="0"/>
    <n v="0"/>
    <s v="Yes"/>
    <s v="Sunday"/>
    <n v="1"/>
    <x v="0"/>
    <x v="15"/>
    <x v="0"/>
    <n v="0.19700000000000001"/>
    <n v="0.47"/>
    <s v="Acceptable"/>
    <n v="0.16420000000000001"/>
    <n v="7"/>
    <n v="50"/>
    <n v="57"/>
  </r>
  <r>
    <n v="370"/>
    <d v="2011-01-16T00:00:00"/>
    <n v="1"/>
    <n v="21"/>
    <b v="0"/>
    <n v="0"/>
    <s v="Yes"/>
    <s v="Sunday"/>
    <n v="1"/>
    <x v="0"/>
    <x v="15"/>
    <x v="0"/>
    <n v="0.19700000000000001"/>
    <n v="0.51"/>
    <s v="Acceptable"/>
    <n v="0.16420000000000001"/>
    <n v="6"/>
    <n v="22"/>
    <n v="28"/>
  </r>
  <r>
    <n v="371"/>
    <d v="2011-01-16T00:00:00"/>
    <n v="1"/>
    <n v="22"/>
    <b v="0"/>
    <n v="0"/>
    <s v="Yes"/>
    <s v="Sunday"/>
    <n v="2"/>
    <x v="1"/>
    <x v="2"/>
    <x v="0"/>
    <n v="0.21210000000000001"/>
    <n v="0.49"/>
    <s v="Acceptable"/>
    <n v="0.1343"/>
    <n v="2"/>
    <n v="19"/>
    <n v="21"/>
  </r>
  <r>
    <n v="372"/>
    <d v="2011-01-16T00:00:00"/>
    <n v="1"/>
    <n v="23"/>
    <b v="0"/>
    <n v="0"/>
    <s v="Yes"/>
    <s v="Sunday"/>
    <n v="2"/>
    <x v="1"/>
    <x v="2"/>
    <x v="0"/>
    <n v="0.2273"/>
    <n v="0.4"/>
    <s v="Acceptable"/>
    <n v="0.1045"/>
    <n v="0"/>
    <n v="18"/>
    <n v="18"/>
  </r>
  <r>
    <n v="373"/>
    <d v="2011-01-17T00:00:00"/>
    <n v="1"/>
    <n v="0"/>
    <b v="1"/>
    <n v="1"/>
    <s v="No"/>
    <s v="Monday"/>
    <n v="2"/>
    <x v="1"/>
    <x v="2"/>
    <x v="0"/>
    <n v="0.19700000000000001"/>
    <n v="0.47"/>
    <s v="Acceptable"/>
    <n v="0.22389999999999999"/>
    <n v="1"/>
    <n v="16"/>
    <n v="17"/>
  </r>
  <r>
    <n v="374"/>
    <d v="2011-01-17T00:00:00"/>
    <n v="1"/>
    <n v="1"/>
    <b v="1"/>
    <n v="1"/>
    <s v="No"/>
    <s v="Monday"/>
    <n v="2"/>
    <x v="1"/>
    <x v="2"/>
    <x v="0"/>
    <n v="0.19700000000000001"/>
    <n v="0.44"/>
    <s v="Acceptable"/>
    <n v="0.19400000000000001"/>
    <n v="1"/>
    <n v="15"/>
    <n v="16"/>
  </r>
  <r>
    <n v="375"/>
    <d v="2011-01-17T00:00:00"/>
    <n v="1"/>
    <n v="2"/>
    <b v="1"/>
    <n v="1"/>
    <s v="No"/>
    <s v="Monday"/>
    <n v="2"/>
    <x v="1"/>
    <x v="15"/>
    <x v="0"/>
    <n v="0.16669999999999999"/>
    <n v="0.43"/>
    <s v="Acceptable"/>
    <n v="0.25369999999999998"/>
    <n v="0"/>
    <n v="8"/>
    <n v="8"/>
  </r>
  <r>
    <n v="376"/>
    <d v="2011-01-17T00:00:00"/>
    <n v="1"/>
    <n v="3"/>
    <b v="1"/>
    <n v="1"/>
    <s v="No"/>
    <s v="Monday"/>
    <n v="2"/>
    <x v="1"/>
    <x v="15"/>
    <x v="0"/>
    <n v="0.18179999999999999"/>
    <n v="0.43"/>
    <s v="Acceptable"/>
    <n v="0.19400000000000001"/>
    <n v="0"/>
    <n v="2"/>
    <n v="2"/>
  </r>
  <r>
    <n v="377"/>
    <d v="2011-01-17T00:00:00"/>
    <n v="1"/>
    <n v="4"/>
    <b v="1"/>
    <n v="1"/>
    <s v="No"/>
    <s v="Monday"/>
    <n v="2"/>
    <x v="1"/>
    <x v="15"/>
    <x v="0"/>
    <n v="0.19700000000000001"/>
    <n v="0.43"/>
    <s v="Acceptable"/>
    <n v="0.1343"/>
    <n v="1"/>
    <n v="2"/>
    <n v="3"/>
  </r>
  <r>
    <n v="378"/>
    <d v="2011-01-17T00:00:00"/>
    <n v="1"/>
    <n v="5"/>
    <b v="1"/>
    <n v="1"/>
    <s v="No"/>
    <s v="Monday"/>
    <n v="2"/>
    <x v="1"/>
    <x v="15"/>
    <x v="0"/>
    <n v="0.19700000000000001"/>
    <n v="0.43"/>
    <s v="Acceptable"/>
    <n v="0.16420000000000001"/>
    <n v="0"/>
    <n v="1"/>
    <n v="1"/>
  </r>
  <r>
    <n v="379"/>
    <d v="2011-01-17T00:00:00"/>
    <n v="1"/>
    <n v="6"/>
    <b v="1"/>
    <n v="1"/>
    <s v="No"/>
    <s v="Monday"/>
    <n v="2"/>
    <x v="1"/>
    <x v="15"/>
    <x v="0"/>
    <n v="0.18179999999999999"/>
    <n v="0.43"/>
    <s v="Acceptable"/>
    <n v="0.19400000000000001"/>
    <n v="0"/>
    <n v="5"/>
    <n v="5"/>
  </r>
  <r>
    <n v="380"/>
    <d v="2011-01-17T00:00:00"/>
    <n v="1"/>
    <n v="7"/>
    <b v="1"/>
    <n v="1"/>
    <s v="No"/>
    <s v="Monday"/>
    <n v="2"/>
    <x v="1"/>
    <x v="13"/>
    <x v="0"/>
    <n v="0.18179999999999999"/>
    <n v="0.5"/>
    <s v="Acceptable"/>
    <n v="0.1343"/>
    <n v="4"/>
    <n v="9"/>
    <n v="13"/>
  </r>
  <r>
    <n v="381"/>
    <d v="2011-01-17T00:00:00"/>
    <n v="1"/>
    <n v="8"/>
    <b v="1"/>
    <n v="1"/>
    <s v="No"/>
    <s v="Monday"/>
    <n v="2"/>
    <x v="1"/>
    <x v="13"/>
    <x v="0"/>
    <n v="0.1515"/>
    <n v="0.47"/>
    <s v="Acceptable"/>
    <n v="0.22389999999999999"/>
    <n v="3"/>
    <n v="30"/>
    <n v="33"/>
  </r>
  <r>
    <n v="382"/>
    <d v="2011-01-17T00:00:00"/>
    <n v="1"/>
    <n v="9"/>
    <b v="1"/>
    <n v="1"/>
    <s v="No"/>
    <s v="Monday"/>
    <n v="2"/>
    <x v="1"/>
    <x v="13"/>
    <x v="0"/>
    <n v="0.1515"/>
    <n v="0.47"/>
    <s v="Acceptable"/>
    <n v="0.22389999999999999"/>
    <n v="8"/>
    <n v="39"/>
    <n v="47"/>
  </r>
  <r>
    <n v="383"/>
    <d v="2011-01-17T00:00:00"/>
    <n v="1"/>
    <n v="10"/>
    <b v="1"/>
    <n v="1"/>
    <s v="No"/>
    <s v="Monday"/>
    <n v="2"/>
    <x v="1"/>
    <x v="13"/>
    <x v="0"/>
    <n v="0.1515"/>
    <n v="0.5"/>
    <s v="Acceptable"/>
    <n v="0.25369999999999998"/>
    <n v="7"/>
    <n v="50"/>
    <n v="57"/>
  </r>
  <r>
    <n v="384"/>
    <d v="2011-01-17T00:00:00"/>
    <n v="1"/>
    <n v="11"/>
    <b v="1"/>
    <n v="1"/>
    <s v="No"/>
    <s v="Monday"/>
    <n v="2"/>
    <x v="1"/>
    <x v="13"/>
    <x v="0"/>
    <n v="0.1515"/>
    <n v="0.55000000000000004"/>
    <s v="Acceptable"/>
    <n v="0.19400000000000001"/>
    <n v="9"/>
    <n v="55"/>
    <n v="64"/>
  </r>
  <r>
    <n v="385"/>
    <d v="2011-01-17T00:00:00"/>
    <n v="1"/>
    <n v="12"/>
    <b v="1"/>
    <n v="1"/>
    <s v="No"/>
    <s v="Monday"/>
    <n v="2"/>
    <x v="1"/>
    <x v="15"/>
    <x v="0"/>
    <n v="0.19700000000000001"/>
    <n v="0.47"/>
    <s v="Acceptable"/>
    <n v="0.1343"/>
    <n v="10"/>
    <n v="70"/>
    <n v="80"/>
  </r>
  <r>
    <n v="386"/>
    <d v="2011-01-17T00:00:00"/>
    <n v="1"/>
    <n v="13"/>
    <b v="1"/>
    <n v="1"/>
    <s v="No"/>
    <s v="Monday"/>
    <n v="2"/>
    <x v="1"/>
    <x v="15"/>
    <x v="0"/>
    <n v="0.19700000000000001"/>
    <n v="0.47"/>
    <s v="Acceptable"/>
    <n v="0.1343"/>
    <n v="13"/>
    <n v="80"/>
    <n v="93"/>
  </r>
  <r>
    <n v="387"/>
    <d v="2011-01-17T00:00:00"/>
    <n v="1"/>
    <n v="14"/>
    <b v="1"/>
    <n v="1"/>
    <s v="No"/>
    <s v="Monday"/>
    <n v="2"/>
    <x v="1"/>
    <x v="15"/>
    <x v="0"/>
    <n v="0.21210000000000001"/>
    <n v="0.43"/>
    <s v="Acceptable"/>
    <n v="0.1045"/>
    <n v="12"/>
    <n v="74"/>
    <n v="86"/>
  </r>
  <r>
    <n v="388"/>
    <d v="2011-01-17T00:00:00"/>
    <n v="1"/>
    <n v="15"/>
    <b v="1"/>
    <n v="1"/>
    <s v="No"/>
    <s v="Monday"/>
    <n v="2"/>
    <x v="1"/>
    <x v="2"/>
    <x v="0"/>
    <n v="0.21210000000000001"/>
    <n v="0.47"/>
    <s v="Acceptable"/>
    <n v="0.16420000000000001"/>
    <n v="21"/>
    <n v="72"/>
    <n v="93"/>
  </r>
  <r>
    <n v="389"/>
    <d v="2011-01-17T00:00:00"/>
    <n v="1"/>
    <n v="16"/>
    <b v="1"/>
    <n v="1"/>
    <s v="No"/>
    <s v="Monday"/>
    <n v="2"/>
    <x v="1"/>
    <x v="2"/>
    <x v="0"/>
    <n v="0.21210000000000001"/>
    <n v="0.47"/>
    <s v="Acceptable"/>
    <n v="0.16420000000000001"/>
    <n v="6"/>
    <n v="76"/>
    <n v="82"/>
  </r>
  <r>
    <n v="390"/>
    <d v="2011-01-17T00:00:00"/>
    <n v="1"/>
    <n v="17"/>
    <b v="1"/>
    <n v="1"/>
    <s v="No"/>
    <s v="Monday"/>
    <n v="1"/>
    <x v="0"/>
    <x v="2"/>
    <x v="0"/>
    <n v="0.19700000000000001"/>
    <n v="0.51"/>
    <s v="Acceptable"/>
    <n v="0.19400000000000001"/>
    <n v="4"/>
    <n v="67"/>
    <n v="71"/>
  </r>
  <r>
    <n v="391"/>
    <d v="2011-01-17T00:00:00"/>
    <n v="1"/>
    <n v="18"/>
    <b v="1"/>
    <n v="1"/>
    <s v="No"/>
    <s v="Monday"/>
    <n v="2"/>
    <x v="1"/>
    <x v="15"/>
    <x v="0"/>
    <n v="0.16669999999999999"/>
    <n v="0.55000000000000004"/>
    <s v="Acceptable"/>
    <n v="0.25369999999999998"/>
    <n v="7"/>
    <n v="85"/>
    <n v="92"/>
  </r>
  <r>
    <n v="392"/>
    <d v="2011-01-17T00:00:00"/>
    <n v="1"/>
    <n v="19"/>
    <b v="1"/>
    <n v="1"/>
    <s v="No"/>
    <s v="Monday"/>
    <n v="3"/>
    <x v="2"/>
    <x v="15"/>
    <x v="0"/>
    <n v="0.18179999999999999"/>
    <n v="0.59"/>
    <s v="Acceptable"/>
    <n v="0.19400000000000001"/>
    <n v="2"/>
    <n v="58"/>
    <n v="60"/>
  </r>
  <r>
    <n v="393"/>
    <d v="2011-01-17T00:00:00"/>
    <n v="1"/>
    <n v="20"/>
    <b v="1"/>
    <n v="1"/>
    <s v="No"/>
    <s v="Monday"/>
    <n v="3"/>
    <x v="2"/>
    <x v="13"/>
    <x v="0"/>
    <n v="0.1515"/>
    <n v="0.8"/>
    <s v="Risky"/>
    <n v="0.19400000000000001"/>
    <n v="4"/>
    <n v="29"/>
    <n v="33"/>
  </r>
  <r>
    <n v="394"/>
    <d v="2011-01-17T00:00:00"/>
    <n v="1"/>
    <n v="21"/>
    <b v="1"/>
    <n v="1"/>
    <s v="No"/>
    <s v="Monday"/>
    <n v="3"/>
    <x v="2"/>
    <x v="13"/>
    <x v="0"/>
    <n v="0.1515"/>
    <n v="0.8"/>
    <s v="Risky"/>
    <n v="0.19400000000000001"/>
    <n v="3"/>
    <n v="24"/>
    <n v="27"/>
  </r>
  <r>
    <n v="395"/>
    <d v="2011-01-17T00:00:00"/>
    <n v="1"/>
    <n v="22"/>
    <b v="1"/>
    <n v="1"/>
    <s v="No"/>
    <s v="Monday"/>
    <n v="3"/>
    <x v="2"/>
    <x v="14"/>
    <x v="0"/>
    <n v="0.1212"/>
    <n v="0.93"/>
    <s v="Risky"/>
    <n v="0.25369999999999998"/>
    <n v="0"/>
    <n v="13"/>
    <n v="13"/>
  </r>
  <r>
    <n v="396"/>
    <d v="2011-01-17T00:00:00"/>
    <n v="1"/>
    <n v="23"/>
    <b v="1"/>
    <n v="1"/>
    <s v="No"/>
    <s v="Monday"/>
    <n v="3"/>
    <x v="2"/>
    <x v="13"/>
    <x v="0"/>
    <n v="0.13639999999999999"/>
    <n v="0.86"/>
    <s v="Risky"/>
    <n v="0.28360000000000002"/>
    <n v="1"/>
    <n v="3"/>
    <n v="4"/>
  </r>
  <r>
    <n v="397"/>
    <d v="2011-01-18T00:00:00"/>
    <n v="1"/>
    <n v="12"/>
    <b v="0"/>
    <n v="2"/>
    <s v="No"/>
    <s v="Tuesday"/>
    <n v="2"/>
    <x v="1"/>
    <x v="2"/>
    <x v="0"/>
    <n v="0.18179999999999999"/>
    <n v="0.86"/>
    <s v="Risky"/>
    <n v="0.32840000000000003"/>
    <n v="0"/>
    <n v="3"/>
    <n v="3"/>
  </r>
  <r>
    <n v="398"/>
    <d v="2011-01-18T00:00:00"/>
    <n v="1"/>
    <n v="13"/>
    <b v="0"/>
    <n v="2"/>
    <s v="No"/>
    <s v="Tuesday"/>
    <n v="2"/>
    <x v="1"/>
    <x v="2"/>
    <x v="0"/>
    <n v="0.19700000000000001"/>
    <n v="0.86"/>
    <s v="Risky"/>
    <n v="0.22389999999999999"/>
    <n v="0"/>
    <n v="22"/>
    <n v="22"/>
  </r>
  <r>
    <n v="399"/>
    <d v="2011-01-18T00:00:00"/>
    <n v="1"/>
    <n v="14"/>
    <b v="0"/>
    <n v="2"/>
    <s v="No"/>
    <s v="Tuesday"/>
    <n v="2"/>
    <x v="1"/>
    <x v="1"/>
    <x v="0"/>
    <n v="0.2273"/>
    <n v="0.8"/>
    <s v="Risky"/>
    <n v="0.16420000000000001"/>
    <n v="2"/>
    <n v="26"/>
    <n v="28"/>
  </r>
  <r>
    <n v="400"/>
    <d v="2011-01-18T00:00:00"/>
    <n v="1"/>
    <n v="15"/>
    <b v="0"/>
    <n v="2"/>
    <s v="No"/>
    <s v="Tuesday"/>
    <n v="2"/>
    <x v="1"/>
    <x v="1"/>
    <x v="0"/>
    <n v="0.2273"/>
    <n v="0.87"/>
    <s v="Risky"/>
    <n v="0.16420000000000001"/>
    <n v="3"/>
    <n v="32"/>
    <n v="35"/>
  </r>
  <r>
    <n v="401"/>
    <d v="2011-01-18T00:00:00"/>
    <n v="1"/>
    <n v="16"/>
    <b v="0"/>
    <n v="2"/>
    <s v="No"/>
    <s v="Tuesday"/>
    <n v="2"/>
    <x v="1"/>
    <x v="1"/>
    <x v="0"/>
    <n v="0.2273"/>
    <n v="0.87"/>
    <s v="Risky"/>
    <n v="0.19400000000000001"/>
    <n v="0"/>
    <n v="61"/>
    <n v="61"/>
  </r>
  <r>
    <n v="402"/>
    <d v="2011-01-18T00:00:00"/>
    <n v="1"/>
    <n v="17"/>
    <b v="0"/>
    <n v="2"/>
    <s v="No"/>
    <s v="Tuesday"/>
    <n v="2"/>
    <x v="1"/>
    <x v="1"/>
    <x v="0"/>
    <n v="0.2273"/>
    <n v="0.82"/>
    <s v="Risky"/>
    <n v="0.19400000000000001"/>
    <n v="1"/>
    <n v="124"/>
    <n v="125"/>
  </r>
  <r>
    <n v="403"/>
    <d v="2011-01-18T00:00:00"/>
    <n v="1"/>
    <n v="18"/>
    <b v="0"/>
    <n v="2"/>
    <s v="No"/>
    <s v="Tuesday"/>
    <n v="2"/>
    <x v="1"/>
    <x v="1"/>
    <x v="0"/>
    <n v="0.2273"/>
    <n v="0.8"/>
    <s v="Risky"/>
    <n v="0.16420000000000001"/>
    <n v="1"/>
    <n v="132"/>
    <n v="133"/>
  </r>
  <r>
    <n v="404"/>
    <d v="2011-01-18T00:00:00"/>
    <n v="1"/>
    <n v="19"/>
    <b v="0"/>
    <n v="2"/>
    <s v="No"/>
    <s v="Tuesday"/>
    <n v="2"/>
    <x v="1"/>
    <x v="1"/>
    <x v="0"/>
    <n v="0.2273"/>
    <n v="0.8"/>
    <s v="Risky"/>
    <n v="0.1343"/>
    <n v="1"/>
    <n v="98"/>
    <n v="99"/>
  </r>
  <r>
    <n v="405"/>
    <d v="2011-01-18T00:00:00"/>
    <n v="1"/>
    <n v="20"/>
    <b v="0"/>
    <n v="2"/>
    <s v="No"/>
    <s v="Tuesday"/>
    <n v="2"/>
    <x v="1"/>
    <x v="1"/>
    <x v="0"/>
    <n v="0.2727"/>
    <n v="0.87"/>
    <s v="Risky"/>
    <n v="0"/>
    <n v="0"/>
    <n v="83"/>
    <n v="83"/>
  </r>
  <r>
    <n v="406"/>
    <d v="2011-01-18T00:00:00"/>
    <n v="1"/>
    <n v="21"/>
    <b v="0"/>
    <n v="2"/>
    <s v="No"/>
    <s v="Tuesday"/>
    <n v="2"/>
    <x v="1"/>
    <x v="1"/>
    <x v="0"/>
    <n v="0.2424"/>
    <n v="0.93"/>
    <s v="Risky"/>
    <n v="0.1045"/>
    <n v="0"/>
    <n v="41"/>
    <n v="41"/>
  </r>
  <r>
    <n v="407"/>
    <d v="2011-01-18T00:00:00"/>
    <n v="1"/>
    <n v="22"/>
    <b v="0"/>
    <n v="2"/>
    <s v="No"/>
    <s v="Tuesday"/>
    <n v="2"/>
    <x v="1"/>
    <x v="1"/>
    <x v="0"/>
    <n v="0.2576"/>
    <n v="0.93"/>
    <s v="Risky"/>
    <n v="8.9599999999999999E-2"/>
    <n v="0"/>
    <n v="33"/>
    <n v="33"/>
  </r>
  <r>
    <n v="408"/>
    <d v="2011-01-18T00:00:00"/>
    <n v="1"/>
    <n v="23"/>
    <b v="0"/>
    <n v="2"/>
    <s v="No"/>
    <s v="Tuesday"/>
    <n v="2"/>
    <x v="1"/>
    <x v="1"/>
    <x v="0"/>
    <n v="0.2727"/>
    <n v="0.93"/>
    <s v="Risky"/>
    <n v="0"/>
    <n v="1"/>
    <n v="19"/>
    <n v="20"/>
  </r>
  <r>
    <n v="409"/>
    <d v="2011-01-19T00:00:00"/>
    <n v="1"/>
    <n v="0"/>
    <b v="0"/>
    <n v="3"/>
    <s v="No"/>
    <s v="Wednesday"/>
    <n v="2"/>
    <x v="1"/>
    <x v="1"/>
    <x v="0"/>
    <n v="0.2727"/>
    <n v="0.93"/>
    <s v="Risky"/>
    <n v="0"/>
    <n v="0"/>
    <n v="3"/>
    <n v="3"/>
  </r>
  <r>
    <n v="410"/>
    <d v="2011-01-19T00:00:00"/>
    <n v="1"/>
    <n v="1"/>
    <b v="0"/>
    <n v="3"/>
    <s v="No"/>
    <s v="Wednesday"/>
    <n v="3"/>
    <x v="2"/>
    <x v="1"/>
    <x v="0"/>
    <n v="0.2273"/>
    <n v="0.93"/>
    <s v="Risky"/>
    <n v="0.1343"/>
    <n v="1"/>
    <n v="6"/>
    <n v="7"/>
  </r>
  <r>
    <n v="411"/>
    <d v="2011-01-19T00:00:00"/>
    <n v="1"/>
    <n v="2"/>
    <b v="0"/>
    <n v="3"/>
    <s v="No"/>
    <s v="Wednesday"/>
    <n v="3"/>
    <x v="2"/>
    <x v="1"/>
    <x v="0"/>
    <n v="0.2273"/>
    <n v="0.93"/>
    <s v="Risky"/>
    <n v="0.1343"/>
    <n v="0"/>
    <n v="3"/>
    <n v="3"/>
  </r>
  <r>
    <n v="412"/>
    <d v="2011-01-19T00:00:00"/>
    <n v="1"/>
    <n v="4"/>
    <b v="0"/>
    <n v="3"/>
    <s v="No"/>
    <s v="Wednesday"/>
    <n v="3"/>
    <x v="2"/>
    <x v="1"/>
    <x v="0"/>
    <n v="0.2273"/>
    <n v="0.93"/>
    <s v="Risky"/>
    <n v="0.1343"/>
    <n v="1"/>
    <n v="1"/>
    <n v="2"/>
  </r>
  <r>
    <n v="413"/>
    <d v="2011-01-19T00:00:00"/>
    <n v="1"/>
    <n v="5"/>
    <b v="0"/>
    <n v="3"/>
    <s v="No"/>
    <s v="Wednesday"/>
    <n v="2"/>
    <x v="1"/>
    <x v="1"/>
    <x v="0"/>
    <n v="0.2576"/>
    <n v="0.93"/>
    <s v="Risky"/>
    <n v="8.9599999999999999E-2"/>
    <n v="0"/>
    <n v="7"/>
    <n v="7"/>
  </r>
  <r>
    <n v="414"/>
    <d v="2011-01-19T00:00:00"/>
    <n v="1"/>
    <n v="6"/>
    <b v="0"/>
    <n v="3"/>
    <s v="No"/>
    <s v="Wednesday"/>
    <n v="2"/>
    <x v="1"/>
    <x v="1"/>
    <x v="0"/>
    <n v="0.2576"/>
    <n v="0.93"/>
    <s v="Risky"/>
    <n v="8.9599999999999999E-2"/>
    <n v="0"/>
    <n v="32"/>
    <n v="32"/>
  </r>
  <r>
    <n v="415"/>
    <d v="2011-01-19T00:00:00"/>
    <n v="1"/>
    <n v="7"/>
    <b v="0"/>
    <n v="3"/>
    <s v="No"/>
    <s v="Wednesday"/>
    <n v="2"/>
    <x v="1"/>
    <x v="0"/>
    <x v="0"/>
    <n v="0.2576"/>
    <n v="0.92"/>
    <s v="Risky"/>
    <n v="0.1045"/>
    <n v="1"/>
    <n v="89"/>
    <n v="90"/>
  </r>
  <r>
    <n v="416"/>
    <d v="2011-01-19T00:00:00"/>
    <n v="1"/>
    <n v="8"/>
    <b v="0"/>
    <n v="3"/>
    <s v="No"/>
    <s v="Wednesday"/>
    <n v="2"/>
    <x v="1"/>
    <x v="0"/>
    <x v="0"/>
    <n v="0.2576"/>
    <n v="0.93"/>
    <s v="Risky"/>
    <n v="0.1045"/>
    <n v="1"/>
    <n v="196"/>
    <n v="197"/>
  </r>
  <r>
    <n v="417"/>
    <d v="2011-01-19T00:00:00"/>
    <n v="1"/>
    <n v="9"/>
    <b v="0"/>
    <n v="3"/>
    <s v="No"/>
    <s v="Wednesday"/>
    <n v="2"/>
    <x v="1"/>
    <x v="0"/>
    <x v="0"/>
    <n v="0.2576"/>
    <n v="0.93"/>
    <s v="Risky"/>
    <n v="0.1045"/>
    <n v="2"/>
    <n v="107"/>
    <n v="109"/>
  </r>
  <r>
    <n v="418"/>
    <d v="2011-01-19T00:00:00"/>
    <n v="1"/>
    <n v="10"/>
    <b v="0"/>
    <n v="3"/>
    <s v="No"/>
    <s v="Wednesday"/>
    <n v="2"/>
    <x v="1"/>
    <x v="12"/>
    <x v="0"/>
    <n v="0.2727"/>
    <n v="0.93"/>
    <s v="Risky"/>
    <n v="0.1343"/>
    <n v="1"/>
    <n v="46"/>
    <n v="47"/>
  </r>
  <r>
    <n v="419"/>
    <d v="2011-01-19T00:00:00"/>
    <n v="1"/>
    <n v="11"/>
    <b v="0"/>
    <n v="3"/>
    <s v="No"/>
    <s v="Wednesday"/>
    <n v="2"/>
    <x v="1"/>
    <x v="17"/>
    <x v="0"/>
    <n v="0.30299999999999999"/>
    <n v="0.87"/>
    <s v="Risky"/>
    <n v="8.9599999999999999E-2"/>
    <n v="5"/>
    <n v="47"/>
    <n v="52"/>
  </r>
  <r>
    <n v="420"/>
    <d v="2011-01-19T00:00:00"/>
    <n v="1"/>
    <n v="12"/>
    <b v="0"/>
    <n v="3"/>
    <s v="No"/>
    <s v="Wednesday"/>
    <n v="2"/>
    <x v="1"/>
    <x v="11"/>
    <x v="0"/>
    <n v="0.31819999999999998"/>
    <n v="0.81"/>
    <s v="Risky"/>
    <n v="8.9599999999999999E-2"/>
    <n v="5"/>
    <n v="65"/>
    <n v="70"/>
  </r>
  <r>
    <n v="421"/>
    <d v="2011-01-19T00:00:00"/>
    <n v="1"/>
    <n v="13"/>
    <b v="0"/>
    <n v="3"/>
    <s v="No"/>
    <s v="Wednesday"/>
    <n v="1"/>
    <x v="0"/>
    <x v="9"/>
    <x v="1"/>
    <n v="0.40910000000000002"/>
    <n v="0.62"/>
    <s v="Acceptable"/>
    <n v="0.28360000000000002"/>
    <n v="11"/>
    <n v="67"/>
    <n v="78"/>
  </r>
  <r>
    <n v="422"/>
    <d v="2011-01-19T00:00:00"/>
    <n v="1"/>
    <n v="14"/>
    <b v="0"/>
    <n v="3"/>
    <s v="No"/>
    <s v="Wednesday"/>
    <n v="1"/>
    <x v="0"/>
    <x v="9"/>
    <x v="1"/>
    <n v="0.40910000000000002"/>
    <n v="0.57999999999999996"/>
    <s v="Acceptable"/>
    <n v="0.25369999999999998"/>
    <n v="7"/>
    <n v="68"/>
    <n v="75"/>
  </r>
  <r>
    <n v="423"/>
    <d v="2011-01-19T00:00:00"/>
    <n v="1"/>
    <n v="15"/>
    <b v="0"/>
    <n v="3"/>
    <s v="No"/>
    <s v="Wednesday"/>
    <n v="1"/>
    <x v="0"/>
    <x v="9"/>
    <x v="1"/>
    <n v="0.40910000000000002"/>
    <n v="0.54"/>
    <s v="Acceptable"/>
    <n v="0.28360000000000002"/>
    <n v="4"/>
    <n v="78"/>
    <n v="82"/>
  </r>
  <r>
    <n v="424"/>
    <d v="2011-01-19T00:00:00"/>
    <n v="1"/>
    <n v="16"/>
    <b v="0"/>
    <n v="3"/>
    <s v="No"/>
    <s v="Wednesday"/>
    <n v="1"/>
    <x v="0"/>
    <x v="4"/>
    <x v="1"/>
    <n v="0.39389999999999997"/>
    <n v="0.57999999999999996"/>
    <s v="Acceptable"/>
    <n v="0.3881"/>
    <n v="10"/>
    <n v="94"/>
    <n v="104"/>
  </r>
  <r>
    <n v="425"/>
    <d v="2011-01-19T00:00:00"/>
    <n v="1"/>
    <n v="17"/>
    <b v="0"/>
    <n v="3"/>
    <s v="No"/>
    <s v="Wednesday"/>
    <n v="1"/>
    <x v="0"/>
    <x v="5"/>
    <x v="1"/>
    <n v="0.33329999999999999"/>
    <n v="0.56999999999999995"/>
    <s v="Acceptable"/>
    <n v="0.32840000000000003"/>
    <n v="7"/>
    <n v="190"/>
    <n v="197"/>
  </r>
  <r>
    <n v="426"/>
    <d v="2011-01-19T00:00:00"/>
    <n v="1"/>
    <n v="18"/>
    <b v="0"/>
    <n v="3"/>
    <s v="No"/>
    <s v="Wednesday"/>
    <n v="1"/>
    <x v="0"/>
    <x v="10"/>
    <x v="0"/>
    <n v="0.31819999999999998"/>
    <n v="0.61"/>
    <s v="Acceptable"/>
    <n v="0.28360000000000002"/>
    <n v="5"/>
    <n v="156"/>
    <n v="161"/>
  </r>
  <r>
    <n v="427"/>
    <d v="2011-01-19T00:00:00"/>
    <n v="1"/>
    <n v="19"/>
    <b v="0"/>
    <n v="3"/>
    <s v="No"/>
    <s v="Wednesday"/>
    <n v="1"/>
    <x v="0"/>
    <x v="3"/>
    <x v="0"/>
    <n v="0.28789999999999999"/>
    <n v="0.56999999999999995"/>
    <s v="Acceptable"/>
    <n v="0.41789999999999999"/>
    <n v="4"/>
    <n v="108"/>
    <n v="112"/>
  </r>
  <r>
    <n v="428"/>
    <d v="2011-01-19T00:00:00"/>
    <n v="1"/>
    <n v="20"/>
    <b v="0"/>
    <n v="3"/>
    <s v="No"/>
    <s v="Wednesday"/>
    <n v="1"/>
    <x v="0"/>
    <x v="3"/>
    <x v="0"/>
    <n v="0.30299999999999999"/>
    <n v="0.49"/>
    <s v="Acceptable"/>
    <n v="0.29849999999999999"/>
    <n v="2"/>
    <n v="74"/>
    <n v="76"/>
  </r>
  <r>
    <n v="429"/>
    <d v="2011-01-19T00:00:00"/>
    <n v="1"/>
    <n v="21"/>
    <b v="0"/>
    <n v="3"/>
    <s v="No"/>
    <s v="Wednesday"/>
    <n v="1"/>
    <x v="0"/>
    <x v="3"/>
    <x v="0"/>
    <n v="0.28789999999999999"/>
    <n v="0.49"/>
    <s v="Acceptable"/>
    <n v="0.41789999999999999"/>
    <n v="4"/>
    <n v="55"/>
    <n v="59"/>
  </r>
  <r>
    <n v="430"/>
    <d v="2011-01-19T00:00:00"/>
    <n v="1"/>
    <n v="22"/>
    <b v="0"/>
    <n v="3"/>
    <s v="No"/>
    <s v="Wednesday"/>
    <n v="1"/>
    <x v="0"/>
    <x v="11"/>
    <x v="0"/>
    <n v="0.30299999999999999"/>
    <n v="0.52"/>
    <s v="Acceptable"/>
    <n v="0.16420000000000001"/>
    <n v="6"/>
    <n v="53"/>
    <n v="59"/>
  </r>
  <r>
    <n v="431"/>
    <d v="2011-01-19T00:00:00"/>
    <n v="1"/>
    <n v="23"/>
    <b v="0"/>
    <n v="3"/>
    <s v="No"/>
    <s v="Wednesday"/>
    <n v="1"/>
    <x v="0"/>
    <x v="11"/>
    <x v="0"/>
    <n v="0.2727"/>
    <n v="0.52"/>
    <s v="Acceptable"/>
    <n v="0.4627"/>
    <n v="1"/>
    <n v="27"/>
    <n v="28"/>
  </r>
  <r>
    <n v="432"/>
    <d v="2011-01-20T00:00:00"/>
    <n v="1"/>
    <n v="0"/>
    <b v="0"/>
    <n v="4"/>
    <s v="No"/>
    <s v="Thursday"/>
    <n v="1"/>
    <x v="0"/>
    <x v="12"/>
    <x v="0"/>
    <n v="0.2273"/>
    <n v="0.56000000000000005"/>
    <s v="Acceptable"/>
    <n v="0.3881"/>
    <n v="5"/>
    <n v="8"/>
    <n v="13"/>
  </r>
  <r>
    <n v="433"/>
    <d v="2011-01-20T00:00:00"/>
    <n v="1"/>
    <n v="1"/>
    <b v="0"/>
    <n v="4"/>
    <s v="No"/>
    <s v="Thursday"/>
    <n v="1"/>
    <x v="0"/>
    <x v="12"/>
    <x v="0"/>
    <n v="0.2727"/>
    <n v="0.56000000000000005"/>
    <s v="Acceptable"/>
    <n v="0"/>
    <n v="2"/>
    <n v="3"/>
    <n v="5"/>
  </r>
  <r>
    <n v="434"/>
    <d v="2011-01-20T00:00:00"/>
    <n v="1"/>
    <n v="2"/>
    <b v="0"/>
    <n v="4"/>
    <s v="No"/>
    <s v="Thursday"/>
    <n v="1"/>
    <x v="0"/>
    <x v="12"/>
    <x v="0"/>
    <n v="0.2727"/>
    <n v="0.56000000000000005"/>
    <s v="Acceptable"/>
    <n v="0"/>
    <n v="0"/>
    <n v="2"/>
    <n v="2"/>
  </r>
  <r>
    <n v="435"/>
    <d v="2011-01-20T00:00:00"/>
    <n v="1"/>
    <n v="3"/>
    <b v="0"/>
    <n v="4"/>
    <s v="No"/>
    <s v="Thursday"/>
    <n v="1"/>
    <x v="0"/>
    <x v="12"/>
    <x v="0"/>
    <n v="0.2576"/>
    <n v="0.56000000000000005"/>
    <s v="Acceptable"/>
    <n v="0.16420000000000001"/>
    <n v="0"/>
    <n v="1"/>
    <n v="1"/>
  </r>
  <r>
    <n v="436"/>
    <d v="2011-01-20T00:00:00"/>
    <n v="1"/>
    <n v="4"/>
    <b v="0"/>
    <n v="4"/>
    <s v="No"/>
    <s v="Thursday"/>
    <n v="1"/>
    <x v="0"/>
    <x v="12"/>
    <x v="0"/>
    <n v="0.2576"/>
    <n v="0.56000000000000005"/>
    <s v="Acceptable"/>
    <n v="0.16420000000000001"/>
    <n v="0"/>
    <n v="1"/>
    <n v="1"/>
  </r>
  <r>
    <n v="437"/>
    <d v="2011-01-20T00:00:00"/>
    <n v="1"/>
    <n v="5"/>
    <b v="0"/>
    <n v="4"/>
    <s v="No"/>
    <s v="Thursday"/>
    <n v="1"/>
    <x v="0"/>
    <x v="0"/>
    <x v="0"/>
    <n v="0.2273"/>
    <n v="0.6"/>
    <s v="Acceptable"/>
    <n v="0.22389999999999999"/>
    <n v="0"/>
    <n v="6"/>
    <n v="6"/>
  </r>
  <r>
    <n v="438"/>
    <d v="2011-01-20T00:00:00"/>
    <n v="1"/>
    <n v="6"/>
    <b v="0"/>
    <n v="4"/>
    <s v="No"/>
    <s v="Thursday"/>
    <n v="1"/>
    <x v="0"/>
    <x v="1"/>
    <x v="0"/>
    <n v="0.21210000000000001"/>
    <n v="0.6"/>
    <s v="Acceptable"/>
    <n v="0.22389999999999999"/>
    <n v="0"/>
    <n v="35"/>
    <n v="35"/>
  </r>
  <r>
    <n v="439"/>
    <d v="2011-01-20T00:00:00"/>
    <n v="1"/>
    <n v="7"/>
    <b v="0"/>
    <n v="4"/>
    <s v="No"/>
    <s v="Thursday"/>
    <n v="1"/>
    <x v="0"/>
    <x v="1"/>
    <x v="0"/>
    <n v="0.21210000000000001"/>
    <n v="0.55000000000000004"/>
    <s v="Acceptable"/>
    <n v="0.22389999999999999"/>
    <n v="1"/>
    <n v="100"/>
    <n v="101"/>
  </r>
  <r>
    <n v="440"/>
    <d v="2011-01-20T00:00:00"/>
    <n v="1"/>
    <n v="8"/>
    <b v="0"/>
    <n v="4"/>
    <s v="No"/>
    <s v="Thursday"/>
    <n v="1"/>
    <x v="0"/>
    <x v="1"/>
    <x v="0"/>
    <n v="0.21210000000000001"/>
    <n v="0.55000000000000004"/>
    <s v="Acceptable"/>
    <n v="0.28360000000000002"/>
    <n v="2"/>
    <n v="247"/>
    <n v="249"/>
  </r>
  <r>
    <n v="441"/>
    <d v="2011-01-20T00:00:00"/>
    <n v="1"/>
    <n v="9"/>
    <b v="0"/>
    <n v="4"/>
    <s v="No"/>
    <s v="Thursday"/>
    <n v="2"/>
    <x v="1"/>
    <x v="0"/>
    <x v="0"/>
    <n v="0.2273"/>
    <n v="0.52"/>
    <s v="Acceptable"/>
    <n v="0.22389999999999999"/>
    <n v="3"/>
    <n v="140"/>
    <n v="143"/>
  </r>
  <r>
    <n v="442"/>
    <d v="2011-01-20T00:00:00"/>
    <n v="1"/>
    <n v="10"/>
    <b v="0"/>
    <n v="4"/>
    <s v="No"/>
    <s v="Thursday"/>
    <n v="1"/>
    <x v="0"/>
    <x v="12"/>
    <x v="0"/>
    <n v="0.2273"/>
    <n v="0.48"/>
    <s v="Acceptable"/>
    <n v="0.29849999999999999"/>
    <n v="1"/>
    <n v="56"/>
    <n v="57"/>
  </r>
  <r>
    <n v="443"/>
    <d v="2011-01-20T00:00:00"/>
    <n v="1"/>
    <n v="11"/>
    <b v="0"/>
    <n v="4"/>
    <s v="No"/>
    <s v="Thursday"/>
    <n v="2"/>
    <x v="1"/>
    <x v="17"/>
    <x v="0"/>
    <n v="0.2727"/>
    <n v="0.45"/>
    <s v="Acceptable"/>
    <n v="0.16420000000000001"/>
    <n v="5"/>
    <n v="63"/>
    <n v="68"/>
  </r>
  <r>
    <n v="444"/>
    <d v="2011-01-20T00:00:00"/>
    <n v="1"/>
    <n v="12"/>
    <b v="0"/>
    <n v="4"/>
    <s v="No"/>
    <s v="Thursday"/>
    <n v="2"/>
    <x v="1"/>
    <x v="11"/>
    <x v="0"/>
    <n v="0.33329999999999999"/>
    <n v="0.42"/>
    <s v="Acceptable"/>
    <n v="0"/>
    <n v="7"/>
    <n v="77"/>
    <n v="84"/>
  </r>
  <r>
    <n v="445"/>
    <d v="2011-01-20T00:00:00"/>
    <n v="1"/>
    <n v="13"/>
    <b v="0"/>
    <n v="4"/>
    <s v="No"/>
    <s v="Thursday"/>
    <n v="2"/>
    <x v="1"/>
    <x v="17"/>
    <x v="0"/>
    <n v="0.28789999999999999"/>
    <n v="0.45"/>
    <s v="Acceptable"/>
    <n v="0.1045"/>
    <n v="12"/>
    <n v="86"/>
    <n v="98"/>
  </r>
  <r>
    <n v="446"/>
    <d v="2011-01-20T00:00:00"/>
    <n v="1"/>
    <n v="14"/>
    <b v="0"/>
    <n v="4"/>
    <s v="No"/>
    <s v="Thursday"/>
    <n v="2"/>
    <x v="1"/>
    <x v="11"/>
    <x v="0"/>
    <n v="0.30299999999999999"/>
    <n v="0.45"/>
    <s v="Acceptable"/>
    <n v="0.1343"/>
    <n v="6"/>
    <n v="75"/>
    <n v="81"/>
  </r>
  <r>
    <n v="447"/>
    <d v="2011-01-20T00:00:00"/>
    <n v="1"/>
    <n v="15"/>
    <b v="0"/>
    <n v="4"/>
    <s v="No"/>
    <s v="Thursday"/>
    <n v="2"/>
    <x v="1"/>
    <x v="3"/>
    <x v="0"/>
    <n v="0.31819999999999998"/>
    <n v="0.45"/>
    <s v="Acceptable"/>
    <n v="0.19400000000000001"/>
    <n v="8"/>
    <n v="62"/>
    <n v="70"/>
  </r>
  <r>
    <n v="448"/>
    <d v="2011-01-20T00:00:00"/>
    <n v="1"/>
    <n v="16"/>
    <b v="0"/>
    <n v="4"/>
    <s v="No"/>
    <s v="Thursday"/>
    <n v="2"/>
    <x v="1"/>
    <x v="11"/>
    <x v="0"/>
    <n v="0.30299999999999999"/>
    <n v="0.49"/>
    <s v="Acceptable"/>
    <n v="0.1343"/>
    <n v="8"/>
    <n v="83"/>
    <n v="91"/>
  </r>
  <r>
    <n v="449"/>
    <d v="2011-01-20T00:00:00"/>
    <n v="1"/>
    <n v="17"/>
    <b v="0"/>
    <n v="4"/>
    <s v="No"/>
    <s v="Thursday"/>
    <n v="2"/>
    <x v="1"/>
    <x v="11"/>
    <x v="0"/>
    <n v="0.31819999999999998"/>
    <n v="0.49"/>
    <s v="Acceptable"/>
    <n v="0.1045"/>
    <n v="8"/>
    <n v="207"/>
    <n v="215"/>
  </r>
  <r>
    <n v="450"/>
    <d v="2011-01-20T00:00:00"/>
    <n v="1"/>
    <n v="18"/>
    <b v="0"/>
    <n v="4"/>
    <s v="No"/>
    <s v="Thursday"/>
    <n v="2"/>
    <x v="1"/>
    <x v="12"/>
    <x v="0"/>
    <n v="0.2576"/>
    <n v="0.56000000000000005"/>
    <s v="Acceptable"/>
    <n v="0.19400000000000001"/>
    <n v="1"/>
    <n v="184"/>
    <n v="185"/>
  </r>
  <r>
    <n v="451"/>
    <d v="2011-01-20T00:00:00"/>
    <n v="1"/>
    <n v="19"/>
    <b v="0"/>
    <n v="4"/>
    <s v="No"/>
    <s v="Thursday"/>
    <n v="1"/>
    <x v="0"/>
    <x v="12"/>
    <x v="0"/>
    <n v="0.2273"/>
    <n v="0.56000000000000005"/>
    <s v="Acceptable"/>
    <n v="0.32840000000000003"/>
    <n v="6"/>
    <n v="146"/>
    <n v="152"/>
  </r>
  <r>
    <n v="452"/>
    <d v="2011-01-20T00:00:00"/>
    <n v="1"/>
    <n v="20"/>
    <b v="0"/>
    <n v="4"/>
    <s v="No"/>
    <s v="Thursday"/>
    <n v="2"/>
    <x v="1"/>
    <x v="12"/>
    <x v="0"/>
    <n v="0.2424"/>
    <n v="0.6"/>
    <s v="Acceptable"/>
    <n v="0.28360000000000002"/>
    <n v="2"/>
    <n v="124"/>
    <n v="126"/>
  </r>
  <r>
    <n v="453"/>
    <d v="2011-01-20T00:00:00"/>
    <n v="1"/>
    <n v="21"/>
    <b v="0"/>
    <n v="4"/>
    <s v="No"/>
    <s v="Thursday"/>
    <n v="2"/>
    <x v="1"/>
    <x v="0"/>
    <x v="0"/>
    <n v="0.2273"/>
    <n v="0.6"/>
    <s v="Acceptable"/>
    <n v="0.25369999999999998"/>
    <n v="3"/>
    <n v="54"/>
    <n v="57"/>
  </r>
  <r>
    <n v="454"/>
    <d v="2011-01-20T00:00:00"/>
    <n v="1"/>
    <n v="22"/>
    <b v="0"/>
    <n v="4"/>
    <s v="No"/>
    <s v="Thursday"/>
    <n v="2"/>
    <x v="1"/>
    <x v="0"/>
    <x v="0"/>
    <n v="0.21210000000000001"/>
    <n v="0.65"/>
    <s v="Acceptable"/>
    <n v="0.28360000000000002"/>
    <n v="0"/>
    <n v="56"/>
    <n v="56"/>
  </r>
  <r>
    <n v="455"/>
    <d v="2011-01-20T00:00:00"/>
    <n v="1"/>
    <n v="23"/>
    <b v="0"/>
    <n v="4"/>
    <s v="No"/>
    <s v="Thursday"/>
    <n v="2"/>
    <x v="1"/>
    <x v="0"/>
    <x v="0"/>
    <n v="0.21210000000000001"/>
    <n v="0.65"/>
    <s v="Acceptable"/>
    <n v="0.32840000000000003"/>
    <n v="3"/>
    <n v="28"/>
    <n v="31"/>
  </r>
  <r>
    <n v="456"/>
    <d v="2011-01-21T00:00:00"/>
    <n v="1"/>
    <n v="0"/>
    <b v="0"/>
    <n v="5"/>
    <s v="No"/>
    <s v="Friday"/>
    <n v="2"/>
    <x v="1"/>
    <x v="0"/>
    <x v="0"/>
    <n v="0.2273"/>
    <n v="0.7"/>
    <s v="Risky"/>
    <n v="0.25369999999999998"/>
    <n v="1"/>
    <n v="20"/>
    <n v="21"/>
  </r>
  <r>
    <n v="457"/>
    <d v="2011-01-21T00:00:00"/>
    <n v="1"/>
    <n v="1"/>
    <b v="0"/>
    <n v="5"/>
    <s v="No"/>
    <s v="Friday"/>
    <n v="2"/>
    <x v="1"/>
    <x v="0"/>
    <x v="0"/>
    <n v="0.2273"/>
    <n v="0.7"/>
    <s v="Risky"/>
    <n v="0.25369999999999998"/>
    <n v="0"/>
    <n v="6"/>
    <n v="6"/>
  </r>
  <r>
    <n v="458"/>
    <d v="2011-01-21T00:00:00"/>
    <n v="1"/>
    <n v="2"/>
    <b v="0"/>
    <n v="5"/>
    <s v="No"/>
    <s v="Friday"/>
    <n v="3"/>
    <x v="2"/>
    <x v="0"/>
    <x v="0"/>
    <n v="0.2424"/>
    <n v="0.75"/>
    <s v="Risky"/>
    <n v="0.16420000000000001"/>
    <n v="0"/>
    <n v="2"/>
    <n v="2"/>
  </r>
  <r>
    <n v="459"/>
    <d v="2011-01-21T00:00:00"/>
    <n v="1"/>
    <n v="3"/>
    <b v="0"/>
    <n v="5"/>
    <s v="No"/>
    <s v="Friday"/>
    <n v="3"/>
    <x v="2"/>
    <x v="1"/>
    <x v="0"/>
    <n v="0.21210000000000001"/>
    <n v="0.8"/>
    <s v="Risky"/>
    <n v="0.29849999999999999"/>
    <n v="0"/>
    <n v="1"/>
    <n v="1"/>
  </r>
  <r>
    <n v="460"/>
    <d v="2011-01-21T00:00:00"/>
    <n v="1"/>
    <n v="4"/>
    <b v="0"/>
    <n v="5"/>
    <s v="No"/>
    <s v="Friday"/>
    <n v="2"/>
    <x v="1"/>
    <x v="1"/>
    <x v="0"/>
    <n v="0.2576"/>
    <n v="0.87"/>
    <s v="Risky"/>
    <n v="8.9599999999999999E-2"/>
    <n v="0"/>
    <n v="1"/>
    <n v="1"/>
  </r>
  <r>
    <n v="461"/>
    <d v="2011-01-21T00:00:00"/>
    <n v="1"/>
    <n v="5"/>
    <b v="0"/>
    <n v="5"/>
    <s v="No"/>
    <s v="Friday"/>
    <n v="1"/>
    <x v="0"/>
    <x v="0"/>
    <x v="0"/>
    <n v="0.19700000000000001"/>
    <n v="0.6"/>
    <s v="Acceptable"/>
    <n v="0.41789999999999999"/>
    <n v="1"/>
    <n v="4"/>
    <n v="5"/>
  </r>
  <r>
    <n v="462"/>
    <d v="2011-01-21T00:00:00"/>
    <n v="1"/>
    <n v="6"/>
    <b v="0"/>
    <n v="5"/>
    <s v="No"/>
    <s v="Friday"/>
    <n v="1"/>
    <x v="0"/>
    <x v="1"/>
    <x v="0"/>
    <n v="0.21210000000000001"/>
    <n v="0.55000000000000004"/>
    <s v="Acceptable"/>
    <n v="0.25369999999999998"/>
    <n v="0"/>
    <n v="27"/>
    <n v="27"/>
  </r>
  <r>
    <n v="463"/>
    <d v="2011-01-21T00:00:00"/>
    <n v="1"/>
    <n v="7"/>
    <b v="0"/>
    <n v="5"/>
    <s v="No"/>
    <s v="Friday"/>
    <n v="1"/>
    <x v="0"/>
    <x v="2"/>
    <x v="0"/>
    <n v="0.18179999999999999"/>
    <n v="0.51"/>
    <s v="Acceptable"/>
    <n v="0.28360000000000002"/>
    <n v="2"/>
    <n v="66"/>
    <n v="68"/>
  </r>
  <r>
    <n v="464"/>
    <d v="2011-01-21T00:00:00"/>
    <n v="1"/>
    <n v="8"/>
    <b v="0"/>
    <n v="5"/>
    <s v="No"/>
    <s v="Friday"/>
    <n v="1"/>
    <x v="0"/>
    <x v="2"/>
    <x v="0"/>
    <n v="0.18179999999999999"/>
    <n v="0.47"/>
    <s v="Acceptable"/>
    <n v="0.32840000000000003"/>
    <n v="7"/>
    <n v="210"/>
    <n v="217"/>
  </r>
  <r>
    <n v="465"/>
    <d v="2011-01-21T00:00:00"/>
    <n v="1"/>
    <n v="9"/>
    <b v="0"/>
    <n v="5"/>
    <s v="No"/>
    <s v="Friday"/>
    <n v="1"/>
    <x v="0"/>
    <x v="2"/>
    <x v="0"/>
    <n v="0.18179999999999999"/>
    <n v="0.51"/>
    <s v="Acceptable"/>
    <n v="0.35820000000000002"/>
    <n v="7"/>
    <n v="159"/>
    <n v="166"/>
  </r>
  <r>
    <n v="466"/>
    <d v="2011-01-21T00:00:00"/>
    <n v="1"/>
    <n v="10"/>
    <b v="0"/>
    <n v="5"/>
    <s v="No"/>
    <s v="Friday"/>
    <n v="1"/>
    <x v="0"/>
    <x v="2"/>
    <x v="0"/>
    <n v="0.16669999999999999"/>
    <n v="0.47"/>
    <s v="Acceptable"/>
    <n v="0.4627"/>
    <n v="6"/>
    <n v="57"/>
    <n v="63"/>
  </r>
  <r>
    <n v="467"/>
    <d v="2011-01-21T00:00:00"/>
    <n v="1"/>
    <n v="11"/>
    <b v="0"/>
    <n v="5"/>
    <s v="No"/>
    <s v="Friday"/>
    <n v="1"/>
    <x v="0"/>
    <x v="1"/>
    <x v="0"/>
    <n v="0.18179999999999999"/>
    <n v="0.41"/>
    <s v="Acceptable"/>
    <n v="0.4627"/>
    <n v="6"/>
    <n v="53"/>
    <n v="59"/>
  </r>
  <r>
    <n v="468"/>
    <d v="2011-01-21T00:00:00"/>
    <n v="1"/>
    <n v="12"/>
    <b v="0"/>
    <n v="5"/>
    <s v="No"/>
    <s v="Friday"/>
    <n v="1"/>
    <x v="0"/>
    <x v="1"/>
    <x v="0"/>
    <n v="0.18179999999999999"/>
    <n v="0.27"/>
    <s v="Acceptable"/>
    <n v="0.58209999999999995"/>
    <n v="11"/>
    <n v="67"/>
    <n v="78"/>
  </r>
  <r>
    <n v="469"/>
    <d v="2011-01-21T00:00:00"/>
    <n v="1"/>
    <n v="13"/>
    <b v="0"/>
    <n v="5"/>
    <s v="No"/>
    <s v="Friday"/>
    <n v="1"/>
    <x v="0"/>
    <x v="2"/>
    <x v="0"/>
    <n v="0.1515"/>
    <n v="0.21"/>
    <s v="Acceptable"/>
    <n v="0.58209999999999995"/>
    <n v="8"/>
    <n v="65"/>
    <n v="73"/>
  </r>
  <r>
    <n v="470"/>
    <d v="2011-01-21T00:00:00"/>
    <n v="1"/>
    <n v="14"/>
    <b v="0"/>
    <n v="5"/>
    <s v="No"/>
    <s v="Friday"/>
    <n v="1"/>
    <x v="0"/>
    <x v="2"/>
    <x v="0"/>
    <n v="0.1515"/>
    <n v="0.25"/>
    <s v="Acceptable"/>
    <n v="0.52239999999999998"/>
    <n v="6"/>
    <n v="56"/>
    <n v="62"/>
  </r>
  <r>
    <n v="471"/>
    <d v="2011-01-21T00:00:00"/>
    <n v="1"/>
    <n v="15"/>
    <b v="0"/>
    <n v="5"/>
    <s v="No"/>
    <s v="Friday"/>
    <n v="1"/>
    <x v="0"/>
    <x v="13"/>
    <x v="0"/>
    <n v="0.1212"/>
    <n v="0.26"/>
    <s v="Acceptable"/>
    <n v="0.44779999999999998"/>
    <n v="4"/>
    <n v="61"/>
    <n v="65"/>
  </r>
  <r>
    <n v="472"/>
    <d v="2011-01-21T00:00:00"/>
    <n v="1"/>
    <n v="16"/>
    <b v="0"/>
    <n v="5"/>
    <s v="No"/>
    <s v="Friday"/>
    <n v="1"/>
    <x v="0"/>
    <x v="13"/>
    <x v="0"/>
    <n v="0.13639999999999999"/>
    <n v="0.26"/>
    <s v="Acceptable"/>
    <n v="0.35820000000000002"/>
    <n v="0"/>
    <n v="97"/>
    <n v="97"/>
  </r>
  <r>
    <n v="473"/>
    <d v="2011-01-21T00:00:00"/>
    <n v="1"/>
    <n v="17"/>
    <b v="0"/>
    <n v="5"/>
    <s v="No"/>
    <s v="Friday"/>
    <n v="1"/>
    <x v="0"/>
    <x v="14"/>
    <x v="0"/>
    <n v="0.1212"/>
    <n v="0.28000000000000003"/>
    <s v="Acceptable"/>
    <n v="0.35820000000000002"/>
    <n v="10"/>
    <n v="151"/>
    <n v="161"/>
  </r>
  <r>
    <n v="474"/>
    <d v="2011-01-21T00:00:00"/>
    <n v="1"/>
    <n v="18"/>
    <b v="0"/>
    <n v="5"/>
    <s v="No"/>
    <s v="Friday"/>
    <n v="1"/>
    <x v="0"/>
    <x v="16"/>
    <x v="0"/>
    <n v="0.1212"/>
    <n v="0.3"/>
    <s v="Acceptable"/>
    <n v="0.25369999999999998"/>
    <n v="1"/>
    <n v="119"/>
    <n v="120"/>
  </r>
  <r>
    <n v="475"/>
    <d v="2011-01-21T00:00:00"/>
    <n v="1"/>
    <n v="19"/>
    <b v="0"/>
    <n v="5"/>
    <s v="No"/>
    <s v="Friday"/>
    <n v="1"/>
    <x v="0"/>
    <x v="16"/>
    <x v="0"/>
    <n v="0.1061"/>
    <n v="0.3"/>
    <s v="Acceptable"/>
    <n v="0.32840000000000003"/>
    <n v="3"/>
    <n v="93"/>
    <n v="96"/>
  </r>
  <r>
    <n v="476"/>
    <d v="2011-01-21T00:00:00"/>
    <n v="1"/>
    <n v="20"/>
    <b v="0"/>
    <n v="5"/>
    <s v="No"/>
    <s v="Friday"/>
    <n v="1"/>
    <x v="0"/>
    <x v="18"/>
    <x v="0"/>
    <n v="7.5800000000000006E-2"/>
    <n v="0.33"/>
    <s v="Acceptable"/>
    <n v="0.41789999999999999"/>
    <n v="1"/>
    <n v="52"/>
    <n v="53"/>
  </r>
  <r>
    <n v="477"/>
    <d v="2011-01-21T00:00:00"/>
    <n v="1"/>
    <n v="21"/>
    <b v="0"/>
    <n v="5"/>
    <s v="No"/>
    <s v="Friday"/>
    <n v="1"/>
    <x v="0"/>
    <x v="19"/>
    <x v="1"/>
    <n v="7.5800000000000006E-2"/>
    <n v="0.38"/>
    <s v="Acceptable"/>
    <n v="0.28360000000000002"/>
    <n v="0"/>
    <n v="41"/>
    <n v="41"/>
  </r>
  <r>
    <n v="478"/>
    <d v="2011-01-21T00:00:00"/>
    <n v="1"/>
    <n v="22"/>
    <b v="0"/>
    <n v="5"/>
    <s v="No"/>
    <s v="Friday"/>
    <n v="1"/>
    <x v="0"/>
    <x v="20"/>
    <x v="1"/>
    <n v="3.0300000000000001E-2"/>
    <n v="0.41"/>
    <s v="Acceptable"/>
    <n v="0.3881"/>
    <n v="1"/>
    <n v="33"/>
    <n v="34"/>
  </r>
  <r>
    <n v="479"/>
    <d v="2011-01-21T00:00:00"/>
    <n v="1"/>
    <n v="23"/>
    <b v="0"/>
    <n v="5"/>
    <s v="No"/>
    <s v="Friday"/>
    <n v="1"/>
    <x v="0"/>
    <x v="20"/>
    <x v="1"/>
    <n v="4.5499999999999999E-2"/>
    <n v="0.38"/>
    <s v="Acceptable"/>
    <n v="0.32840000000000003"/>
    <n v="0"/>
    <n v="27"/>
    <n v="27"/>
  </r>
  <r>
    <n v="480"/>
    <d v="2011-01-22T00:00:00"/>
    <n v="1"/>
    <n v="0"/>
    <b v="0"/>
    <n v="6"/>
    <s v="Yes"/>
    <s v="Saturday"/>
    <n v="1"/>
    <x v="0"/>
    <x v="21"/>
    <x v="1"/>
    <n v="3.0300000000000001E-2"/>
    <n v="0.45"/>
    <s v="Acceptable"/>
    <n v="0.25369999999999998"/>
    <n v="0"/>
    <n v="13"/>
    <n v="13"/>
  </r>
  <r>
    <n v="481"/>
    <d v="2011-01-22T00:00:00"/>
    <n v="1"/>
    <n v="1"/>
    <b v="0"/>
    <n v="6"/>
    <s v="Yes"/>
    <s v="Saturday"/>
    <n v="2"/>
    <x v="1"/>
    <x v="21"/>
    <x v="1"/>
    <n v="0"/>
    <n v="0.41"/>
    <s v="Acceptable"/>
    <n v="0.3881"/>
    <n v="3"/>
    <n v="9"/>
    <n v="12"/>
  </r>
  <r>
    <n v="482"/>
    <d v="2011-01-22T00:00:00"/>
    <n v="1"/>
    <n v="2"/>
    <b v="0"/>
    <n v="6"/>
    <s v="Yes"/>
    <s v="Saturday"/>
    <n v="2"/>
    <x v="1"/>
    <x v="21"/>
    <x v="1"/>
    <n v="3.0300000000000001E-2"/>
    <n v="0.41"/>
    <s v="Acceptable"/>
    <n v="0.25369999999999998"/>
    <n v="0"/>
    <n v="11"/>
    <n v="11"/>
  </r>
  <r>
    <n v="483"/>
    <d v="2011-01-22T00:00:00"/>
    <n v="1"/>
    <n v="3"/>
    <b v="0"/>
    <n v="6"/>
    <s v="Yes"/>
    <s v="Saturday"/>
    <n v="2"/>
    <x v="1"/>
    <x v="21"/>
    <x v="1"/>
    <n v="3.0300000000000001E-2"/>
    <n v="0.41"/>
    <s v="Acceptable"/>
    <n v="0.28360000000000002"/>
    <n v="1"/>
    <n v="6"/>
    <n v="7"/>
  </r>
  <r>
    <n v="484"/>
    <d v="2011-01-22T00:00:00"/>
    <n v="1"/>
    <n v="4"/>
    <b v="0"/>
    <n v="6"/>
    <s v="Yes"/>
    <s v="Saturday"/>
    <n v="2"/>
    <x v="1"/>
    <x v="22"/>
    <x v="1"/>
    <n v="1.52E-2"/>
    <n v="0.48"/>
    <s v="Acceptable"/>
    <n v="0.29849999999999999"/>
    <n v="0"/>
    <n v="3"/>
    <n v="3"/>
  </r>
  <r>
    <n v="485"/>
    <d v="2011-01-22T00:00:00"/>
    <n v="1"/>
    <n v="6"/>
    <b v="0"/>
    <n v="6"/>
    <s v="Yes"/>
    <s v="Saturday"/>
    <n v="2"/>
    <x v="1"/>
    <x v="22"/>
    <x v="1"/>
    <n v="3.0300000000000001E-2"/>
    <n v="0.44"/>
    <s v="Acceptable"/>
    <n v="0.22389999999999999"/>
    <n v="0"/>
    <n v="2"/>
    <n v="2"/>
  </r>
  <r>
    <n v="486"/>
    <d v="2011-01-22T00:00:00"/>
    <n v="1"/>
    <n v="7"/>
    <b v="0"/>
    <n v="6"/>
    <s v="Yes"/>
    <s v="Saturday"/>
    <n v="1"/>
    <x v="0"/>
    <x v="22"/>
    <x v="1"/>
    <n v="1.52E-2"/>
    <n v="0.44"/>
    <s v="Acceptable"/>
    <n v="0.28360000000000002"/>
    <n v="0"/>
    <n v="8"/>
    <n v="8"/>
  </r>
  <r>
    <n v="487"/>
    <d v="2011-01-22T00:00:00"/>
    <n v="1"/>
    <n v="8"/>
    <b v="0"/>
    <n v="6"/>
    <s v="Yes"/>
    <s v="Saturday"/>
    <n v="1"/>
    <x v="0"/>
    <x v="22"/>
    <x v="1"/>
    <n v="0"/>
    <n v="0.44"/>
    <s v="Acceptable"/>
    <n v="0.32840000000000003"/>
    <n v="1"/>
    <n v="26"/>
    <n v="27"/>
  </r>
  <r>
    <n v="488"/>
    <d v="2011-01-22T00:00:00"/>
    <n v="1"/>
    <n v="9"/>
    <b v="0"/>
    <n v="6"/>
    <s v="Yes"/>
    <s v="Saturday"/>
    <n v="1"/>
    <x v="0"/>
    <x v="21"/>
    <x v="1"/>
    <n v="3.0300000000000001E-2"/>
    <n v="0.41"/>
    <s v="Acceptable"/>
    <n v="0.25369999999999998"/>
    <n v="3"/>
    <n v="37"/>
    <n v="40"/>
  </r>
  <r>
    <n v="489"/>
    <d v="2011-01-22T00:00:00"/>
    <n v="1"/>
    <n v="10"/>
    <b v="0"/>
    <n v="6"/>
    <s v="Yes"/>
    <s v="Saturday"/>
    <n v="2"/>
    <x v="1"/>
    <x v="21"/>
    <x v="1"/>
    <n v="6.0600000000000001E-2"/>
    <n v="0.41"/>
    <s v="Acceptable"/>
    <n v="0.16420000000000001"/>
    <n v="3"/>
    <n v="50"/>
    <n v="53"/>
  </r>
  <r>
    <n v="490"/>
    <d v="2011-01-22T00:00:00"/>
    <n v="1"/>
    <n v="11"/>
    <b v="0"/>
    <n v="6"/>
    <s v="Yes"/>
    <s v="Saturday"/>
    <n v="2"/>
    <x v="1"/>
    <x v="20"/>
    <x v="1"/>
    <n v="7.5800000000000006E-2"/>
    <n v="0.38"/>
    <s v="Acceptable"/>
    <n v="0.1343"/>
    <n v="4"/>
    <n v="59"/>
    <n v="63"/>
  </r>
  <r>
    <n v="491"/>
    <d v="2011-01-22T00:00:00"/>
    <n v="1"/>
    <n v="12"/>
    <b v="0"/>
    <n v="6"/>
    <s v="Yes"/>
    <s v="Saturday"/>
    <n v="2"/>
    <x v="1"/>
    <x v="20"/>
    <x v="1"/>
    <n v="0.1061"/>
    <n v="0.38"/>
    <s v="Acceptable"/>
    <n v="0.1045"/>
    <n v="10"/>
    <n v="60"/>
    <n v="70"/>
  </r>
  <r>
    <n v="492"/>
    <d v="2011-01-22T00:00:00"/>
    <n v="1"/>
    <n v="13"/>
    <b v="0"/>
    <n v="6"/>
    <s v="Yes"/>
    <s v="Saturday"/>
    <n v="1"/>
    <x v="0"/>
    <x v="19"/>
    <x v="1"/>
    <n v="0.16669999999999999"/>
    <n v="0.35"/>
    <s v="Acceptable"/>
    <n v="0"/>
    <n v="12"/>
    <n v="72"/>
    <n v="84"/>
  </r>
  <r>
    <n v="493"/>
    <d v="2011-01-22T00:00:00"/>
    <n v="1"/>
    <n v="14"/>
    <b v="0"/>
    <n v="6"/>
    <s v="Yes"/>
    <s v="Saturday"/>
    <n v="1"/>
    <x v="0"/>
    <x v="18"/>
    <x v="0"/>
    <n v="0.13639999999999999"/>
    <n v="0.33"/>
    <s v="Acceptable"/>
    <n v="0.1045"/>
    <n v="11"/>
    <n v="64"/>
    <n v="75"/>
  </r>
  <r>
    <n v="494"/>
    <d v="2011-01-22T00:00:00"/>
    <n v="1"/>
    <n v="15"/>
    <b v="0"/>
    <n v="6"/>
    <s v="Yes"/>
    <s v="Saturday"/>
    <n v="1"/>
    <x v="0"/>
    <x v="16"/>
    <x v="0"/>
    <n v="0.1515"/>
    <n v="0.28000000000000003"/>
    <s v="Acceptable"/>
    <n v="0"/>
    <n v="10"/>
    <n v="93"/>
    <n v="103"/>
  </r>
  <r>
    <n v="495"/>
    <d v="2011-01-22T00:00:00"/>
    <n v="1"/>
    <n v="16"/>
    <b v="0"/>
    <n v="6"/>
    <s v="Yes"/>
    <s v="Saturday"/>
    <n v="1"/>
    <x v="0"/>
    <x v="16"/>
    <x v="0"/>
    <n v="0.13639999999999999"/>
    <n v="0.28000000000000003"/>
    <s v="Acceptable"/>
    <n v="0.19400000000000001"/>
    <n v="11"/>
    <n v="72"/>
    <n v="83"/>
  </r>
  <r>
    <n v="496"/>
    <d v="2011-01-22T00:00:00"/>
    <n v="1"/>
    <n v="17"/>
    <b v="0"/>
    <n v="6"/>
    <s v="Yes"/>
    <s v="Saturday"/>
    <n v="1"/>
    <x v="0"/>
    <x v="16"/>
    <x v="0"/>
    <n v="0.19700000000000001"/>
    <n v="0.28000000000000003"/>
    <s v="Acceptable"/>
    <n v="0"/>
    <n v="8"/>
    <n v="59"/>
    <n v="67"/>
  </r>
  <r>
    <n v="497"/>
    <d v="2011-01-22T00:00:00"/>
    <n v="1"/>
    <n v="18"/>
    <b v="0"/>
    <n v="6"/>
    <s v="Yes"/>
    <s v="Saturday"/>
    <n v="1"/>
    <x v="0"/>
    <x v="19"/>
    <x v="1"/>
    <n v="9.0899999999999995E-2"/>
    <n v="0.35"/>
    <s v="Acceptable"/>
    <n v="0.19400000000000001"/>
    <n v="0"/>
    <n v="54"/>
    <n v="54"/>
  </r>
  <r>
    <n v="498"/>
    <d v="2011-01-22T00:00:00"/>
    <n v="1"/>
    <n v="19"/>
    <b v="0"/>
    <n v="6"/>
    <s v="Yes"/>
    <s v="Saturday"/>
    <n v="1"/>
    <x v="0"/>
    <x v="19"/>
    <x v="1"/>
    <n v="0.1061"/>
    <n v="0.35"/>
    <s v="Acceptable"/>
    <n v="0.1343"/>
    <n v="6"/>
    <n v="53"/>
    <n v="59"/>
  </r>
  <r>
    <n v="499"/>
    <d v="2011-01-22T00:00:00"/>
    <n v="1"/>
    <n v="20"/>
    <b v="0"/>
    <n v="6"/>
    <s v="Yes"/>
    <s v="Saturday"/>
    <n v="1"/>
    <x v="0"/>
    <x v="20"/>
    <x v="1"/>
    <n v="7.5800000000000006E-2"/>
    <n v="0.45"/>
    <s v="Acceptable"/>
    <n v="0.16420000000000001"/>
    <n v="1"/>
    <n v="44"/>
    <n v="45"/>
  </r>
  <r>
    <n v="500"/>
    <d v="2011-01-22T00:00:00"/>
    <n v="1"/>
    <n v="21"/>
    <b v="0"/>
    <n v="6"/>
    <s v="Yes"/>
    <s v="Saturday"/>
    <n v="1"/>
    <x v="0"/>
    <x v="20"/>
    <x v="1"/>
    <n v="0.1061"/>
    <n v="0.41"/>
    <s v="Acceptable"/>
    <n v="8.9599999999999999E-2"/>
    <n v="0"/>
    <n v="39"/>
    <n v="39"/>
  </r>
  <r>
    <n v="501"/>
    <d v="2011-01-22T00:00:00"/>
    <n v="1"/>
    <n v="22"/>
    <b v="0"/>
    <n v="6"/>
    <s v="Yes"/>
    <s v="Saturday"/>
    <n v="1"/>
    <x v="0"/>
    <x v="20"/>
    <x v="1"/>
    <n v="0.1515"/>
    <n v="0.49"/>
    <s v="Acceptable"/>
    <n v="0"/>
    <n v="7"/>
    <n v="23"/>
    <n v="30"/>
  </r>
  <r>
    <n v="502"/>
    <d v="2011-01-22T00:00:00"/>
    <n v="1"/>
    <n v="23"/>
    <b v="0"/>
    <n v="6"/>
    <s v="Yes"/>
    <s v="Saturday"/>
    <n v="1"/>
    <x v="0"/>
    <x v="21"/>
    <x v="1"/>
    <n v="7.5800000000000006E-2"/>
    <n v="0.56999999999999995"/>
    <s v="Acceptable"/>
    <n v="0.1045"/>
    <n v="2"/>
    <n v="31"/>
    <n v="33"/>
  </r>
  <r>
    <n v="503"/>
    <d v="2011-01-23T00:00:00"/>
    <n v="1"/>
    <n v="0"/>
    <b v="0"/>
    <n v="0"/>
    <s v="Yes"/>
    <s v="Sunday"/>
    <n v="1"/>
    <x v="0"/>
    <x v="21"/>
    <x v="1"/>
    <n v="7.5800000000000006E-2"/>
    <n v="0.56999999999999995"/>
    <s v="Acceptable"/>
    <n v="0.1045"/>
    <n v="2"/>
    <n v="20"/>
    <n v="22"/>
  </r>
  <r>
    <n v="504"/>
    <d v="2011-01-23T00:00:00"/>
    <n v="1"/>
    <n v="1"/>
    <b v="0"/>
    <n v="0"/>
    <s v="Yes"/>
    <s v="Sunday"/>
    <n v="1"/>
    <x v="0"/>
    <x v="21"/>
    <x v="1"/>
    <n v="7.5800000000000006E-2"/>
    <n v="0.56999999999999995"/>
    <s v="Acceptable"/>
    <n v="0.1045"/>
    <n v="1"/>
    <n v="12"/>
    <n v="13"/>
  </r>
  <r>
    <n v="505"/>
    <d v="2011-01-23T00:00:00"/>
    <n v="1"/>
    <n v="2"/>
    <b v="0"/>
    <n v="0"/>
    <s v="Yes"/>
    <s v="Sunday"/>
    <n v="1"/>
    <x v="0"/>
    <x v="22"/>
    <x v="1"/>
    <n v="6.0600000000000001E-2"/>
    <n v="0.62"/>
    <s v="Acceptable"/>
    <n v="0.1343"/>
    <n v="3"/>
    <n v="15"/>
    <n v="18"/>
  </r>
  <r>
    <n v="506"/>
    <d v="2011-01-23T00:00:00"/>
    <n v="1"/>
    <n v="3"/>
    <b v="0"/>
    <n v="0"/>
    <s v="Yes"/>
    <s v="Sunday"/>
    <n v="1"/>
    <x v="0"/>
    <x v="22"/>
    <x v="1"/>
    <n v="6.0600000000000001E-2"/>
    <n v="0.62"/>
    <s v="Acceptable"/>
    <n v="0.1343"/>
    <n v="1"/>
    <n v="4"/>
    <n v="5"/>
  </r>
  <r>
    <n v="507"/>
    <d v="2011-01-23T00:00:00"/>
    <n v="1"/>
    <n v="5"/>
    <b v="0"/>
    <n v="0"/>
    <s v="Yes"/>
    <s v="Sunday"/>
    <n v="2"/>
    <x v="1"/>
    <x v="21"/>
    <x v="1"/>
    <n v="7.5800000000000006E-2"/>
    <n v="0.56999999999999995"/>
    <s v="Acceptable"/>
    <n v="0.1045"/>
    <n v="0"/>
    <n v="3"/>
    <n v="3"/>
  </r>
  <r>
    <n v="508"/>
    <d v="2011-01-23T00:00:00"/>
    <n v="1"/>
    <n v="6"/>
    <b v="0"/>
    <n v="0"/>
    <s v="Yes"/>
    <s v="Sunday"/>
    <n v="2"/>
    <x v="1"/>
    <x v="21"/>
    <x v="1"/>
    <n v="7.5800000000000006E-2"/>
    <n v="0.56999999999999995"/>
    <s v="Acceptable"/>
    <n v="0.1045"/>
    <n v="0"/>
    <n v="1"/>
    <n v="1"/>
  </r>
  <r>
    <n v="509"/>
    <d v="2011-01-23T00:00:00"/>
    <n v="1"/>
    <n v="7"/>
    <b v="0"/>
    <n v="0"/>
    <s v="Yes"/>
    <s v="Sunday"/>
    <n v="1"/>
    <x v="0"/>
    <x v="19"/>
    <x v="1"/>
    <n v="0.1061"/>
    <n v="0.57999999999999996"/>
    <s v="Acceptable"/>
    <n v="0.16420000000000001"/>
    <n v="1"/>
    <n v="1"/>
    <n v="2"/>
  </r>
  <r>
    <n v="510"/>
    <d v="2011-01-23T00:00:00"/>
    <n v="1"/>
    <n v="8"/>
    <b v="0"/>
    <n v="0"/>
    <s v="Yes"/>
    <s v="Sunday"/>
    <n v="1"/>
    <x v="0"/>
    <x v="20"/>
    <x v="1"/>
    <n v="7.5800000000000006E-2"/>
    <n v="0.62"/>
    <s v="Acceptable"/>
    <n v="0.16420000000000001"/>
    <n v="2"/>
    <n v="17"/>
    <n v="19"/>
  </r>
  <r>
    <n v="511"/>
    <d v="2011-01-23T00:00:00"/>
    <n v="1"/>
    <n v="9"/>
    <b v="0"/>
    <n v="0"/>
    <s v="Yes"/>
    <s v="Sunday"/>
    <n v="1"/>
    <x v="0"/>
    <x v="18"/>
    <x v="0"/>
    <n v="7.5800000000000006E-2"/>
    <n v="0.54"/>
    <s v="Acceptable"/>
    <n v="0.35820000000000002"/>
    <n v="3"/>
    <n v="25"/>
    <n v="28"/>
  </r>
  <r>
    <n v="512"/>
    <d v="2011-01-23T00:00:00"/>
    <n v="1"/>
    <n v="10"/>
    <b v="0"/>
    <n v="0"/>
    <s v="Yes"/>
    <s v="Sunday"/>
    <n v="1"/>
    <x v="0"/>
    <x v="14"/>
    <x v="0"/>
    <n v="0.1061"/>
    <n v="0.46"/>
    <s v="Acceptable"/>
    <n v="0.3881"/>
    <n v="7"/>
    <n v="51"/>
    <n v="58"/>
  </r>
  <r>
    <n v="513"/>
    <d v="2011-01-23T00:00:00"/>
    <n v="1"/>
    <n v="11"/>
    <b v="0"/>
    <n v="0"/>
    <s v="Yes"/>
    <s v="Sunday"/>
    <n v="1"/>
    <x v="0"/>
    <x v="14"/>
    <x v="0"/>
    <n v="0.13639999999999999"/>
    <n v="0.43"/>
    <s v="Acceptable"/>
    <n v="0.22389999999999999"/>
    <n v="22"/>
    <n v="77"/>
    <n v="99"/>
  </r>
  <r>
    <n v="514"/>
    <d v="2011-01-23T00:00:00"/>
    <n v="1"/>
    <n v="12"/>
    <b v="0"/>
    <n v="0"/>
    <s v="Yes"/>
    <s v="Sunday"/>
    <n v="1"/>
    <x v="0"/>
    <x v="13"/>
    <x v="0"/>
    <n v="0.1212"/>
    <n v="0.37"/>
    <s v="Acceptable"/>
    <n v="0.4627"/>
    <n v="24"/>
    <n v="92"/>
    <n v="116"/>
  </r>
  <r>
    <n v="515"/>
    <d v="2011-01-23T00:00:00"/>
    <n v="1"/>
    <n v="13"/>
    <b v="0"/>
    <n v="0"/>
    <s v="Yes"/>
    <s v="Sunday"/>
    <n v="1"/>
    <x v="0"/>
    <x v="14"/>
    <x v="0"/>
    <n v="0.1061"/>
    <n v="0.33"/>
    <s v="Acceptable"/>
    <n v="0.3881"/>
    <n v="12"/>
    <n v="75"/>
    <n v="87"/>
  </r>
  <r>
    <n v="516"/>
    <d v="2011-01-23T00:00:00"/>
    <n v="1"/>
    <n v="14"/>
    <b v="0"/>
    <n v="0"/>
    <s v="Yes"/>
    <s v="Sunday"/>
    <n v="1"/>
    <x v="0"/>
    <x v="13"/>
    <x v="0"/>
    <n v="0.13639999999999999"/>
    <n v="0.28000000000000003"/>
    <s v="Acceptable"/>
    <n v="0.35820000000000002"/>
    <n v="17"/>
    <n v="93"/>
    <n v="110"/>
  </r>
  <r>
    <n v="517"/>
    <d v="2011-01-23T00:00:00"/>
    <n v="1"/>
    <n v="15"/>
    <b v="0"/>
    <n v="0"/>
    <s v="Yes"/>
    <s v="Sunday"/>
    <n v="1"/>
    <x v="0"/>
    <x v="13"/>
    <x v="0"/>
    <n v="0.13639999999999999"/>
    <n v="0.28000000000000003"/>
    <s v="Acceptable"/>
    <n v="0.35820000000000002"/>
    <n v="13"/>
    <n v="64"/>
    <n v="77"/>
  </r>
  <r>
    <n v="518"/>
    <d v="2011-01-23T00:00:00"/>
    <n v="1"/>
    <n v="16"/>
    <b v="0"/>
    <n v="0"/>
    <s v="Yes"/>
    <s v="Sunday"/>
    <n v="1"/>
    <x v="0"/>
    <x v="13"/>
    <x v="0"/>
    <n v="0.13639999999999999"/>
    <n v="0.26"/>
    <s v="Acceptable"/>
    <n v="0.32840000000000003"/>
    <n v="9"/>
    <n v="56"/>
    <n v="65"/>
  </r>
  <r>
    <n v="519"/>
    <d v="2011-01-23T00:00:00"/>
    <n v="1"/>
    <n v="17"/>
    <b v="0"/>
    <n v="0"/>
    <s v="Yes"/>
    <s v="Sunday"/>
    <n v="1"/>
    <x v="0"/>
    <x v="14"/>
    <x v="0"/>
    <n v="0.1061"/>
    <n v="0.26"/>
    <s v="Acceptable"/>
    <n v="0.3881"/>
    <n v="5"/>
    <n v="50"/>
    <n v="55"/>
  </r>
  <r>
    <n v="520"/>
    <d v="2011-01-23T00:00:00"/>
    <n v="1"/>
    <n v="18"/>
    <b v="0"/>
    <n v="0"/>
    <s v="Yes"/>
    <s v="Sunday"/>
    <n v="1"/>
    <x v="0"/>
    <x v="16"/>
    <x v="0"/>
    <n v="0.1212"/>
    <n v="0.3"/>
    <s v="Acceptable"/>
    <n v="0.25369999999999998"/>
    <n v="5"/>
    <n v="44"/>
    <n v="49"/>
  </r>
  <r>
    <n v="521"/>
    <d v="2011-01-23T00:00:00"/>
    <n v="1"/>
    <n v="19"/>
    <b v="0"/>
    <n v="0"/>
    <s v="Yes"/>
    <s v="Sunday"/>
    <n v="1"/>
    <x v="0"/>
    <x v="16"/>
    <x v="0"/>
    <n v="0.1212"/>
    <n v="0.3"/>
    <s v="Acceptable"/>
    <n v="0.28360000000000002"/>
    <n v="5"/>
    <n v="45"/>
    <n v="50"/>
  </r>
  <r>
    <n v="522"/>
    <d v="2011-01-23T00:00:00"/>
    <n v="1"/>
    <n v="20"/>
    <b v="0"/>
    <n v="0"/>
    <s v="Yes"/>
    <s v="Sunday"/>
    <n v="1"/>
    <x v="0"/>
    <x v="18"/>
    <x v="0"/>
    <n v="0.1061"/>
    <n v="0.36"/>
    <s v="Acceptable"/>
    <n v="0.25369999999999998"/>
    <n v="4"/>
    <n v="31"/>
    <n v="35"/>
  </r>
  <r>
    <n v="523"/>
    <d v="2011-01-23T00:00:00"/>
    <n v="1"/>
    <n v="21"/>
    <b v="0"/>
    <n v="0"/>
    <s v="Yes"/>
    <s v="Sunday"/>
    <n v="1"/>
    <x v="0"/>
    <x v="18"/>
    <x v="0"/>
    <n v="0.1061"/>
    <n v="0.36"/>
    <s v="Acceptable"/>
    <n v="0.19400000000000001"/>
    <n v="5"/>
    <n v="20"/>
    <n v="25"/>
  </r>
  <r>
    <n v="524"/>
    <d v="2011-01-23T00:00:00"/>
    <n v="1"/>
    <n v="22"/>
    <b v="0"/>
    <n v="0"/>
    <s v="Yes"/>
    <s v="Sunday"/>
    <n v="1"/>
    <x v="0"/>
    <x v="19"/>
    <x v="1"/>
    <n v="9.0899999999999995E-2"/>
    <n v="0.38"/>
    <s v="Acceptable"/>
    <n v="0.19400000000000001"/>
    <n v="5"/>
    <n v="23"/>
    <n v="28"/>
  </r>
  <r>
    <n v="525"/>
    <d v="2011-01-23T00:00:00"/>
    <n v="1"/>
    <n v="23"/>
    <b v="0"/>
    <n v="0"/>
    <s v="Yes"/>
    <s v="Sunday"/>
    <n v="1"/>
    <x v="0"/>
    <x v="20"/>
    <x v="1"/>
    <n v="6.0600000000000001E-2"/>
    <n v="0.41"/>
    <s v="Acceptable"/>
    <n v="0.22389999999999999"/>
    <n v="4"/>
    <n v="17"/>
    <n v="21"/>
  </r>
  <r>
    <n v="526"/>
    <d v="2011-01-24T00:00:00"/>
    <n v="1"/>
    <n v="0"/>
    <b v="0"/>
    <n v="1"/>
    <s v="No"/>
    <s v="Monday"/>
    <n v="1"/>
    <x v="0"/>
    <x v="20"/>
    <x v="1"/>
    <n v="6.0600000000000001E-2"/>
    <n v="0.41"/>
    <s v="Acceptable"/>
    <n v="0.19400000000000001"/>
    <n v="0"/>
    <n v="7"/>
    <n v="7"/>
  </r>
  <r>
    <n v="527"/>
    <d v="2011-01-24T00:00:00"/>
    <n v="1"/>
    <n v="1"/>
    <b v="0"/>
    <n v="1"/>
    <s v="No"/>
    <s v="Monday"/>
    <n v="1"/>
    <x v="0"/>
    <x v="21"/>
    <x v="1"/>
    <n v="4.5499999999999999E-2"/>
    <n v="0.45"/>
    <s v="Acceptable"/>
    <n v="0.19400000000000001"/>
    <n v="0"/>
    <n v="1"/>
    <n v="1"/>
  </r>
  <r>
    <n v="528"/>
    <d v="2011-01-24T00:00:00"/>
    <n v="1"/>
    <n v="3"/>
    <b v="0"/>
    <n v="1"/>
    <s v="No"/>
    <s v="Monday"/>
    <n v="1"/>
    <x v="0"/>
    <x v="21"/>
    <x v="1"/>
    <n v="3.0300000000000001E-2"/>
    <n v="0.45"/>
    <s v="Acceptable"/>
    <n v="0.25369999999999998"/>
    <n v="0"/>
    <n v="1"/>
    <n v="1"/>
  </r>
  <r>
    <n v="529"/>
    <d v="2011-01-24T00:00:00"/>
    <n v="1"/>
    <n v="4"/>
    <b v="0"/>
    <n v="1"/>
    <s v="No"/>
    <s v="Monday"/>
    <n v="1"/>
    <x v="0"/>
    <x v="22"/>
    <x v="1"/>
    <n v="6.0600000000000001E-2"/>
    <n v="0.48"/>
    <s v="Acceptable"/>
    <n v="0.1343"/>
    <n v="0"/>
    <n v="1"/>
    <n v="1"/>
  </r>
  <r>
    <n v="530"/>
    <d v="2011-01-24T00:00:00"/>
    <n v="1"/>
    <n v="5"/>
    <b v="0"/>
    <n v="1"/>
    <s v="No"/>
    <s v="Monday"/>
    <n v="1"/>
    <x v="0"/>
    <x v="22"/>
    <x v="1"/>
    <n v="6.0600000000000001E-2"/>
    <n v="0.48"/>
    <s v="Acceptable"/>
    <n v="0.1343"/>
    <n v="0"/>
    <n v="5"/>
    <n v="5"/>
  </r>
  <r>
    <n v="531"/>
    <d v="2011-01-24T00:00:00"/>
    <n v="1"/>
    <n v="6"/>
    <b v="0"/>
    <n v="1"/>
    <s v="No"/>
    <s v="Monday"/>
    <n v="1"/>
    <x v="0"/>
    <x v="22"/>
    <x v="1"/>
    <n v="7.5800000000000006E-2"/>
    <n v="0.48"/>
    <s v="Acceptable"/>
    <n v="8.9599999999999999E-2"/>
    <n v="0"/>
    <n v="15"/>
    <n v="15"/>
  </r>
  <r>
    <n v="532"/>
    <d v="2011-01-24T00:00:00"/>
    <n v="1"/>
    <n v="7"/>
    <b v="0"/>
    <n v="1"/>
    <s v="No"/>
    <s v="Monday"/>
    <n v="1"/>
    <x v="0"/>
    <x v="22"/>
    <x v="1"/>
    <n v="0.1212"/>
    <n v="0.48"/>
    <s v="Acceptable"/>
    <n v="0"/>
    <n v="5"/>
    <n v="79"/>
    <n v="84"/>
  </r>
  <r>
    <n v="533"/>
    <d v="2011-01-24T00:00:00"/>
    <n v="1"/>
    <n v="8"/>
    <b v="0"/>
    <n v="1"/>
    <s v="No"/>
    <s v="Monday"/>
    <n v="1"/>
    <x v="0"/>
    <x v="21"/>
    <x v="1"/>
    <n v="0.13639999999999999"/>
    <n v="0.49"/>
    <s v="Acceptable"/>
    <n v="0"/>
    <n v="6"/>
    <n v="171"/>
    <n v="177"/>
  </r>
  <r>
    <n v="534"/>
    <d v="2011-01-24T00:00:00"/>
    <n v="1"/>
    <n v="9"/>
    <b v="0"/>
    <n v="1"/>
    <s v="No"/>
    <s v="Monday"/>
    <n v="1"/>
    <x v="0"/>
    <x v="20"/>
    <x v="1"/>
    <n v="0.1515"/>
    <n v="0.41"/>
    <s v="Acceptable"/>
    <n v="0"/>
    <n v="4"/>
    <n v="98"/>
    <n v="102"/>
  </r>
  <r>
    <n v="535"/>
    <d v="2011-01-24T00:00:00"/>
    <n v="1"/>
    <n v="10"/>
    <b v="0"/>
    <n v="1"/>
    <s v="No"/>
    <s v="Monday"/>
    <n v="1"/>
    <x v="0"/>
    <x v="18"/>
    <x v="0"/>
    <n v="0.13639999999999999"/>
    <n v="0.42"/>
    <s v="Acceptable"/>
    <n v="0"/>
    <n v="6"/>
    <n v="34"/>
    <n v="40"/>
  </r>
  <r>
    <n v="536"/>
    <d v="2011-01-24T00:00:00"/>
    <n v="1"/>
    <n v="11"/>
    <b v="0"/>
    <n v="1"/>
    <s v="No"/>
    <s v="Monday"/>
    <n v="1"/>
    <x v="0"/>
    <x v="18"/>
    <x v="0"/>
    <n v="0.1212"/>
    <n v="0.46"/>
    <s v="Acceptable"/>
    <n v="0.1343"/>
    <n v="3"/>
    <n v="43"/>
    <n v="46"/>
  </r>
  <r>
    <n v="537"/>
    <d v="2011-01-24T00:00:00"/>
    <n v="1"/>
    <n v="12"/>
    <b v="0"/>
    <n v="1"/>
    <s v="No"/>
    <s v="Monday"/>
    <n v="2"/>
    <x v="1"/>
    <x v="16"/>
    <x v="0"/>
    <n v="0.13639999999999999"/>
    <n v="0.42"/>
    <s v="Acceptable"/>
    <n v="0.19400000000000001"/>
    <n v="11"/>
    <n v="52"/>
    <n v="63"/>
  </r>
  <r>
    <n v="538"/>
    <d v="2011-01-24T00:00:00"/>
    <n v="1"/>
    <n v="13"/>
    <b v="0"/>
    <n v="1"/>
    <s v="No"/>
    <s v="Monday"/>
    <n v="2"/>
    <x v="1"/>
    <x v="14"/>
    <x v="0"/>
    <n v="0.13639999999999999"/>
    <n v="0.43"/>
    <s v="Acceptable"/>
    <n v="0.22389999999999999"/>
    <n v="6"/>
    <n v="54"/>
    <n v="60"/>
  </r>
  <r>
    <n v="539"/>
    <d v="2011-01-24T00:00:00"/>
    <n v="1"/>
    <n v="14"/>
    <b v="0"/>
    <n v="1"/>
    <s v="No"/>
    <s v="Monday"/>
    <n v="2"/>
    <x v="1"/>
    <x v="14"/>
    <x v="0"/>
    <n v="0.13639999999999999"/>
    <n v="0.46"/>
    <s v="Acceptable"/>
    <n v="0.22389999999999999"/>
    <n v="2"/>
    <n v="43"/>
    <n v="45"/>
  </r>
  <r>
    <n v="540"/>
    <d v="2011-01-24T00:00:00"/>
    <n v="1"/>
    <n v="15"/>
    <b v="0"/>
    <n v="1"/>
    <s v="No"/>
    <s v="Monday"/>
    <n v="1"/>
    <x v="0"/>
    <x v="13"/>
    <x v="0"/>
    <n v="0.16669999999999999"/>
    <n v="0.4"/>
    <s v="Acceptable"/>
    <n v="0.16420000000000001"/>
    <n v="7"/>
    <n v="50"/>
    <n v="57"/>
  </r>
  <r>
    <n v="541"/>
    <d v="2011-01-24T00:00:00"/>
    <n v="1"/>
    <n v="16"/>
    <b v="0"/>
    <n v="1"/>
    <s v="No"/>
    <s v="Monday"/>
    <n v="1"/>
    <x v="0"/>
    <x v="13"/>
    <x v="0"/>
    <n v="0.1515"/>
    <n v="0.47"/>
    <s v="Acceptable"/>
    <n v="0.25369999999999998"/>
    <n v="4"/>
    <n v="66"/>
    <n v="70"/>
  </r>
  <r>
    <n v="542"/>
    <d v="2011-01-24T00:00:00"/>
    <n v="1"/>
    <n v="17"/>
    <b v="0"/>
    <n v="1"/>
    <s v="No"/>
    <s v="Monday"/>
    <n v="1"/>
    <x v="0"/>
    <x v="14"/>
    <x v="0"/>
    <n v="0.1212"/>
    <n v="0.5"/>
    <s v="Acceptable"/>
    <n v="0.25369999999999998"/>
    <n v="6"/>
    <n v="178"/>
    <n v="184"/>
  </r>
  <r>
    <n v="543"/>
    <d v="2011-01-24T00:00:00"/>
    <n v="1"/>
    <n v="18"/>
    <b v="0"/>
    <n v="1"/>
    <s v="No"/>
    <s v="Monday"/>
    <n v="1"/>
    <x v="0"/>
    <x v="14"/>
    <x v="0"/>
    <n v="0.13639999999999999"/>
    <n v="0.59"/>
    <s v="Acceptable"/>
    <n v="0.19400000000000001"/>
    <n v="8"/>
    <n v="145"/>
    <n v="153"/>
  </r>
  <r>
    <n v="544"/>
    <d v="2011-01-24T00:00:00"/>
    <n v="1"/>
    <n v="19"/>
    <b v="0"/>
    <n v="1"/>
    <s v="No"/>
    <s v="Monday"/>
    <n v="1"/>
    <x v="0"/>
    <x v="14"/>
    <x v="0"/>
    <n v="0.1515"/>
    <n v="0.54"/>
    <s v="Acceptable"/>
    <n v="0.16420000000000001"/>
    <n v="5"/>
    <n v="101"/>
    <n v="106"/>
  </r>
  <r>
    <n v="545"/>
    <d v="2011-01-24T00:00:00"/>
    <n v="1"/>
    <n v="20"/>
    <b v="0"/>
    <n v="1"/>
    <s v="No"/>
    <s v="Monday"/>
    <n v="1"/>
    <x v="0"/>
    <x v="14"/>
    <x v="0"/>
    <n v="0.13639999999999999"/>
    <n v="0.59"/>
    <s v="Acceptable"/>
    <n v="0.19400000000000001"/>
    <n v="1"/>
    <n v="80"/>
    <n v="81"/>
  </r>
  <r>
    <n v="546"/>
    <d v="2011-01-24T00:00:00"/>
    <n v="1"/>
    <n v="21"/>
    <b v="0"/>
    <n v="1"/>
    <s v="No"/>
    <s v="Monday"/>
    <n v="1"/>
    <x v="0"/>
    <x v="14"/>
    <x v="0"/>
    <n v="0.1515"/>
    <n v="0.63"/>
    <s v="Acceptable"/>
    <n v="0.16420000000000001"/>
    <n v="6"/>
    <n v="53"/>
    <n v="59"/>
  </r>
  <r>
    <n v="547"/>
    <d v="2011-01-24T00:00:00"/>
    <n v="1"/>
    <n v="22"/>
    <b v="0"/>
    <n v="1"/>
    <s v="No"/>
    <s v="Monday"/>
    <n v="2"/>
    <x v="1"/>
    <x v="14"/>
    <x v="0"/>
    <n v="0.13639999999999999"/>
    <n v="0.63"/>
    <s v="Acceptable"/>
    <n v="0.22389999999999999"/>
    <n v="3"/>
    <n v="32"/>
    <n v="35"/>
  </r>
  <r>
    <n v="548"/>
    <d v="2011-01-24T00:00:00"/>
    <n v="1"/>
    <n v="23"/>
    <b v="0"/>
    <n v="1"/>
    <s v="No"/>
    <s v="Monday"/>
    <n v="2"/>
    <x v="1"/>
    <x v="13"/>
    <x v="0"/>
    <n v="0.1515"/>
    <n v="0.64"/>
    <s v="Acceptable"/>
    <n v="0.25369999999999998"/>
    <n v="3"/>
    <n v="21"/>
    <n v="24"/>
  </r>
  <r>
    <n v="549"/>
    <d v="2011-01-25T00:00:00"/>
    <n v="1"/>
    <n v="0"/>
    <b v="0"/>
    <n v="2"/>
    <s v="No"/>
    <s v="Tuesday"/>
    <n v="2"/>
    <x v="1"/>
    <x v="13"/>
    <x v="0"/>
    <n v="0.13639999999999999"/>
    <n v="0.69"/>
    <s v="Acceptable"/>
    <n v="0.28360000000000002"/>
    <n v="3"/>
    <n v="6"/>
    <n v="9"/>
  </r>
  <r>
    <n v="550"/>
    <d v="2011-01-25T00:00:00"/>
    <n v="1"/>
    <n v="1"/>
    <b v="0"/>
    <n v="2"/>
    <s v="No"/>
    <s v="Tuesday"/>
    <n v="2"/>
    <x v="1"/>
    <x v="13"/>
    <x v="0"/>
    <n v="0.16669999999999999"/>
    <n v="0.69"/>
    <s v="Acceptable"/>
    <n v="0.16420000000000001"/>
    <n v="0"/>
    <n v="5"/>
    <n v="5"/>
  </r>
  <r>
    <n v="551"/>
    <d v="2011-01-25T00:00:00"/>
    <n v="1"/>
    <n v="2"/>
    <b v="0"/>
    <n v="2"/>
    <s v="No"/>
    <s v="Tuesday"/>
    <n v="1"/>
    <x v="0"/>
    <x v="13"/>
    <x v="0"/>
    <n v="0.1515"/>
    <n v="0.69"/>
    <s v="Acceptable"/>
    <n v="0.22389999999999999"/>
    <n v="0"/>
    <n v="2"/>
    <n v="2"/>
  </r>
  <r>
    <n v="552"/>
    <d v="2011-01-25T00:00:00"/>
    <n v="1"/>
    <n v="4"/>
    <b v="0"/>
    <n v="2"/>
    <s v="No"/>
    <s v="Tuesday"/>
    <n v="1"/>
    <x v="0"/>
    <x v="14"/>
    <x v="0"/>
    <n v="0.16669999999999999"/>
    <n v="0.74"/>
    <s v="Risky"/>
    <n v="0.1045"/>
    <n v="0"/>
    <n v="1"/>
    <n v="1"/>
  </r>
  <r>
    <n v="553"/>
    <d v="2011-01-25T00:00:00"/>
    <n v="1"/>
    <n v="5"/>
    <b v="0"/>
    <n v="2"/>
    <s v="No"/>
    <s v="Tuesday"/>
    <n v="1"/>
    <x v="0"/>
    <x v="14"/>
    <x v="0"/>
    <n v="0.13639999999999999"/>
    <n v="0.74"/>
    <s v="Risky"/>
    <n v="0.22389999999999999"/>
    <n v="0"/>
    <n v="9"/>
    <n v="9"/>
  </r>
  <r>
    <n v="554"/>
    <d v="2011-01-25T00:00:00"/>
    <n v="1"/>
    <n v="6"/>
    <b v="0"/>
    <n v="2"/>
    <s v="No"/>
    <s v="Tuesday"/>
    <n v="1"/>
    <x v="0"/>
    <x v="13"/>
    <x v="0"/>
    <n v="0.18179999999999999"/>
    <n v="0.74"/>
    <s v="Risky"/>
    <n v="0.1045"/>
    <n v="1"/>
    <n v="35"/>
    <n v="36"/>
  </r>
  <r>
    <n v="555"/>
    <d v="2011-01-25T00:00:00"/>
    <n v="1"/>
    <n v="7"/>
    <b v="0"/>
    <n v="2"/>
    <s v="No"/>
    <s v="Tuesday"/>
    <n v="1"/>
    <x v="0"/>
    <x v="13"/>
    <x v="0"/>
    <n v="0.1515"/>
    <n v="0.74"/>
    <s v="Risky"/>
    <n v="0.22389999999999999"/>
    <n v="5"/>
    <n v="103"/>
    <n v="108"/>
  </r>
  <r>
    <n v="556"/>
    <d v="2011-01-25T00:00:00"/>
    <n v="1"/>
    <n v="8"/>
    <b v="0"/>
    <n v="2"/>
    <s v="No"/>
    <s v="Tuesday"/>
    <n v="2"/>
    <x v="1"/>
    <x v="13"/>
    <x v="0"/>
    <n v="0.18179999999999999"/>
    <n v="0.74"/>
    <s v="Risky"/>
    <n v="0.1343"/>
    <n v="5"/>
    <n v="233"/>
    <n v="238"/>
  </r>
  <r>
    <n v="557"/>
    <d v="2011-01-25T00:00:00"/>
    <n v="1"/>
    <n v="9"/>
    <b v="0"/>
    <n v="2"/>
    <s v="No"/>
    <s v="Tuesday"/>
    <n v="2"/>
    <x v="1"/>
    <x v="2"/>
    <x v="0"/>
    <n v="0.2273"/>
    <n v="0.64"/>
    <s v="Acceptable"/>
    <n v="8.9599999999999999E-2"/>
    <n v="10"/>
    <n v="134"/>
    <n v="144"/>
  </r>
  <r>
    <n v="558"/>
    <d v="2011-01-25T00:00:00"/>
    <n v="1"/>
    <n v="10"/>
    <b v="0"/>
    <n v="2"/>
    <s v="No"/>
    <s v="Tuesday"/>
    <n v="2"/>
    <x v="1"/>
    <x v="1"/>
    <x v="0"/>
    <n v="0.2424"/>
    <n v="0.6"/>
    <s v="Acceptable"/>
    <n v="0.1045"/>
    <n v="6"/>
    <n v="49"/>
    <n v="55"/>
  </r>
  <r>
    <n v="559"/>
    <d v="2011-01-25T00:00:00"/>
    <n v="1"/>
    <n v="11"/>
    <b v="0"/>
    <n v="2"/>
    <s v="No"/>
    <s v="Tuesday"/>
    <n v="2"/>
    <x v="1"/>
    <x v="0"/>
    <x v="0"/>
    <n v="0.2424"/>
    <n v="0.6"/>
    <s v="Acceptable"/>
    <n v="0.1343"/>
    <n v="6"/>
    <n v="55"/>
    <n v="61"/>
  </r>
  <r>
    <n v="560"/>
    <d v="2011-01-25T00:00:00"/>
    <n v="1"/>
    <n v="12"/>
    <b v="0"/>
    <n v="2"/>
    <s v="No"/>
    <s v="Tuesday"/>
    <n v="2"/>
    <x v="1"/>
    <x v="12"/>
    <x v="0"/>
    <n v="0.28789999999999999"/>
    <n v="0.56000000000000005"/>
    <s v="Acceptable"/>
    <n v="8.9599999999999999E-2"/>
    <n v="21"/>
    <n v="85"/>
    <n v="106"/>
  </r>
  <r>
    <n v="561"/>
    <d v="2011-01-25T00:00:00"/>
    <n v="1"/>
    <n v="13"/>
    <b v="0"/>
    <n v="2"/>
    <s v="No"/>
    <s v="Tuesday"/>
    <n v="2"/>
    <x v="1"/>
    <x v="12"/>
    <x v="0"/>
    <n v="0.2727"/>
    <n v="0.56000000000000005"/>
    <s v="Acceptable"/>
    <n v="0.1343"/>
    <n v="21"/>
    <n v="72"/>
    <n v="93"/>
  </r>
  <r>
    <n v="562"/>
    <d v="2011-01-25T00:00:00"/>
    <n v="1"/>
    <n v="14"/>
    <b v="0"/>
    <n v="2"/>
    <s v="No"/>
    <s v="Tuesday"/>
    <n v="2"/>
    <x v="1"/>
    <x v="11"/>
    <x v="0"/>
    <n v="0.33329999999999999"/>
    <n v="0.45"/>
    <s v="Acceptable"/>
    <n v="0"/>
    <n v="11"/>
    <n v="57"/>
    <n v="68"/>
  </r>
  <r>
    <n v="563"/>
    <d v="2011-01-25T00:00:00"/>
    <n v="1"/>
    <n v="15"/>
    <b v="0"/>
    <n v="2"/>
    <s v="No"/>
    <s v="Tuesday"/>
    <n v="2"/>
    <x v="1"/>
    <x v="3"/>
    <x v="0"/>
    <n v="0.34849999999999998"/>
    <n v="0.42"/>
    <s v="Acceptable"/>
    <n v="0"/>
    <n v="21"/>
    <n v="63"/>
    <n v="84"/>
  </r>
  <r>
    <n v="564"/>
    <d v="2011-01-25T00:00:00"/>
    <n v="1"/>
    <n v="16"/>
    <b v="0"/>
    <n v="2"/>
    <s v="No"/>
    <s v="Tuesday"/>
    <n v="2"/>
    <x v="1"/>
    <x v="3"/>
    <x v="0"/>
    <n v="0.34849999999999998"/>
    <n v="0.42"/>
    <s v="Acceptable"/>
    <n v="0"/>
    <n v="14"/>
    <n v="102"/>
    <n v="116"/>
  </r>
  <r>
    <n v="565"/>
    <d v="2011-01-25T00:00:00"/>
    <n v="1"/>
    <n v="17"/>
    <b v="0"/>
    <n v="2"/>
    <s v="No"/>
    <s v="Tuesday"/>
    <n v="1"/>
    <x v="0"/>
    <x v="11"/>
    <x v="0"/>
    <n v="0.33329999999999999"/>
    <n v="0.45"/>
    <s v="Acceptable"/>
    <n v="0"/>
    <n v="14"/>
    <n v="208"/>
    <n v="222"/>
  </r>
  <r>
    <n v="566"/>
    <d v="2011-01-25T00:00:00"/>
    <n v="1"/>
    <n v="18"/>
    <b v="0"/>
    <n v="2"/>
    <s v="No"/>
    <s v="Tuesday"/>
    <n v="2"/>
    <x v="1"/>
    <x v="11"/>
    <x v="0"/>
    <n v="0.31819999999999998"/>
    <n v="0.49"/>
    <s v="Acceptable"/>
    <n v="8.9599999999999999E-2"/>
    <n v="7"/>
    <n v="218"/>
    <n v="225"/>
  </r>
  <r>
    <n v="567"/>
    <d v="2011-01-25T00:00:00"/>
    <n v="1"/>
    <n v="19"/>
    <b v="0"/>
    <n v="2"/>
    <s v="No"/>
    <s v="Tuesday"/>
    <n v="2"/>
    <x v="1"/>
    <x v="12"/>
    <x v="0"/>
    <n v="0.2576"/>
    <n v="0.65"/>
    <s v="Acceptable"/>
    <n v="0.16420000000000001"/>
    <n v="13"/>
    <n v="133"/>
    <n v="146"/>
  </r>
  <r>
    <n v="568"/>
    <d v="2011-01-25T00:00:00"/>
    <n v="1"/>
    <n v="20"/>
    <b v="0"/>
    <n v="2"/>
    <s v="No"/>
    <s v="Tuesday"/>
    <n v="1"/>
    <x v="0"/>
    <x v="0"/>
    <x v="0"/>
    <n v="0.2273"/>
    <n v="0.65"/>
    <s v="Acceptable"/>
    <n v="0.19400000000000001"/>
    <n v="16"/>
    <n v="103"/>
    <n v="119"/>
  </r>
  <r>
    <n v="569"/>
    <d v="2011-01-25T00:00:00"/>
    <n v="1"/>
    <n v="21"/>
    <b v="0"/>
    <n v="2"/>
    <s v="No"/>
    <s v="Tuesday"/>
    <n v="1"/>
    <x v="0"/>
    <x v="0"/>
    <x v="0"/>
    <n v="0.2273"/>
    <n v="0.65"/>
    <s v="Acceptable"/>
    <n v="0.19400000000000001"/>
    <n v="5"/>
    <n v="40"/>
    <n v="45"/>
  </r>
  <r>
    <n v="570"/>
    <d v="2011-01-25T00:00:00"/>
    <n v="1"/>
    <n v="22"/>
    <b v="0"/>
    <n v="2"/>
    <s v="No"/>
    <s v="Tuesday"/>
    <n v="1"/>
    <x v="0"/>
    <x v="1"/>
    <x v="0"/>
    <n v="0.2273"/>
    <n v="0.64"/>
    <s v="Acceptable"/>
    <n v="0.16420000000000001"/>
    <n v="4"/>
    <n v="49"/>
    <n v="53"/>
  </r>
  <r>
    <n v="571"/>
    <d v="2011-01-25T00:00:00"/>
    <n v="1"/>
    <n v="23"/>
    <b v="0"/>
    <n v="2"/>
    <s v="No"/>
    <s v="Tuesday"/>
    <n v="2"/>
    <x v="1"/>
    <x v="1"/>
    <x v="0"/>
    <n v="0.2273"/>
    <n v="0.64"/>
    <s v="Acceptable"/>
    <n v="0.16420000000000001"/>
    <n v="3"/>
    <n v="37"/>
    <n v="40"/>
  </r>
  <r>
    <n v="572"/>
    <d v="2011-01-26T00:00:00"/>
    <n v="1"/>
    <n v="0"/>
    <b v="0"/>
    <n v="3"/>
    <s v="No"/>
    <s v="Wednesday"/>
    <n v="2"/>
    <x v="1"/>
    <x v="1"/>
    <x v="0"/>
    <n v="0.2273"/>
    <n v="0.69"/>
    <s v="Acceptable"/>
    <n v="0.1343"/>
    <n v="3"/>
    <n v="14"/>
    <n v="17"/>
  </r>
  <r>
    <n v="573"/>
    <d v="2011-01-26T00:00:00"/>
    <n v="1"/>
    <n v="1"/>
    <b v="0"/>
    <n v="3"/>
    <s v="No"/>
    <s v="Wednesday"/>
    <n v="2"/>
    <x v="1"/>
    <x v="0"/>
    <x v="0"/>
    <n v="0.2424"/>
    <n v="0.65"/>
    <s v="Acceptable"/>
    <n v="0.1343"/>
    <n v="0"/>
    <n v="5"/>
    <n v="5"/>
  </r>
  <r>
    <n v="574"/>
    <d v="2011-01-26T00:00:00"/>
    <n v="1"/>
    <n v="2"/>
    <b v="0"/>
    <n v="3"/>
    <s v="No"/>
    <s v="Wednesday"/>
    <n v="3"/>
    <x v="2"/>
    <x v="1"/>
    <x v="0"/>
    <n v="0.2273"/>
    <n v="0.69"/>
    <s v="Acceptable"/>
    <n v="0.19400000000000001"/>
    <n v="3"/>
    <n v="7"/>
    <n v="10"/>
  </r>
  <r>
    <n v="575"/>
    <d v="2011-01-26T00:00:00"/>
    <n v="1"/>
    <n v="5"/>
    <b v="0"/>
    <n v="3"/>
    <s v="No"/>
    <s v="Wednesday"/>
    <n v="3"/>
    <x v="2"/>
    <x v="2"/>
    <x v="0"/>
    <n v="0.18179999999999999"/>
    <n v="0.86"/>
    <s v="Risky"/>
    <n v="0.28360000000000002"/>
    <n v="0"/>
    <n v="1"/>
    <n v="1"/>
  </r>
  <r>
    <n v="576"/>
    <d v="2011-01-26T00:00:00"/>
    <n v="1"/>
    <n v="6"/>
    <b v="0"/>
    <n v="3"/>
    <s v="No"/>
    <s v="Wednesday"/>
    <n v="3"/>
    <x v="2"/>
    <x v="2"/>
    <x v="0"/>
    <n v="0.18179999999999999"/>
    <n v="0.86"/>
    <s v="Risky"/>
    <n v="0.28360000000000002"/>
    <n v="0"/>
    <n v="8"/>
    <n v="8"/>
  </r>
  <r>
    <n v="577"/>
    <d v="2011-01-26T00:00:00"/>
    <n v="1"/>
    <n v="7"/>
    <b v="0"/>
    <n v="3"/>
    <s v="No"/>
    <s v="Wednesday"/>
    <n v="3"/>
    <x v="2"/>
    <x v="1"/>
    <x v="0"/>
    <n v="0.21210000000000001"/>
    <n v="0.87"/>
    <s v="Risky"/>
    <n v="0.29849999999999999"/>
    <n v="1"/>
    <n v="29"/>
    <n v="30"/>
  </r>
  <r>
    <n v="578"/>
    <d v="2011-01-26T00:00:00"/>
    <n v="1"/>
    <n v="8"/>
    <b v="0"/>
    <n v="3"/>
    <s v="No"/>
    <s v="Wednesday"/>
    <n v="3"/>
    <x v="2"/>
    <x v="1"/>
    <x v="0"/>
    <n v="0.21210000000000001"/>
    <n v="0.87"/>
    <s v="Risky"/>
    <n v="0.29849999999999999"/>
    <n v="3"/>
    <n v="69"/>
    <n v="72"/>
  </r>
  <r>
    <n v="579"/>
    <d v="2011-01-26T00:00:00"/>
    <n v="1"/>
    <n v="9"/>
    <b v="0"/>
    <n v="3"/>
    <s v="No"/>
    <s v="Wednesday"/>
    <n v="3"/>
    <x v="2"/>
    <x v="1"/>
    <x v="0"/>
    <n v="0.21210000000000001"/>
    <n v="0.87"/>
    <s v="Risky"/>
    <n v="0.29849999999999999"/>
    <n v="3"/>
    <n v="55"/>
    <n v="58"/>
  </r>
  <r>
    <n v="580"/>
    <d v="2011-01-26T00:00:00"/>
    <n v="1"/>
    <n v="10"/>
    <b v="0"/>
    <n v="3"/>
    <s v="No"/>
    <s v="Wednesday"/>
    <n v="3"/>
    <x v="2"/>
    <x v="1"/>
    <x v="0"/>
    <n v="0.21210000000000001"/>
    <n v="0.93"/>
    <s v="Risky"/>
    <n v="0.28360000000000002"/>
    <n v="2"/>
    <n v="26"/>
    <n v="28"/>
  </r>
  <r>
    <n v="581"/>
    <d v="2011-01-26T00:00:00"/>
    <n v="1"/>
    <n v="11"/>
    <b v="0"/>
    <n v="3"/>
    <s v="No"/>
    <s v="Wednesday"/>
    <n v="3"/>
    <x v="2"/>
    <x v="1"/>
    <x v="0"/>
    <n v="0.19700000000000001"/>
    <n v="0.93"/>
    <s v="Risky"/>
    <n v="0.32840000000000003"/>
    <n v="6"/>
    <n v="35"/>
    <n v="41"/>
  </r>
  <r>
    <n v="582"/>
    <d v="2011-01-26T00:00:00"/>
    <n v="1"/>
    <n v="12"/>
    <b v="0"/>
    <n v="3"/>
    <s v="No"/>
    <s v="Wednesday"/>
    <n v="3"/>
    <x v="2"/>
    <x v="1"/>
    <x v="0"/>
    <n v="0.19700000000000001"/>
    <n v="0.93"/>
    <s v="Risky"/>
    <n v="0.32840000000000003"/>
    <n v="7"/>
    <n v="41"/>
    <n v="48"/>
  </r>
  <r>
    <n v="583"/>
    <d v="2011-01-26T00:00:00"/>
    <n v="1"/>
    <n v="13"/>
    <b v="0"/>
    <n v="3"/>
    <s v="No"/>
    <s v="Wednesday"/>
    <n v="3"/>
    <x v="2"/>
    <x v="1"/>
    <x v="0"/>
    <n v="0.19700000000000001"/>
    <n v="0.93"/>
    <s v="Risky"/>
    <n v="0.32840000000000003"/>
    <n v="4"/>
    <n v="43"/>
    <n v="47"/>
  </r>
  <r>
    <n v="584"/>
    <d v="2011-01-26T00:00:00"/>
    <n v="1"/>
    <n v="14"/>
    <b v="0"/>
    <n v="3"/>
    <s v="No"/>
    <s v="Wednesday"/>
    <n v="3"/>
    <x v="2"/>
    <x v="1"/>
    <x v="0"/>
    <n v="0.19700000000000001"/>
    <n v="0.93"/>
    <s v="Risky"/>
    <n v="0.35820000000000002"/>
    <n v="0"/>
    <n v="36"/>
    <n v="36"/>
  </r>
  <r>
    <n v="585"/>
    <d v="2011-01-26T00:00:00"/>
    <n v="1"/>
    <n v="15"/>
    <b v="0"/>
    <n v="3"/>
    <s v="No"/>
    <s v="Wednesday"/>
    <n v="3"/>
    <x v="2"/>
    <x v="1"/>
    <x v="0"/>
    <n v="0.18179999999999999"/>
    <n v="0.93"/>
    <s v="Risky"/>
    <n v="0.4627"/>
    <n v="1"/>
    <n v="42"/>
    <n v="43"/>
  </r>
  <r>
    <n v="587"/>
    <d v="2011-01-26T00:00:00"/>
    <n v="1"/>
    <n v="17"/>
    <b v="0"/>
    <n v="3"/>
    <s v="No"/>
    <s v="Wednesday"/>
    <n v="3"/>
    <x v="2"/>
    <x v="2"/>
    <x v="0"/>
    <n v="0.18179999999999999"/>
    <n v="0.93"/>
    <s v="Risky"/>
    <n v="0.35820000000000002"/>
    <n v="0"/>
    <n v="26"/>
    <n v="26"/>
  </r>
  <r>
    <n v="588"/>
    <d v="2011-01-27T00:00:00"/>
    <n v="1"/>
    <n v="16"/>
    <b v="0"/>
    <n v="4"/>
    <s v="No"/>
    <s v="Thursday"/>
    <n v="1"/>
    <x v="0"/>
    <x v="1"/>
    <x v="0"/>
    <n v="0.2273"/>
    <n v="0.55000000000000004"/>
    <s v="Acceptable"/>
    <n v="0.19400000000000001"/>
    <n v="1"/>
    <n v="23"/>
    <n v="24"/>
  </r>
  <r>
    <n v="589"/>
    <d v="2011-01-27T00:00:00"/>
    <n v="1"/>
    <n v="17"/>
    <b v="0"/>
    <n v="4"/>
    <s v="No"/>
    <s v="Thursday"/>
    <n v="1"/>
    <x v="0"/>
    <x v="1"/>
    <x v="0"/>
    <n v="0.2424"/>
    <n v="0.55000000000000004"/>
    <s v="Acceptable"/>
    <n v="0.1045"/>
    <n v="2"/>
    <n v="82"/>
    <n v="84"/>
  </r>
  <r>
    <n v="590"/>
    <d v="2011-01-27T00:00:00"/>
    <n v="1"/>
    <n v="18"/>
    <b v="0"/>
    <n v="4"/>
    <s v="No"/>
    <s v="Thursday"/>
    <n v="1"/>
    <x v="0"/>
    <x v="2"/>
    <x v="0"/>
    <n v="0.2273"/>
    <n v="0.69"/>
    <s v="Acceptable"/>
    <n v="8.9599999999999999E-2"/>
    <n v="3"/>
    <n v="101"/>
    <n v="104"/>
  </r>
  <r>
    <n v="591"/>
    <d v="2011-01-27T00:00:00"/>
    <n v="1"/>
    <n v="19"/>
    <b v="0"/>
    <n v="4"/>
    <s v="No"/>
    <s v="Thursday"/>
    <n v="1"/>
    <x v="0"/>
    <x v="2"/>
    <x v="0"/>
    <n v="0.2273"/>
    <n v="0.69"/>
    <s v="Acceptable"/>
    <n v="8.9599999999999999E-2"/>
    <n v="3"/>
    <n v="76"/>
    <n v="79"/>
  </r>
  <r>
    <n v="592"/>
    <d v="2011-01-27T00:00:00"/>
    <n v="1"/>
    <n v="20"/>
    <b v="0"/>
    <n v="4"/>
    <s v="No"/>
    <s v="Thursday"/>
    <n v="1"/>
    <x v="0"/>
    <x v="15"/>
    <x v="0"/>
    <n v="0.21210000000000001"/>
    <n v="0.74"/>
    <s v="Risky"/>
    <n v="8.9599999999999999E-2"/>
    <n v="4"/>
    <n v="55"/>
    <n v="59"/>
  </r>
  <r>
    <n v="593"/>
    <d v="2011-01-27T00:00:00"/>
    <n v="1"/>
    <n v="21"/>
    <b v="0"/>
    <n v="4"/>
    <s v="No"/>
    <s v="Thursday"/>
    <n v="1"/>
    <x v="0"/>
    <x v="15"/>
    <x v="0"/>
    <n v="0.21210000000000001"/>
    <n v="0.74"/>
    <s v="Risky"/>
    <n v="8.9599999999999999E-2"/>
    <n v="2"/>
    <n v="36"/>
    <n v="38"/>
  </r>
  <r>
    <n v="594"/>
    <d v="2011-01-27T00:00:00"/>
    <n v="1"/>
    <n v="22"/>
    <b v="0"/>
    <n v="4"/>
    <s v="No"/>
    <s v="Thursday"/>
    <n v="1"/>
    <x v="0"/>
    <x v="15"/>
    <x v="0"/>
    <n v="0.21210000000000001"/>
    <n v="0.74"/>
    <s v="Risky"/>
    <n v="8.9599999999999999E-2"/>
    <n v="0"/>
    <n v="27"/>
    <n v="27"/>
  </r>
  <r>
    <n v="595"/>
    <d v="2011-01-27T00:00:00"/>
    <n v="1"/>
    <n v="23"/>
    <b v="0"/>
    <n v="4"/>
    <s v="No"/>
    <s v="Thursday"/>
    <n v="1"/>
    <x v="0"/>
    <x v="15"/>
    <x v="0"/>
    <n v="0.19700000000000001"/>
    <n v="0.8"/>
    <s v="Risky"/>
    <n v="0.16420000000000001"/>
    <n v="0"/>
    <n v="16"/>
    <n v="16"/>
  </r>
  <r>
    <n v="596"/>
    <d v="2011-01-28T00:00:00"/>
    <n v="1"/>
    <n v="0"/>
    <b v="0"/>
    <n v="5"/>
    <s v="No"/>
    <s v="Friday"/>
    <n v="2"/>
    <x v="1"/>
    <x v="2"/>
    <x v="0"/>
    <n v="0.21210000000000001"/>
    <n v="0.75"/>
    <s v="Risky"/>
    <n v="0.1343"/>
    <n v="0"/>
    <n v="9"/>
    <n v="9"/>
  </r>
  <r>
    <n v="597"/>
    <d v="2011-01-28T00:00:00"/>
    <n v="1"/>
    <n v="1"/>
    <b v="0"/>
    <n v="5"/>
    <s v="No"/>
    <s v="Friday"/>
    <n v="2"/>
    <x v="1"/>
    <x v="2"/>
    <x v="0"/>
    <n v="0.21210000000000001"/>
    <n v="0.75"/>
    <s v="Risky"/>
    <n v="0.1343"/>
    <n v="1"/>
    <n v="2"/>
    <n v="3"/>
  </r>
  <r>
    <n v="598"/>
    <d v="2011-01-28T00:00:00"/>
    <n v="1"/>
    <n v="2"/>
    <b v="0"/>
    <n v="5"/>
    <s v="No"/>
    <s v="Friday"/>
    <n v="2"/>
    <x v="1"/>
    <x v="2"/>
    <x v="0"/>
    <n v="0.21210000000000001"/>
    <n v="0.75"/>
    <s v="Risky"/>
    <n v="0.16420000000000001"/>
    <n v="0"/>
    <n v="2"/>
    <n v="2"/>
  </r>
  <r>
    <n v="599"/>
    <d v="2011-01-28T00:00:00"/>
    <n v="1"/>
    <n v="3"/>
    <b v="0"/>
    <n v="5"/>
    <s v="No"/>
    <s v="Friday"/>
    <n v="2"/>
    <x v="1"/>
    <x v="2"/>
    <x v="0"/>
    <n v="0.2273"/>
    <n v="0.75"/>
    <s v="Risky"/>
    <n v="0.1045"/>
    <n v="1"/>
    <n v="0"/>
    <n v="1"/>
  </r>
  <r>
    <n v="600"/>
    <d v="2011-01-28T00:00:00"/>
    <n v="1"/>
    <n v="5"/>
    <b v="0"/>
    <n v="5"/>
    <s v="No"/>
    <s v="Friday"/>
    <n v="2"/>
    <x v="1"/>
    <x v="15"/>
    <x v="0"/>
    <n v="0.21210000000000001"/>
    <n v="0.8"/>
    <s v="Risky"/>
    <n v="0.1045"/>
    <n v="0"/>
    <n v="4"/>
    <n v="4"/>
  </r>
  <r>
    <n v="601"/>
    <d v="2011-01-28T00:00:00"/>
    <n v="1"/>
    <n v="6"/>
    <b v="0"/>
    <n v="5"/>
    <s v="No"/>
    <s v="Friday"/>
    <n v="2"/>
    <x v="1"/>
    <x v="15"/>
    <x v="0"/>
    <n v="0.19700000000000001"/>
    <n v="0.8"/>
    <s v="Risky"/>
    <n v="0.1343"/>
    <n v="0"/>
    <n v="16"/>
    <n v="16"/>
  </r>
  <r>
    <n v="602"/>
    <d v="2011-01-28T00:00:00"/>
    <n v="1"/>
    <n v="7"/>
    <b v="0"/>
    <n v="5"/>
    <s v="No"/>
    <s v="Friday"/>
    <n v="2"/>
    <x v="1"/>
    <x v="13"/>
    <x v="0"/>
    <n v="0.19700000000000001"/>
    <n v="0.86"/>
    <s v="Risky"/>
    <n v="8.9599999999999999E-2"/>
    <n v="2"/>
    <n v="58"/>
    <n v="60"/>
  </r>
  <r>
    <n v="603"/>
    <d v="2011-01-28T00:00:00"/>
    <n v="1"/>
    <n v="8"/>
    <b v="0"/>
    <n v="5"/>
    <s v="No"/>
    <s v="Friday"/>
    <n v="2"/>
    <x v="1"/>
    <x v="13"/>
    <x v="0"/>
    <n v="0.19700000000000001"/>
    <n v="0.86"/>
    <s v="Risky"/>
    <n v="8.9599999999999999E-2"/>
    <n v="2"/>
    <n v="155"/>
    <n v="157"/>
  </r>
  <r>
    <n v="604"/>
    <d v="2011-01-28T00:00:00"/>
    <n v="1"/>
    <n v="9"/>
    <b v="0"/>
    <n v="5"/>
    <s v="No"/>
    <s v="Friday"/>
    <n v="3"/>
    <x v="2"/>
    <x v="15"/>
    <x v="0"/>
    <n v="0.21210000000000001"/>
    <n v="0.86"/>
    <s v="Risky"/>
    <n v="8.9599999999999999E-2"/>
    <n v="6"/>
    <n v="95"/>
    <n v="101"/>
  </r>
  <r>
    <n v="605"/>
    <d v="2011-01-28T00:00:00"/>
    <n v="1"/>
    <n v="10"/>
    <b v="0"/>
    <n v="5"/>
    <s v="No"/>
    <s v="Friday"/>
    <n v="3"/>
    <x v="2"/>
    <x v="15"/>
    <x v="0"/>
    <n v="0.21210000000000001"/>
    <n v="0.86"/>
    <s v="Risky"/>
    <n v="0.1045"/>
    <n v="0"/>
    <n v="49"/>
    <n v="49"/>
  </r>
  <r>
    <n v="606"/>
    <d v="2011-01-28T00:00:00"/>
    <n v="1"/>
    <n v="11"/>
    <b v="0"/>
    <n v="5"/>
    <s v="No"/>
    <s v="Friday"/>
    <n v="3"/>
    <x v="2"/>
    <x v="15"/>
    <x v="0"/>
    <n v="0.21210000000000001"/>
    <n v="0.93"/>
    <s v="Risky"/>
    <n v="0.1045"/>
    <n v="0"/>
    <n v="30"/>
    <n v="30"/>
  </r>
  <r>
    <n v="607"/>
    <d v="2011-01-28T00:00:00"/>
    <n v="1"/>
    <n v="12"/>
    <b v="0"/>
    <n v="5"/>
    <s v="No"/>
    <s v="Friday"/>
    <n v="3"/>
    <x v="2"/>
    <x v="15"/>
    <x v="0"/>
    <n v="0.21210000000000001"/>
    <n v="0.93"/>
    <s v="Risky"/>
    <n v="0.1045"/>
    <n v="1"/>
    <n v="28"/>
    <n v="29"/>
  </r>
  <r>
    <n v="608"/>
    <d v="2011-01-28T00:00:00"/>
    <n v="1"/>
    <n v="13"/>
    <b v="0"/>
    <n v="5"/>
    <s v="No"/>
    <s v="Friday"/>
    <n v="3"/>
    <x v="2"/>
    <x v="15"/>
    <x v="0"/>
    <n v="0.21210000000000001"/>
    <n v="0.93"/>
    <s v="Risky"/>
    <n v="0.1045"/>
    <n v="0"/>
    <n v="31"/>
    <n v="31"/>
  </r>
  <r>
    <n v="609"/>
    <d v="2011-01-28T00:00:00"/>
    <n v="1"/>
    <n v="14"/>
    <b v="0"/>
    <n v="5"/>
    <s v="No"/>
    <s v="Friday"/>
    <n v="3"/>
    <x v="2"/>
    <x v="1"/>
    <x v="0"/>
    <n v="0.2727"/>
    <n v="0.8"/>
    <s v="Risky"/>
    <n v="0"/>
    <n v="2"/>
    <n v="36"/>
    <n v="38"/>
  </r>
  <r>
    <n v="610"/>
    <d v="2011-01-28T00:00:00"/>
    <n v="1"/>
    <n v="15"/>
    <b v="0"/>
    <n v="5"/>
    <s v="No"/>
    <s v="Friday"/>
    <n v="2"/>
    <x v="1"/>
    <x v="2"/>
    <x v="0"/>
    <n v="0.2576"/>
    <n v="0.86"/>
    <s v="Risky"/>
    <n v="0"/>
    <n v="1"/>
    <n v="40"/>
    <n v="41"/>
  </r>
  <r>
    <n v="611"/>
    <d v="2011-01-28T00:00:00"/>
    <n v="1"/>
    <n v="16"/>
    <b v="0"/>
    <n v="5"/>
    <s v="No"/>
    <s v="Friday"/>
    <n v="1"/>
    <x v="0"/>
    <x v="1"/>
    <x v="0"/>
    <n v="0.2727"/>
    <n v="0.8"/>
    <s v="Risky"/>
    <n v="0"/>
    <n v="10"/>
    <n v="70"/>
    <n v="80"/>
  </r>
  <r>
    <n v="612"/>
    <d v="2011-01-28T00:00:00"/>
    <n v="1"/>
    <n v="17"/>
    <b v="0"/>
    <n v="5"/>
    <s v="No"/>
    <s v="Friday"/>
    <n v="1"/>
    <x v="0"/>
    <x v="0"/>
    <x v="0"/>
    <n v="0.2424"/>
    <n v="0.75"/>
    <s v="Risky"/>
    <n v="0.1343"/>
    <n v="2"/>
    <n v="147"/>
    <n v="149"/>
  </r>
  <r>
    <n v="613"/>
    <d v="2011-01-28T00:00:00"/>
    <n v="1"/>
    <n v="18"/>
    <b v="0"/>
    <n v="5"/>
    <s v="No"/>
    <s v="Friday"/>
    <n v="1"/>
    <x v="0"/>
    <x v="0"/>
    <x v="0"/>
    <n v="0.2273"/>
    <n v="0.75"/>
    <s v="Risky"/>
    <n v="0.19400000000000001"/>
    <n v="2"/>
    <n v="107"/>
    <n v="109"/>
  </r>
  <r>
    <n v="614"/>
    <d v="2011-01-28T00:00:00"/>
    <n v="1"/>
    <n v="19"/>
    <b v="0"/>
    <n v="5"/>
    <s v="No"/>
    <s v="Friday"/>
    <n v="2"/>
    <x v="1"/>
    <x v="0"/>
    <x v="0"/>
    <n v="0.2424"/>
    <n v="0.75"/>
    <s v="Risky"/>
    <n v="0.1343"/>
    <n v="5"/>
    <n v="84"/>
    <n v="89"/>
  </r>
  <r>
    <n v="615"/>
    <d v="2011-01-28T00:00:00"/>
    <n v="1"/>
    <n v="20"/>
    <b v="0"/>
    <n v="5"/>
    <s v="No"/>
    <s v="Friday"/>
    <n v="2"/>
    <x v="1"/>
    <x v="0"/>
    <x v="0"/>
    <n v="0.2273"/>
    <n v="0.7"/>
    <s v="Risky"/>
    <n v="0.19400000000000001"/>
    <n v="1"/>
    <n v="61"/>
    <n v="62"/>
  </r>
  <r>
    <n v="616"/>
    <d v="2011-01-28T00:00:00"/>
    <n v="1"/>
    <n v="21"/>
    <b v="0"/>
    <n v="5"/>
    <s v="No"/>
    <s v="Friday"/>
    <n v="2"/>
    <x v="1"/>
    <x v="1"/>
    <x v="0"/>
    <n v="0.2273"/>
    <n v="0.75"/>
    <s v="Risky"/>
    <n v="0.1343"/>
    <n v="1"/>
    <n v="57"/>
    <n v="58"/>
  </r>
  <r>
    <n v="617"/>
    <d v="2011-01-28T00:00:00"/>
    <n v="1"/>
    <n v="22"/>
    <b v="0"/>
    <n v="5"/>
    <s v="No"/>
    <s v="Friday"/>
    <n v="1"/>
    <x v="0"/>
    <x v="0"/>
    <x v="0"/>
    <n v="0.21210000000000001"/>
    <n v="0.65"/>
    <s v="Acceptable"/>
    <n v="0.35820000000000002"/>
    <n v="0"/>
    <n v="26"/>
    <n v="26"/>
  </r>
  <r>
    <n v="618"/>
    <d v="2011-01-28T00:00:00"/>
    <n v="1"/>
    <n v="23"/>
    <b v="0"/>
    <n v="5"/>
    <s v="No"/>
    <s v="Friday"/>
    <n v="1"/>
    <x v="0"/>
    <x v="0"/>
    <x v="0"/>
    <n v="0.2273"/>
    <n v="0.6"/>
    <s v="Acceptable"/>
    <n v="0.22389999999999999"/>
    <n v="1"/>
    <n v="22"/>
    <n v="23"/>
  </r>
  <r>
    <n v="619"/>
    <d v="2011-01-29T00:00:00"/>
    <n v="1"/>
    <n v="0"/>
    <b v="0"/>
    <n v="6"/>
    <s v="Yes"/>
    <s v="Saturday"/>
    <n v="1"/>
    <x v="0"/>
    <x v="1"/>
    <x v="0"/>
    <n v="0.19700000000000001"/>
    <n v="0.64"/>
    <s v="Acceptable"/>
    <n v="0.35820000000000002"/>
    <n v="2"/>
    <n v="26"/>
    <n v="28"/>
  </r>
  <r>
    <n v="620"/>
    <d v="2011-01-29T00:00:00"/>
    <n v="1"/>
    <n v="1"/>
    <b v="0"/>
    <n v="6"/>
    <s v="Yes"/>
    <s v="Saturday"/>
    <n v="1"/>
    <x v="0"/>
    <x v="1"/>
    <x v="0"/>
    <n v="0.2273"/>
    <n v="0.64"/>
    <s v="Acceptable"/>
    <n v="0.19400000000000001"/>
    <n v="0"/>
    <n v="20"/>
    <n v="20"/>
  </r>
  <r>
    <n v="621"/>
    <d v="2011-01-29T00:00:00"/>
    <n v="1"/>
    <n v="2"/>
    <b v="0"/>
    <n v="6"/>
    <s v="Yes"/>
    <s v="Saturday"/>
    <n v="1"/>
    <x v="0"/>
    <x v="1"/>
    <x v="0"/>
    <n v="0.2273"/>
    <n v="0.64"/>
    <s v="Acceptable"/>
    <n v="0.16420000000000001"/>
    <n v="0"/>
    <n v="15"/>
    <n v="15"/>
  </r>
  <r>
    <n v="622"/>
    <d v="2011-01-29T00:00:00"/>
    <n v="1"/>
    <n v="3"/>
    <b v="0"/>
    <n v="6"/>
    <s v="Yes"/>
    <s v="Saturday"/>
    <n v="1"/>
    <x v="0"/>
    <x v="2"/>
    <x v="0"/>
    <n v="0.21210000000000001"/>
    <n v="0.64"/>
    <s v="Acceptable"/>
    <n v="0.1343"/>
    <n v="3"/>
    <n v="5"/>
    <n v="8"/>
  </r>
  <r>
    <n v="623"/>
    <d v="2011-01-29T00:00:00"/>
    <n v="1"/>
    <n v="4"/>
    <b v="0"/>
    <n v="6"/>
    <s v="Yes"/>
    <s v="Saturday"/>
    <n v="1"/>
    <x v="0"/>
    <x v="13"/>
    <x v="0"/>
    <n v="0.18179999999999999"/>
    <n v="0.69"/>
    <s v="Acceptable"/>
    <n v="0.1045"/>
    <n v="1"/>
    <n v="2"/>
    <n v="3"/>
  </r>
  <r>
    <n v="624"/>
    <d v="2011-01-29T00:00:00"/>
    <n v="1"/>
    <n v="6"/>
    <b v="0"/>
    <n v="6"/>
    <s v="Yes"/>
    <s v="Saturday"/>
    <n v="1"/>
    <x v="0"/>
    <x v="13"/>
    <x v="0"/>
    <n v="0.18179999999999999"/>
    <n v="0.64"/>
    <s v="Acceptable"/>
    <n v="0.1343"/>
    <n v="0"/>
    <n v="2"/>
    <n v="2"/>
  </r>
  <r>
    <n v="625"/>
    <d v="2011-01-29T00:00:00"/>
    <n v="1"/>
    <n v="7"/>
    <b v="0"/>
    <n v="6"/>
    <s v="Yes"/>
    <s v="Saturday"/>
    <n v="1"/>
    <x v="0"/>
    <x v="13"/>
    <x v="0"/>
    <n v="0.18179999999999999"/>
    <n v="0.59"/>
    <s v="Acceptable"/>
    <n v="0.1045"/>
    <n v="1"/>
    <n v="4"/>
    <n v="5"/>
  </r>
  <r>
    <n v="626"/>
    <d v="2011-01-29T00:00:00"/>
    <n v="1"/>
    <n v="8"/>
    <b v="0"/>
    <n v="6"/>
    <s v="Yes"/>
    <s v="Saturday"/>
    <n v="1"/>
    <x v="0"/>
    <x v="15"/>
    <x v="0"/>
    <n v="0.19700000000000001"/>
    <n v="0.55000000000000004"/>
    <s v="Acceptable"/>
    <n v="0.16420000000000001"/>
    <n v="3"/>
    <n v="31"/>
    <n v="34"/>
  </r>
  <r>
    <n v="627"/>
    <d v="2011-01-29T00:00:00"/>
    <n v="1"/>
    <n v="9"/>
    <b v="0"/>
    <n v="6"/>
    <s v="Yes"/>
    <s v="Saturday"/>
    <n v="1"/>
    <x v="0"/>
    <x v="15"/>
    <x v="0"/>
    <n v="0.21210000000000001"/>
    <n v="0.59"/>
    <s v="Acceptable"/>
    <n v="8.9599999999999999E-2"/>
    <n v="0"/>
    <n v="34"/>
    <n v="34"/>
  </r>
  <r>
    <n v="628"/>
    <d v="2011-01-29T00:00:00"/>
    <n v="1"/>
    <n v="10"/>
    <b v="0"/>
    <n v="6"/>
    <s v="Yes"/>
    <s v="Saturday"/>
    <n v="2"/>
    <x v="1"/>
    <x v="15"/>
    <x v="0"/>
    <n v="0.21210000000000001"/>
    <n v="0.64"/>
    <s v="Acceptable"/>
    <n v="0.1045"/>
    <n v="4"/>
    <n v="51"/>
    <n v="55"/>
  </r>
  <r>
    <n v="629"/>
    <d v="2011-01-29T00:00:00"/>
    <n v="1"/>
    <n v="11"/>
    <b v="0"/>
    <n v="6"/>
    <s v="Yes"/>
    <s v="Saturday"/>
    <n v="2"/>
    <x v="1"/>
    <x v="15"/>
    <x v="0"/>
    <n v="0.19700000000000001"/>
    <n v="0.64"/>
    <s v="Acceptable"/>
    <n v="0.1343"/>
    <n v="4"/>
    <n v="60"/>
    <n v="64"/>
  </r>
  <r>
    <n v="630"/>
    <d v="2011-01-29T00:00:00"/>
    <n v="1"/>
    <n v="12"/>
    <b v="0"/>
    <n v="6"/>
    <s v="Yes"/>
    <s v="Saturday"/>
    <n v="2"/>
    <x v="1"/>
    <x v="2"/>
    <x v="0"/>
    <n v="0.19700000000000001"/>
    <n v="0.59"/>
    <s v="Acceptable"/>
    <n v="0.19400000000000001"/>
    <n v="12"/>
    <n v="66"/>
    <n v="78"/>
  </r>
  <r>
    <n v="631"/>
    <d v="2011-01-29T00:00:00"/>
    <n v="1"/>
    <n v="13"/>
    <b v="0"/>
    <n v="6"/>
    <s v="Yes"/>
    <s v="Saturday"/>
    <n v="2"/>
    <x v="1"/>
    <x v="1"/>
    <x v="0"/>
    <n v="0.2273"/>
    <n v="0.55000000000000004"/>
    <s v="Acceptable"/>
    <n v="0.16420000000000001"/>
    <n v="9"/>
    <n v="56"/>
    <n v="65"/>
  </r>
  <r>
    <n v="632"/>
    <d v="2011-01-29T00:00:00"/>
    <n v="1"/>
    <n v="14"/>
    <b v="0"/>
    <n v="6"/>
    <s v="Yes"/>
    <s v="Saturday"/>
    <n v="2"/>
    <x v="1"/>
    <x v="1"/>
    <x v="0"/>
    <n v="0.2273"/>
    <n v="0.6"/>
    <s v="Acceptable"/>
    <n v="0.1343"/>
    <n v="10"/>
    <n v="89"/>
    <n v="99"/>
  </r>
  <r>
    <n v="633"/>
    <d v="2011-01-29T00:00:00"/>
    <n v="1"/>
    <n v="15"/>
    <b v="0"/>
    <n v="6"/>
    <s v="Yes"/>
    <s v="Saturday"/>
    <n v="1"/>
    <x v="0"/>
    <x v="1"/>
    <x v="0"/>
    <n v="0.21210000000000001"/>
    <n v="0.69"/>
    <s v="Acceptable"/>
    <n v="0.25369999999999998"/>
    <n v="22"/>
    <n v="98"/>
    <n v="120"/>
  </r>
  <r>
    <n v="634"/>
    <d v="2011-01-29T00:00:00"/>
    <n v="1"/>
    <n v="16"/>
    <b v="0"/>
    <n v="6"/>
    <s v="Yes"/>
    <s v="Saturday"/>
    <n v="1"/>
    <x v="0"/>
    <x v="0"/>
    <x v="0"/>
    <n v="0.2424"/>
    <n v="0.6"/>
    <s v="Acceptable"/>
    <n v="0.16420000000000001"/>
    <n v="19"/>
    <n v="88"/>
    <n v="107"/>
  </r>
  <r>
    <n v="635"/>
    <d v="2011-01-29T00:00:00"/>
    <n v="1"/>
    <n v="17"/>
    <b v="0"/>
    <n v="6"/>
    <s v="Yes"/>
    <s v="Saturday"/>
    <n v="1"/>
    <x v="0"/>
    <x v="0"/>
    <x v="0"/>
    <n v="0.28789999999999999"/>
    <n v="0.6"/>
    <s v="Acceptable"/>
    <n v="0"/>
    <n v="9"/>
    <n v="82"/>
    <n v="91"/>
  </r>
  <r>
    <n v="636"/>
    <d v="2011-01-29T00:00:00"/>
    <n v="1"/>
    <n v="18"/>
    <b v="0"/>
    <n v="6"/>
    <s v="Yes"/>
    <s v="Saturday"/>
    <n v="1"/>
    <x v="0"/>
    <x v="1"/>
    <x v="0"/>
    <n v="0.2273"/>
    <n v="0.69"/>
    <s v="Acceptable"/>
    <n v="0.1343"/>
    <n v="9"/>
    <n v="59"/>
    <n v="68"/>
  </r>
  <r>
    <n v="637"/>
    <d v="2011-01-29T00:00:00"/>
    <n v="1"/>
    <n v="19"/>
    <b v="0"/>
    <n v="6"/>
    <s v="Yes"/>
    <s v="Saturday"/>
    <n v="2"/>
    <x v="1"/>
    <x v="1"/>
    <x v="0"/>
    <n v="0.21210000000000001"/>
    <n v="0.69"/>
    <s v="Acceptable"/>
    <n v="0.25369999999999998"/>
    <n v="6"/>
    <n v="52"/>
    <n v="58"/>
  </r>
  <r>
    <n v="638"/>
    <d v="2011-01-29T00:00:00"/>
    <n v="1"/>
    <n v="20"/>
    <b v="0"/>
    <n v="6"/>
    <s v="Yes"/>
    <s v="Saturday"/>
    <n v="1"/>
    <x v="0"/>
    <x v="15"/>
    <x v="0"/>
    <n v="0.21210000000000001"/>
    <n v="0.74"/>
    <s v="Risky"/>
    <n v="8.9599999999999999E-2"/>
    <n v="1"/>
    <n v="42"/>
    <n v="43"/>
  </r>
  <r>
    <n v="639"/>
    <d v="2011-01-29T00:00:00"/>
    <n v="1"/>
    <n v="21"/>
    <b v="0"/>
    <n v="6"/>
    <s v="Yes"/>
    <s v="Saturday"/>
    <n v="1"/>
    <x v="0"/>
    <x v="15"/>
    <x v="0"/>
    <n v="0.21210000000000001"/>
    <n v="0.74"/>
    <s v="Risky"/>
    <n v="8.9599999999999999E-2"/>
    <n v="1"/>
    <n v="35"/>
    <n v="36"/>
  </r>
  <r>
    <n v="640"/>
    <d v="2011-01-29T00:00:00"/>
    <n v="1"/>
    <n v="22"/>
    <b v="0"/>
    <n v="6"/>
    <s v="Yes"/>
    <s v="Saturday"/>
    <n v="1"/>
    <x v="0"/>
    <x v="13"/>
    <x v="0"/>
    <n v="0.19700000000000001"/>
    <n v="0.8"/>
    <s v="Risky"/>
    <n v="8.9599999999999999E-2"/>
    <n v="4"/>
    <n v="28"/>
    <n v="32"/>
  </r>
  <r>
    <n v="641"/>
    <d v="2011-01-29T00:00:00"/>
    <n v="1"/>
    <n v="23"/>
    <b v="0"/>
    <n v="6"/>
    <s v="Yes"/>
    <s v="Saturday"/>
    <n v="1"/>
    <x v="0"/>
    <x v="13"/>
    <x v="0"/>
    <n v="0.19700000000000001"/>
    <n v="0.8"/>
    <s v="Risky"/>
    <n v="8.9599999999999999E-2"/>
    <n v="3"/>
    <n v="30"/>
    <n v="33"/>
  </r>
  <r>
    <n v="642"/>
    <d v="2011-01-30T00:00:00"/>
    <n v="1"/>
    <n v="0"/>
    <b v="0"/>
    <n v="0"/>
    <s v="Yes"/>
    <s v="Sunday"/>
    <n v="1"/>
    <x v="0"/>
    <x v="13"/>
    <x v="0"/>
    <n v="0.18179999999999999"/>
    <n v="0.8"/>
    <s v="Risky"/>
    <n v="0.1045"/>
    <n v="0"/>
    <n v="33"/>
    <n v="33"/>
  </r>
  <r>
    <n v="643"/>
    <d v="2011-01-30T00:00:00"/>
    <n v="1"/>
    <n v="1"/>
    <b v="0"/>
    <n v="0"/>
    <s v="Yes"/>
    <s v="Sunday"/>
    <n v="1"/>
    <x v="0"/>
    <x v="14"/>
    <x v="0"/>
    <n v="0.21210000000000001"/>
    <n v="0.8"/>
    <s v="Risky"/>
    <n v="0"/>
    <n v="7"/>
    <n v="22"/>
    <n v="29"/>
  </r>
  <r>
    <n v="644"/>
    <d v="2011-01-30T00:00:00"/>
    <n v="1"/>
    <n v="2"/>
    <b v="0"/>
    <n v="0"/>
    <s v="Yes"/>
    <s v="Sunday"/>
    <n v="1"/>
    <x v="0"/>
    <x v="13"/>
    <x v="0"/>
    <n v="0.2273"/>
    <n v="0.8"/>
    <s v="Risky"/>
    <n v="0"/>
    <n v="1"/>
    <n v="10"/>
    <n v="11"/>
  </r>
  <r>
    <n v="645"/>
    <d v="2011-01-30T00:00:00"/>
    <n v="1"/>
    <n v="3"/>
    <b v="0"/>
    <n v="0"/>
    <s v="Yes"/>
    <s v="Sunday"/>
    <n v="1"/>
    <x v="0"/>
    <x v="14"/>
    <x v="0"/>
    <n v="0.21210000000000001"/>
    <n v="0.93"/>
    <s v="Risky"/>
    <n v="0"/>
    <n v="1"/>
    <n v="7"/>
    <n v="8"/>
  </r>
  <r>
    <n v="646"/>
    <d v="2011-01-30T00:00:00"/>
    <n v="1"/>
    <n v="4"/>
    <b v="0"/>
    <n v="0"/>
    <s v="Yes"/>
    <s v="Sunday"/>
    <n v="1"/>
    <x v="0"/>
    <x v="14"/>
    <x v="0"/>
    <n v="0.21210000000000001"/>
    <n v="0.93"/>
    <s v="Risky"/>
    <n v="0"/>
    <n v="0"/>
    <n v="1"/>
    <n v="1"/>
  </r>
  <r>
    <n v="647"/>
    <d v="2011-01-30T00:00:00"/>
    <n v="1"/>
    <n v="5"/>
    <b v="0"/>
    <n v="0"/>
    <s v="Yes"/>
    <s v="Sunday"/>
    <n v="1"/>
    <x v="0"/>
    <x v="14"/>
    <x v="0"/>
    <n v="0.21210000000000001"/>
    <n v="0.86"/>
    <s v="Risky"/>
    <n v="0"/>
    <n v="0"/>
    <n v="3"/>
    <n v="3"/>
  </r>
  <r>
    <n v="648"/>
    <d v="2011-01-30T00:00:00"/>
    <n v="1"/>
    <n v="7"/>
    <b v="0"/>
    <n v="0"/>
    <s v="Yes"/>
    <s v="Sunday"/>
    <n v="1"/>
    <x v="0"/>
    <x v="14"/>
    <x v="0"/>
    <n v="0.21210000000000001"/>
    <n v="0.86"/>
    <s v="Risky"/>
    <n v="0"/>
    <n v="0"/>
    <n v="3"/>
    <n v="3"/>
  </r>
  <r>
    <n v="649"/>
    <d v="2011-01-30T00:00:00"/>
    <n v="1"/>
    <n v="8"/>
    <b v="0"/>
    <n v="0"/>
    <s v="Yes"/>
    <s v="Sunday"/>
    <n v="2"/>
    <x v="1"/>
    <x v="14"/>
    <x v="0"/>
    <n v="0.21210000000000001"/>
    <n v="0.86"/>
    <s v="Risky"/>
    <n v="0"/>
    <n v="1"/>
    <n v="11"/>
    <n v="12"/>
  </r>
  <r>
    <n v="650"/>
    <d v="2011-01-30T00:00:00"/>
    <n v="1"/>
    <n v="9"/>
    <b v="0"/>
    <n v="0"/>
    <s v="Yes"/>
    <s v="Sunday"/>
    <n v="2"/>
    <x v="1"/>
    <x v="13"/>
    <x v="0"/>
    <n v="0.2273"/>
    <n v="0.8"/>
    <s v="Risky"/>
    <n v="0"/>
    <n v="4"/>
    <n v="34"/>
    <n v="38"/>
  </r>
  <r>
    <n v="651"/>
    <d v="2011-01-30T00:00:00"/>
    <n v="1"/>
    <n v="10"/>
    <b v="0"/>
    <n v="0"/>
    <s v="Yes"/>
    <s v="Sunday"/>
    <n v="2"/>
    <x v="1"/>
    <x v="15"/>
    <x v="0"/>
    <n v="0.2424"/>
    <n v="0.8"/>
    <s v="Risky"/>
    <n v="0"/>
    <n v="7"/>
    <n v="57"/>
    <n v="64"/>
  </r>
  <r>
    <n v="652"/>
    <d v="2011-01-30T00:00:00"/>
    <n v="1"/>
    <n v="11"/>
    <b v="0"/>
    <n v="0"/>
    <s v="Yes"/>
    <s v="Sunday"/>
    <n v="1"/>
    <x v="0"/>
    <x v="1"/>
    <x v="0"/>
    <n v="0.2727"/>
    <n v="0.75"/>
    <s v="Risky"/>
    <n v="0"/>
    <n v="9"/>
    <n v="50"/>
    <n v="59"/>
  </r>
  <r>
    <n v="653"/>
    <d v="2011-01-30T00:00:00"/>
    <n v="1"/>
    <n v="12"/>
    <b v="0"/>
    <n v="0"/>
    <s v="Yes"/>
    <s v="Sunday"/>
    <n v="1"/>
    <x v="0"/>
    <x v="11"/>
    <x v="0"/>
    <n v="0.31819999999999998"/>
    <n v="0.52"/>
    <s v="Acceptable"/>
    <n v="0.1045"/>
    <n v="10"/>
    <n v="87"/>
    <n v="97"/>
  </r>
  <r>
    <n v="654"/>
    <d v="2011-01-30T00:00:00"/>
    <n v="1"/>
    <n v="13"/>
    <b v="0"/>
    <n v="0"/>
    <s v="Yes"/>
    <s v="Sunday"/>
    <n v="1"/>
    <x v="0"/>
    <x v="17"/>
    <x v="0"/>
    <n v="0.28789999999999999"/>
    <n v="0.61"/>
    <s v="Acceptable"/>
    <n v="0.1045"/>
    <n v="13"/>
    <n v="71"/>
    <n v="84"/>
  </r>
  <r>
    <n v="655"/>
    <d v="2011-01-30T00:00:00"/>
    <n v="1"/>
    <n v="14"/>
    <b v="0"/>
    <n v="0"/>
    <s v="Yes"/>
    <s v="Sunday"/>
    <n v="1"/>
    <x v="0"/>
    <x v="17"/>
    <x v="0"/>
    <n v="0.30299999999999999"/>
    <n v="0.61"/>
    <s v="Acceptable"/>
    <n v="8.9599999999999999E-2"/>
    <n v="18"/>
    <n v="104"/>
    <n v="122"/>
  </r>
  <r>
    <n v="656"/>
    <d v="2011-01-30T00:00:00"/>
    <n v="1"/>
    <n v="15"/>
    <b v="0"/>
    <n v="0"/>
    <s v="Yes"/>
    <s v="Sunday"/>
    <n v="1"/>
    <x v="0"/>
    <x v="11"/>
    <x v="0"/>
    <n v="0.33329999999999999"/>
    <n v="0.56000000000000005"/>
    <s v="Acceptable"/>
    <n v="0"/>
    <n v="14"/>
    <n v="95"/>
    <n v="109"/>
  </r>
  <r>
    <n v="657"/>
    <d v="2011-01-30T00:00:00"/>
    <n v="1"/>
    <n v="16"/>
    <b v="0"/>
    <n v="0"/>
    <s v="Yes"/>
    <s v="Sunday"/>
    <n v="1"/>
    <x v="0"/>
    <x v="11"/>
    <x v="0"/>
    <n v="0.33329999999999999"/>
    <n v="0.56000000000000005"/>
    <s v="Acceptable"/>
    <n v="0"/>
    <n v="19"/>
    <n v="104"/>
    <n v="123"/>
  </r>
  <r>
    <n v="658"/>
    <d v="2011-01-30T00:00:00"/>
    <n v="1"/>
    <n v="17"/>
    <b v="0"/>
    <n v="0"/>
    <s v="Yes"/>
    <s v="Sunday"/>
    <n v="1"/>
    <x v="0"/>
    <x v="11"/>
    <x v="0"/>
    <n v="0.28789999999999999"/>
    <n v="0.56000000000000005"/>
    <s v="Acceptable"/>
    <n v="0.19400000000000001"/>
    <n v="6"/>
    <n v="71"/>
    <n v="77"/>
  </r>
  <r>
    <n v="659"/>
    <d v="2011-01-30T00:00:00"/>
    <n v="1"/>
    <n v="18"/>
    <b v="0"/>
    <n v="0"/>
    <s v="Yes"/>
    <s v="Sunday"/>
    <n v="1"/>
    <x v="0"/>
    <x v="12"/>
    <x v="0"/>
    <n v="0.2576"/>
    <n v="0.65"/>
    <s v="Acceptable"/>
    <n v="0.16420000000000001"/>
    <n v="8"/>
    <n v="57"/>
    <n v="65"/>
  </r>
  <r>
    <n v="660"/>
    <d v="2011-01-30T00:00:00"/>
    <n v="1"/>
    <n v="19"/>
    <b v="0"/>
    <n v="0"/>
    <s v="Yes"/>
    <s v="Sunday"/>
    <n v="1"/>
    <x v="0"/>
    <x v="12"/>
    <x v="0"/>
    <n v="0.2576"/>
    <n v="0.65"/>
    <s v="Acceptable"/>
    <n v="0.19400000000000001"/>
    <n v="9"/>
    <n v="46"/>
    <n v="55"/>
  </r>
  <r>
    <n v="661"/>
    <d v="2011-01-30T00:00:00"/>
    <n v="1"/>
    <n v="20"/>
    <b v="0"/>
    <n v="0"/>
    <s v="Yes"/>
    <s v="Sunday"/>
    <n v="2"/>
    <x v="1"/>
    <x v="12"/>
    <x v="0"/>
    <n v="0.2727"/>
    <n v="0.65"/>
    <s v="Acceptable"/>
    <n v="0.1045"/>
    <n v="3"/>
    <n v="30"/>
    <n v="33"/>
  </r>
  <r>
    <n v="662"/>
    <d v="2011-01-30T00:00:00"/>
    <n v="1"/>
    <n v="21"/>
    <b v="0"/>
    <n v="0"/>
    <s v="Yes"/>
    <s v="Sunday"/>
    <n v="2"/>
    <x v="1"/>
    <x v="0"/>
    <x v="0"/>
    <n v="0.2424"/>
    <n v="0.7"/>
    <s v="Risky"/>
    <n v="0.16420000000000001"/>
    <n v="3"/>
    <n v="25"/>
    <n v="28"/>
  </r>
  <r>
    <n v="663"/>
    <d v="2011-01-30T00:00:00"/>
    <n v="1"/>
    <n v="22"/>
    <b v="0"/>
    <n v="0"/>
    <s v="Yes"/>
    <s v="Sunday"/>
    <n v="2"/>
    <x v="1"/>
    <x v="0"/>
    <x v="0"/>
    <n v="0.2273"/>
    <n v="0.7"/>
    <s v="Risky"/>
    <n v="0.19400000000000001"/>
    <n v="2"/>
    <n v="19"/>
    <n v="21"/>
  </r>
  <r>
    <n v="664"/>
    <d v="2011-01-30T00:00:00"/>
    <n v="1"/>
    <n v="23"/>
    <b v="0"/>
    <n v="0"/>
    <s v="Yes"/>
    <s v="Sunday"/>
    <n v="2"/>
    <x v="1"/>
    <x v="0"/>
    <x v="0"/>
    <n v="0.21210000000000001"/>
    <n v="0.65"/>
    <s v="Acceptable"/>
    <n v="0.28360000000000002"/>
    <n v="5"/>
    <n v="16"/>
    <n v="21"/>
  </r>
  <r>
    <n v="665"/>
    <d v="2011-01-31T00:00:00"/>
    <n v="1"/>
    <n v="0"/>
    <b v="0"/>
    <n v="1"/>
    <s v="No"/>
    <s v="Monday"/>
    <n v="2"/>
    <x v="1"/>
    <x v="0"/>
    <x v="0"/>
    <n v="0.2273"/>
    <n v="0.65"/>
    <s v="Acceptable"/>
    <n v="0.22389999999999999"/>
    <n v="1"/>
    <n v="6"/>
    <n v="7"/>
  </r>
  <r>
    <n v="666"/>
    <d v="2011-01-31T00:00:00"/>
    <n v="1"/>
    <n v="1"/>
    <b v="0"/>
    <n v="1"/>
    <s v="No"/>
    <s v="Monday"/>
    <n v="1"/>
    <x v="0"/>
    <x v="1"/>
    <x v="0"/>
    <n v="0.21210000000000001"/>
    <n v="0.64"/>
    <s v="Acceptable"/>
    <n v="0.25369999999999998"/>
    <n v="2"/>
    <n v="5"/>
    <n v="7"/>
  </r>
  <r>
    <n v="667"/>
    <d v="2011-01-31T00:00:00"/>
    <n v="1"/>
    <n v="2"/>
    <b v="0"/>
    <n v="1"/>
    <s v="No"/>
    <s v="Monday"/>
    <n v="1"/>
    <x v="0"/>
    <x v="1"/>
    <x v="0"/>
    <n v="0.2273"/>
    <n v="0.64"/>
    <s v="Acceptable"/>
    <n v="0.19400000000000001"/>
    <n v="0"/>
    <n v="1"/>
    <n v="1"/>
  </r>
  <r>
    <n v="668"/>
    <d v="2011-01-31T00:00:00"/>
    <n v="1"/>
    <n v="3"/>
    <b v="0"/>
    <n v="1"/>
    <s v="No"/>
    <s v="Monday"/>
    <n v="1"/>
    <x v="0"/>
    <x v="1"/>
    <x v="0"/>
    <n v="0.2273"/>
    <n v="0.64"/>
    <s v="Acceptable"/>
    <n v="0.19400000000000001"/>
    <n v="0"/>
    <n v="2"/>
    <n v="2"/>
  </r>
  <r>
    <n v="669"/>
    <d v="2011-01-31T00:00:00"/>
    <n v="1"/>
    <n v="4"/>
    <b v="0"/>
    <n v="1"/>
    <s v="No"/>
    <s v="Monday"/>
    <n v="1"/>
    <x v="0"/>
    <x v="2"/>
    <x v="0"/>
    <n v="0.19700000000000001"/>
    <n v="0.59"/>
    <s v="Acceptable"/>
    <n v="0.22389999999999999"/>
    <n v="0"/>
    <n v="2"/>
    <n v="2"/>
  </r>
  <r>
    <n v="670"/>
    <d v="2011-01-31T00:00:00"/>
    <n v="1"/>
    <n v="5"/>
    <b v="0"/>
    <n v="1"/>
    <s v="No"/>
    <s v="Monday"/>
    <n v="1"/>
    <x v="0"/>
    <x v="15"/>
    <x v="0"/>
    <n v="0.16669999999999999"/>
    <n v="0.64"/>
    <s v="Acceptable"/>
    <n v="0.28360000000000002"/>
    <n v="0"/>
    <n v="8"/>
    <n v="8"/>
  </r>
  <r>
    <n v="671"/>
    <d v="2011-01-31T00:00:00"/>
    <n v="1"/>
    <n v="6"/>
    <b v="0"/>
    <n v="1"/>
    <s v="No"/>
    <s v="Monday"/>
    <n v="1"/>
    <x v="0"/>
    <x v="13"/>
    <x v="0"/>
    <n v="0.13639999999999999"/>
    <n v="0.69"/>
    <s v="Acceptable"/>
    <n v="0.32840000000000003"/>
    <n v="0"/>
    <n v="37"/>
    <n v="37"/>
  </r>
  <r>
    <n v="672"/>
    <d v="2011-01-31T00:00:00"/>
    <n v="1"/>
    <n v="7"/>
    <b v="0"/>
    <n v="1"/>
    <s v="No"/>
    <s v="Monday"/>
    <n v="2"/>
    <x v="1"/>
    <x v="13"/>
    <x v="0"/>
    <n v="0.13639999999999999"/>
    <n v="0.64"/>
    <s v="Acceptable"/>
    <n v="0.28360000000000002"/>
    <n v="1"/>
    <n v="71"/>
    <n v="72"/>
  </r>
  <r>
    <n v="673"/>
    <d v="2011-01-31T00:00:00"/>
    <n v="1"/>
    <n v="8"/>
    <b v="0"/>
    <n v="1"/>
    <s v="No"/>
    <s v="Monday"/>
    <n v="2"/>
    <x v="1"/>
    <x v="13"/>
    <x v="0"/>
    <n v="0.13639999999999999"/>
    <n v="0.59"/>
    <s v="Acceptable"/>
    <n v="0.28360000000000002"/>
    <n v="3"/>
    <n v="182"/>
    <n v="185"/>
  </r>
  <r>
    <n v="674"/>
    <d v="2011-01-31T00:00:00"/>
    <n v="1"/>
    <n v="9"/>
    <b v="0"/>
    <n v="1"/>
    <s v="No"/>
    <s v="Monday"/>
    <n v="2"/>
    <x v="1"/>
    <x v="13"/>
    <x v="0"/>
    <n v="0.13639999999999999"/>
    <n v="0.59"/>
    <s v="Acceptable"/>
    <n v="0.29849999999999999"/>
    <n v="0"/>
    <n v="112"/>
    <n v="112"/>
  </r>
  <r>
    <n v="675"/>
    <d v="2011-01-31T00:00:00"/>
    <n v="1"/>
    <n v="10"/>
    <b v="0"/>
    <n v="1"/>
    <s v="No"/>
    <s v="Monday"/>
    <n v="2"/>
    <x v="1"/>
    <x v="13"/>
    <x v="0"/>
    <n v="0.1515"/>
    <n v="0.59"/>
    <s v="Acceptable"/>
    <n v="0.19400000000000001"/>
    <n v="1"/>
    <n v="68"/>
    <n v="69"/>
  </r>
  <r>
    <n v="676"/>
    <d v="2011-01-31T00:00:00"/>
    <n v="1"/>
    <n v="11"/>
    <b v="0"/>
    <n v="1"/>
    <s v="No"/>
    <s v="Monday"/>
    <n v="2"/>
    <x v="1"/>
    <x v="13"/>
    <x v="0"/>
    <n v="0.1515"/>
    <n v="0.59"/>
    <s v="Acceptable"/>
    <n v="0.19400000000000001"/>
    <n v="2"/>
    <n v="46"/>
    <n v="48"/>
  </r>
  <r>
    <n v="677"/>
    <d v="2011-01-31T00:00:00"/>
    <n v="1"/>
    <n v="12"/>
    <b v="0"/>
    <n v="1"/>
    <s v="No"/>
    <s v="Monday"/>
    <n v="2"/>
    <x v="1"/>
    <x v="15"/>
    <x v="0"/>
    <n v="0.21210000000000001"/>
    <n v="0.55000000000000004"/>
    <s v="Acceptable"/>
    <n v="0.1045"/>
    <n v="6"/>
    <n v="62"/>
    <n v="68"/>
  </r>
  <r>
    <n v="678"/>
    <d v="2011-01-31T00:00:00"/>
    <n v="1"/>
    <n v="13"/>
    <b v="0"/>
    <n v="1"/>
    <s v="No"/>
    <s v="Monday"/>
    <n v="2"/>
    <x v="1"/>
    <x v="13"/>
    <x v="0"/>
    <n v="0.2273"/>
    <n v="0.59"/>
    <s v="Acceptable"/>
    <n v="0"/>
    <n v="2"/>
    <n v="52"/>
    <n v="54"/>
  </r>
  <r>
    <n v="679"/>
    <d v="2011-01-31T00:00:00"/>
    <n v="1"/>
    <n v="14"/>
    <b v="0"/>
    <n v="1"/>
    <s v="No"/>
    <s v="Monday"/>
    <n v="2"/>
    <x v="1"/>
    <x v="15"/>
    <x v="0"/>
    <n v="0.19700000000000001"/>
    <n v="0.55000000000000004"/>
    <s v="Acceptable"/>
    <n v="0.1343"/>
    <n v="1"/>
    <n v="85"/>
    <n v="86"/>
  </r>
  <r>
    <n v="680"/>
    <d v="2011-01-31T00:00:00"/>
    <n v="1"/>
    <n v="15"/>
    <b v="0"/>
    <n v="1"/>
    <s v="No"/>
    <s v="Monday"/>
    <n v="2"/>
    <x v="1"/>
    <x v="13"/>
    <x v="0"/>
    <n v="0.18179999999999999"/>
    <n v="0.59"/>
    <s v="Acceptable"/>
    <n v="0.1343"/>
    <n v="3"/>
    <n v="41"/>
    <n v="44"/>
  </r>
  <r>
    <n v="681"/>
    <d v="2011-01-31T00:00:00"/>
    <n v="1"/>
    <n v="16"/>
    <b v="0"/>
    <n v="1"/>
    <s v="No"/>
    <s v="Monday"/>
    <n v="2"/>
    <x v="1"/>
    <x v="13"/>
    <x v="0"/>
    <n v="0.18179999999999999"/>
    <n v="0.56000000000000005"/>
    <s v="Acceptable"/>
    <n v="0.19400000000000001"/>
    <n v="3"/>
    <n v="83"/>
    <n v="86"/>
  </r>
  <r>
    <n v="682"/>
    <d v="2011-01-31T00:00:00"/>
    <n v="1"/>
    <n v="17"/>
    <b v="0"/>
    <n v="1"/>
    <s v="No"/>
    <s v="Monday"/>
    <n v="2"/>
    <x v="1"/>
    <x v="13"/>
    <x v="0"/>
    <n v="0.1515"/>
    <n v="0.59"/>
    <s v="Acceptable"/>
    <n v="0.19400000000000001"/>
    <n v="6"/>
    <n v="155"/>
    <n v="161"/>
  </r>
  <r>
    <n v="683"/>
    <d v="2011-01-31T00:00:00"/>
    <n v="1"/>
    <n v="18"/>
    <b v="0"/>
    <n v="1"/>
    <s v="No"/>
    <s v="Monday"/>
    <n v="2"/>
    <x v="1"/>
    <x v="13"/>
    <x v="0"/>
    <n v="0.1515"/>
    <n v="0.55000000000000004"/>
    <s v="Acceptable"/>
    <n v="0.22389999999999999"/>
    <n v="3"/>
    <n v="153"/>
    <n v="156"/>
  </r>
  <r>
    <n v="684"/>
    <d v="2011-01-31T00:00:00"/>
    <n v="1"/>
    <n v="19"/>
    <b v="0"/>
    <n v="1"/>
    <s v="No"/>
    <s v="Monday"/>
    <n v="1"/>
    <x v="0"/>
    <x v="11"/>
    <x v="0"/>
    <n v="0.31819999999999998"/>
    <n v="0.61"/>
    <s v="Acceptable"/>
    <n v="0.1045"/>
    <n v="3"/>
    <n v="108"/>
    <n v="111"/>
  </r>
  <r>
    <n v="685"/>
    <d v="2011-01-31T00:00:00"/>
    <n v="1"/>
    <n v="20"/>
    <b v="0"/>
    <n v="1"/>
    <s v="No"/>
    <s v="Monday"/>
    <n v="3"/>
    <x v="2"/>
    <x v="13"/>
    <x v="0"/>
    <n v="0.16669999999999999"/>
    <n v="0.59"/>
    <s v="Acceptable"/>
    <n v="0.16420000000000001"/>
    <n v="0"/>
    <n v="78"/>
    <n v="78"/>
  </r>
  <r>
    <n v="686"/>
    <d v="2011-01-31T00:00:00"/>
    <n v="1"/>
    <n v="21"/>
    <b v="0"/>
    <n v="1"/>
    <s v="No"/>
    <s v="Monday"/>
    <n v="3"/>
    <x v="2"/>
    <x v="13"/>
    <x v="0"/>
    <n v="0.19700000000000001"/>
    <n v="0.59"/>
    <s v="Acceptable"/>
    <n v="8.9599999999999999E-2"/>
    <n v="3"/>
    <n v="53"/>
    <n v="56"/>
  </r>
  <r>
    <n v="687"/>
    <d v="2011-01-31T00:00:00"/>
    <n v="1"/>
    <n v="22"/>
    <b v="0"/>
    <n v="1"/>
    <s v="No"/>
    <s v="Monday"/>
    <n v="2"/>
    <x v="1"/>
    <x v="13"/>
    <x v="0"/>
    <n v="0.18179999999999999"/>
    <n v="0.59"/>
    <s v="Acceptable"/>
    <n v="0.1045"/>
    <n v="0"/>
    <n v="34"/>
    <n v="34"/>
  </r>
  <r>
    <n v="688"/>
    <d v="2011-01-31T00:00:00"/>
    <n v="1"/>
    <n v="23"/>
    <b v="0"/>
    <n v="1"/>
    <s v="No"/>
    <s v="Monday"/>
    <n v="2"/>
    <x v="1"/>
    <x v="13"/>
    <x v="0"/>
    <n v="0.19700000000000001"/>
    <n v="0.64"/>
    <s v="Acceptable"/>
    <n v="8.9599999999999999E-2"/>
    <n v="2"/>
    <n v="15"/>
    <n v="17"/>
  </r>
  <r>
    <n v="689"/>
    <d v="2011-02-01T00:00:00"/>
    <n v="2"/>
    <n v="0"/>
    <b v="0"/>
    <n v="2"/>
    <s v="No"/>
    <s v="Tuesday"/>
    <n v="2"/>
    <x v="1"/>
    <x v="13"/>
    <x v="0"/>
    <n v="0.18179999999999999"/>
    <n v="0.64"/>
    <s v="Acceptable"/>
    <n v="0.1045"/>
    <n v="2"/>
    <n v="6"/>
    <n v="8"/>
  </r>
  <r>
    <n v="690"/>
    <d v="2011-02-01T00:00:00"/>
    <n v="2"/>
    <n v="1"/>
    <b v="0"/>
    <n v="2"/>
    <s v="No"/>
    <s v="Tuesday"/>
    <n v="2"/>
    <x v="1"/>
    <x v="13"/>
    <x v="0"/>
    <n v="0.18179999999999999"/>
    <n v="0.69"/>
    <s v="Acceptable"/>
    <n v="0.1045"/>
    <n v="0"/>
    <n v="3"/>
    <n v="3"/>
  </r>
  <r>
    <n v="691"/>
    <d v="2011-02-01T00:00:00"/>
    <n v="2"/>
    <n v="2"/>
    <b v="0"/>
    <n v="2"/>
    <s v="No"/>
    <s v="Tuesday"/>
    <n v="2"/>
    <x v="1"/>
    <x v="13"/>
    <x v="0"/>
    <n v="0.2273"/>
    <n v="0.69"/>
    <s v="Acceptable"/>
    <n v="0"/>
    <n v="0"/>
    <n v="2"/>
    <n v="2"/>
  </r>
  <r>
    <n v="692"/>
    <d v="2011-02-01T00:00:00"/>
    <n v="2"/>
    <n v="3"/>
    <b v="0"/>
    <n v="2"/>
    <s v="No"/>
    <s v="Tuesday"/>
    <n v="2"/>
    <x v="1"/>
    <x v="13"/>
    <x v="0"/>
    <n v="0.2273"/>
    <n v="0.69"/>
    <s v="Acceptable"/>
    <n v="0"/>
    <n v="0"/>
    <n v="2"/>
    <n v="2"/>
  </r>
  <r>
    <n v="693"/>
    <d v="2011-02-01T00:00:00"/>
    <n v="2"/>
    <n v="5"/>
    <b v="0"/>
    <n v="2"/>
    <s v="No"/>
    <s v="Tuesday"/>
    <n v="3"/>
    <x v="2"/>
    <x v="14"/>
    <x v="0"/>
    <n v="0.21210000000000001"/>
    <n v="0.93"/>
    <s v="Risky"/>
    <n v="0"/>
    <n v="0"/>
    <n v="3"/>
    <n v="3"/>
  </r>
  <r>
    <n v="694"/>
    <d v="2011-02-01T00:00:00"/>
    <n v="2"/>
    <n v="6"/>
    <b v="0"/>
    <n v="2"/>
    <s v="No"/>
    <s v="Tuesday"/>
    <n v="3"/>
    <x v="2"/>
    <x v="14"/>
    <x v="0"/>
    <n v="0.21210000000000001"/>
    <n v="0.93"/>
    <s v="Risky"/>
    <n v="0"/>
    <n v="0"/>
    <n v="22"/>
    <n v="22"/>
  </r>
  <r>
    <n v="695"/>
    <d v="2011-02-01T00:00:00"/>
    <n v="2"/>
    <n v="7"/>
    <b v="0"/>
    <n v="2"/>
    <s v="No"/>
    <s v="Tuesday"/>
    <n v="3"/>
    <x v="2"/>
    <x v="13"/>
    <x v="0"/>
    <n v="0.2273"/>
    <n v="0.93"/>
    <s v="Risky"/>
    <n v="0"/>
    <n v="0"/>
    <n v="52"/>
    <n v="52"/>
  </r>
  <r>
    <n v="696"/>
    <d v="2011-02-01T00:00:00"/>
    <n v="2"/>
    <n v="8"/>
    <b v="0"/>
    <n v="2"/>
    <s v="No"/>
    <s v="Tuesday"/>
    <n v="3"/>
    <x v="2"/>
    <x v="13"/>
    <x v="0"/>
    <n v="0.2273"/>
    <n v="0.93"/>
    <s v="Risky"/>
    <n v="0"/>
    <n v="3"/>
    <n v="132"/>
    <n v="135"/>
  </r>
  <r>
    <n v="697"/>
    <d v="2011-02-01T00:00:00"/>
    <n v="2"/>
    <n v="9"/>
    <b v="0"/>
    <n v="2"/>
    <s v="No"/>
    <s v="Tuesday"/>
    <n v="2"/>
    <x v="1"/>
    <x v="13"/>
    <x v="0"/>
    <n v="0.2273"/>
    <n v="0.93"/>
    <s v="Risky"/>
    <n v="0"/>
    <n v="2"/>
    <n v="114"/>
    <n v="116"/>
  </r>
  <r>
    <n v="698"/>
    <d v="2011-02-01T00:00:00"/>
    <n v="2"/>
    <n v="10"/>
    <b v="0"/>
    <n v="2"/>
    <s v="No"/>
    <s v="Tuesday"/>
    <n v="2"/>
    <x v="1"/>
    <x v="13"/>
    <x v="0"/>
    <n v="0.2273"/>
    <n v="0.93"/>
    <s v="Risky"/>
    <n v="0"/>
    <n v="0"/>
    <n v="47"/>
    <n v="47"/>
  </r>
  <r>
    <n v="699"/>
    <d v="2011-02-01T00:00:00"/>
    <n v="2"/>
    <n v="11"/>
    <b v="0"/>
    <n v="2"/>
    <s v="No"/>
    <s v="Tuesday"/>
    <n v="2"/>
    <x v="1"/>
    <x v="15"/>
    <x v="0"/>
    <n v="0.2424"/>
    <n v="0.86"/>
    <s v="Risky"/>
    <n v="0"/>
    <n v="2"/>
    <n v="49"/>
    <n v="51"/>
  </r>
  <r>
    <n v="700"/>
    <d v="2011-02-01T00:00:00"/>
    <n v="2"/>
    <n v="12"/>
    <b v="0"/>
    <n v="2"/>
    <s v="No"/>
    <s v="Tuesday"/>
    <n v="2"/>
    <x v="1"/>
    <x v="2"/>
    <x v="0"/>
    <n v="0.2576"/>
    <n v="0.86"/>
    <s v="Risky"/>
    <n v="0"/>
    <n v="2"/>
    <n v="53"/>
    <n v="55"/>
  </r>
  <r>
    <n v="701"/>
    <d v="2011-02-01T00:00:00"/>
    <n v="2"/>
    <n v="13"/>
    <b v="0"/>
    <n v="2"/>
    <s v="No"/>
    <s v="Tuesday"/>
    <n v="2"/>
    <x v="1"/>
    <x v="2"/>
    <x v="0"/>
    <n v="0.2576"/>
    <n v="0.86"/>
    <s v="Risky"/>
    <n v="0"/>
    <n v="3"/>
    <n v="49"/>
    <n v="52"/>
  </r>
  <r>
    <n v="702"/>
    <d v="2011-02-01T00:00:00"/>
    <n v="2"/>
    <n v="14"/>
    <b v="0"/>
    <n v="2"/>
    <s v="No"/>
    <s v="Tuesday"/>
    <n v="2"/>
    <x v="1"/>
    <x v="1"/>
    <x v="0"/>
    <n v="0.2576"/>
    <n v="0.8"/>
    <s v="Risky"/>
    <n v="8.9599999999999999E-2"/>
    <n v="5"/>
    <n v="49"/>
    <n v="54"/>
  </r>
  <r>
    <n v="703"/>
    <d v="2011-02-01T00:00:00"/>
    <n v="2"/>
    <n v="15"/>
    <b v="0"/>
    <n v="2"/>
    <s v="No"/>
    <s v="Tuesday"/>
    <n v="2"/>
    <x v="1"/>
    <x v="0"/>
    <x v="0"/>
    <n v="0.28789999999999999"/>
    <n v="0.75"/>
    <s v="Risky"/>
    <n v="0"/>
    <n v="7"/>
    <n v="45"/>
    <n v="52"/>
  </r>
  <r>
    <n v="704"/>
    <d v="2011-02-01T00:00:00"/>
    <n v="2"/>
    <n v="16"/>
    <b v="0"/>
    <n v="2"/>
    <s v="No"/>
    <s v="Tuesday"/>
    <n v="2"/>
    <x v="1"/>
    <x v="0"/>
    <x v="0"/>
    <n v="0.2424"/>
    <n v="0.75"/>
    <s v="Risky"/>
    <n v="0.1343"/>
    <n v="3"/>
    <n v="61"/>
    <n v="64"/>
  </r>
  <r>
    <n v="705"/>
    <d v="2011-02-01T00:00:00"/>
    <n v="2"/>
    <n v="17"/>
    <b v="0"/>
    <n v="2"/>
    <s v="No"/>
    <s v="Tuesday"/>
    <n v="2"/>
    <x v="1"/>
    <x v="0"/>
    <x v="0"/>
    <n v="0.28789999999999999"/>
    <n v="0.75"/>
    <s v="Risky"/>
    <n v="0"/>
    <n v="4"/>
    <n v="172"/>
    <n v="176"/>
  </r>
  <r>
    <n v="706"/>
    <d v="2011-02-01T00:00:00"/>
    <n v="2"/>
    <n v="18"/>
    <b v="0"/>
    <n v="2"/>
    <s v="No"/>
    <s v="Tuesday"/>
    <n v="2"/>
    <x v="1"/>
    <x v="0"/>
    <x v="0"/>
    <n v="0.2576"/>
    <n v="0.81"/>
    <s v="Risky"/>
    <n v="0.1045"/>
    <n v="3"/>
    <n v="165"/>
    <n v="168"/>
  </r>
  <r>
    <n v="707"/>
    <d v="2011-02-01T00:00:00"/>
    <n v="2"/>
    <n v="19"/>
    <b v="0"/>
    <n v="2"/>
    <s v="No"/>
    <s v="Tuesday"/>
    <n v="2"/>
    <x v="1"/>
    <x v="0"/>
    <x v="0"/>
    <n v="0.2424"/>
    <n v="0.81"/>
    <s v="Risky"/>
    <n v="0.1343"/>
    <n v="3"/>
    <n v="105"/>
    <n v="108"/>
  </r>
  <r>
    <n v="708"/>
    <d v="2011-02-01T00:00:00"/>
    <n v="2"/>
    <n v="20"/>
    <b v="0"/>
    <n v="2"/>
    <s v="No"/>
    <s v="Tuesday"/>
    <n v="2"/>
    <x v="1"/>
    <x v="1"/>
    <x v="0"/>
    <n v="0.2273"/>
    <n v="0.87"/>
    <s v="Risky"/>
    <n v="0.1343"/>
    <n v="5"/>
    <n v="69"/>
    <n v="74"/>
  </r>
  <r>
    <n v="709"/>
    <d v="2011-02-01T00:00:00"/>
    <n v="2"/>
    <n v="21"/>
    <b v="0"/>
    <n v="2"/>
    <s v="No"/>
    <s v="Tuesday"/>
    <n v="2"/>
    <x v="1"/>
    <x v="1"/>
    <x v="0"/>
    <n v="0.2273"/>
    <n v="0.87"/>
    <s v="Risky"/>
    <n v="0.1343"/>
    <n v="0"/>
    <n v="64"/>
    <n v="64"/>
  </r>
  <r>
    <n v="710"/>
    <d v="2011-02-01T00:00:00"/>
    <n v="2"/>
    <n v="22"/>
    <b v="0"/>
    <n v="2"/>
    <s v="No"/>
    <s v="Tuesday"/>
    <n v="2"/>
    <x v="1"/>
    <x v="1"/>
    <x v="0"/>
    <n v="0.2576"/>
    <n v="0.87"/>
    <s v="Risky"/>
    <n v="8.9599999999999999E-2"/>
    <n v="2"/>
    <n v="34"/>
    <n v="36"/>
  </r>
  <r>
    <n v="711"/>
    <d v="2011-02-01T00:00:00"/>
    <n v="2"/>
    <n v="23"/>
    <b v="0"/>
    <n v="2"/>
    <s v="No"/>
    <s v="Tuesday"/>
    <n v="3"/>
    <x v="2"/>
    <x v="2"/>
    <x v="0"/>
    <n v="0.19700000000000001"/>
    <n v="0.93"/>
    <s v="Risky"/>
    <n v="0.19400000000000001"/>
    <n v="1"/>
    <n v="15"/>
    <n v="16"/>
  </r>
  <r>
    <n v="712"/>
    <d v="2011-02-02T00:00:00"/>
    <n v="2"/>
    <n v="0"/>
    <b v="0"/>
    <n v="3"/>
    <s v="No"/>
    <s v="Wednesday"/>
    <n v="3"/>
    <x v="2"/>
    <x v="1"/>
    <x v="0"/>
    <n v="0.2424"/>
    <n v="0.93"/>
    <s v="Risky"/>
    <n v="0.1045"/>
    <n v="0"/>
    <n v="2"/>
    <n v="2"/>
  </r>
  <r>
    <n v="713"/>
    <d v="2011-02-02T00:00:00"/>
    <n v="2"/>
    <n v="1"/>
    <b v="0"/>
    <n v="3"/>
    <s v="No"/>
    <s v="Wednesday"/>
    <n v="3"/>
    <x v="2"/>
    <x v="1"/>
    <x v="0"/>
    <n v="0.2273"/>
    <n v="0.93"/>
    <s v="Risky"/>
    <n v="0.19400000000000001"/>
    <n v="0"/>
    <n v="3"/>
    <n v="3"/>
  </r>
  <r>
    <n v="714"/>
    <d v="2011-02-02T00:00:00"/>
    <n v="2"/>
    <n v="2"/>
    <b v="0"/>
    <n v="3"/>
    <s v="No"/>
    <s v="Wednesday"/>
    <n v="3"/>
    <x v="2"/>
    <x v="1"/>
    <x v="0"/>
    <n v="0.2273"/>
    <n v="0.93"/>
    <s v="Risky"/>
    <n v="0.1343"/>
    <n v="4"/>
    <n v="0"/>
    <n v="4"/>
  </r>
  <r>
    <n v="715"/>
    <d v="2011-02-02T00:00:00"/>
    <n v="2"/>
    <n v="3"/>
    <b v="0"/>
    <n v="3"/>
    <s v="No"/>
    <s v="Wednesday"/>
    <n v="3"/>
    <x v="2"/>
    <x v="1"/>
    <x v="0"/>
    <n v="0.2273"/>
    <n v="0.93"/>
    <s v="Risky"/>
    <n v="0.1343"/>
    <n v="0"/>
    <n v="1"/>
    <n v="1"/>
  </r>
  <r>
    <n v="716"/>
    <d v="2011-02-02T00:00:00"/>
    <n v="2"/>
    <n v="4"/>
    <b v="0"/>
    <n v="3"/>
    <s v="No"/>
    <s v="Wednesday"/>
    <n v="3"/>
    <x v="2"/>
    <x v="1"/>
    <x v="0"/>
    <n v="0.21210000000000001"/>
    <n v="0.93"/>
    <s v="Risky"/>
    <n v="0.28360000000000002"/>
    <n v="0"/>
    <n v="1"/>
    <n v="1"/>
  </r>
  <r>
    <n v="717"/>
    <d v="2011-02-02T00:00:00"/>
    <n v="2"/>
    <n v="5"/>
    <b v="0"/>
    <n v="3"/>
    <s v="No"/>
    <s v="Wednesday"/>
    <n v="3"/>
    <x v="2"/>
    <x v="1"/>
    <x v="0"/>
    <n v="0.2424"/>
    <n v="0.93"/>
    <s v="Risky"/>
    <n v="0.1045"/>
    <n v="0"/>
    <n v="3"/>
    <n v="3"/>
  </r>
  <r>
    <n v="718"/>
    <d v="2011-02-02T00:00:00"/>
    <n v="2"/>
    <n v="6"/>
    <b v="0"/>
    <n v="3"/>
    <s v="No"/>
    <s v="Wednesday"/>
    <n v="3"/>
    <x v="2"/>
    <x v="1"/>
    <x v="0"/>
    <n v="0.2424"/>
    <n v="0.93"/>
    <s v="Risky"/>
    <n v="0.1045"/>
    <n v="1"/>
    <n v="17"/>
    <n v="18"/>
  </r>
  <r>
    <n v="719"/>
    <d v="2011-02-02T00:00:00"/>
    <n v="2"/>
    <n v="7"/>
    <b v="0"/>
    <n v="3"/>
    <s v="No"/>
    <s v="Wednesday"/>
    <n v="3"/>
    <x v="2"/>
    <x v="1"/>
    <x v="0"/>
    <n v="0.21210000000000001"/>
    <n v="0.93"/>
    <s v="Risky"/>
    <n v="0.22389999999999999"/>
    <n v="1"/>
    <n v="48"/>
    <n v="49"/>
  </r>
  <r>
    <n v="720"/>
    <d v="2011-02-02T00:00:00"/>
    <n v="2"/>
    <n v="8"/>
    <b v="0"/>
    <n v="3"/>
    <s v="No"/>
    <s v="Wednesday"/>
    <n v="3"/>
    <x v="2"/>
    <x v="1"/>
    <x v="0"/>
    <n v="0.21210000000000001"/>
    <n v="0.93"/>
    <s v="Risky"/>
    <n v="0.22389999999999999"/>
    <n v="1"/>
    <n v="154"/>
    <n v="155"/>
  </r>
  <r>
    <n v="721"/>
    <d v="2011-02-02T00:00:00"/>
    <n v="2"/>
    <n v="9"/>
    <b v="0"/>
    <n v="3"/>
    <s v="No"/>
    <s v="Wednesday"/>
    <n v="2"/>
    <x v="1"/>
    <x v="0"/>
    <x v="0"/>
    <n v="0.2576"/>
    <n v="0.93"/>
    <s v="Risky"/>
    <n v="8.9599999999999999E-2"/>
    <n v="4"/>
    <n v="119"/>
    <n v="123"/>
  </r>
  <r>
    <n v="722"/>
    <d v="2011-02-02T00:00:00"/>
    <n v="2"/>
    <n v="10"/>
    <b v="0"/>
    <n v="3"/>
    <s v="No"/>
    <s v="Wednesday"/>
    <n v="2"/>
    <x v="1"/>
    <x v="1"/>
    <x v="0"/>
    <n v="0.2727"/>
    <n v="1"/>
    <s v="Risky"/>
    <n v="0"/>
    <n v="2"/>
    <n v="59"/>
    <n v="61"/>
  </r>
  <r>
    <n v="723"/>
    <d v="2011-02-02T00:00:00"/>
    <n v="2"/>
    <n v="11"/>
    <b v="0"/>
    <n v="3"/>
    <s v="No"/>
    <s v="Wednesday"/>
    <n v="2"/>
    <x v="1"/>
    <x v="0"/>
    <x v="0"/>
    <n v="0.2273"/>
    <n v="0.93"/>
    <s v="Risky"/>
    <n v="0.19400000000000001"/>
    <n v="5"/>
    <n v="47"/>
    <n v="52"/>
  </r>
  <r>
    <n v="724"/>
    <d v="2011-02-02T00:00:00"/>
    <n v="2"/>
    <n v="12"/>
    <b v="0"/>
    <n v="3"/>
    <s v="No"/>
    <s v="Wednesday"/>
    <n v="2"/>
    <x v="1"/>
    <x v="0"/>
    <x v="0"/>
    <n v="0.2273"/>
    <n v="0.93"/>
    <s v="Risky"/>
    <n v="0.22389999999999999"/>
    <n v="3"/>
    <n v="61"/>
    <n v="64"/>
  </r>
  <r>
    <n v="725"/>
    <d v="2011-02-02T00:00:00"/>
    <n v="2"/>
    <n v="13"/>
    <b v="0"/>
    <n v="3"/>
    <s v="No"/>
    <s v="Wednesday"/>
    <n v="1"/>
    <x v="0"/>
    <x v="10"/>
    <x v="0"/>
    <n v="0.33329999999999999"/>
    <n v="0.93"/>
    <s v="Risky"/>
    <n v="0.16420000000000001"/>
    <n v="1"/>
    <n v="74"/>
    <n v="75"/>
  </r>
  <r>
    <n v="726"/>
    <d v="2011-02-02T00:00:00"/>
    <n v="2"/>
    <n v="14"/>
    <b v="0"/>
    <n v="3"/>
    <s v="No"/>
    <s v="Wednesday"/>
    <n v="1"/>
    <x v="0"/>
    <x v="4"/>
    <x v="1"/>
    <n v="0.39389999999999997"/>
    <n v="0.82"/>
    <s v="Risky"/>
    <n v="0.3881"/>
    <n v="2"/>
    <n v="61"/>
    <n v="63"/>
  </r>
  <r>
    <n v="727"/>
    <d v="2011-02-02T00:00:00"/>
    <n v="2"/>
    <n v="15"/>
    <b v="0"/>
    <n v="3"/>
    <s v="No"/>
    <s v="Wednesday"/>
    <n v="1"/>
    <x v="0"/>
    <x v="4"/>
    <x v="1"/>
    <n v="0.39389999999999997"/>
    <n v="0.76"/>
    <s v="Risky"/>
    <n v="0.32840000000000003"/>
    <n v="10"/>
    <n v="66"/>
    <n v="76"/>
  </r>
  <r>
    <n v="728"/>
    <d v="2011-02-02T00:00:00"/>
    <n v="2"/>
    <n v="16"/>
    <b v="0"/>
    <n v="3"/>
    <s v="No"/>
    <s v="Wednesday"/>
    <n v="1"/>
    <x v="0"/>
    <x v="5"/>
    <x v="1"/>
    <n v="0.33329999999999999"/>
    <n v="0.71"/>
    <s v="Risky"/>
    <n v="0.29849999999999999"/>
    <n v="8"/>
    <n v="95"/>
    <n v="103"/>
  </r>
  <r>
    <n v="729"/>
    <d v="2011-02-02T00:00:00"/>
    <n v="2"/>
    <n v="17"/>
    <b v="0"/>
    <n v="3"/>
    <s v="No"/>
    <s v="Wednesday"/>
    <n v="1"/>
    <x v="0"/>
    <x v="5"/>
    <x v="1"/>
    <n v="0.31819999999999998"/>
    <n v="0.53"/>
    <s v="Acceptable"/>
    <n v="0.52239999999999998"/>
    <n v="7"/>
    <n v="183"/>
    <n v="190"/>
  </r>
  <r>
    <n v="730"/>
    <d v="2011-02-02T00:00:00"/>
    <n v="2"/>
    <n v="18"/>
    <b v="0"/>
    <n v="3"/>
    <s v="No"/>
    <s v="Wednesday"/>
    <n v="1"/>
    <x v="0"/>
    <x v="10"/>
    <x v="0"/>
    <n v="0.28789999999999999"/>
    <n v="0.42"/>
    <s v="Acceptable"/>
    <n v="0.55220000000000002"/>
    <n v="7"/>
    <n v="175"/>
    <n v="182"/>
  </r>
  <r>
    <n v="731"/>
    <d v="2011-02-02T00:00:00"/>
    <n v="2"/>
    <n v="19"/>
    <b v="0"/>
    <n v="3"/>
    <s v="No"/>
    <s v="Wednesday"/>
    <n v="1"/>
    <x v="0"/>
    <x v="17"/>
    <x v="0"/>
    <n v="0.2424"/>
    <n v="0.45"/>
    <s v="Acceptable"/>
    <n v="0.49249999999999999"/>
    <n v="3"/>
    <n v="88"/>
    <n v="91"/>
  </r>
  <r>
    <n v="732"/>
    <d v="2011-02-02T00:00:00"/>
    <n v="2"/>
    <n v="20"/>
    <b v="0"/>
    <n v="3"/>
    <s v="No"/>
    <s v="Wednesday"/>
    <n v="1"/>
    <x v="0"/>
    <x v="0"/>
    <x v="0"/>
    <n v="0.19700000000000001"/>
    <n v="0.48"/>
    <s v="Acceptable"/>
    <n v="0.55220000000000002"/>
    <n v="4"/>
    <n v="71"/>
    <n v="75"/>
  </r>
  <r>
    <n v="733"/>
    <d v="2011-02-02T00:00:00"/>
    <n v="2"/>
    <n v="21"/>
    <b v="0"/>
    <n v="3"/>
    <s v="No"/>
    <s v="Wednesday"/>
    <n v="1"/>
    <x v="0"/>
    <x v="1"/>
    <x v="0"/>
    <n v="0.19700000000000001"/>
    <n v="0.47"/>
    <s v="Acceptable"/>
    <n v="0.32840000000000003"/>
    <n v="1"/>
    <n v="62"/>
    <n v="63"/>
  </r>
  <r>
    <n v="734"/>
    <d v="2011-02-02T00:00:00"/>
    <n v="2"/>
    <n v="22"/>
    <b v="0"/>
    <n v="3"/>
    <s v="No"/>
    <s v="Wednesday"/>
    <n v="1"/>
    <x v="0"/>
    <x v="1"/>
    <x v="0"/>
    <n v="0.21210000000000001"/>
    <n v="0.44"/>
    <s v="Acceptable"/>
    <n v="0.25369999999999998"/>
    <n v="5"/>
    <n v="35"/>
    <n v="40"/>
  </r>
  <r>
    <n v="735"/>
    <d v="2011-02-02T00:00:00"/>
    <n v="2"/>
    <n v="23"/>
    <b v="0"/>
    <n v="3"/>
    <s v="No"/>
    <s v="Wednesday"/>
    <n v="1"/>
    <x v="0"/>
    <x v="2"/>
    <x v="0"/>
    <n v="0.16669999999999999"/>
    <n v="0.44"/>
    <s v="Acceptable"/>
    <n v="0.44779999999999998"/>
    <n v="3"/>
    <n v="29"/>
    <n v="32"/>
  </r>
  <r>
    <n v="736"/>
    <d v="2011-02-03T00:00:00"/>
    <n v="2"/>
    <n v="0"/>
    <b v="0"/>
    <n v="4"/>
    <s v="No"/>
    <s v="Thursday"/>
    <n v="1"/>
    <x v="0"/>
    <x v="2"/>
    <x v="0"/>
    <n v="0.16669999999999999"/>
    <n v="0.4"/>
    <s v="Acceptable"/>
    <n v="0.44779999999999998"/>
    <n v="1"/>
    <n v="11"/>
    <n v="12"/>
  </r>
  <r>
    <n v="737"/>
    <d v="2011-02-03T00:00:00"/>
    <n v="2"/>
    <n v="1"/>
    <b v="0"/>
    <n v="4"/>
    <s v="No"/>
    <s v="Thursday"/>
    <n v="1"/>
    <x v="0"/>
    <x v="2"/>
    <x v="0"/>
    <n v="0.1515"/>
    <n v="0.44"/>
    <s v="Acceptable"/>
    <n v="0.52239999999999998"/>
    <n v="0"/>
    <n v="5"/>
    <n v="5"/>
  </r>
  <r>
    <n v="738"/>
    <d v="2011-02-03T00:00:00"/>
    <n v="2"/>
    <n v="2"/>
    <b v="0"/>
    <n v="4"/>
    <s v="No"/>
    <s v="Thursday"/>
    <n v="1"/>
    <x v="0"/>
    <x v="15"/>
    <x v="0"/>
    <n v="0.16669999999999999"/>
    <n v="0.43"/>
    <s v="Acceptable"/>
    <n v="0.25369999999999998"/>
    <n v="0"/>
    <n v="2"/>
    <n v="2"/>
  </r>
  <r>
    <n v="739"/>
    <d v="2011-02-03T00:00:00"/>
    <n v="2"/>
    <n v="3"/>
    <b v="0"/>
    <n v="4"/>
    <s v="No"/>
    <s v="Thursday"/>
    <n v="1"/>
    <x v="0"/>
    <x v="15"/>
    <x v="0"/>
    <n v="0.16669999999999999"/>
    <n v="0.43"/>
    <s v="Acceptable"/>
    <n v="0.25369999999999998"/>
    <n v="0"/>
    <n v="1"/>
    <n v="1"/>
  </r>
  <r>
    <n v="740"/>
    <d v="2011-02-03T00:00:00"/>
    <n v="2"/>
    <n v="5"/>
    <b v="0"/>
    <n v="4"/>
    <s v="No"/>
    <s v="Thursday"/>
    <n v="1"/>
    <x v="0"/>
    <x v="13"/>
    <x v="0"/>
    <n v="0.13639999999999999"/>
    <n v="0.5"/>
    <s v="Acceptable"/>
    <n v="0.29849999999999999"/>
    <n v="0"/>
    <n v="2"/>
    <n v="2"/>
  </r>
  <r>
    <n v="741"/>
    <d v="2011-02-03T00:00:00"/>
    <n v="2"/>
    <n v="6"/>
    <b v="0"/>
    <n v="4"/>
    <s v="No"/>
    <s v="Thursday"/>
    <n v="1"/>
    <x v="0"/>
    <x v="13"/>
    <x v="0"/>
    <n v="0.13639999999999999"/>
    <n v="0.43"/>
    <s v="Acceptable"/>
    <n v="0.35820000000000002"/>
    <n v="0"/>
    <n v="39"/>
    <n v="39"/>
  </r>
  <r>
    <n v="742"/>
    <d v="2011-02-03T00:00:00"/>
    <n v="2"/>
    <n v="7"/>
    <b v="0"/>
    <n v="4"/>
    <s v="No"/>
    <s v="Thursday"/>
    <n v="1"/>
    <x v="0"/>
    <x v="14"/>
    <x v="0"/>
    <n v="0.1212"/>
    <n v="0.5"/>
    <s v="Acceptable"/>
    <n v="0.32840000000000003"/>
    <n v="1"/>
    <n v="86"/>
    <n v="87"/>
  </r>
  <r>
    <n v="743"/>
    <d v="2011-02-03T00:00:00"/>
    <n v="2"/>
    <n v="8"/>
    <b v="0"/>
    <n v="4"/>
    <s v="No"/>
    <s v="Thursday"/>
    <n v="1"/>
    <x v="0"/>
    <x v="14"/>
    <x v="0"/>
    <n v="0.1212"/>
    <n v="0.5"/>
    <s v="Acceptable"/>
    <n v="0.35820000000000002"/>
    <n v="4"/>
    <n v="184"/>
    <n v="188"/>
  </r>
  <r>
    <n v="744"/>
    <d v="2011-02-03T00:00:00"/>
    <n v="2"/>
    <n v="9"/>
    <b v="0"/>
    <n v="4"/>
    <s v="No"/>
    <s v="Thursday"/>
    <n v="1"/>
    <x v="0"/>
    <x v="13"/>
    <x v="0"/>
    <n v="0.13639999999999999"/>
    <n v="0.47"/>
    <s v="Acceptable"/>
    <n v="0.29849999999999999"/>
    <n v="6"/>
    <n v="127"/>
    <n v="133"/>
  </r>
  <r>
    <n v="745"/>
    <d v="2011-02-03T00:00:00"/>
    <n v="2"/>
    <n v="10"/>
    <b v="0"/>
    <n v="4"/>
    <s v="No"/>
    <s v="Thursday"/>
    <n v="1"/>
    <x v="0"/>
    <x v="15"/>
    <x v="0"/>
    <n v="0.1515"/>
    <n v="0.43"/>
    <s v="Acceptable"/>
    <n v="0.32840000000000003"/>
    <n v="2"/>
    <n v="50"/>
    <n v="52"/>
  </r>
  <r>
    <n v="746"/>
    <d v="2011-02-03T00:00:00"/>
    <n v="2"/>
    <n v="11"/>
    <b v="0"/>
    <n v="4"/>
    <s v="No"/>
    <s v="Thursday"/>
    <n v="1"/>
    <x v="0"/>
    <x v="15"/>
    <x v="0"/>
    <n v="0.13639999999999999"/>
    <n v="0.43"/>
    <s v="Acceptable"/>
    <n v="0.44779999999999998"/>
    <n v="9"/>
    <n v="55"/>
    <n v="64"/>
  </r>
  <r>
    <n v="747"/>
    <d v="2011-02-03T00:00:00"/>
    <n v="2"/>
    <n v="12"/>
    <b v="0"/>
    <n v="4"/>
    <s v="No"/>
    <s v="Thursday"/>
    <n v="1"/>
    <x v="0"/>
    <x v="2"/>
    <x v="0"/>
    <n v="0.18179999999999999"/>
    <n v="0.4"/>
    <s v="Acceptable"/>
    <n v="0.35820000000000002"/>
    <n v="2"/>
    <n v="67"/>
    <n v="69"/>
  </r>
  <r>
    <n v="748"/>
    <d v="2011-02-03T00:00:00"/>
    <n v="2"/>
    <n v="13"/>
    <b v="0"/>
    <n v="4"/>
    <s v="No"/>
    <s v="Thursday"/>
    <n v="1"/>
    <x v="0"/>
    <x v="2"/>
    <x v="0"/>
    <n v="0.16669999999999999"/>
    <n v="0.4"/>
    <s v="Acceptable"/>
    <n v="0.41789999999999999"/>
    <n v="4"/>
    <n v="47"/>
    <n v="51"/>
  </r>
  <r>
    <n v="749"/>
    <d v="2011-02-03T00:00:00"/>
    <n v="2"/>
    <n v="14"/>
    <b v="0"/>
    <n v="4"/>
    <s v="No"/>
    <s v="Thursday"/>
    <n v="1"/>
    <x v="0"/>
    <x v="1"/>
    <x v="0"/>
    <n v="0.19700000000000001"/>
    <n v="0.37"/>
    <s v="Acceptable"/>
    <n v="0.3881"/>
    <n v="4"/>
    <n v="43"/>
    <n v="47"/>
  </r>
  <r>
    <n v="750"/>
    <d v="2011-02-03T00:00:00"/>
    <n v="2"/>
    <n v="15"/>
    <b v="0"/>
    <n v="4"/>
    <s v="No"/>
    <s v="Thursday"/>
    <n v="1"/>
    <x v="0"/>
    <x v="1"/>
    <x v="0"/>
    <n v="0.19700000000000001"/>
    <n v="0.37"/>
    <s v="Acceptable"/>
    <n v="0.32840000000000003"/>
    <n v="4"/>
    <n v="56"/>
    <n v="60"/>
  </r>
  <r>
    <n v="751"/>
    <d v="2011-02-03T00:00:00"/>
    <n v="2"/>
    <n v="16"/>
    <b v="0"/>
    <n v="4"/>
    <s v="No"/>
    <s v="Thursday"/>
    <n v="1"/>
    <x v="0"/>
    <x v="1"/>
    <x v="0"/>
    <n v="0.21210000000000001"/>
    <n v="0.37"/>
    <s v="Acceptable"/>
    <n v="0.25369999999999998"/>
    <n v="5"/>
    <n v="73"/>
    <n v="78"/>
  </r>
  <r>
    <n v="752"/>
    <d v="2011-02-03T00:00:00"/>
    <n v="2"/>
    <n v="17"/>
    <b v="0"/>
    <n v="4"/>
    <s v="No"/>
    <s v="Thursday"/>
    <n v="1"/>
    <x v="0"/>
    <x v="2"/>
    <x v="0"/>
    <n v="0.19700000000000001"/>
    <n v="0.4"/>
    <s v="Acceptable"/>
    <n v="0.19400000000000001"/>
    <n v="5"/>
    <n v="170"/>
    <n v="175"/>
  </r>
  <r>
    <n v="753"/>
    <d v="2011-02-03T00:00:00"/>
    <n v="2"/>
    <n v="18"/>
    <b v="0"/>
    <n v="4"/>
    <s v="No"/>
    <s v="Thursday"/>
    <n v="1"/>
    <x v="0"/>
    <x v="2"/>
    <x v="0"/>
    <n v="0.21210000000000001"/>
    <n v="0.4"/>
    <s v="Acceptable"/>
    <n v="0.16420000000000001"/>
    <n v="2"/>
    <n v="145"/>
    <n v="147"/>
  </r>
  <r>
    <n v="754"/>
    <d v="2011-02-03T00:00:00"/>
    <n v="2"/>
    <n v="19"/>
    <b v="0"/>
    <n v="4"/>
    <s v="No"/>
    <s v="Thursday"/>
    <n v="1"/>
    <x v="0"/>
    <x v="2"/>
    <x v="0"/>
    <n v="0.2576"/>
    <n v="0.4"/>
    <s v="Acceptable"/>
    <n v="0"/>
    <n v="4"/>
    <n v="92"/>
    <n v="96"/>
  </r>
  <r>
    <n v="755"/>
    <d v="2011-02-03T00:00:00"/>
    <n v="2"/>
    <n v="20"/>
    <b v="0"/>
    <n v="4"/>
    <s v="No"/>
    <s v="Thursday"/>
    <n v="1"/>
    <x v="0"/>
    <x v="2"/>
    <x v="0"/>
    <n v="0.2273"/>
    <n v="0.47"/>
    <s v="Acceptable"/>
    <n v="8.9599999999999999E-2"/>
    <n v="1"/>
    <n v="108"/>
    <n v="109"/>
  </r>
  <r>
    <n v="756"/>
    <d v="2011-02-03T00:00:00"/>
    <n v="2"/>
    <n v="21"/>
    <b v="0"/>
    <n v="4"/>
    <s v="No"/>
    <s v="Thursday"/>
    <n v="1"/>
    <x v="0"/>
    <x v="15"/>
    <x v="0"/>
    <n v="0.21210000000000001"/>
    <n v="0.55000000000000004"/>
    <s v="Acceptable"/>
    <n v="0.1045"/>
    <n v="1"/>
    <n v="53"/>
    <n v="54"/>
  </r>
  <r>
    <n v="757"/>
    <d v="2011-02-03T00:00:00"/>
    <n v="2"/>
    <n v="22"/>
    <b v="0"/>
    <n v="4"/>
    <s v="No"/>
    <s v="Thursday"/>
    <n v="1"/>
    <x v="0"/>
    <x v="15"/>
    <x v="0"/>
    <n v="0.21210000000000001"/>
    <n v="0.51"/>
    <s v="Acceptable"/>
    <n v="8.9599999999999999E-2"/>
    <n v="2"/>
    <n v="39"/>
    <n v="41"/>
  </r>
  <r>
    <n v="758"/>
    <d v="2011-02-03T00:00:00"/>
    <n v="2"/>
    <n v="23"/>
    <b v="0"/>
    <n v="4"/>
    <s v="No"/>
    <s v="Thursday"/>
    <n v="1"/>
    <x v="0"/>
    <x v="2"/>
    <x v="0"/>
    <n v="0.2273"/>
    <n v="0.47"/>
    <s v="Acceptable"/>
    <n v="0.1045"/>
    <n v="4"/>
    <n v="34"/>
    <n v="38"/>
  </r>
  <r>
    <n v="759"/>
    <d v="2011-02-04T00:00:00"/>
    <n v="2"/>
    <n v="0"/>
    <b v="0"/>
    <n v="5"/>
    <s v="No"/>
    <s v="Friday"/>
    <n v="2"/>
    <x v="1"/>
    <x v="2"/>
    <x v="0"/>
    <n v="0.2576"/>
    <n v="0.44"/>
    <s v="Acceptable"/>
    <n v="0"/>
    <n v="3"/>
    <n v="10"/>
    <n v="13"/>
  </r>
  <r>
    <n v="760"/>
    <d v="2011-02-04T00:00:00"/>
    <n v="2"/>
    <n v="1"/>
    <b v="0"/>
    <n v="5"/>
    <s v="No"/>
    <s v="Friday"/>
    <n v="2"/>
    <x v="1"/>
    <x v="13"/>
    <x v="0"/>
    <n v="0.2273"/>
    <n v="0.59"/>
    <s v="Acceptable"/>
    <n v="0"/>
    <n v="0"/>
    <n v="7"/>
    <n v="7"/>
  </r>
  <r>
    <n v="761"/>
    <d v="2011-02-04T00:00:00"/>
    <n v="2"/>
    <n v="2"/>
    <b v="0"/>
    <n v="5"/>
    <s v="No"/>
    <s v="Friday"/>
    <n v="2"/>
    <x v="1"/>
    <x v="14"/>
    <x v="0"/>
    <n v="0.16669999999999999"/>
    <n v="0.63"/>
    <s v="Acceptable"/>
    <n v="0.1045"/>
    <n v="0"/>
    <n v="1"/>
    <n v="1"/>
  </r>
  <r>
    <n v="762"/>
    <d v="2011-02-04T00:00:00"/>
    <n v="2"/>
    <n v="3"/>
    <b v="0"/>
    <n v="5"/>
    <s v="No"/>
    <s v="Friday"/>
    <n v="2"/>
    <x v="1"/>
    <x v="14"/>
    <x v="0"/>
    <n v="0.16669999999999999"/>
    <n v="0.63"/>
    <s v="Acceptable"/>
    <n v="0.1045"/>
    <n v="0"/>
    <n v="1"/>
    <n v="1"/>
  </r>
  <r>
    <n v="763"/>
    <d v="2011-02-04T00:00:00"/>
    <n v="2"/>
    <n v="5"/>
    <b v="0"/>
    <n v="5"/>
    <s v="No"/>
    <s v="Friday"/>
    <n v="2"/>
    <x v="1"/>
    <x v="14"/>
    <x v="0"/>
    <n v="0.1515"/>
    <n v="0.63"/>
    <s v="Acceptable"/>
    <n v="0.1343"/>
    <n v="0"/>
    <n v="7"/>
    <n v="7"/>
  </r>
  <r>
    <n v="764"/>
    <d v="2011-02-04T00:00:00"/>
    <n v="2"/>
    <n v="6"/>
    <b v="0"/>
    <n v="5"/>
    <s v="No"/>
    <s v="Friday"/>
    <n v="2"/>
    <x v="1"/>
    <x v="13"/>
    <x v="0"/>
    <n v="0.2273"/>
    <n v="0.55000000000000004"/>
    <s v="Acceptable"/>
    <n v="0"/>
    <n v="2"/>
    <n v="26"/>
    <n v="28"/>
  </r>
  <r>
    <n v="765"/>
    <d v="2011-02-04T00:00:00"/>
    <n v="2"/>
    <n v="7"/>
    <b v="0"/>
    <n v="5"/>
    <s v="No"/>
    <s v="Friday"/>
    <n v="1"/>
    <x v="0"/>
    <x v="14"/>
    <x v="0"/>
    <n v="0.21210000000000001"/>
    <n v="0.59"/>
    <s v="Acceptable"/>
    <n v="0"/>
    <n v="0"/>
    <n v="87"/>
    <n v="87"/>
  </r>
  <r>
    <n v="766"/>
    <d v="2011-02-04T00:00:00"/>
    <n v="2"/>
    <n v="8"/>
    <b v="0"/>
    <n v="5"/>
    <s v="No"/>
    <s v="Friday"/>
    <n v="1"/>
    <x v="0"/>
    <x v="14"/>
    <x v="0"/>
    <n v="0.1515"/>
    <n v="0.74"/>
    <s v="Risky"/>
    <n v="0.1343"/>
    <n v="3"/>
    <n v="217"/>
    <n v="220"/>
  </r>
  <r>
    <n v="767"/>
    <d v="2011-02-04T00:00:00"/>
    <n v="2"/>
    <n v="9"/>
    <b v="0"/>
    <n v="5"/>
    <s v="No"/>
    <s v="Friday"/>
    <n v="2"/>
    <x v="1"/>
    <x v="13"/>
    <x v="0"/>
    <n v="0.18179999999999999"/>
    <n v="0.8"/>
    <s v="Risky"/>
    <n v="0.1343"/>
    <n v="3"/>
    <n v="124"/>
    <n v="127"/>
  </r>
  <r>
    <n v="768"/>
    <d v="2011-02-04T00:00:00"/>
    <n v="2"/>
    <n v="10"/>
    <b v="0"/>
    <n v="5"/>
    <s v="No"/>
    <s v="Friday"/>
    <n v="2"/>
    <x v="1"/>
    <x v="2"/>
    <x v="0"/>
    <n v="0.21210000000000001"/>
    <n v="0.51"/>
    <s v="Acceptable"/>
    <n v="0.1343"/>
    <n v="5"/>
    <n v="46"/>
    <n v="51"/>
  </r>
  <r>
    <n v="769"/>
    <d v="2011-02-04T00:00:00"/>
    <n v="2"/>
    <n v="11"/>
    <b v="0"/>
    <n v="5"/>
    <s v="No"/>
    <s v="Friday"/>
    <n v="1"/>
    <x v="0"/>
    <x v="1"/>
    <x v="0"/>
    <n v="0.2273"/>
    <n v="0.51"/>
    <s v="Acceptable"/>
    <n v="0.16420000000000001"/>
    <n v="3"/>
    <n v="61"/>
    <n v="64"/>
  </r>
  <r>
    <n v="770"/>
    <d v="2011-02-04T00:00:00"/>
    <n v="2"/>
    <n v="12"/>
    <b v="0"/>
    <n v="5"/>
    <s v="No"/>
    <s v="Friday"/>
    <n v="2"/>
    <x v="1"/>
    <x v="0"/>
    <x v="0"/>
    <n v="0.2424"/>
    <n v="0.48"/>
    <s v="Acceptable"/>
    <n v="0.16420000000000001"/>
    <n v="8"/>
    <n v="78"/>
    <n v="86"/>
  </r>
  <r>
    <n v="771"/>
    <d v="2011-02-04T00:00:00"/>
    <n v="2"/>
    <n v="13"/>
    <b v="0"/>
    <n v="5"/>
    <s v="No"/>
    <s v="Friday"/>
    <n v="2"/>
    <x v="1"/>
    <x v="12"/>
    <x v="0"/>
    <n v="0.2576"/>
    <n v="0.5"/>
    <s v="Acceptable"/>
    <n v="0.22389999999999999"/>
    <n v="9"/>
    <n v="73"/>
    <n v="82"/>
  </r>
  <r>
    <n v="772"/>
    <d v="2011-02-04T00:00:00"/>
    <n v="2"/>
    <n v="14"/>
    <b v="0"/>
    <n v="5"/>
    <s v="No"/>
    <s v="Friday"/>
    <n v="2"/>
    <x v="1"/>
    <x v="17"/>
    <x v="0"/>
    <n v="0.2727"/>
    <n v="0.45"/>
    <s v="Acceptable"/>
    <n v="0.16420000000000001"/>
    <n v="15"/>
    <n v="76"/>
    <n v="91"/>
  </r>
  <r>
    <n v="773"/>
    <d v="2011-02-04T00:00:00"/>
    <n v="2"/>
    <n v="15"/>
    <b v="0"/>
    <n v="5"/>
    <s v="No"/>
    <s v="Friday"/>
    <n v="2"/>
    <x v="1"/>
    <x v="17"/>
    <x v="0"/>
    <n v="0.2727"/>
    <n v="0.48"/>
    <s v="Acceptable"/>
    <n v="0.25369999999999998"/>
    <n v="9"/>
    <n v="81"/>
    <n v="90"/>
  </r>
  <r>
    <n v="774"/>
    <d v="2011-02-04T00:00:00"/>
    <n v="2"/>
    <n v="16"/>
    <b v="0"/>
    <n v="5"/>
    <s v="No"/>
    <s v="Friday"/>
    <n v="2"/>
    <x v="1"/>
    <x v="11"/>
    <x v="0"/>
    <n v="0.28789999999999999"/>
    <n v="0.42"/>
    <s v="Acceptable"/>
    <n v="0.22389999999999999"/>
    <n v="8"/>
    <n v="91"/>
    <n v="99"/>
  </r>
  <r>
    <n v="775"/>
    <d v="2011-02-04T00:00:00"/>
    <n v="2"/>
    <n v="17"/>
    <b v="0"/>
    <n v="5"/>
    <s v="No"/>
    <s v="Friday"/>
    <n v="2"/>
    <x v="1"/>
    <x v="12"/>
    <x v="0"/>
    <n v="0.2727"/>
    <n v="0.56000000000000005"/>
    <s v="Acceptable"/>
    <n v="0.1343"/>
    <n v="10"/>
    <n v="195"/>
    <n v="205"/>
  </r>
  <r>
    <n v="776"/>
    <d v="2011-02-04T00:00:00"/>
    <n v="2"/>
    <n v="18"/>
    <b v="0"/>
    <n v="5"/>
    <s v="No"/>
    <s v="Friday"/>
    <n v="2"/>
    <x v="1"/>
    <x v="0"/>
    <x v="0"/>
    <n v="0.2576"/>
    <n v="0.6"/>
    <s v="Acceptable"/>
    <n v="0.1045"/>
    <n v="3"/>
    <n v="152"/>
    <n v="155"/>
  </r>
  <r>
    <n v="777"/>
    <d v="2011-02-04T00:00:00"/>
    <n v="2"/>
    <n v="19"/>
    <b v="0"/>
    <n v="5"/>
    <s v="No"/>
    <s v="Friday"/>
    <n v="2"/>
    <x v="1"/>
    <x v="0"/>
    <x v="0"/>
    <n v="0.2424"/>
    <n v="0.65"/>
    <s v="Acceptable"/>
    <n v="0.1343"/>
    <n v="1"/>
    <n v="102"/>
    <n v="103"/>
  </r>
  <r>
    <n v="778"/>
    <d v="2011-02-04T00:00:00"/>
    <n v="2"/>
    <n v="20"/>
    <b v="0"/>
    <n v="5"/>
    <s v="No"/>
    <s v="Friday"/>
    <n v="2"/>
    <x v="1"/>
    <x v="0"/>
    <x v="0"/>
    <n v="0.2424"/>
    <n v="0.65"/>
    <s v="Acceptable"/>
    <n v="0.16420000000000001"/>
    <n v="2"/>
    <n v="69"/>
    <n v="71"/>
  </r>
  <r>
    <n v="779"/>
    <d v="2011-02-04T00:00:00"/>
    <n v="2"/>
    <n v="21"/>
    <b v="0"/>
    <n v="5"/>
    <s v="No"/>
    <s v="Friday"/>
    <n v="2"/>
    <x v="1"/>
    <x v="0"/>
    <x v="0"/>
    <n v="0.2424"/>
    <n v="0.7"/>
    <s v="Risky"/>
    <n v="0.16420000000000001"/>
    <n v="2"/>
    <n v="41"/>
    <n v="43"/>
  </r>
  <r>
    <n v="780"/>
    <d v="2011-02-04T00:00:00"/>
    <n v="2"/>
    <n v="22"/>
    <b v="0"/>
    <n v="5"/>
    <s v="No"/>
    <s v="Friday"/>
    <n v="2"/>
    <x v="1"/>
    <x v="0"/>
    <x v="0"/>
    <n v="0.2424"/>
    <n v="0.65"/>
    <s v="Acceptable"/>
    <n v="0.16420000000000001"/>
    <n v="1"/>
    <n v="45"/>
    <n v="46"/>
  </r>
  <r>
    <n v="781"/>
    <d v="2011-02-04T00:00:00"/>
    <n v="2"/>
    <n v="23"/>
    <b v="0"/>
    <n v="5"/>
    <s v="No"/>
    <s v="Friday"/>
    <n v="2"/>
    <x v="1"/>
    <x v="0"/>
    <x v="0"/>
    <n v="0.2424"/>
    <n v="0.7"/>
    <s v="Risky"/>
    <n v="0.1343"/>
    <n v="1"/>
    <n v="30"/>
    <n v="31"/>
  </r>
  <r>
    <n v="782"/>
    <d v="2011-02-05T00:00:00"/>
    <n v="2"/>
    <n v="0"/>
    <b v="0"/>
    <n v="6"/>
    <s v="Yes"/>
    <s v="Saturday"/>
    <n v="2"/>
    <x v="1"/>
    <x v="0"/>
    <x v="0"/>
    <n v="0.2424"/>
    <n v="0.7"/>
    <s v="Risky"/>
    <n v="0.16420000000000001"/>
    <n v="3"/>
    <n v="36"/>
    <n v="39"/>
  </r>
  <r>
    <n v="783"/>
    <d v="2011-02-05T00:00:00"/>
    <n v="2"/>
    <n v="1"/>
    <b v="0"/>
    <n v="6"/>
    <s v="Yes"/>
    <s v="Saturday"/>
    <n v="2"/>
    <x v="1"/>
    <x v="0"/>
    <x v="0"/>
    <n v="0.2424"/>
    <n v="0.65"/>
    <s v="Acceptable"/>
    <n v="0.16420000000000001"/>
    <n v="1"/>
    <n v="17"/>
    <n v="18"/>
  </r>
  <r>
    <n v="784"/>
    <d v="2011-02-05T00:00:00"/>
    <n v="2"/>
    <n v="2"/>
    <b v="0"/>
    <n v="6"/>
    <s v="Yes"/>
    <s v="Saturday"/>
    <n v="2"/>
    <x v="1"/>
    <x v="0"/>
    <x v="0"/>
    <n v="0.2424"/>
    <n v="0.75"/>
    <s v="Risky"/>
    <n v="0.16420000000000001"/>
    <n v="5"/>
    <n v="12"/>
    <n v="17"/>
  </r>
  <r>
    <n v="785"/>
    <d v="2011-02-05T00:00:00"/>
    <n v="2"/>
    <n v="3"/>
    <b v="0"/>
    <n v="6"/>
    <s v="Yes"/>
    <s v="Saturday"/>
    <n v="2"/>
    <x v="1"/>
    <x v="0"/>
    <x v="0"/>
    <n v="0.2424"/>
    <n v="0.75"/>
    <s v="Risky"/>
    <n v="0.16420000000000001"/>
    <n v="1"/>
    <n v="10"/>
    <n v="11"/>
  </r>
  <r>
    <n v="786"/>
    <d v="2011-02-05T00:00:00"/>
    <n v="2"/>
    <n v="4"/>
    <b v="0"/>
    <n v="6"/>
    <s v="Yes"/>
    <s v="Saturday"/>
    <n v="3"/>
    <x v="2"/>
    <x v="1"/>
    <x v="0"/>
    <n v="0.2273"/>
    <n v="0.93"/>
    <s v="Risky"/>
    <n v="0.1343"/>
    <n v="0"/>
    <n v="8"/>
    <n v="8"/>
  </r>
  <r>
    <n v="787"/>
    <d v="2011-02-05T00:00:00"/>
    <n v="2"/>
    <n v="5"/>
    <b v="0"/>
    <n v="6"/>
    <s v="Yes"/>
    <s v="Saturday"/>
    <n v="3"/>
    <x v="2"/>
    <x v="2"/>
    <x v="0"/>
    <n v="0.2273"/>
    <n v="1"/>
    <s v="Risky"/>
    <n v="8.9599999999999999E-2"/>
    <n v="0"/>
    <n v="9"/>
    <n v="9"/>
  </r>
  <r>
    <n v="788"/>
    <d v="2011-02-05T00:00:00"/>
    <n v="2"/>
    <n v="6"/>
    <b v="0"/>
    <n v="6"/>
    <s v="Yes"/>
    <s v="Saturday"/>
    <n v="3"/>
    <x v="2"/>
    <x v="2"/>
    <x v="0"/>
    <n v="0.2576"/>
    <n v="1"/>
    <s v="Risky"/>
    <n v="0"/>
    <n v="0"/>
    <n v="4"/>
    <n v="4"/>
  </r>
  <r>
    <n v="789"/>
    <d v="2011-02-05T00:00:00"/>
    <n v="2"/>
    <n v="7"/>
    <b v="0"/>
    <n v="6"/>
    <s v="Yes"/>
    <s v="Saturday"/>
    <n v="3"/>
    <x v="2"/>
    <x v="1"/>
    <x v="0"/>
    <n v="0.2576"/>
    <n v="0.93"/>
    <s v="Risky"/>
    <n v="8.9599999999999999E-2"/>
    <n v="0"/>
    <n v="4"/>
    <n v="4"/>
  </r>
  <r>
    <n v="790"/>
    <d v="2011-02-05T00:00:00"/>
    <n v="2"/>
    <n v="8"/>
    <b v="0"/>
    <n v="6"/>
    <s v="Yes"/>
    <s v="Saturday"/>
    <n v="3"/>
    <x v="2"/>
    <x v="2"/>
    <x v="0"/>
    <n v="0.2273"/>
    <n v="1"/>
    <s v="Risky"/>
    <n v="8.9599999999999999E-2"/>
    <n v="0"/>
    <n v="10"/>
    <n v="10"/>
  </r>
  <r>
    <n v="791"/>
    <d v="2011-02-05T00:00:00"/>
    <n v="2"/>
    <n v="9"/>
    <b v="0"/>
    <n v="6"/>
    <s v="Yes"/>
    <s v="Saturday"/>
    <n v="3"/>
    <x v="2"/>
    <x v="2"/>
    <x v="0"/>
    <n v="0.2273"/>
    <n v="1"/>
    <s v="Risky"/>
    <n v="8.9599999999999999E-2"/>
    <n v="3"/>
    <n v="17"/>
    <n v="20"/>
  </r>
  <r>
    <n v="792"/>
    <d v="2011-02-05T00:00:00"/>
    <n v="2"/>
    <n v="10"/>
    <b v="0"/>
    <n v="6"/>
    <s v="Yes"/>
    <s v="Saturday"/>
    <n v="3"/>
    <x v="2"/>
    <x v="2"/>
    <x v="0"/>
    <n v="0.21210000000000001"/>
    <n v="1"/>
    <s v="Risky"/>
    <n v="0.1343"/>
    <n v="3"/>
    <n v="31"/>
    <n v="34"/>
  </r>
  <r>
    <n v="793"/>
    <d v="2011-02-05T00:00:00"/>
    <n v="2"/>
    <n v="11"/>
    <b v="0"/>
    <n v="6"/>
    <s v="Yes"/>
    <s v="Saturday"/>
    <n v="3"/>
    <x v="2"/>
    <x v="1"/>
    <x v="0"/>
    <n v="0.2273"/>
    <n v="1"/>
    <s v="Risky"/>
    <n v="0.1343"/>
    <n v="1"/>
    <n v="46"/>
    <n v="47"/>
  </r>
  <r>
    <n v="794"/>
    <d v="2011-02-05T00:00:00"/>
    <n v="2"/>
    <n v="12"/>
    <b v="0"/>
    <n v="6"/>
    <s v="Yes"/>
    <s v="Saturday"/>
    <n v="3"/>
    <x v="2"/>
    <x v="1"/>
    <x v="0"/>
    <n v="0.2273"/>
    <n v="1"/>
    <s v="Risky"/>
    <n v="0.16420000000000001"/>
    <n v="10"/>
    <n v="42"/>
    <n v="52"/>
  </r>
  <r>
    <n v="795"/>
    <d v="2011-02-05T00:00:00"/>
    <n v="2"/>
    <n v="13"/>
    <b v="0"/>
    <n v="6"/>
    <s v="Yes"/>
    <s v="Saturday"/>
    <n v="3"/>
    <x v="2"/>
    <x v="1"/>
    <x v="0"/>
    <n v="0.2273"/>
    <n v="1"/>
    <s v="Risky"/>
    <n v="0.16420000000000001"/>
    <n v="10"/>
    <n v="62"/>
    <n v="72"/>
  </r>
  <r>
    <n v="796"/>
    <d v="2011-02-05T00:00:00"/>
    <n v="2"/>
    <n v="14"/>
    <b v="0"/>
    <n v="6"/>
    <s v="Yes"/>
    <s v="Saturday"/>
    <n v="3"/>
    <x v="2"/>
    <x v="1"/>
    <x v="0"/>
    <n v="0.2727"/>
    <n v="1"/>
    <s v="Risky"/>
    <n v="0"/>
    <n v="5"/>
    <n v="50"/>
    <n v="55"/>
  </r>
  <r>
    <n v="797"/>
    <d v="2011-02-05T00:00:00"/>
    <n v="2"/>
    <n v="15"/>
    <b v="0"/>
    <n v="6"/>
    <s v="Yes"/>
    <s v="Saturday"/>
    <n v="3"/>
    <x v="2"/>
    <x v="1"/>
    <x v="0"/>
    <n v="0.2727"/>
    <n v="1"/>
    <s v="Risky"/>
    <n v="0"/>
    <n v="11"/>
    <n v="49"/>
    <n v="60"/>
  </r>
  <r>
    <n v="798"/>
    <d v="2011-02-05T00:00:00"/>
    <n v="2"/>
    <n v="16"/>
    <b v="0"/>
    <n v="6"/>
    <s v="Yes"/>
    <s v="Saturday"/>
    <n v="3"/>
    <x v="2"/>
    <x v="1"/>
    <x v="0"/>
    <n v="0.2273"/>
    <n v="1"/>
    <s v="Risky"/>
    <n v="0.1343"/>
    <n v="8"/>
    <n v="63"/>
    <n v="71"/>
  </r>
  <r>
    <n v="799"/>
    <d v="2011-02-05T00:00:00"/>
    <n v="2"/>
    <n v="17"/>
    <b v="0"/>
    <n v="6"/>
    <s v="Yes"/>
    <s v="Saturday"/>
    <n v="2"/>
    <x v="1"/>
    <x v="0"/>
    <x v="0"/>
    <n v="0.21210000000000001"/>
    <n v="1"/>
    <s v="Risky"/>
    <n v="0.28360000000000002"/>
    <n v="14"/>
    <n v="64"/>
    <n v="78"/>
  </r>
  <r>
    <n v="800"/>
    <d v="2011-02-05T00:00:00"/>
    <n v="2"/>
    <n v="18"/>
    <b v="0"/>
    <n v="6"/>
    <s v="Yes"/>
    <s v="Saturday"/>
    <n v="2"/>
    <x v="1"/>
    <x v="17"/>
    <x v="0"/>
    <n v="0.2424"/>
    <n v="0.93"/>
    <s v="Risky"/>
    <n v="0.44779999999999998"/>
    <n v="2"/>
    <n v="81"/>
    <n v="83"/>
  </r>
  <r>
    <n v="801"/>
    <d v="2011-02-05T00:00:00"/>
    <n v="2"/>
    <n v="19"/>
    <b v="0"/>
    <n v="6"/>
    <s v="Yes"/>
    <s v="Saturday"/>
    <n v="2"/>
    <x v="1"/>
    <x v="17"/>
    <x v="0"/>
    <n v="0.2424"/>
    <n v="0.93"/>
    <s v="Risky"/>
    <n v="0.44779999999999998"/>
    <n v="6"/>
    <n v="78"/>
    <n v="84"/>
  </r>
  <r>
    <n v="802"/>
    <d v="2011-02-05T00:00:00"/>
    <n v="2"/>
    <n v="20"/>
    <b v="0"/>
    <n v="6"/>
    <s v="Yes"/>
    <s v="Saturday"/>
    <n v="1"/>
    <x v="0"/>
    <x v="11"/>
    <x v="0"/>
    <n v="0.28789999999999999"/>
    <n v="0.87"/>
    <s v="Risky"/>
    <n v="0.25369999999999998"/>
    <n v="5"/>
    <n v="64"/>
    <n v="69"/>
  </r>
  <r>
    <n v="803"/>
    <d v="2011-02-05T00:00:00"/>
    <n v="2"/>
    <n v="21"/>
    <b v="0"/>
    <n v="6"/>
    <s v="Yes"/>
    <s v="Saturday"/>
    <n v="1"/>
    <x v="0"/>
    <x v="12"/>
    <x v="0"/>
    <n v="0.2576"/>
    <n v="1"/>
    <s v="Risky"/>
    <n v="0.19400000000000001"/>
    <n v="3"/>
    <n v="53"/>
    <n v="56"/>
  </r>
  <r>
    <n v="804"/>
    <d v="2011-02-05T00:00:00"/>
    <n v="2"/>
    <n v="22"/>
    <b v="0"/>
    <n v="6"/>
    <s v="Yes"/>
    <s v="Saturday"/>
    <n v="1"/>
    <x v="0"/>
    <x v="12"/>
    <x v="0"/>
    <n v="0.2727"/>
    <n v="0.93"/>
    <s v="Risky"/>
    <n v="0.1343"/>
    <n v="2"/>
    <n v="43"/>
    <n v="45"/>
  </r>
  <r>
    <n v="805"/>
    <d v="2011-02-05T00:00:00"/>
    <n v="2"/>
    <n v="23"/>
    <b v="0"/>
    <n v="6"/>
    <s v="Yes"/>
    <s v="Saturday"/>
    <n v="1"/>
    <x v="0"/>
    <x v="12"/>
    <x v="0"/>
    <n v="0.2576"/>
    <n v="0.93"/>
    <s v="Risky"/>
    <n v="0.22389999999999999"/>
    <n v="7"/>
    <n v="52"/>
    <n v="59"/>
  </r>
  <r>
    <n v="806"/>
    <d v="2011-02-06T00:00:00"/>
    <n v="2"/>
    <n v="0"/>
    <b v="0"/>
    <n v="0"/>
    <s v="Yes"/>
    <s v="Sunday"/>
    <n v="1"/>
    <x v="0"/>
    <x v="12"/>
    <x v="0"/>
    <n v="0.2576"/>
    <n v="0.7"/>
    <s v="Risky"/>
    <n v="0.19400000000000001"/>
    <n v="2"/>
    <n v="37"/>
    <n v="39"/>
  </r>
  <r>
    <n v="807"/>
    <d v="2011-02-06T00:00:00"/>
    <n v="2"/>
    <n v="1"/>
    <b v="0"/>
    <n v="0"/>
    <s v="Yes"/>
    <s v="Sunday"/>
    <n v="1"/>
    <x v="0"/>
    <x v="12"/>
    <x v="0"/>
    <n v="0.2273"/>
    <n v="0.65"/>
    <s v="Acceptable"/>
    <n v="0.41789999999999999"/>
    <n v="4"/>
    <n v="40"/>
    <n v="44"/>
  </r>
  <r>
    <n v="808"/>
    <d v="2011-02-06T00:00:00"/>
    <n v="2"/>
    <n v="2"/>
    <b v="0"/>
    <n v="0"/>
    <s v="Yes"/>
    <s v="Sunday"/>
    <n v="1"/>
    <x v="0"/>
    <x v="12"/>
    <x v="0"/>
    <n v="0.2273"/>
    <n v="0.6"/>
    <s v="Acceptable"/>
    <n v="0.32840000000000003"/>
    <n v="0"/>
    <n v="20"/>
    <n v="20"/>
  </r>
  <r>
    <n v="809"/>
    <d v="2011-02-06T00:00:00"/>
    <n v="2"/>
    <n v="3"/>
    <b v="0"/>
    <n v="0"/>
    <s v="Yes"/>
    <s v="Sunday"/>
    <n v="1"/>
    <x v="0"/>
    <x v="12"/>
    <x v="0"/>
    <n v="0.28789999999999999"/>
    <n v="0.6"/>
    <s v="Acceptable"/>
    <n v="8.9599999999999999E-2"/>
    <n v="3"/>
    <n v="10"/>
    <n v="13"/>
  </r>
  <r>
    <n v="810"/>
    <d v="2011-02-06T00:00:00"/>
    <n v="2"/>
    <n v="4"/>
    <b v="0"/>
    <n v="0"/>
    <s v="Yes"/>
    <s v="Sunday"/>
    <n v="1"/>
    <x v="0"/>
    <x v="12"/>
    <x v="0"/>
    <n v="0.2273"/>
    <n v="0.6"/>
    <s v="Acceptable"/>
    <n v="0.35820000000000002"/>
    <n v="0"/>
    <n v="2"/>
    <n v="2"/>
  </r>
  <r>
    <n v="811"/>
    <d v="2011-02-06T00:00:00"/>
    <n v="2"/>
    <n v="5"/>
    <b v="0"/>
    <n v="0"/>
    <s v="Yes"/>
    <s v="Sunday"/>
    <n v="1"/>
    <x v="0"/>
    <x v="12"/>
    <x v="0"/>
    <n v="0.2576"/>
    <n v="0.6"/>
    <s v="Acceptable"/>
    <n v="0.22389999999999999"/>
    <n v="0"/>
    <n v="1"/>
    <n v="1"/>
  </r>
  <r>
    <n v="812"/>
    <d v="2011-02-06T00:00:00"/>
    <n v="2"/>
    <n v="6"/>
    <b v="0"/>
    <n v="0"/>
    <s v="Yes"/>
    <s v="Sunday"/>
    <n v="1"/>
    <x v="0"/>
    <x v="12"/>
    <x v="0"/>
    <n v="0.2576"/>
    <n v="0.6"/>
    <s v="Acceptable"/>
    <n v="0.22389999999999999"/>
    <n v="0"/>
    <n v="1"/>
    <n v="1"/>
  </r>
  <r>
    <n v="813"/>
    <d v="2011-02-06T00:00:00"/>
    <n v="2"/>
    <n v="7"/>
    <b v="0"/>
    <n v="0"/>
    <s v="Yes"/>
    <s v="Sunday"/>
    <n v="1"/>
    <x v="0"/>
    <x v="0"/>
    <x v="0"/>
    <n v="0.2424"/>
    <n v="0.65"/>
    <s v="Acceptable"/>
    <n v="0.16420000000000001"/>
    <n v="0"/>
    <n v="8"/>
    <n v="8"/>
  </r>
  <r>
    <n v="814"/>
    <d v="2011-02-06T00:00:00"/>
    <n v="2"/>
    <n v="8"/>
    <b v="0"/>
    <n v="0"/>
    <s v="Yes"/>
    <s v="Sunday"/>
    <n v="1"/>
    <x v="0"/>
    <x v="0"/>
    <x v="0"/>
    <n v="0.2576"/>
    <n v="0.65"/>
    <s v="Acceptable"/>
    <n v="0.1045"/>
    <n v="2"/>
    <n v="21"/>
    <n v="23"/>
  </r>
  <r>
    <n v="815"/>
    <d v="2011-02-06T00:00:00"/>
    <n v="2"/>
    <n v="9"/>
    <b v="0"/>
    <n v="0"/>
    <s v="Yes"/>
    <s v="Sunday"/>
    <n v="1"/>
    <x v="0"/>
    <x v="17"/>
    <x v="0"/>
    <n v="0.28789999999999999"/>
    <n v="0.56000000000000005"/>
    <s v="Acceptable"/>
    <n v="0.1045"/>
    <n v="7"/>
    <n v="38"/>
    <n v="45"/>
  </r>
  <r>
    <n v="816"/>
    <d v="2011-02-06T00:00:00"/>
    <n v="2"/>
    <n v="10"/>
    <b v="0"/>
    <n v="0"/>
    <s v="Yes"/>
    <s v="Sunday"/>
    <n v="1"/>
    <x v="0"/>
    <x v="11"/>
    <x v="0"/>
    <n v="0.28789999999999999"/>
    <n v="0.52"/>
    <s v="Acceptable"/>
    <n v="0.25369999999999998"/>
    <n v="15"/>
    <n v="74"/>
    <n v="89"/>
  </r>
  <r>
    <n v="817"/>
    <d v="2011-02-06T00:00:00"/>
    <n v="2"/>
    <n v="11"/>
    <b v="0"/>
    <n v="0"/>
    <s v="Yes"/>
    <s v="Sunday"/>
    <n v="1"/>
    <x v="0"/>
    <x v="3"/>
    <x v="0"/>
    <n v="0.30299999999999999"/>
    <n v="0.49"/>
    <s v="Acceptable"/>
    <n v="0.25369999999999998"/>
    <n v="28"/>
    <n v="89"/>
    <n v="117"/>
  </r>
  <r>
    <n v="818"/>
    <d v="2011-02-06T00:00:00"/>
    <n v="2"/>
    <n v="12"/>
    <b v="0"/>
    <n v="0"/>
    <s v="Yes"/>
    <s v="Sunday"/>
    <n v="1"/>
    <x v="0"/>
    <x v="10"/>
    <x v="0"/>
    <n v="0.33329999999999999"/>
    <n v="0.46"/>
    <s v="Acceptable"/>
    <n v="0"/>
    <n v="48"/>
    <n v="126"/>
    <n v="174"/>
  </r>
  <r>
    <n v="819"/>
    <d v="2011-02-06T00:00:00"/>
    <n v="2"/>
    <n v="13"/>
    <b v="0"/>
    <n v="0"/>
    <s v="Yes"/>
    <s v="Sunday"/>
    <n v="1"/>
    <x v="0"/>
    <x v="10"/>
    <x v="0"/>
    <n v="0.36359999999999998"/>
    <n v="0.46"/>
    <s v="Acceptable"/>
    <n v="0"/>
    <n v="47"/>
    <n v="135"/>
    <n v="182"/>
  </r>
  <r>
    <n v="820"/>
    <d v="2011-02-06T00:00:00"/>
    <n v="2"/>
    <n v="14"/>
    <b v="0"/>
    <n v="0"/>
    <s v="Yes"/>
    <s v="Sunday"/>
    <n v="1"/>
    <x v="0"/>
    <x v="10"/>
    <x v="0"/>
    <n v="0.34849999999999998"/>
    <n v="0.46"/>
    <s v="Acceptable"/>
    <n v="8.9599999999999999E-2"/>
    <n v="47"/>
    <n v="114"/>
    <n v="161"/>
  </r>
  <r>
    <n v="821"/>
    <d v="2011-02-06T00:00:00"/>
    <n v="2"/>
    <n v="15"/>
    <b v="0"/>
    <n v="0"/>
    <s v="Yes"/>
    <s v="Sunday"/>
    <n v="1"/>
    <x v="0"/>
    <x v="10"/>
    <x v="0"/>
    <n v="0.34849999999999998"/>
    <n v="0.46"/>
    <s v="Acceptable"/>
    <n v="8.9599999999999999E-2"/>
    <n v="52"/>
    <n v="130"/>
    <n v="182"/>
  </r>
  <r>
    <n v="822"/>
    <d v="2011-02-06T00:00:00"/>
    <n v="2"/>
    <n v="16"/>
    <b v="0"/>
    <n v="0"/>
    <s v="Yes"/>
    <s v="Sunday"/>
    <n v="1"/>
    <x v="0"/>
    <x v="10"/>
    <x v="0"/>
    <n v="0.34849999999999998"/>
    <n v="0.49"/>
    <s v="Acceptable"/>
    <n v="0.1045"/>
    <n v="42"/>
    <n v="115"/>
    <n v="157"/>
  </r>
  <r>
    <n v="823"/>
    <d v="2011-02-06T00:00:00"/>
    <n v="2"/>
    <n v="17"/>
    <b v="0"/>
    <n v="0"/>
    <s v="Yes"/>
    <s v="Sunday"/>
    <n v="1"/>
    <x v="0"/>
    <x v="10"/>
    <x v="0"/>
    <n v="0.36359999999999998"/>
    <n v="0.46"/>
    <s v="Acceptable"/>
    <n v="0"/>
    <n v="24"/>
    <n v="97"/>
    <n v="121"/>
  </r>
  <r>
    <n v="824"/>
    <d v="2011-02-06T00:00:00"/>
    <n v="2"/>
    <n v="18"/>
    <b v="0"/>
    <n v="0"/>
    <s v="Yes"/>
    <s v="Sunday"/>
    <n v="1"/>
    <x v="0"/>
    <x v="11"/>
    <x v="0"/>
    <n v="0.30299999999999999"/>
    <n v="0.56000000000000005"/>
    <s v="Acceptable"/>
    <n v="0.16420000000000001"/>
    <n v="13"/>
    <n v="65"/>
    <n v="78"/>
  </r>
  <r>
    <n v="825"/>
    <d v="2011-02-06T00:00:00"/>
    <n v="2"/>
    <n v="19"/>
    <b v="0"/>
    <n v="0"/>
    <s v="Yes"/>
    <s v="Sunday"/>
    <n v="1"/>
    <x v="0"/>
    <x v="17"/>
    <x v="0"/>
    <n v="0.28789999999999999"/>
    <n v="0.61"/>
    <s v="Acceptable"/>
    <n v="0.1343"/>
    <n v="1"/>
    <n v="20"/>
    <n v="21"/>
  </r>
  <r>
    <n v="826"/>
    <d v="2011-02-06T00:00:00"/>
    <n v="2"/>
    <n v="20"/>
    <b v="0"/>
    <n v="0"/>
    <s v="Yes"/>
    <s v="Sunday"/>
    <n v="1"/>
    <x v="0"/>
    <x v="17"/>
    <x v="0"/>
    <n v="0.28789999999999999"/>
    <n v="0.61"/>
    <s v="Acceptable"/>
    <n v="0.1045"/>
    <n v="5"/>
    <n v="21"/>
    <n v="26"/>
  </r>
  <r>
    <n v="827"/>
    <d v="2011-02-06T00:00:00"/>
    <n v="2"/>
    <n v="21"/>
    <b v="0"/>
    <n v="0"/>
    <s v="Yes"/>
    <s v="Sunday"/>
    <n v="1"/>
    <x v="0"/>
    <x v="12"/>
    <x v="0"/>
    <n v="0.30299999999999999"/>
    <n v="0.6"/>
    <s v="Acceptable"/>
    <n v="0"/>
    <n v="5"/>
    <n v="22"/>
    <n v="27"/>
  </r>
  <r>
    <n v="828"/>
    <d v="2011-02-06T00:00:00"/>
    <n v="2"/>
    <n v="22"/>
    <b v="0"/>
    <n v="0"/>
    <s v="Yes"/>
    <s v="Sunday"/>
    <n v="1"/>
    <x v="0"/>
    <x v="12"/>
    <x v="0"/>
    <n v="0.30299999999999999"/>
    <n v="0.6"/>
    <s v="Acceptable"/>
    <n v="0"/>
    <n v="5"/>
    <n v="57"/>
    <n v="62"/>
  </r>
  <r>
    <n v="829"/>
    <d v="2011-02-06T00:00:00"/>
    <n v="2"/>
    <n v="23"/>
    <b v="0"/>
    <n v="0"/>
    <s v="Yes"/>
    <s v="Sunday"/>
    <n v="1"/>
    <x v="0"/>
    <x v="0"/>
    <x v="0"/>
    <n v="0.28789999999999999"/>
    <n v="0.65"/>
    <s v="Acceptable"/>
    <n v="0"/>
    <n v="4"/>
    <n v="26"/>
    <n v="30"/>
  </r>
  <r>
    <n v="830"/>
    <d v="2011-02-07T00:00:00"/>
    <n v="2"/>
    <n v="0"/>
    <b v="0"/>
    <n v="1"/>
    <s v="No"/>
    <s v="Monday"/>
    <n v="1"/>
    <x v="0"/>
    <x v="0"/>
    <x v="0"/>
    <n v="0.28789999999999999"/>
    <n v="0.65"/>
    <s v="Acceptable"/>
    <n v="0"/>
    <n v="1"/>
    <n v="14"/>
    <n v="15"/>
  </r>
  <r>
    <n v="831"/>
    <d v="2011-02-07T00:00:00"/>
    <n v="2"/>
    <n v="1"/>
    <b v="0"/>
    <n v="1"/>
    <s v="No"/>
    <s v="Monday"/>
    <n v="1"/>
    <x v="0"/>
    <x v="1"/>
    <x v="0"/>
    <n v="0.2727"/>
    <n v="0.75"/>
    <s v="Risky"/>
    <n v="0"/>
    <n v="1"/>
    <n v="4"/>
    <n v="5"/>
  </r>
  <r>
    <n v="832"/>
    <d v="2011-02-07T00:00:00"/>
    <n v="2"/>
    <n v="2"/>
    <b v="0"/>
    <n v="1"/>
    <s v="No"/>
    <s v="Monday"/>
    <n v="1"/>
    <x v="0"/>
    <x v="2"/>
    <x v="0"/>
    <n v="0.2576"/>
    <n v="0.8"/>
    <s v="Risky"/>
    <n v="0"/>
    <n v="0"/>
    <n v="3"/>
    <n v="3"/>
  </r>
  <r>
    <n v="833"/>
    <d v="2011-02-07T00:00:00"/>
    <n v="2"/>
    <n v="3"/>
    <b v="0"/>
    <n v="1"/>
    <s v="No"/>
    <s v="Monday"/>
    <n v="1"/>
    <x v="0"/>
    <x v="2"/>
    <x v="0"/>
    <n v="0.2576"/>
    <n v="0.86"/>
    <s v="Risky"/>
    <n v="0"/>
    <n v="0"/>
    <n v="1"/>
    <n v="1"/>
  </r>
  <r>
    <n v="834"/>
    <d v="2011-02-07T00:00:00"/>
    <n v="2"/>
    <n v="4"/>
    <b v="0"/>
    <n v="1"/>
    <s v="No"/>
    <s v="Monday"/>
    <n v="1"/>
    <x v="0"/>
    <x v="2"/>
    <x v="0"/>
    <n v="0.2576"/>
    <n v="0.86"/>
    <s v="Risky"/>
    <n v="0"/>
    <n v="1"/>
    <n v="1"/>
    <n v="2"/>
  </r>
  <r>
    <n v="835"/>
    <d v="2011-02-07T00:00:00"/>
    <n v="2"/>
    <n v="5"/>
    <b v="0"/>
    <n v="1"/>
    <s v="No"/>
    <s v="Monday"/>
    <n v="1"/>
    <x v="0"/>
    <x v="2"/>
    <x v="0"/>
    <n v="0.2576"/>
    <n v="0.86"/>
    <s v="Risky"/>
    <n v="0"/>
    <n v="1"/>
    <n v="9"/>
    <n v="10"/>
  </r>
  <r>
    <n v="836"/>
    <d v="2011-02-07T00:00:00"/>
    <n v="2"/>
    <n v="6"/>
    <b v="0"/>
    <n v="1"/>
    <s v="No"/>
    <s v="Monday"/>
    <n v="1"/>
    <x v="0"/>
    <x v="15"/>
    <x v="0"/>
    <n v="0.2424"/>
    <n v="0.93"/>
    <s v="Risky"/>
    <n v="0"/>
    <n v="1"/>
    <n v="29"/>
    <n v="30"/>
  </r>
  <r>
    <n v="837"/>
    <d v="2011-02-07T00:00:00"/>
    <n v="2"/>
    <n v="7"/>
    <b v="0"/>
    <n v="1"/>
    <s v="No"/>
    <s v="Monday"/>
    <n v="1"/>
    <x v="0"/>
    <x v="15"/>
    <x v="0"/>
    <n v="0.2424"/>
    <n v="0.86"/>
    <s v="Risky"/>
    <n v="0"/>
    <n v="6"/>
    <n v="89"/>
    <n v="95"/>
  </r>
  <r>
    <n v="838"/>
    <d v="2011-02-07T00:00:00"/>
    <n v="2"/>
    <n v="8"/>
    <b v="0"/>
    <n v="1"/>
    <s v="No"/>
    <s v="Monday"/>
    <n v="2"/>
    <x v="1"/>
    <x v="13"/>
    <x v="0"/>
    <n v="0.2273"/>
    <n v="1"/>
    <s v="Risky"/>
    <n v="0"/>
    <n v="7"/>
    <n v="223"/>
    <n v="230"/>
  </r>
  <r>
    <n v="839"/>
    <d v="2011-02-07T00:00:00"/>
    <n v="2"/>
    <n v="9"/>
    <b v="0"/>
    <n v="1"/>
    <s v="No"/>
    <s v="Monday"/>
    <n v="1"/>
    <x v="0"/>
    <x v="1"/>
    <x v="0"/>
    <n v="0.2727"/>
    <n v="0.8"/>
    <s v="Risky"/>
    <n v="0"/>
    <n v="3"/>
    <n v="115"/>
    <n v="118"/>
  </r>
  <r>
    <n v="840"/>
    <d v="2011-02-07T00:00:00"/>
    <n v="2"/>
    <n v="10"/>
    <b v="0"/>
    <n v="1"/>
    <s v="No"/>
    <s v="Monday"/>
    <n v="1"/>
    <x v="0"/>
    <x v="0"/>
    <x v="0"/>
    <n v="0.2576"/>
    <n v="0.75"/>
    <s v="Risky"/>
    <n v="0.1045"/>
    <n v="6"/>
    <n v="49"/>
    <n v="55"/>
  </r>
  <r>
    <n v="841"/>
    <d v="2011-02-07T00:00:00"/>
    <n v="2"/>
    <n v="11"/>
    <b v="0"/>
    <n v="1"/>
    <s v="No"/>
    <s v="Monday"/>
    <n v="1"/>
    <x v="0"/>
    <x v="11"/>
    <x v="0"/>
    <n v="0.31819999999999998"/>
    <n v="0.65"/>
    <s v="Acceptable"/>
    <n v="8.9599999999999999E-2"/>
    <n v="11"/>
    <n v="36"/>
    <n v="47"/>
  </r>
  <r>
    <n v="842"/>
    <d v="2011-02-07T00:00:00"/>
    <n v="2"/>
    <n v="12"/>
    <b v="0"/>
    <n v="1"/>
    <s v="No"/>
    <s v="Monday"/>
    <n v="2"/>
    <x v="1"/>
    <x v="3"/>
    <x v="0"/>
    <n v="0.34849999999999998"/>
    <n v="0.62"/>
    <s v="Acceptable"/>
    <n v="0"/>
    <n v="7"/>
    <n v="59"/>
    <n v="66"/>
  </r>
  <r>
    <n v="843"/>
    <d v="2011-02-07T00:00:00"/>
    <n v="2"/>
    <n v="13"/>
    <b v="0"/>
    <n v="1"/>
    <s v="No"/>
    <s v="Monday"/>
    <n v="2"/>
    <x v="1"/>
    <x v="5"/>
    <x v="1"/>
    <n v="0.36359999999999998"/>
    <n v="0.56999999999999995"/>
    <s v="Acceptable"/>
    <n v="8.9599999999999999E-2"/>
    <n v="10"/>
    <n v="54"/>
    <n v="64"/>
  </r>
  <r>
    <n v="844"/>
    <d v="2011-02-07T00:00:00"/>
    <n v="2"/>
    <n v="14"/>
    <b v="0"/>
    <n v="1"/>
    <s v="No"/>
    <s v="Monday"/>
    <n v="2"/>
    <x v="1"/>
    <x v="5"/>
    <x v="1"/>
    <n v="0.36359999999999998"/>
    <n v="0.56999999999999995"/>
    <s v="Acceptable"/>
    <n v="8.9599999999999999E-2"/>
    <n v="8"/>
    <n v="52"/>
    <n v="60"/>
  </r>
  <r>
    <n v="845"/>
    <d v="2011-02-07T00:00:00"/>
    <n v="2"/>
    <n v="15"/>
    <b v="0"/>
    <n v="1"/>
    <s v="No"/>
    <s v="Monday"/>
    <n v="2"/>
    <x v="1"/>
    <x v="4"/>
    <x v="1"/>
    <n v="0.39389999999999997"/>
    <n v="0.54"/>
    <s v="Acceptable"/>
    <n v="8.9599999999999999E-2"/>
    <n v="4"/>
    <n v="46"/>
    <n v="50"/>
  </r>
  <r>
    <n v="846"/>
    <d v="2011-02-07T00:00:00"/>
    <n v="2"/>
    <n v="16"/>
    <b v="0"/>
    <n v="1"/>
    <s v="No"/>
    <s v="Monday"/>
    <n v="2"/>
    <x v="1"/>
    <x v="5"/>
    <x v="1"/>
    <n v="0.34849999999999998"/>
    <n v="0.56999999999999995"/>
    <s v="Acceptable"/>
    <n v="0.1343"/>
    <n v="16"/>
    <n v="98"/>
    <n v="114"/>
  </r>
  <r>
    <n v="847"/>
    <d v="2011-02-07T00:00:00"/>
    <n v="2"/>
    <n v="17"/>
    <b v="0"/>
    <n v="1"/>
    <s v="No"/>
    <s v="Monday"/>
    <n v="2"/>
    <x v="1"/>
    <x v="3"/>
    <x v="0"/>
    <n v="0.31819999999999998"/>
    <n v="0.7"/>
    <s v="Risky"/>
    <n v="0.16420000000000001"/>
    <n v="9"/>
    <n v="207"/>
    <n v="216"/>
  </r>
  <r>
    <n v="848"/>
    <d v="2011-02-07T00:00:00"/>
    <n v="2"/>
    <n v="18"/>
    <b v="0"/>
    <n v="1"/>
    <s v="No"/>
    <s v="Monday"/>
    <n v="2"/>
    <x v="1"/>
    <x v="10"/>
    <x v="0"/>
    <n v="0.33329999999999999"/>
    <n v="0.66"/>
    <s v="Acceptable"/>
    <n v="0.1343"/>
    <n v="5"/>
    <n v="170"/>
    <n v="175"/>
  </r>
  <r>
    <n v="849"/>
    <d v="2011-02-07T00:00:00"/>
    <n v="2"/>
    <n v="19"/>
    <b v="0"/>
    <n v="1"/>
    <s v="No"/>
    <s v="Monday"/>
    <n v="2"/>
    <x v="1"/>
    <x v="3"/>
    <x v="0"/>
    <n v="0.34849999999999998"/>
    <n v="0.7"/>
    <s v="Risky"/>
    <n v="0"/>
    <n v="5"/>
    <n v="123"/>
    <n v="128"/>
  </r>
  <r>
    <n v="850"/>
    <d v="2011-02-07T00:00:00"/>
    <n v="2"/>
    <n v="20"/>
    <b v="0"/>
    <n v="1"/>
    <s v="No"/>
    <s v="Monday"/>
    <n v="2"/>
    <x v="1"/>
    <x v="3"/>
    <x v="0"/>
    <n v="0.33329999999999999"/>
    <n v="0.7"/>
    <s v="Risky"/>
    <n v="0.1045"/>
    <n v="6"/>
    <n v="82"/>
    <n v="88"/>
  </r>
  <r>
    <n v="851"/>
    <d v="2011-02-07T00:00:00"/>
    <n v="2"/>
    <n v="21"/>
    <b v="0"/>
    <n v="1"/>
    <s v="No"/>
    <s v="Monday"/>
    <n v="1"/>
    <x v="0"/>
    <x v="3"/>
    <x v="0"/>
    <n v="0.34849999999999998"/>
    <n v="0.7"/>
    <s v="Risky"/>
    <n v="0"/>
    <n v="3"/>
    <n v="75"/>
    <n v="78"/>
  </r>
  <r>
    <n v="852"/>
    <d v="2011-02-07T00:00:00"/>
    <n v="2"/>
    <n v="22"/>
    <b v="0"/>
    <n v="1"/>
    <s v="No"/>
    <s v="Monday"/>
    <n v="1"/>
    <x v="0"/>
    <x v="17"/>
    <x v="0"/>
    <n v="0.30299999999999999"/>
    <n v="0.81"/>
    <s v="Risky"/>
    <n v="8.9599999999999999E-2"/>
    <n v="3"/>
    <n v="34"/>
    <n v="37"/>
  </r>
  <r>
    <n v="853"/>
    <d v="2011-02-07T00:00:00"/>
    <n v="2"/>
    <n v="23"/>
    <b v="0"/>
    <n v="1"/>
    <s v="No"/>
    <s v="Monday"/>
    <n v="2"/>
    <x v="1"/>
    <x v="11"/>
    <x v="0"/>
    <n v="0.33329999999999999"/>
    <n v="0.81"/>
    <s v="Risky"/>
    <n v="0"/>
    <n v="6"/>
    <n v="19"/>
    <n v="25"/>
  </r>
  <r>
    <n v="854"/>
    <d v="2011-02-08T00:00:00"/>
    <n v="2"/>
    <n v="0"/>
    <b v="0"/>
    <n v="2"/>
    <s v="No"/>
    <s v="Tuesday"/>
    <n v="2"/>
    <x v="1"/>
    <x v="17"/>
    <x v="0"/>
    <n v="0.31819999999999998"/>
    <n v="0.87"/>
    <s v="Risky"/>
    <n v="0"/>
    <n v="4"/>
    <n v="6"/>
    <n v="10"/>
  </r>
  <r>
    <n v="855"/>
    <d v="2011-02-08T00:00:00"/>
    <n v="2"/>
    <n v="1"/>
    <b v="0"/>
    <n v="2"/>
    <s v="No"/>
    <s v="Tuesday"/>
    <n v="2"/>
    <x v="1"/>
    <x v="17"/>
    <x v="0"/>
    <n v="0.31819999999999998"/>
    <n v="0.87"/>
    <s v="Risky"/>
    <n v="0"/>
    <n v="0"/>
    <n v="4"/>
    <n v="4"/>
  </r>
  <r>
    <n v="856"/>
    <d v="2011-02-08T00:00:00"/>
    <n v="2"/>
    <n v="2"/>
    <b v="0"/>
    <n v="2"/>
    <s v="No"/>
    <s v="Tuesday"/>
    <n v="2"/>
    <x v="1"/>
    <x v="12"/>
    <x v="0"/>
    <n v="0.2727"/>
    <n v="0.93"/>
    <s v="Risky"/>
    <n v="0.1045"/>
    <n v="1"/>
    <n v="1"/>
    <n v="2"/>
  </r>
  <r>
    <n v="857"/>
    <d v="2011-02-08T00:00:00"/>
    <n v="2"/>
    <n v="3"/>
    <b v="0"/>
    <n v="2"/>
    <s v="No"/>
    <s v="Tuesday"/>
    <n v="3"/>
    <x v="2"/>
    <x v="17"/>
    <x v="0"/>
    <n v="0.2727"/>
    <n v="0.93"/>
    <s v="Risky"/>
    <n v="0.16420000000000001"/>
    <n v="0"/>
    <n v="1"/>
    <n v="1"/>
  </r>
  <r>
    <n v="858"/>
    <d v="2011-02-08T00:00:00"/>
    <n v="2"/>
    <n v="4"/>
    <b v="0"/>
    <n v="2"/>
    <s v="No"/>
    <s v="Tuesday"/>
    <n v="1"/>
    <x v="0"/>
    <x v="12"/>
    <x v="0"/>
    <n v="0.2576"/>
    <n v="0.93"/>
    <s v="Risky"/>
    <n v="0.16420000000000001"/>
    <n v="0"/>
    <n v="3"/>
    <n v="3"/>
  </r>
  <r>
    <n v="859"/>
    <d v="2011-02-08T00:00:00"/>
    <n v="2"/>
    <n v="5"/>
    <b v="0"/>
    <n v="2"/>
    <s v="No"/>
    <s v="Tuesday"/>
    <n v="1"/>
    <x v="0"/>
    <x v="12"/>
    <x v="0"/>
    <n v="0.2273"/>
    <n v="0.81"/>
    <s v="Risky"/>
    <n v="0.32840000000000003"/>
    <n v="0"/>
    <n v="2"/>
    <n v="2"/>
  </r>
  <r>
    <n v="860"/>
    <d v="2011-02-08T00:00:00"/>
    <n v="2"/>
    <n v="6"/>
    <b v="0"/>
    <n v="2"/>
    <s v="No"/>
    <s v="Tuesday"/>
    <n v="1"/>
    <x v="0"/>
    <x v="12"/>
    <x v="0"/>
    <n v="0.2273"/>
    <n v="0.7"/>
    <s v="Risky"/>
    <n v="0.32840000000000003"/>
    <n v="0"/>
    <n v="39"/>
    <n v="39"/>
  </r>
  <r>
    <n v="861"/>
    <d v="2011-02-08T00:00:00"/>
    <n v="2"/>
    <n v="7"/>
    <b v="0"/>
    <n v="2"/>
    <s v="No"/>
    <s v="Tuesday"/>
    <n v="1"/>
    <x v="0"/>
    <x v="0"/>
    <x v="0"/>
    <n v="0.19700000000000001"/>
    <n v="0.65"/>
    <s v="Acceptable"/>
    <n v="0.41789999999999999"/>
    <n v="3"/>
    <n v="97"/>
    <n v="100"/>
  </r>
  <r>
    <n v="862"/>
    <d v="2011-02-08T00:00:00"/>
    <n v="2"/>
    <n v="8"/>
    <b v="0"/>
    <n v="2"/>
    <s v="No"/>
    <s v="Tuesday"/>
    <n v="1"/>
    <x v="0"/>
    <x v="0"/>
    <x v="0"/>
    <n v="0.19700000000000001"/>
    <n v="0.56000000000000005"/>
    <s v="Acceptable"/>
    <n v="0.49249999999999999"/>
    <n v="7"/>
    <n v="236"/>
    <n v="243"/>
  </r>
  <r>
    <n v="863"/>
    <d v="2011-02-08T00:00:00"/>
    <n v="2"/>
    <n v="9"/>
    <b v="0"/>
    <n v="2"/>
    <s v="No"/>
    <s v="Tuesday"/>
    <n v="1"/>
    <x v="0"/>
    <x v="0"/>
    <x v="0"/>
    <n v="0.19700000000000001"/>
    <n v="0.52"/>
    <s v="Acceptable"/>
    <n v="0.49249999999999999"/>
    <n v="7"/>
    <n v="128"/>
    <n v="135"/>
  </r>
  <r>
    <n v="864"/>
    <d v="2011-02-08T00:00:00"/>
    <n v="2"/>
    <n v="10"/>
    <b v="0"/>
    <n v="2"/>
    <s v="No"/>
    <s v="Tuesday"/>
    <n v="1"/>
    <x v="0"/>
    <x v="1"/>
    <x v="0"/>
    <n v="0.18179999999999999"/>
    <n v="0.47"/>
    <s v="Acceptable"/>
    <n v="0.55220000000000002"/>
    <n v="4"/>
    <n v="44"/>
    <n v="48"/>
  </r>
  <r>
    <n v="865"/>
    <d v="2011-02-08T00:00:00"/>
    <n v="2"/>
    <n v="11"/>
    <b v="0"/>
    <n v="2"/>
    <s v="No"/>
    <s v="Tuesday"/>
    <n v="1"/>
    <x v="0"/>
    <x v="1"/>
    <x v="0"/>
    <n v="0.18179999999999999"/>
    <n v="0.47"/>
    <s v="Acceptable"/>
    <n v="0.4627"/>
    <n v="1"/>
    <n v="49"/>
    <n v="50"/>
  </r>
  <r>
    <n v="866"/>
    <d v="2011-02-08T00:00:00"/>
    <n v="2"/>
    <n v="12"/>
    <b v="0"/>
    <n v="2"/>
    <s v="No"/>
    <s v="Tuesday"/>
    <n v="1"/>
    <x v="0"/>
    <x v="0"/>
    <x v="0"/>
    <n v="0.19700000000000001"/>
    <n v="0.38"/>
    <s v="Acceptable"/>
    <n v="0.49249999999999999"/>
    <n v="2"/>
    <n v="63"/>
    <n v="65"/>
  </r>
  <r>
    <n v="867"/>
    <d v="2011-02-08T00:00:00"/>
    <n v="2"/>
    <n v="13"/>
    <b v="0"/>
    <n v="2"/>
    <s v="No"/>
    <s v="Tuesday"/>
    <n v="2"/>
    <x v="1"/>
    <x v="0"/>
    <x v="0"/>
    <n v="0.19700000000000001"/>
    <n v="0.32"/>
    <s v="Acceptable"/>
    <n v="0.44779999999999998"/>
    <n v="2"/>
    <n v="48"/>
    <n v="50"/>
  </r>
  <r>
    <n v="868"/>
    <d v="2011-02-08T00:00:00"/>
    <n v="2"/>
    <n v="14"/>
    <b v="0"/>
    <n v="2"/>
    <s v="No"/>
    <s v="Tuesday"/>
    <n v="1"/>
    <x v="0"/>
    <x v="1"/>
    <x v="0"/>
    <n v="0.19700000000000001"/>
    <n v="0.37"/>
    <s v="Acceptable"/>
    <n v="0.41789999999999999"/>
    <n v="3"/>
    <n v="61"/>
    <n v="64"/>
  </r>
  <r>
    <n v="869"/>
    <d v="2011-02-08T00:00:00"/>
    <n v="2"/>
    <n v="15"/>
    <b v="0"/>
    <n v="2"/>
    <s v="No"/>
    <s v="Tuesday"/>
    <n v="1"/>
    <x v="0"/>
    <x v="1"/>
    <x v="0"/>
    <n v="0.19700000000000001"/>
    <n v="0.35"/>
    <s v="Acceptable"/>
    <n v="0.3881"/>
    <n v="6"/>
    <n v="45"/>
    <n v="51"/>
  </r>
  <r>
    <n v="870"/>
    <d v="2011-02-08T00:00:00"/>
    <n v="2"/>
    <n v="16"/>
    <b v="0"/>
    <n v="2"/>
    <s v="No"/>
    <s v="Tuesday"/>
    <n v="1"/>
    <x v="0"/>
    <x v="1"/>
    <x v="0"/>
    <n v="0.18179999999999999"/>
    <n v="0.35"/>
    <s v="Acceptable"/>
    <n v="0.52239999999999998"/>
    <n v="4"/>
    <n v="79"/>
    <n v="83"/>
  </r>
  <r>
    <n v="871"/>
    <d v="2011-02-08T00:00:00"/>
    <n v="2"/>
    <n v="17"/>
    <b v="0"/>
    <n v="2"/>
    <s v="No"/>
    <s v="Tuesday"/>
    <n v="1"/>
    <x v="0"/>
    <x v="1"/>
    <x v="0"/>
    <n v="0.18179999999999999"/>
    <n v="0.32"/>
    <s v="Acceptable"/>
    <n v="0.58209999999999995"/>
    <n v="4"/>
    <n v="172"/>
    <n v="176"/>
  </r>
  <r>
    <n v="872"/>
    <d v="2011-02-08T00:00:00"/>
    <n v="2"/>
    <n v="18"/>
    <b v="0"/>
    <n v="2"/>
    <s v="No"/>
    <s v="Tuesday"/>
    <n v="1"/>
    <x v="0"/>
    <x v="2"/>
    <x v="0"/>
    <n v="0.18179999999999999"/>
    <n v="0.32"/>
    <s v="Acceptable"/>
    <n v="0.3881"/>
    <n v="1"/>
    <n v="151"/>
    <n v="152"/>
  </r>
  <r>
    <n v="873"/>
    <d v="2011-02-08T00:00:00"/>
    <n v="2"/>
    <n v="19"/>
    <b v="0"/>
    <n v="2"/>
    <s v="No"/>
    <s v="Tuesday"/>
    <n v="1"/>
    <x v="0"/>
    <x v="13"/>
    <x v="0"/>
    <n v="0.1212"/>
    <n v="0.4"/>
    <s v="Acceptable"/>
    <n v="0.4627"/>
    <n v="1"/>
    <n v="100"/>
    <n v="101"/>
  </r>
  <r>
    <n v="874"/>
    <d v="2011-02-08T00:00:00"/>
    <n v="2"/>
    <n v="20"/>
    <b v="0"/>
    <n v="2"/>
    <s v="No"/>
    <s v="Tuesday"/>
    <n v="1"/>
    <x v="0"/>
    <x v="13"/>
    <x v="0"/>
    <n v="0.13639999999999999"/>
    <n v="0.4"/>
    <s v="Acceptable"/>
    <n v="0.32840000000000003"/>
    <n v="3"/>
    <n v="53"/>
    <n v="56"/>
  </r>
  <r>
    <n v="875"/>
    <d v="2011-02-08T00:00:00"/>
    <n v="2"/>
    <n v="21"/>
    <b v="0"/>
    <n v="2"/>
    <s v="No"/>
    <s v="Tuesday"/>
    <n v="1"/>
    <x v="0"/>
    <x v="14"/>
    <x v="0"/>
    <n v="0.1061"/>
    <n v="0.33"/>
    <s v="Acceptable"/>
    <n v="0.4627"/>
    <n v="8"/>
    <n v="46"/>
    <n v="54"/>
  </r>
  <r>
    <n v="876"/>
    <d v="2011-02-08T00:00:00"/>
    <n v="2"/>
    <n v="22"/>
    <b v="0"/>
    <n v="2"/>
    <s v="No"/>
    <s v="Tuesday"/>
    <n v="1"/>
    <x v="0"/>
    <x v="16"/>
    <x v="0"/>
    <n v="0.1061"/>
    <n v="0.33"/>
    <s v="Acceptable"/>
    <n v="0.35820000000000002"/>
    <n v="0"/>
    <n v="29"/>
    <n v="29"/>
  </r>
  <r>
    <n v="877"/>
    <d v="2011-02-08T00:00:00"/>
    <n v="2"/>
    <n v="23"/>
    <b v="0"/>
    <n v="2"/>
    <s v="No"/>
    <s v="Tuesday"/>
    <n v="1"/>
    <x v="0"/>
    <x v="16"/>
    <x v="0"/>
    <n v="0.1061"/>
    <n v="0.33"/>
    <s v="Acceptable"/>
    <n v="0.32840000000000003"/>
    <n v="3"/>
    <n v="9"/>
    <n v="12"/>
  </r>
  <r>
    <n v="878"/>
    <d v="2011-02-09T00:00:00"/>
    <n v="2"/>
    <n v="0"/>
    <b v="0"/>
    <n v="3"/>
    <s v="No"/>
    <s v="Wednesday"/>
    <n v="1"/>
    <x v="0"/>
    <x v="18"/>
    <x v="0"/>
    <n v="7.5800000000000006E-2"/>
    <n v="0.36"/>
    <s v="Acceptable"/>
    <n v="0.35820000000000002"/>
    <n v="0"/>
    <n v="17"/>
    <n v="17"/>
  </r>
  <r>
    <n v="879"/>
    <d v="2011-02-09T00:00:00"/>
    <n v="2"/>
    <n v="1"/>
    <b v="0"/>
    <n v="3"/>
    <s v="No"/>
    <s v="Wednesday"/>
    <n v="1"/>
    <x v="0"/>
    <x v="18"/>
    <x v="0"/>
    <n v="0.1061"/>
    <n v="0.36"/>
    <s v="Acceptable"/>
    <n v="0.22389999999999999"/>
    <n v="0"/>
    <n v="7"/>
    <n v="7"/>
  </r>
  <r>
    <n v="880"/>
    <d v="2011-02-09T00:00:00"/>
    <n v="2"/>
    <n v="2"/>
    <b v="0"/>
    <n v="3"/>
    <s v="No"/>
    <s v="Wednesday"/>
    <n v="1"/>
    <x v="0"/>
    <x v="19"/>
    <x v="1"/>
    <n v="7.5800000000000006E-2"/>
    <n v="0.38"/>
    <s v="Acceptable"/>
    <n v="0.28360000000000002"/>
    <n v="1"/>
    <n v="2"/>
    <n v="3"/>
  </r>
  <r>
    <n v="881"/>
    <d v="2011-02-09T00:00:00"/>
    <n v="2"/>
    <n v="3"/>
    <b v="0"/>
    <n v="3"/>
    <s v="No"/>
    <s v="Wednesday"/>
    <n v="1"/>
    <x v="0"/>
    <x v="20"/>
    <x v="1"/>
    <n v="7.5800000000000006E-2"/>
    <n v="0.45"/>
    <s v="Acceptable"/>
    <n v="0.1343"/>
    <n v="0"/>
    <n v="2"/>
    <n v="2"/>
  </r>
  <r>
    <n v="882"/>
    <d v="2011-02-09T00:00:00"/>
    <n v="2"/>
    <n v="5"/>
    <b v="0"/>
    <n v="3"/>
    <s v="No"/>
    <s v="Wednesday"/>
    <n v="1"/>
    <x v="0"/>
    <x v="20"/>
    <x v="1"/>
    <n v="0.1061"/>
    <n v="0.45"/>
    <s v="Acceptable"/>
    <n v="0.1045"/>
    <n v="0"/>
    <n v="7"/>
    <n v="7"/>
  </r>
  <r>
    <n v="883"/>
    <d v="2011-02-09T00:00:00"/>
    <n v="2"/>
    <n v="6"/>
    <b v="0"/>
    <n v="3"/>
    <s v="No"/>
    <s v="Wednesday"/>
    <n v="1"/>
    <x v="0"/>
    <x v="20"/>
    <x v="1"/>
    <n v="0.1515"/>
    <n v="0.45"/>
    <s v="Acceptable"/>
    <n v="0"/>
    <n v="0"/>
    <n v="43"/>
    <n v="43"/>
  </r>
  <r>
    <n v="884"/>
    <d v="2011-02-09T00:00:00"/>
    <n v="2"/>
    <n v="7"/>
    <b v="0"/>
    <n v="3"/>
    <s v="No"/>
    <s v="Wednesday"/>
    <n v="1"/>
    <x v="0"/>
    <x v="20"/>
    <x v="1"/>
    <n v="0.1061"/>
    <n v="0.49"/>
    <s v="Acceptable"/>
    <n v="0.1045"/>
    <n v="4"/>
    <n v="95"/>
    <n v="99"/>
  </r>
  <r>
    <n v="885"/>
    <d v="2011-02-09T00:00:00"/>
    <n v="2"/>
    <n v="8"/>
    <b v="0"/>
    <n v="3"/>
    <s v="No"/>
    <s v="Wednesday"/>
    <n v="1"/>
    <x v="0"/>
    <x v="18"/>
    <x v="0"/>
    <n v="0.13639999999999999"/>
    <n v="0.42"/>
    <s v="Acceptable"/>
    <n v="0"/>
    <n v="1"/>
    <n v="198"/>
    <n v="199"/>
  </r>
  <r>
    <n v="886"/>
    <d v="2011-02-09T00:00:00"/>
    <n v="2"/>
    <n v="9"/>
    <b v="0"/>
    <n v="3"/>
    <s v="No"/>
    <s v="Wednesday"/>
    <n v="1"/>
    <x v="0"/>
    <x v="16"/>
    <x v="0"/>
    <n v="0.13639999999999999"/>
    <n v="0.39"/>
    <s v="Acceptable"/>
    <n v="0.16420000000000001"/>
    <n v="4"/>
    <n v="119"/>
    <n v="123"/>
  </r>
  <r>
    <n v="887"/>
    <d v="2011-02-09T00:00:00"/>
    <n v="2"/>
    <n v="10"/>
    <b v="0"/>
    <n v="3"/>
    <s v="No"/>
    <s v="Wednesday"/>
    <n v="1"/>
    <x v="0"/>
    <x v="14"/>
    <x v="0"/>
    <n v="0.18179999999999999"/>
    <n v="0.36"/>
    <s v="Acceptable"/>
    <n v="0"/>
    <n v="8"/>
    <n v="51"/>
    <n v="59"/>
  </r>
  <r>
    <n v="888"/>
    <d v="2011-02-09T00:00:00"/>
    <n v="2"/>
    <n v="11"/>
    <b v="0"/>
    <n v="3"/>
    <s v="No"/>
    <s v="Wednesday"/>
    <n v="2"/>
    <x v="1"/>
    <x v="14"/>
    <x v="0"/>
    <n v="0.1515"/>
    <n v="0.43"/>
    <s v="Acceptable"/>
    <n v="0.16420000000000001"/>
    <n v="1"/>
    <n v="40"/>
    <n v="41"/>
  </r>
  <r>
    <n v="889"/>
    <d v="2011-02-09T00:00:00"/>
    <n v="2"/>
    <n v="12"/>
    <b v="0"/>
    <n v="3"/>
    <s v="No"/>
    <s v="Wednesday"/>
    <n v="2"/>
    <x v="1"/>
    <x v="15"/>
    <x v="0"/>
    <n v="0.18179999999999999"/>
    <n v="0.4"/>
    <s v="Acceptable"/>
    <n v="0.22389999999999999"/>
    <n v="4"/>
    <n v="57"/>
    <n v="61"/>
  </r>
  <r>
    <n v="890"/>
    <d v="2011-02-09T00:00:00"/>
    <n v="2"/>
    <n v="13"/>
    <b v="0"/>
    <n v="3"/>
    <s v="No"/>
    <s v="Wednesday"/>
    <n v="1"/>
    <x v="0"/>
    <x v="15"/>
    <x v="0"/>
    <n v="0.16669999999999999"/>
    <n v="0.4"/>
    <s v="Acceptable"/>
    <n v="0.25369999999999998"/>
    <n v="2"/>
    <n v="67"/>
    <n v="69"/>
  </r>
  <r>
    <n v="891"/>
    <d v="2011-02-09T00:00:00"/>
    <n v="2"/>
    <n v="14"/>
    <b v="0"/>
    <n v="3"/>
    <s v="No"/>
    <s v="Wednesday"/>
    <n v="1"/>
    <x v="0"/>
    <x v="2"/>
    <x v="0"/>
    <n v="0.18179999999999999"/>
    <n v="0.34"/>
    <s v="Acceptable"/>
    <n v="0.29849999999999999"/>
    <n v="2"/>
    <n v="56"/>
    <n v="58"/>
  </r>
  <r>
    <n v="892"/>
    <d v="2011-02-09T00:00:00"/>
    <n v="2"/>
    <n v="15"/>
    <b v="0"/>
    <n v="3"/>
    <s v="No"/>
    <s v="Wednesday"/>
    <n v="2"/>
    <x v="1"/>
    <x v="2"/>
    <x v="0"/>
    <n v="0.18179999999999999"/>
    <n v="0.34"/>
    <s v="Acceptable"/>
    <n v="0.28360000000000002"/>
    <n v="3"/>
    <n v="61"/>
    <n v="64"/>
  </r>
  <r>
    <n v="893"/>
    <d v="2011-02-09T00:00:00"/>
    <n v="2"/>
    <n v="16"/>
    <b v="0"/>
    <n v="3"/>
    <s v="No"/>
    <s v="Wednesday"/>
    <n v="2"/>
    <x v="1"/>
    <x v="2"/>
    <x v="0"/>
    <n v="0.19700000000000001"/>
    <n v="0.37"/>
    <s v="Acceptable"/>
    <n v="0.25369999999999998"/>
    <n v="7"/>
    <n v="72"/>
    <n v="79"/>
  </r>
  <r>
    <n v="894"/>
    <d v="2011-02-09T00:00:00"/>
    <n v="2"/>
    <n v="17"/>
    <b v="0"/>
    <n v="3"/>
    <s v="No"/>
    <s v="Wednesday"/>
    <n v="2"/>
    <x v="1"/>
    <x v="2"/>
    <x v="0"/>
    <n v="0.19700000000000001"/>
    <n v="0.34"/>
    <s v="Acceptable"/>
    <n v="0.25369999999999998"/>
    <n v="9"/>
    <n v="157"/>
    <n v="166"/>
  </r>
  <r>
    <n v="895"/>
    <d v="2011-02-09T00:00:00"/>
    <n v="2"/>
    <n v="18"/>
    <b v="0"/>
    <n v="3"/>
    <s v="No"/>
    <s v="Wednesday"/>
    <n v="2"/>
    <x v="1"/>
    <x v="15"/>
    <x v="0"/>
    <n v="0.16669999999999999"/>
    <n v="0.47"/>
    <s v="Acceptable"/>
    <n v="0.29849999999999999"/>
    <n v="2"/>
    <n v="168"/>
    <n v="170"/>
  </r>
  <r>
    <n v="896"/>
    <d v="2011-02-09T00:00:00"/>
    <n v="2"/>
    <n v="19"/>
    <b v="0"/>
    <n v="3"/>
    <s v="No"/>
    <s v="Wednesday"/>
    <n v="3"/>
    <x v="2"/>
    <x v="14"/>
    <x v="0"/>
    <n v="0.1212"/>
    <n v="0.86"/>
    <s v="Risky"/>
    <n v="0.25369999999999998"/>
    <n v="1"/>
    <n v="87"/>
    <n v="88"/>
  </r>
  <r>
    <n v="897"/>
    <d v="2011-02-09T00:00:00"/>
    <n v="2"/>
    <n v="20"/>
    <b v="0"/>
    <n v="3"/>
    <s v="No"/>
    <s v="Wednesday"/>
    <n v="3"/>
    <x v="2"/>
    <x v="14"/>
    <x v="0"/>
    <n v="0.1515"/>
    <n v="0.86"/>
    <s v="Risky"/>
    <n v="0.16420000000000001"/>
    <n v="0"/>
    <n v="84"/>
    <n v="84"/>
  </r>
  <r>
    <n v="898"/>
    <d v="2011-02-09T00:00:00"/>
    <n v="2"/>
    <n v="21"/>
    <b v="0"/>
    <n v="3"/>
    <s v="No"/>
    <s v="Wednesday"/>
    <n v="2"/>
    <x v="1"/>
    <x v="14"/>
    <x v="0"/>
    <n v="0.1515"/>
    <n v="0.86"/>
    <s v="Risky"/>
    <n v="0.16420000000000001"/>
    <n v="0"/>
    <n v="83"/>
    <n v="83"/>
  </r>
  <r>
    <n v="899"/>
    <d v="2011-02-09T00:00:00"/>
    <n v="2"/>
    <n v="22"/>
    <b v="0"/>
    <n v="3"/>
    <s v="No"/>
    <s v="Wednesday"/>
    <n v="3"/>
    <x v="2"/>
    <x v="13"/>
    <x v="0"/>
    <n v="0.16669999999999999"/>
    <n v="0.8"/>
    <s v="Risky"/>
    <n v="0.16420000000000001"/>
    <n v="4"/>
    <n v="42"/>
    <n v="46"/>
  </r>
  <r>
    <n v="900"/>
    <d v="2011-02-09T00:00:00"/>
    <n v="2"/>
    <n v="23"/>
    <b v="0"/>
    <n v="3"/>
    <s v="No"/>
    <s v="Wednesday"/>
    <n v="3"/>
    <x v="2"/>
    <x v="13"/>
    <x v="0"/>
    <n v="0.1515"/>
    <n v="0.8"/>
    <s v="Risky"/>
    <n v="0.19400000000000001"/>
    <n v="0"/>
    <n v="37"/>
    <n v="37"/>
  </r>
  <r>
    <n v="901"/>
    <d v="2011-02-10T00:00:00"/>
    <n v="2"/>
    <n v="0"/>
    <b v="0"/>
    <n v="4"/>
    <s v="No"/>
    <s v="Thursday"/>
    <n v="3"/>
    <x v="2"/>
    <x v="14"/>
    <x v="0"/>
    <n v="0.13639999999999999"/>
    <n v="0.86"/>
    <s v="Risky"/>
    <n v="0.19400000000000001"/>
    <n v="0"/>
    <n v="16"/>
    <n v="16"/>
  </r>
  <r>
    <n v="902"/>
    <d v="2011-02-10T00:00:00"/>
    <n v="2"/>
    <n v="1"/>
    <b v="0"/>
    <n v="4"/>
    <s v="No"/>
    <s v="Thursday"/>
    <n v="3"/>
    <x v="2"/>
    <x v="14"/>
    <x v="0"/>
    <n v="0.1515"/>
    <n v="0.8"/>
    <s v="Risky"/>
    <n v="0.1343"/>
    <n v="0"/>
    <n v="7"/>
    <n v="7"/>
  </r>
  <r>
    <n v="903"/>
    <d v="2011-02-10T00:00:00"/>
    <n v="2"/>
    <n v="2"/>
    <b v="0"/>
    <n v="4"/>
    <s v="No"/>
    <s v="Thursday"/>
    <n v="3"/>
    <x v="2"/>
    <x v="14"/>
    <x v="0"/>
    <n v="0.1515"/>
    <n v="0.8"/>
    <s v="Risky"/>
    <n v="0.1343"/>
    <n v="0"/>
    <n v="3"/>
    <n v="3"/>
  </r>
  <r>
    <n v="904"/>
    <d v="2011-02-10T00:00:00"/>
    <n v="2"/>
    <n v="4"/>
    <b v="0"/>
    <n v="4"/>
    <s v="No"/>
    <s v="Thursday"/>
    <n v="2"/>
    <x v="1"/>
    <x v="14"/>
    <x v="0"/>
    <n v="0.13639999999999999"/>
    <n v="0.59"/>
    <s v="Acceptable"/>
    <n v="0.22389999999999999"/>
    <n v="0"/>
    <n v="1"/>
    <n v="1"/>
  </r>
  <r>
    <n v="905"/>
    <d v="2011-02-10T00:00:00"/>
    <n v="2"/>
    <n v="5"/>
    <b v="0"/>
    <n v="4"/>
    <s v="No"/>
    <s v="Thursday"/>
    <n v="2"/>
    <x v="1"/>
    <x v="16"/>
    <x v="0"/>
    <n v="0.1212"/>
    <n v="0.5"/>
    <s v="Acceptable"/>
    <n v="0.22389999999999999"/>
    <n v="0"/>
    <n v="6"/>
    <n v="6"/>
  </r>
  <r>
    <n v="906"/>
    <d v="2011-02-10T00:00:00"/>
    <n v="2"/>
    <n v="6"/>
    <b v="0"/>
    <n v="4"/>
    <s v="No"/>
    <s v="Thursday"/>
    <n v="2"/>
    <x v="1"/>
    <x v="16"/>
    <x v="0"/>
    <n v="0.1212"/>
    <n v="0.54"/>
    <s v="Acceptable"/>
    <n v="0.28360000000000002"/>
    <n v="0"/>
    <n v="26"/>
    <n v="26"/>
  </r>
  <r>
    <n v="907"/>
    <d v="2011-02-10T00:00:00"/>
    <n v="2"/>
    <n v="7"/>
    <b v="0"/>
    <n v="4"/>
    <s v="No"/>
    <s v="Thursday"/>
    <n v="1"/>
    <x v="0"/>
    <x v="18"/>
    <x v="0"/>
    <n v="7.5800000000000006E-2"/>
    <n v="0.5"/>
    <s v="Acceptable"/>
    <n v="0.41789999999999999"/>
    <n v="0"/>
    <n v="99"/>
    <n v="99"/>
  </r>
  <r>
    <n v="908"/>
    <d v="2011-02-10T00:00:00"/>
    <n v="2"/>
    <n v="8"/>
    <b v="0"/>
    <n v="4"/>
    <s v="No"/>
    <s v="Thursday"/>
    <n v="1"/>
    <x v="0"/>
    <x v="18"/>
    <x v="0"/>
    <n v="7.5800000000000006E-2"/>
    <n v="0.49"/>
    <s v="Acceptable"/>
    <n v="0.32840000000000003"/>
    <n v="5"/>
    <n v="173"/>
    <n v="178"/>
  </r>
  <r>
    <n v="909"/>
    <d v="2011-02-10T00:00:00"/>
    <n v="2"/>
    <n v="9"/>
    <b v="0"/>
    <n v="4"/>
    <s v="No"/>
    <s v="Thursday"/>
    <n v="1"/>
    <x v="0"/>
    <x v="16"/>
    <x v="0"/>
    <n v="0.1061"/>
    <n v="0.42"/>
    <s v="Acceptable"/>
    <n v="0.35820000000000002"/>
    <n v="1"/>
    <n v="121"/>
    <n v="122"/>
  </r>
  <r>
    <n v="910"/>
    <d v="2011-02-10T00:00:00"/>
    <n v="2"/>
    <n v="10"/>
    <b v="0"/>
    <n v="4"/>
    <s v="No"/>
    <s v="Thursday"/>
    <n v="1"/>
    <x v="0"/>
    <x v="16"/>
    <x v="0"/>
    <n v="0.1061"/>
    <n v="0.42"/>
    <s v="Acceptable"/>
    <n v="0.29849999999999999"/>
    <n v="1"/>
    <n v="34"/>
    <n v="35"/>
  </r>
  <r>
    <n v="911"/>
    <d v="2011-02-10T00:00:00"/>
    <n v="2"/>
    <n v="11"/>
    <b v="0"/>
    <n v="4"/>
    <s v="No"/>
    <s v="Thursday"/>
    <n v="1"/>
    <x v="0"/>
    <x v="14"/>
    <x v="0"/>
    <n v="0.1212"/>
    <n v="0.39"/>
    <s v="Acceptable"/>
    <n v="0.35820000000000002"/>
    <n v="1"/>
    <n v="44"/>
    <n v="45"/>
  </r>
  <r>
    <n v="912"/>
    <d v="2011-02-10T00:00:00"/>
    <n v="2"/>
    <n v="12"/>
    <b v="0"/>
    <n v="4"/>
    <s v="No"/>
    <s v="Thursday"/>
    <n v="1"/>
    <x v="0"/>
    <x v="13"/>
    <x v="0"/>
    <n v="0.13639999999999999"/>
    <n v="0.34"/>
    <s v="Acceptable"/>
    <n v="0.3881"/>
    <n v="4"/>
    <n v="65"/>
    <n v="69"/>
  </r>
  <r>
    <n v="913"/>
    <d v="2011-02-10T00:00:00"/>
    <n v="2"/>
    <n v="13"/>
    <b v="0"/>
    <n v="4"/>
    <s v="No"/>
    <s v="Thursday"/>
    <n v="1"/>
    <x v="0"/>
    <x v="15"/>
    <x v="0"/>
    <n v="0.16669999999999999"/>
    <n v="0.28999999999999998"/>
    <s v="Acceptable"/>
    <n v="0.29849999999999999"/>
    <n v="3"/>
    <n v="59"/>
    <n v="62"/>
  </r>
  <r>
    <n v="914"/>
    <d v="2011-02-10T00:00:00"/>
    <n v="2"/>
    <n v="14"/>
    <b v="0"/>
    <n v="4"/>
    <s v="No"/>
    <s v="Thursday"/>
    <n v="1"/>
    <x v="0"/>
    <x v="2"/>
    <x v="0"/>
    <n v="0.18179999999999999"/>
    <n v="0.27"/>
    <s v="Acceptable"/>
    <n v="0.28360000000000002"/>
    <n v="6"/>
    <n v="42"/>
    <n v="48"/>
  </r>
  <r>
    <n v="915"/>
    <d v="2011-02-10T00:00:00"/>
    <n v="2"/>
    <n v="15"/>
    <b v="0"/>
    <n v="4"/>
    <s v="No"/>
    <s v="Thursday"/>
    <n v="1"/>
    <x v="0"/>
    <x v="2"/>
    <x v="0"/>
    <n v="0.19700000000000001"/>
    <n v="0.25"/>
    <s v="Acceptable"/>
    <n v="0.25369999999999998"/>
    <n v="0"/>
    <n v="50"/>
    <n v="50"/>
  </r>
  <r>
    <n v="916"/>
    <d v="2011-02-10T00:00:00"/>
    <n v="2"/>
    <n v="16"/>
    <b v="0"/>
    <n v="4"/>
    <s v="No"/>
    <s v="Thursday"/>
    <n v="1"/>
    <x v="0"/>
    <x v="2"/>
    <x v="0"/>
    <n v="0.18179999999999999"/>
    <n v="0.27"/>
    <s v="Acceptable"/>
    <n v="0.29849999999999999"/>
    <n v="4"/>
    <n v="76"/>
    <n v="80"/>
  </r>
  <r>
    <n v="917"/>
    <d v="2011-02-10T00:00:00"/>
    <n v="2"/>
    <n v="17"/>
    <b v="0"/>
    <n v="4"/>
    <s v="No"/>
    <s v="Thursday"/>
    <n v="1"/>
    <x v="0"/>
    <x v="15"/>
    <x v="0"/>
    <n v="0.18179999999999999"/>
    <n v="0.26"/>
    <s v="Acceptable"/>
    <n v="0.19400000000000001"/>
    <n v="6"/>
    <n v="159"/>
    <n v="165"/>
  </r>
  <r>
    <n v="918"/>
    <d v="2011-02-10T00:00:00"/>
    <n v="2"/>
    <n v="18"/>
    <b v="0"/>
    <n v="4"/>
    <s v="No"/>
    <s v="Thursday"/>
    <n v="1"/>
    <x v="0"/>
    <x v="13"/>
    <x v="0"/>
    <n v="0.18179999999999999"/>
    <n v="0.28000000000000003"/>
    <s v="Acceptable"/>
    <n v="0.1343"/>
    <n v="3"/>
    <n v="157"/>
    <n v="160"/>
  </r>
  <r>
    <n v="919"/>
    <d v="2011-02-10T00:00:00"/>
    <n v="2"/>
    <n v="19"/>
    <b v="0"/>
    <n v="4"/>
    <s v="No"/>
    <s v="Thursday"/>
    <n v="1"/>
    <x v="0"/>
    <x v="14"/>
    <x v="0"/>
    <n v="0.16669999999999999"/>
    <n v="0.28000000000000003"/>
    <s v="Acceptable"/>
    <n v="0.1045"/>
    <n v="2"/>
    <n v="110"/>
    <n v="112"/>
  </r>
  <r>
    <n v="920"/>
    <d v="2011-02-10T00:00:00"/>
    <n v="2"/>
    <n v="20"/>
    <b v="0"/>
    <n v="4"/>
    <s v="No"/>
    <s v="Thursday"/>
    <n v="1"/>
    <x v="0"/>
    <x v="14"/>
    <x v="0"/>
    <n v="0.18179999999999999"/>
    <n v="0.31"/>
    <s v="Acceptable"/>
    <n v="8.9599999999999999E-2"/>
    <n v="4"/>
    <n v="93"/>
    <n v="97"/>
  </r>
  <r>
    <n v="921"/>
    <d v="2011-02-10T00:00:00"/>
    <n v="2"/>
    <n v="21"/>
    <b v="0"/>
    <n v="4"/>
    <s v="No"/>
    <s v="Thursday"/>
    <n v="1"/>
    <x v="0"/>
    <x v="14"/>
    <x v="0"/>
    <n v="0.21210000000000001"/>
    <n v="0.39"/>
    <s v="Acceptable"/>
    <n v="0"/>
    <n v="2"/>
    <n v="70"/>
    <n v="72"/>
  </r>
  <r>
    <n v="922"/>
    <d v="2011-02-10T00:00:00"/>
    <n v="2"/>
    <n v="22"/>
    <b v="0"/>
    <n v="4"/>
    <s v="No"/>
    <s v="Thursday"/>
    <n v="1"/>
    <x v="0"/>
    <x v="16"/>
    <x v="0"/>
    <n v="0.19700000000000001"/>
    <n v="0.39"/>
    <s v="Acceptable"/>
    <n v="0"/>
    <n v="4"/>
    <n v="47"/>
    <n v="51"/>
  </r>
  <r>
    <n v="923"/>
    <d v="2011-02-10T00:00:00"/>
    <n v="2"/>
    <n v="23"/>
    <b v="0"/>
    <n v="4"/>
    <s v="No"/>
    <s v="Thursday"/>
    <n v="1"/>
    <x v="0"/>
    <x v="16"/>
    <x v="0"/>
    <n v="0.1515"/>
    <n v="0.42"/>
    <s v="Acceptable"/>
    <n v="0.1045"/>
    <n v="1"/>
    <n v="33"/>
    <n v="34"/>
  </r>
  <r>
    <n v="924"/>
    <d v="2011-02-11T00:00:00"/>
    <n v="2"/>
    <n v="0"/>
    <b v="0"/>
    <n v="5"/>
    <s v="No"/>
    <s v="Friday"/>
    <n v="1"/>
    <x v="0"/>
    <x v="18"/>
    <x v="0"/>
    <n v="0.13639999999999999"/>
    <n v="0.49"/>
    <s v="Acceptable"/>
    <n v="0.1045"/>
    <n v="2"/>
    <n v="12"/>
    <n v="14"/>
  </r>
  <r>
    <n v="925"/>
    <d v="2011-02-11T00:00:00"/>
    <n v="2"/>
    <n v="1"/>
    <b v="0"/>
    <n v="5"/>
    <s v="No"/>
    <s v="Friday"/>
    <n v="1"/>
    <x v="0"/>
    <x v="18"/>
    <x v="0"/>
    <n v="0.13639999999999999"/>
    <n v="0.54"/>
    <s v="Acceptable"/>
    <n v="8.9599999999999999E-2"/>
    <n v="1"/>
    <n v="6"/>
    <n v="7"/>
  </r>
  <r>
    <n v="926"/>
    <d v="2011-02-11T00:00:00"/>
    <n v="2"/>
    <n v="2"/>
    <b v="0"/>
    <n v="5"/>
    <s v="No"/>
    <s v="Friday"/>
    <n v="1"/>
    <x v="0"/>
    <x v="18"/>
    <x v="0"/>
    <n v="0.13639999999999999"/>
    <n v="0.54"/>
    <s v="Acceptable"/>
    <n v="8.9599999999999999E-2"/>
    <n v="0"/>
    <n v="3"/>
    <n v="3"/>
  </r>
  <r>
    <n v="927"/>
    <d v="2011-02-11T00:00:00"/>
    <n v="2"/>
    <n v="5"/>
    <b v="0"/>
    <n v="5"/>
    <s v="No"/>
    <s v="Friday"/>
    <n v="1"/>
    <x v="0"/>
    <x v="19"/>
    <x v="1"/>
    <n v="0.1212"/>
    <n v="0.63"/>
    <s v="Acceptable"/>
    <n v="8.9599999999999999E-2"/>
    <n v="0"/>
    <n v="4"/>
    <n v="4"/>
  </r>
  <r>
    <n v="928"/>
    <d v="2011-02-11T00:00:00"/>
    <n v="2"/>
    <n v="6"/>
    <b v="0"/>
    <n v="5"/>
    <s v="No"/>
    <s v="Friday"/>
    <n v="1"/>
    <x v="0"/>
    <x v="18"/>
    <x v="0"/>
    <n v="0.18179999999999999"/>
    <n v="0.68"/>
    <s v="Acceptable"/>
    <n v="0"/>
    <n v="1"/>
    <n v="23"/>
    <n v="24"/>
  </r>
  <r>
    <n v="929"/>
    <d v="2011-02-11T00:00:00"/>
    <n v="2"/>
    <n v="7"/>
    <b v="0"/>
    <n v="5"/>
    <s v="No"/>
    <s v="Friday"/>
    <n v="1"/>
    <x v="0"/>
    <x v="19"/>
    <x v="1"/>
    <n v="0.16669999999999999"/>
    <n v="0.73"/>
    <s v="Risky"/>
    <n v="0"/>
    <n v="1"/>
    <n v="73"/>
    <n v="74"/>
  </r>
  <r>
    <n v="930"/>
    <d v="2011-02-11T00:00:00"/>
    <n v="2"/>
    <n v="8"/>
    <b v="0"/>
    <n v="5"/>
    <s v="No"/>
    <s v="Friday"/>
    <n v="1"/>
    <x v="0"/>
    <x v="18"/>
    <x v="0"/>
    <n v="0.1212"/>
    <n v="0.74"/>
    <s v="Risky"/>
    <n v="0.16420000000000001"/>
    <n v="4"/>
    <n v="212"/>
    <n v="216"/>
  </r>
  <r>
    <n v="931"/>
    <d v="2011-02-11T00:00:00"/>
    <n v="2"/>
    <n v="9"/>
    <b v="0"/>
    <n v="5"/>
    <s v="No"/>
    <s v="Friday"/>
    <n v="1"/>
    <x v="0"/>
    <x v="16"/>
    <x v="0"/>
    <n v="0.1212"/>
    <n v="0.74"/>
    <s v="Risky"/>
    <n v="0.22389999999999999"/>
    <n v="8"/>
    <n v="132"/>
    <n v="140"/>
  </r>
  <r>
    <n v="932"/>
    <d v="2011-02-11T00:00:00"/>
    <n v="2"/>
    <n v="10"/>
    <b v="0"/>
    <n v="5"/>
    <s v="No"/>
    <s v="Friday"/>
    <n v="1"/>
    <x v="0"/>
    <x v="14"/>
    <x v="0"/>
    <n v="0.13639999999999999"/>
    <n v="0.69"/>
    <s v="Acceptable"/>
    <n v="0.19400000000000001"/>
    <n v="5"/>
    <n v="39"/>
    <n v="44"/>
  </r>
  <r>
    <n v="933"/>
    <d v="2011-02-11T00:00:00"/>
    <n v="2"/>
    <n v="11"/>
    <b v="0"/>
    <n v="5"/>
    <s v="No"/>
    <s v="Friday"/>
    <n v="1"/>
    <x v="0"/>
    <x v="1"/>
    <x v="0"/>
    <n v="0.2273"/>
    <n v="0.47"/>
    <s v="Acceptable"/>
    <n v="0.1343"/>
    <n v="12"/>
    <n v="52"/>
    <n v="64"/>
  </r>
  <r>
    <n v="934"/>
    <d v="2011-02-11T00:00:00"/>
    <n v="2"/>
    <n v="12"/>
    <b v="0"/>
    <n v="5"/>
    <s v="No"/>
    <s v="Friday"/>
    <n v="1"/>
    <x v="0"/>
    <x v="1"/>
    <x v="0"/>
    <n v="0.2273"/>
    <n v="0.47"/>
    <s v="Acceptable"/>
    <n v="0.1343"/>
    <n v="7"/>
    <n v="64"/>
    <n v="71"/>
  </r>
  <r>
    <n v="935"/>
    <d v="2011-02-11T00:00:00"/>
    <n v="2"/>
    <n v="13"/>
    <b v="0"/>
    <n v="5"/>
    <s v="No"/>
    <s v="Friday"/>
    <n v="1"/>
    <x v="0"/>
    <x v="0"/>
    <x v="0"/>
    <n v="0.2273"/>
    <n v="0.35"/>
    <s v="Acceptable"/>
    <n v="0.19400000000000001"/>
    <n v="21"/>
    <n v="89"/>
    <n v="110"/>
  </r>
  <r>
    <n v="936"/>
    <d v="2011-02-11T00:00:00"/>
    <n v="2"/>
    <n v="14"/>
    <b v="0"/>
    <n v="5"/>
    <s v="No"/>
    <s v="Friday"/>
    <n v="1"/>
    <x v="0"/>
    <x v="11"/>
    <x v="0"/>
    <n v="0.28789999999999999"/>
    <n v="0.26"/>
    <s v="Acceptable"/>
    <n v="0.25369999999999998"/>
    <n v="17"/>
    <n v="67"/>
    <n v="84"/>
  </r>
  <r>
    <n v="937"/>
    <d v="2011-02-11T00:00:00"/>
    <n v="2"/>
    <n v="15"/>
    <b v="0"/>
    <n v="5"/>
    <s v="No"/>
    <s v="Friday"/>
    <n v="1"/>
    <x v="0"/>
    <x v="3"/>
    <x v="0"/>
    <n v="0.31819999999999998"/>
    <n v="0.21"/>
    <s v="Acceptable"/>
    <n v="0.16420000000000001"/>
    <n v="12"/>
    <n v="62"/>
    <n v="74"/>
  </r>
  <r>
    <n v="938"/>
    <d v="2011-02-11T00:00:00"/>
    <n v="2"/>
    <n v="16"/>
    <b v="0"/>
    <n v="5"/>
    <s v="No"/>
    <s v="Friday"/>
    <n v="1"/>
    <x v="0"/>
    <x v="11"/>
    <x v="0"/>
    <n v="0.28789999999999999"/>
    <n v="0.28000000000000003"/>
    <s v="Acceptable"/>
    <n v="0.19400000000000001"/>
    <n v="14"/>
    <n v="111"/>
    <n v="125"/>
  </r>
  <r>
    <n v="939"/>
    <d v="2011-02-11T00:00:00"/>
    <n v="2"/>
    <n v="17"/>
    <b v="0"/>
    <n v="5"/>
    <s v="No"/>
    <s v="Friday"/>
    <n v="1"/>
    <x v="0"/>
    <x v="11"/>
    <x v="0"/>
    <n v="0.33329999999999999"/>
    <n v="0.24"/>
    <s v="Acceptable"/>
    <n v="0"/>
    <n v="18"/>
    <n v="193"/>
    <n v="211"/>
  </r>
  <r>
    <n v="940"/>
    <d v="2011-02-11T00:00:00"/>
    <n v="2"/>
    <n v="18"/>
    <b v="0"/>
    <n v="5"/>
    <s v="No"/>
    <s v="Friday"/>
    <n v="1"/>
    <x v="0"/>
    <x v="17"/>
    <x v="0"/>
    <n v="0.31819999999999998"/>
    <n v="0.28000000000000003"/>
    <s v="Acceptable"/>
    <n v="0"/>
    <n v="9"/>
    <n v="165"/>
    <n v="174"/>
  </r>
  <r>
    <n v="941"/>
    <d v="2011-02-11T00:00:00"/>
    <n v="2"/>
    <n v="19"/>
    <b v="0"/>
    <n v="5"/>
    <s v="No"/>
    <s v="Friday"/>
    <n v="1"/>
    <x v="0"/>
    <x v="12"/>
    <x v="0"/>
    <n v="0.30299999999999999"/>
    <n v="0.33"/>
    <s v="Acceptable"/>
    <n v="0"/>
    <n v="7"/>
    <n v="94"/>
    <n v="101"/>
  </r>
  <r>
    <n v="942"/>
    <d v="2011-02-11T00:00:00"/>
    <n v="2"/>
    <n v="20"/>
    <b v="0"/>
    <n v="5"/>
    <s v="No"/>
    <s v="Friday"/>
    <n v="1"/>
    <x v="0"/>
    <x v="1"/>
    <x v="0"/>
    <n v="0.2273"/>
    <n v="0.55000000000000004"/>
    <s v="Acceptable"/>
    <n v="0.1343"/>
    <n v="2"/>
    <n v="61"/>
    <n v="63"/>
  </r>
  <r>
    <n v="943"/>
    <d v="2011-02-11T00:00:00"/>
    <n v="2"/>
    <n v="21"/>
    <b v="0"/>
    <n v="5"/>
    <s v="No"/>
    <s v="Friday"/>
    <n v="1"/>
    <x v="0"/>
    <x v="2"/>
    <x v="0"/>
    <n v="0.21210000000000001"/>
    <n v="0.59"/>
    <s v="Acceptable"/>
    <n v="0.1343"/>
    <n v="1"/>
    <n v="46"/>
    <n v="47"/>
  </r>
  <r>
    <n v="944"/>
    <d v="2011-02-11T00:00:00"/>
    <n v="2"/>
    <n v="22"/>
    <b v="0"/>
    <n v="5"/>
    <s v="No"/>
    <s v="Friday"/>
    <n v="1"/>
    <x v="0"/>
    <x v="2"/>
    <x v="0"/>
    <n v="0.2273"/>
    <n v="0.64"/>
    <s v="Acceptable"/>
    <n v="8.9599999999999999E-2"/>
    <n v="2"/>
    <n v="41"/>
    <n v="43"/>
  </r>
  <r>
    <n v="945"/>
    <d v="2011-02-11T00:00:00"/>
    <n v="2"/>
    <n v="23"/>
    <b v="0"/>
    <n v="5"/>
    <s v="No"/>
    <s v="Friday"/>
    <n v="1"/>
    <x v="0"/>
    <x v="15"/>
    <x v="0"/>
    <n v="0.2424"/>
    <n v="0.69"/>
    <s v="Acceptable"/>
    <n v="0"/>
    <n v="5"/>
    <n v="48"/>
    <n v="53"/>
  </r>
  <r>
    <n v="946"/>
    <d v="2011-02-12T00:00:00"/>
    <n v="2"/>
    <n v="0"/>
    <b v="0"/>
    <n v="6"/>
    <s v="Yes"/>
    <s v="Saturday"/>
    <n v="1"/>
    <x v="0"/>
    <x v="13"/>
    <x v="0"/>
    <n v="0.19700000000000001"/>
    <n v="0.69"/>
    <s v="Acceptable"/>
    <n v="8.9599999999999999E-2"/>
    <n v="3"/>
    <n v="27"/>
    <n v="30"/>
  </r>
  <r>
    <n v="947"/>
    <d v="2011-02-12T00:00:00"/>
    <n v="2"/>
    <n v="1"/>
    <b v="0"/>
    <n v="6"/>
    <s v="Yes"/>
    <s v="Saturday"/>
    <n v="1"/>
    <x v="0"/>
    <x v="14"/>
    <x v="0"/>
    <n v="0.21210000000000001"/>
    <n v="0.86"/>
    <s v="Risky"/>
    <n v="0"/>
    <n v="2"/>
    <n v="22"/>
    <n v="24"/>
  </r>
  <r>
    <n v="948"/>
    <d v="2011-02-12T00:00:00"/>
    <n v="2"/>
    <n v="2"/>
    <b v="0"/>
    <n v="6"/>
    <s v="Yes"/>
    <s v="Saturday"/>
    <n v="1"/>
    <x v="0"/>
    <x v="14"/>
    <x v="0"/>
    <n v="0.21210000000000001"/>
    <n v="0.8"/>
    <s v="Risky"/>
    <n v="0"/>
    <n v="2"/>
    <n v="13"/>
    <n v="15"/>
  </r>
  <r>
    <n v="949"/>
    <d v="2011-02-12T00:00:00"/>
    <n v="2"/>
    <n v="3"/>
    <b v="0"/>
    <n v="6"/>
    <s v="Yes"/>
    <s v="Saturday"/>
    <n v="1"/>
    <x v="0"/>
    <x v="16"/>
    <x v="0"/>
    <n v="0.19700000000000001"/>
    <n v="0.8"/>
    <s v="Risky"/>
    <n v="0"/>
    <n v="3"/>
    <n v="7"/>
    <n v="10"/>
  </r>
  <r>
    <n v="950"/>
    <d v="2011-02-12T00:00:00"/>
    <n v="2"/>
    <n v="4"/>
    <b v="0"/>
    <n v="6"/>
    <s v="Yes"/>
    <s v="Saturday"/>
    <n v="1"/>
    <x v="0"/>
    <x v="16"/>
    <x v="0"/>
    <n v="0.16669999999999999"/>
    <n v="0.74"/>
    <s v="Risky"/>
    <n v="8.9599999999999999E-2"/>
    <n v="0"/>
    <n v="4"/>
    <n v="4"/>
  </r>
  <r>
    <n v="951"/>
    <d v="2011-02-12T00:00:00"/>
    <n v="2"/>
    <n v="5"/>
    <b v="0"/>
    <n v="6"/>
    <s v="Yes"/>
    <s v="Saturday"/>
    <n v="1"/>
    <x v="0"/>
    <x v="16"/>
    <x v="0"/>
    <n v="0.16669999999999999"/>
    <n v="0.74"/>
    <s v="Risky"/>
    <n v="8.9599999999999999E-2"/>
    <n v="0"/>
    <n v="1"/>
    <n v="1"/>
  </r>
  <r>
    <n v="952"/>
    <d v="2011-02-12T00:00:00"/>
    <n v="2"/>
    <n v="6"/>
    <b v="0"/>
    <n v="6"/>
    <s v="Yes"/>
    <s v="Saturday"/>
    <n v="1"/>
    <x v="0"/>
    <x v="16"/>
    <x v="0"/>
    <n v="0.13639999999999999"/>
    <n v="0.93"/>
    <s v="Risky"/>
    <n v="0.19400000000000001"/>
    <n v="1"/>
    <n v="1"/>
    <n v="2"/>
  </r>
  <r>
    <n v="953"/>
    <d v="2011-02-12T00:00:00"/>
    <n v="2"/>
    <n v="7"/>
    <b v="0"/>
    <n v="6"/>
    <s v="Yes"/>
    <s v="Saturday"/>
    <n v="1"/>
    <x v="0"/>
    <x v="16"/>
    <x v="0"/>
    <n v="0.1515"/>
    <n v="0.8"/>
    <s v="Risky"/>
    <n v="0.1045"/>
    <n v="2"/>
    <n v="9"/>
    <n v="11"/>
  </r>
  <r>
    <n v="954"/>
    <d v="2011-02-12T00:00:00"/>
    <n v="2"/>
    <n v="8"/>
    <b v="0"/>
    <n v="6"/>
    <s v="Yes"/>
    <s v="Saturday"/>
    <n v="1"/>
    <x v="0"/>
    <x v="14"/>
    <x v="0"/>
    <n v="0.1515"/>
    <n v="0.86"/>
    <s v="Risky"/>
    <n v="0.1343"/>
    <n v="2"/>
    <n v="28"/>
    <n v="30"/>
  </r>
  <r>
    <n v="955"/>
    <d v="2011-02-12T00:00:00"/>
    <n v="2"/>
    <n v="9"/>
    <b v="0"/>
    <n v="6"/>
    <s v="Yes"/>
    <s v="Saturday"/>
    <n v="1"/>
    <x v="0"/>
    <x v="13"/>
    <x v="0"/>
    <n v="0.18179999999999999"/>
    <n v="0.64"/>
    <s v="Acceptable"/>
    <n v="0.1343"/>
    <n v="5"/>
    <n v="38"/>
    <n v="43"/>
  </r>
  <r>
    <n v="956"/>
    <d v="2011-02-12T00:00:00"/>
    <n v="2"/>
    <n v="10"/>
    <b v="0"/>
    <n v="6"/>
    <s v="Yes"/>
    <s v="Saturday"/>
    <n v="1"/>
    <x v="0"/>
    <x v="1"/>
    <x v="0"/>
    <n v="0.21210000000000001"/>
    <n v="0.41"/>
    <s v="Acceptable"/>
    <n v="0.25369999999999998"/>
    <n v="13"/>
    <n v="71"/>
    <n v="84"/>
  </r>
  <r>
    <n v="957"/>
    <d v="2011-02-12T00:00:00"/>
    <n v="2"/>
    <n v="11"/>
    <b v="0"/>
    <n v="6"/>
    <s v="Yes"/>
    <s v="Saturday"/>
    <n v="1"/>
    <x v="0"/>
    <x v="11"/>
    <x v="0"/>
    <n v="0.2727"/>
    <n v="0.28000000000000003"/>
    <s v="Acceptable"/>
    <n v="0.32840000000000003"/>
    <n v="30"/>
    <n v="84"/>
    <n v="114"/>
  </r>
  <r>
    <n v="958"/>
    <d v="2011-02-12T00:00:00"/>
    <n v="2"/>
    <n v="12"/>
    <b v="0"/>
    <n v="6"/>
    <s v="Yes"/>
    <s v="Saturday"/>
    <n v="1"/>
    <x v="0"/>
    <x v="11"/>
    <x v="0"/>
    <n v="0.2727"/>
    <n v="0.39"/>
    <s v="Acceptable"/>
    <n v="0.4627"/>
    <n v="27"/>
    <n v="93"/>
    <n v="120"/>
  </r>
  <r>
    <n v="959"/>
    <d v="2011-02-12T00:00:00"/>
    <n v="2"/>
    <n v="13"/>
    <b v="0"/>
    <n v="6"/>
    <s v="Yes"/>
    <s v="Saturday"/>
    <n v="1"/>
    <x v="0"/>
    <x v="11"/>
    <x v="0"/>
    <n v="0.2727"/>
    <n v="0.39"/>
    <s v="Acceptable"/>
    <n v="0.41789999999999999"/>
    <n v="32"/>
    <n v="103"/>
    <n v="135"/>
  </r>
  <r>
    <n v="960"/>
    <d v="2011-02-12T00:00:00"/>
    <n v="2"/>
    <n v="14"/>
    <b v="0"/>
    <n v="6"/>
    <s v="Yes"/>
    <s v="Saturday"/>
    <n v="1"/>
    <x v="0"/>
    <x v="10"/>
    <x v="0"/>
    <n v="0.31819999999999998"/>
    <n v="0.31"/>
    <s v="Acceptable"/>
    <n v="0.28360000000000002"/>
    <n v="30"/>
    <n v="90"/>
    <n v="120"/>
  </r>
  <r>
    <n v="961"/>
    <d v="2011-02-12T00:00:00"/>
    <n v="2"/>
    <n v="15"/>
    <b v="0"/>
    <n v="6"/>
    <s v="Yes"/>
    <s v="Saturday"/>
    <n v="1"/>
    <x v="0"/>
    <x v="10"/>
    <x v="0"/>
    <n v="0.30299999999999999"/>
    <n v="0.28999999999999998"/>
    <s v="Acceptable"/>
    <n v="0.41789999999999999"/>
    <n v="47"/>
    <n v="127"/>
    <n v="174"/>
  </r>
  <r>
    <n v="962"/>
    <d v="2011-02-12T00:00:00"/>
    <n v="2"/>
    <n v="16"/>
    <b v="0"/>
    <n v="6"/>
    <s v="Yes"/>
    <s v="Saturday"/>
    <n v="1"/>
    <x v="0"/>
    <x v="10"/>
    <x v="0"/>
    <n v="0.30299999999999999"/>
    <n v="0.28999999999999998"/>
    <s v="Acceptable"/>
    <n v="0.41789999999999999"/>
    <n v="42"/>
    <n v="103"/>
    <n v="145"/>
  </r>
  <r>
    <n v="963"/>
    <d v="2011-02-12T00:00:00"/>
    <n v="2"/>
    <n v="17"/>
    <b v="0"/>
    <n v="6"/>
    <s v="Yes"/>
    <s v="Saturday"/>
    <n v="1"/>
    <x v="0"/>
    <x v="3"/>
    <x v="0"/>
    <n v="0.28789999999999999"/>
    <n v="0.31"/>
    <s v="Acceptable"/>
    <n v="0.52239999999999998"/>
    <n v="24"/>
    <n v="113"/>
    <n v="137"/>
  </r>
  <r>
    <n v="964"/>
    <d v="2011-02-12T00:00:00"/>
    <n v="2"/>
    <n v="18"/>
    <b v="0"/>
    <n v="6"/>
    <s v="Yes"/>
    <s v="Saturday"/>
    <n v="1"/>
    <x v="0"/>
    <x v="17"/>
    <x v="0"/>
    <n v="0.2576"/>
    <n v="0.38"/>
    <s v="Acceptable"/>
    <n v="0.32840000000000003"/>
    <n v="4"/>
    <n v="60"/>
    <n v="64"/>
  </r>
  <r>
    <n v="965"/>
    <d v="2011-02-12T00:00:00"/>
    <n v="2"/>
    <n v="19"/>
    <b v="0"/>
    <n v="6"/>
    <s v="Yes"/>
    <s v="Saturday"/>
    <n v="1"/>
    <x v="0"/>
    <x v="17"/>
    <x v="0"/>
    <n v="0.2727"/>
    <n v="0.38"/>
    <s v="Acceptable"/>
    <n v="0.16420000000000001"/>
    <n v="2"/>
    <n v="39"/>
    <n v="41"/>
  </r>
  <r>
    <n v="966"/>
    <d v="2011-02-12T00:00:00"/>
    <n v="2"/>
    <n v="20"/>
    <b v="0"/>
    <n v="6"/>
    <s v="Yes"/>
    <s v="Saturday"/>
    <n v="1"/>
    <x v="0"/>
    <x v="12"/>
    <x v="0"/>
    <n v="0.2576"/>
    <n v="0.41"/>
    <s v="Acceptable"/>
    <n v="0.22389999999999999"/>
    <n v="1"/>
    <n v="39"/>
    <n v="40"/>
  </r>
  <r>
    <n v="967"/>
    <d v="2011-02-12T00:00:00"/>
    <n v="2"/>
    <n v="21"/>
    <b v="0"/>
    <n v="6"/>
    <s v="Yes"/>
    <s v="Saturday"/>
    <n v="1"/>
    <x v="0"/>
    <x v="12"/>
    <x v="0"/>
    <n v="0.30299999999999999"/>
    <n v="0.41"/>
    <s v="Acceptable"/>
    <n v="0"/>
    <n v="9"/>
    <n v="42"/>
    <n v="51"/>
  </r>
  <r>
    <n v="968"/>
    <d v="2011-02-12T00:00:00"/>
    <n v="2"/>
    <n v="22"/>
    <b v="0"/>
    <n v="6"/>
    <s v="Yes"/>
    <s v="Saturday"/>
    <n v="1"/>
    <x v="0"/>
    <x v="0"/>
    <x v="0"/>
    <n v="0.2576"/>
    <n v="0.44"/>
    <s v="Acceptable"/>
    <n v="8.9599999999999999E-2"/>
    <n v="6"/>
    <n v="39"/>
    <n v="45"/>
  </r>
  <r>
    <n v="969"/>
    <d v="2011-02-12T00:00:00"/>
    <n v="2"/>
    <n v="23"/>
    <b v="0"/>
    <n v="6"/>
    <s v="Yes"/>
    <s v="Saturday"/>
    <n v="1"/>
    <x v="0"/>
    <x v="1"/>
    <x v="0"/>
    <n v="0.2273"/>
    <n v="0.51"/>
    <s v="Acceptable"/>
    <n v="0.1343"/>
    <n v="1"/>
    <n v="31"/>
    <n v="32"/>
  </r>
  <r>
    <n v="970"/>
    <d v="2011-02-13T00:00:00"/>
    <n v="2"/>
    <n v="0"/>
    <b v="0"/>
    <n v="0"/>
    <s v="Yes"/>
    <s v="Sunday"/>
    <n v="1"/>
    <x v="0"/>
    <x v="2"/>
    <x v="0"/>
    <n v="0.2273"/>
    <n v="0.64"/>
    <s v="Acceptable"/>
    <n v="0.1045"/>
    <n v="5"/>
    <n v="34"/>
    <n v="39"/>
  </r>
  <r>
    <n v="971"/>
    <d v="2011-02-13T00:00:00"/>
    <n v="2"/>
    <n v="1"/>
    <b v="0"/>
    <n v="0"/>
    <s v="Yes"/>
    <s v="Sunday"/>
    <n v="1"/>
    <x v="0"/>
    <x v="2"/>
    <x v="0"/>
    <n v="0.2273"/>
    <n v="0.59"/>
    <s v="Acceptable"/>
    <n v="8.9599999999999999E-2"/>
    <n v="1"/>
    <n v="23"/>
    <n v="24"/>
  </r>
  <r>
    <n v="972"/>
    <d v="2011-02-13T00:00:00"/>
    <n v="2"/>
    <n v="2"/>
    <b v="0"/>
    <n v="0"/>
    <s v="Yes"/>
    <s v="Sunday"/>
    <n v="2"/>
    <x v="1"/>
    <x v="2"/>
    <x v="0"/>
    <n v="0.2273"/>
    <n v="0.75"/>
    <s v="Risky"/>
    <n v="8.9599999999999999E-2"/>
    <n v="1"/>
    <n v="19"/>
    <n v="20"/>
  </r>
  <r>
    <n v="973"/>
    <d v="2011-02-13T00:00:00"/>
    <n v="2"/>
    <n v="3"/>
    <b v="0"/>
    <n v="0"/>
    <s v="Yes"/>
    <s v="Sunday"/>
    <n v="2"/>
    <x v="1"/>
    <x v="2"/>
    <x v="0"/>
    <n v="0.2273"/>
    <n v="0.69"/>
    <s v="Acceptable"/>
    <n v="0.1045"/>
    <n v="4"/>
    <n v="8"/>
    <n v="12"/>
  </r>
  <r>
    <n v="974"/>
    <d v="2011-02-13T00:00:00"/>
    <n v="2"/>
    <n v="4"/>
    <b v="0"/>
    <n v="0"/>
    <s v="Yes"/>
    <s v="Sunday"/>
    <n v="2"/>
    <x v="1"/>
    <x v="2"/>
    <x v="0"/>
    <n v="0.21210000000000001"/>
    <n v="0.69"/>
    <s v="Acceptable"/>
    <n v="0.16420000000000001"/>
    <n v="0"/>
    <n v="2"/>
    <n v="2"/>
  </r>
  <r>
    <n v="975"/>
    <d v="2011-02-13T00:00:00"/>
    <n v="2"/>
    <n v="6"/>
    <b v="0"/>
    <n v="0"/>
    <s v="Yes"/>
    <s v="Sunday"/>
    <n v="2"/>
    <x v="1"/>
    <x v="2"/>
    <x v="0"/>
    <n v="0.21210000000000001"/>
    <n v="0.69"/>
    <s v="Acceptable"/>
    <n v="0.1343"/>
    <n v="2"/>
    <n v="3"/>
    <n v="5"/>
  </r>
  <r>
    <n v="976"/>
    <d v="2011-02-13T00:00:00"/>
    <n v="2"/>
    <n v="7"/>
    <b v="0"/>
    <n v="0"/>
    <s v="Yes"/>
    <s v="Sunday"/>
    <n v="2"/>
    <x v="1"/>
    <x v="1"/>
    <x v="0"/>
    <n v="0.2727"/>
    <n v="0.55000000000000004"/>
    <s v="Acceptable"/>
    <n v="0"/>
    <n v="0"/>
    <n v="3"/>
    <n v="3"/>
  </r>
  <r>
    <n v="977"/>
    <d v="2011-02-13T00:00:00"/>
    <n v="2"/>
    <n v="8"/>
    <b v="0"/>
    <n v="0"/>
    <s v="Yes"/>
    <s v="Sunday"/>
    <n v="2"/>
    <x v="1"/>
    <x v="1"/>
    <x v="0"/>
    <n v="0.2273"/>
    <n v="0.64"/>
    <s v="Acceptable"/>
    <n v="0.19400000000000001"/>
    <n v="1"/>
    <n v="11"/>
    <n v="12"/>
  </r>
  <r>
    <n v="978"/>
    <d v="2011-02-13T00:00:00"/>
    <n v="2"/>
    <n v="9"/>
    <b v="0"/>
    <n v="0"/>
    <s v="Yes"/>
    <s v="Sunday"/>
    <n v="2"/>
    <x v="1"/>
    <x v="0"/>
    <x v="0"/>
    <n v="0.2273"/>
    <n v="0.6"/>
    <s v="Acceptable"/>
    <n v="0.22389999999999999"/>
    <n v="12"/>
    <n v="35"/>
    <n v="47"/>
  </r>
  <r>
    <n v="979"/>
    <d v="2011-02-13T00:00:00"/>
    <n v="2"/>
    <n v="10"/>
    <b v="0"/>
    <n v="0"/>
    <s v="Yes"/>
    <s v="Sunday"/>
    <n v="1"/>
    <x v="0"/>
    <x v="11"/>
    <x v="0"/>
    <n v="0.2727"/>
    <n v="0.45"/>
    <s v="Acceptable"/>
    <n v="0.32840000000000003"/>
    <n v="19"/>
    <n v="86"/>
    <n v="105"/>
  </r>
  <r>
    <n v="980"/>
    <d v="2011-02-13T00:00:00"/>
    <n v="2"/>
    <n v="11"/>
    <b v="0"/>
    <n v="0"/>
    <s v="Yes"/>
    <s v="Sunday"/>
    <n v="1"/>
    <x v="0"/>
    <x v="3"/>
    <x v="0"/>
    <n v="0.28789999999999999"/>
    <n v="0.39"/>
    <s v="Acceptable"/>
    <n v="0.44779999999999998"/>
    <n v="26"/>
    <n v="86"/>
    <n v="112"/>
  </r>
  <r>
    <n v="981"/>
    <d v="2011-02-13T00:00:00"/>
    <n v="2"/>
    <n v="12"/>
    <b v="0"/>
    <n v="0"/>
    <s v="Yes"/>
    <s v="Sunday"/>
    <n v="1"/>
    <x v="0"/>
    <x v="5"/>
    <x v="1"/>
    <n v="0.31819999999999998"/>
    <n v="0.32"/>
    <s v="Acceptable"/>
    <n v="0.4627"/>
    <n v="58"/>
    <n v="94"/>
    <n v="152"/>
  </r>
  <r>
    <n v="982"/>
    <d v="2011-02-13T00:00:00"/>
    <n v="2"/>
    <n v="13"/>
    <b v="0"/>
    <n v="0"/>
    <s v="Yes"/>
    <s v="Sunday"/>
    <n v="1"/>
    <x v="0"/>
    <x v="4"/>
    <x v="1"/>
    <n v="0.39389999999999997"/>
    <n v="0.28999999999999998"/>
    <s v="Acceptable"/>
    <n v="0.35820000000000002"/>
    <n v="62"/>
    <n v="92"/>
    <n v="154"/>
  </r>
  <r>
    <n v="983"/>
    <d v="2011-02-13T00:00:00"/>
    <n v="2"/>
    <n v="14"/>
    <b v="0"/>
    <n v="0"/>
    <s v="Yes"/>
    <s v="Sunday"/>
    <n v="2"/>
    <x v="1"/>
    <x v="9"/>
    <x v="1"/>
    <n v="0.40910000000000002"/>
    <n v="0.3"/>
    <s v="Acceptable"/>
    <n v="0.41789999999999999"/>
    <n v="51"/>
    <n v="110"/>
    <n v="161"/>
  </r>
  <r>
    <n v="984"/>
    <d v="2011-02-13T00:00:00"/>
    <n v="2"/>
    <n v="15"/>
    <b v="0"/>
    <n v="0"/>
    <s v="Yes"/>
    <s v="Sunday"/>
    <n v="2"/>
    <x v="1"/>
    <x v="9"/>
    <x v="1"/>
    <n v="0.40910000000000002"/>
    <n v="0.3"/>
    <s v="Acceptable"/>
    <n v="0.29849999999999999"/>
    <n v="40"/>
    <n v="122"/>
    <n v="162"/>
  </r>
  <r>
    <n v="985"/>
    <d v="2011-02-13T00:00:00"/>
    <n v="2"/>
    <n v="16"/>
    <b v="0"/>
    <n v="0"/>
    <s v="Yes"/>
    <s v="Sunday"/>
    <n v="2"/>
    <x v="1"/>
    <x v="6"/>
    <x v="1"/>
    <n v="0.42420000000000002"/>
    <n v="0.28000000000000003"/>
    <s v="Acceptable"/>
    <n v="0.32840000000000003"/>
    <n v="28"/>
    <n v="106"/>
    <n v="134"/>
  </r>
  <r>
    <n v="986"/>
    <d v="2011-02-13T00:00:00"/>
    <n v="2"/>
    <n v="17"/>
    <b v="0"/>
    <n v="0"/>
    <s v="Yes"/>
    <s v="Sunday"/>
    <n v="1"/>
    <x v="0"/>
    <x v="6"/>
    <x v="1"/>
    <n v="0.42420000000000002"/>
    <n v="0.28000000000000003"/>
    <s v="Acceptable"/>
    <n v="0.32840000000000003"/>
    <n v="30"/>
    <n v="95"/>
    <n v="125"/>
  </r>
  <r>
    <n v="987"/>
    <d v="2011-02-13T00:00:00"/>
    <n v="2"/>
    <n v="18"/>
    <b v="0"/>
    <n v="0"/>
    <s v="Yes"/>
    <s v="Sunday"/>
    <n v="1"/>
    <x v="0"/>
    <x v="9"/>
    <x v="1"/>
    <n v="0.40910000000000002"/>
    <n v="0.32"/>
    <s v="Acceptable"/>
    <n v="0.29849999999999999"/>
    <n v="17"/>
    <n v="78"/>
    <n v="95"/>
  </r>
  <r>
    <n v="988"/>
    <d v="2011-02-13T00:00:00"/>
    <n v="2"/>
    <n v="19"/>
    <b v="0"/>
    <n v="0"/>
    <s v="Yes"/>
    <s v="Sunday"/>
    <n v="1"/>
    <x v="0"/>
    <x v="9"/>
    <x v="1"/>
    <n v="0.40910000000000002"/>
    <n v="0.35"/>
    <s v="Acceptable"/>
    <n v="0.28360000000000002"/>
    <n v="11"/>
    <n v="50"/>
    <n v="61"/>
  </r>
  <r>
    <n v="989"/>
    <d v="2011-02-13T00:00:00"/>
    <n v="2"/>
    <n v="20"/>
    <b v="0"/>
    <n v="0"/>
    <s v="Yes"/>
    <s v="Sunday"/>
    <n v="1"/>
    <x v="0"/>
    <x v="9"/>
    <x v="1"/>
    <n v="0.40910000000000002"/>
    <n v="0.35"/>
    <s v="Acceptable"/>
    <n v="0.32840000000000003"/>
    <n v="15"/>
    <n v="32"/>
    <n v="47"/>
  </r>
  <r>
    <n v="990"/>
    <d v="2011-02-13T00:00:00"/>
    <n v="2"/>
    <n v="21"/>
    <b v="0"/>
    <n v="0"/>
    <s v="Yes"/>
    <s v="Sunday"/>
    <n v="1"/>
    <x v="0"/>
    <x v="9"/>
    <x v="1"/>
    <n v="0.40910000000000002"/>
    <n v="0.35"/>
    <s v="Acceptable"/>
    <n v="0.35820000000000002"/>
    <n v="6"/>
    <n v="45"/>
    <n v="51"/>
  </r>
  <r>
    <n v="991"/>
    <d v="2011-02-13T00:00:00"/>
    <n v="2"/>
    <n v="22"/>
    <b v="0"/>
    <n v="0"/>
    <s v="Yes"/>
    <s v="Sunday"/>
    <n v="1"/>
    <x v="0"/>
    <x v="9"/>
    <x v="1"/>
    <n v="0.40910000000000002"/>
    <n v="0.35"/>
    <s v="Acceptable"/>
    <n v="0.29849999999999999"/>
    <n v="5"/>
    <n v="31"/>
    <n v="36"/>
  </r>
  <r>
    <n v="992"/>
    <d v="2011-02-13T00:00:00"/>
    <n v="2"/>
    <n v="23"/>
    <b v="0"/>
    <n v="0"/>
    <s v="Yes"/>
    <s v="Sunday"/>
    <n v="1"/>
    <x v="0"/>
    <x v="9"/>
    <x v="1"/>
    <n v="0.40910000000000002"/>
    <n v="0.35"/>
    <s v="Acceptable"/>
    <n v="0.35820000000000002"/>
    <n v="3"/>
    <n v="27"/>
    <n v="30"/>
  </r>
  <r>
    <n v="993"/>
    <d v="2011-02-14T00:00:00"/>
    <n v="2"/>
    <n v="0"/>
    <b v="0"/>
    <n v="1"/>
    <s v="No"/>
    <s v="Monday"/>
    <n v="1"/>
    <x v="0"/>
    <x v="4"/>
    <x v="1"/>
    <n v="0.39389999999999997"/>
    <n v="0.37"/>
    <s v="Acceptable"/>
    <n v="0.35820000000000002"/>
    <n v="3"/>
    <n v="8"/>
    <n v="11"/>
  </r>
  <r>
    <n v="994"/>
    <d v="2011-02-14T00:00:00"/>
    <n v="2"/>
    <n v="1"/>
    <b v="0"/>
    <n v="1"/>
    <s v="No"/>
    <s v="Monday"/>
    <n v="1"/>
    <x v="0"/>
    <x v="4"/>
    <x v="1"/>
    <n v="0.39389999999999997"/>
    <n v="0.37"/>
    <s v="Acceptable"/>
    <n v="0.35820000000000002"/>
    <n v="1"/>
    <n v="6"/>
    <n v="7"/>
  </r>
  <r>
    <n v="995"/>
    <d v="2011-02-14T00:00:00"/>
    <n v="2"/>
    <n v="2"/>
    <b v="0"/>
    <n v="1"/>
    <s v="No"/>
    <s v="Monday"/>
    <n v="1"/>
    <x v="0"/>
    <x v="5"/>
    <x v="1"/>
    <n v="0.33329999999999999"/>
    <n v="0.4"/>
    <s v="Acceptable"/>
    <n v="0.29849999999999999"/>
    <n v="0"/>
    <n v="2"/>
    <n v="2"/>
  </r>
  <r>
    <n v="996"/>
    <d v="2011-02-14T00:00:00"/>
    <n v="2"/>
    <n v="3"/>
    <b v="0"/>
    <n v="1"/>
    <s v="No"/>
    <s v="Monday"/>
    <n v="1"/>
    <x v="0"/>
    <x v="10"/>
    <x v="0"/>
    <n v="0.31819999999999998"/>
    <n v="0.46"/>
    <s v="Acceptable"/>
    <n v="0.22389999999999999"/>
    <n v="1"/>
    <n v="1"/>
    <n v="2"/>
  </r>
  <r>
    <n v="997"/>
    <d v="2011-02-14T00:00:00"/>
    <n v="2"/>
    <n v="4"/>
    <b v="0"/>
    <n v="1"/>
    <s v="No"/>
    <s v="Monday"/>
    <n v="1"/>
    <x v="0"/>
    <x v="3"/>
    <x v="0"/>
    <n v="0.30299999999999999"/>
    <n v="0.53"/>
    <s v="Acceptable"/>
    <n v="0.28360000000000002"/>
    <n v="0"/>
    <n v="2"/>
    <n v="2"/>
  </r>
  <r>
    <n v="998"/>
    <d v="2011-02-14T00:00:00"/>
    <n v="2"/>
    <n v="5"/>
    <b v="0"/>
    <n v="1"/>
    <s v="No"/>
    <s v="Monday"/>
    <n v="1"/>
    <x v="0"/>
    <x v="3"/>
    <x v="0"/>
    <n v="0.30299999999999999"/>
    <n v="0.53"/>
    <s v="Acceptable"/>
    <n v="0.28360000000000002"/>
    <n v="0"/>
    <n v="3"/>
    <n v="3"/>
  </r>
  <r>
    <n v="999"/>
    <d v="2011-02-14T00:00:00"/>
    <n v="2"/>
    <n v="6"/>
    <b v="0"/>
    <n v="1"/>
    <s v="No"/>
    <s v="Monday"/>
    <n v="1"/>
    <x v="0"/>
    <x v="10"/>
    <x v="0"/>
    <n v="0.30299999999999999"/>
    <n v="0.46"/>
    <s v="Acceptable"/>
    <n v="0.29849999999999999"/>
    <n v="1"/>
    <n v="25"/>
    <n v="26"/>
  </r>
  <r>
    <n v="1000"/>
    <d v="2011-02-14T00:00:00"/>
    <n v="2"/>
    <n v="7"/>
    <b v="0"/>
    <n v="1"/>
    <s v="No"/>
    <s v="Monday"/>
    <n v="1"/>
    <x v="0"/>
    <x v="10"/>
    <x v="0"/>
    <n v="0.30299999999999999"/>
    <n v="0.46"/>
    <s v="Acceptable"/>
    <n v="0.29849999999999999"/>
    <n v="2"/>
    <n v="96"/>
    <n v="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n v="1"/>
    <d v="2011-01-01T00:00:00"/>
    <n v="1"/>
    <n v="0"/>
    <b v="0"/>
    <n v="6"/>
    <x v="0"/>
    <x v="0"/>
    <x v="0"/>
    <x v="0"/>
    <n v="0.24"/>
    <x v="0"/>
    <n v="0.28789999999999999"/>
    <n v="0.81"/>
    <x v="0"/>
    <x v="0"/>
    <x v="0"/>
    <x v="0"/>
    <n v="16"/>
  </r>
  <r>
    <n v="2"/>
    <d v="2011-01-01T00:00:00"/>
    <n v="1"/>
    <n v="1"/>
    <b v="0"/>
    <n v="6"/>
    <x v="0"/>
    <x v="0"/>
    <x v="0"/>
    <x v="0"/>
    <n v="0.22"/>
    <x v="0"/>
    <n v="0.2727"/>
    <n v="0.8"/>
    <x v="0"/>
    <x v="0"/>
    <x v="1"/>
    <x v="1"/>
    <n v="40"/>
  </r>
  <r>
    <n v="3"/>
    <d v="2011-01-01T00:00:00"/>
    <n v="1"/>
    <n v="2"/>
    <b v="0"/>
    <n v="6"/>
    <x v="0"/>
    <x v="0"/>
    <x v="0"/>
    <x v="0"/>
    <n v="0.22"/>
    <x v="0"/>
    <n v="0.2727"/>
    <n v="0.8"/>
    <x v="0"/>
    <x v="0"/>
    <x v="2"/>
    <x v="2"/>
    <n v="32"/>
  </r>
  <r>
    <n v="4"/>
    <d v="2011-01-01T00:00:00"/>
    <n v="1"/>
    <n v="3"/>
    <b v="0"/>
    <n v="6"/>
    <x v="0"/>
    <x v="0"/>
    <x v="0"/>
    <x v="0"/>
    <n v="0.24"/>
    <x v="0"/>
    <n v="0.28789999999999999"/>
    <n v="0.75"/>
    <x v="0"/>
    <x v="0"/>
    <x v="0"/>
    <x v="3"/>
    <n v="13"/>
  </r>
  <r>
    <n v="5"/>
    <d v="2011-01-01T00:00:00"/>
    <n v="1"/>
    <n v="4"/>
    <b v="0"/>
    <n v="6"/>
    <x v="0"/>
    <x v="0"/>
    <x v="0"/>
    <x v="0"/>
    <n v="0.24"/>
    <x v="0"/>
    <n v="0.28789999999999999"/>
    <n v="0.75"/>
    <x v="0"/>
    <x v="0"/>
    <x v="3"/>
    <x v="4"/>
    <n v="1"/>
  </r>
  <r>
    <n v="6"/>
    <d v="2011-01-01T00:00:00"/>
    <n v="1"/>
    <n v="5"/>
    <b v="0"/>
    <n v="6"/>
    <x v="0"/>
    <x v="0"/>
    <x v="1"/>
    <x v="1"/>
    <n v="0.24"/>
    <x v="0"/>
    <n v="0.2576"/>
    <n v="0.75"/>
    <x v="0"/>
    <x v="1"/>
    <x v="3"/>
    <x v="4"/>
    <n v="1"/>
  </r>
  <r>
    <n v="7"/>
    <d v="2011-01-01T00:00:00"/>
    <n v="1"/>
    <n v="6"/>
    <b v="0"/>
    <n v="6"/>
    <x v="0"/>
    <x v="0"/>
    <x v="0"/>
    <x v="0"/>
    <n v="0.22"/>
    <x v="0"/>
    <n v="0.2727"/>
    <n v="0.8"/>
    <x v="0"/>
    <x v="0"/>
    <x v="4"/>
    <x v="5"/>
    <n v="2"/>
  </r>
  <r>
    <n v="8"/>
    <d v="2011-01-01T00:00:00"/>
    <n v="1"/>
    <n v="7"/>
    <b v="0"/>
    <n v="6"/>
    <x v="0"/>
    <x v="0"/>
    <x v="0"/>
    <x v="0"/>
    <n v="0.2"/>
    <x v="0"/>
    <n v="0.2576"/>
    <n v="0.86"/>
    <x v="0"/>
    <x v="0"/>
    <x v="5"/>
    <x v="6"/>
    <n v="3"/>
  </r>
  <r>
    <n v="9"/>
    <d v="2011-01-01T00:00:00"/>
    <n v="1"/>
    <n v="8"/>
    <b v="0"/>
    <n v="6"/>
    <x v="0"/>
    <x v="0"/>
    <x v="0"/>
    <x v="0"/>
    <n v="0.24"/>
    <x v="0"/>
    <n v="0.19892385786802047"/>
    <n v="0.75"/>
    <x v="0"/>
    <x v="0"/>
    <x v="5"/>
    <x v="7"/>
    <n v="8"/>
  </r>
  <r>
    <n v="10"/>
    <d v="2011-01-01T00:00:00"/>
    <n v="1"/>
    <n v="9"/>
    <b v="0"/>
    <n v="6"/>
    <x v="0"/>
    <x v="0"/>
    <x v="0"/>
    <x v="0"/>
    <n v="0.32"/>
    <x v="0"/>
    <n v="0.34849999999999998"/>
    <n v="0.76"/>
    <x v="0"/>
    <x v="0"/>
    <x v="1"/>
    <x v="8"/>
    <n v="14"/>
  </r>
  <r>
    <n v="11"/>
    <d v="2011-01-01T00:00:00"/>
    <n v="1"/>
    <n v="10"/>
    <b v="0"/>
    <n v="6"/>
    <x v="0"/>
    <x v="0"/>
    <x v="0"/>
    <x v="0"/>
    <n v="0.38"/>
    <x v="1"/>
    <n v="0.39389999999999997"/>
    <n v="0.76"/>
    <x v="0"/>
    <x v="2"/>
    <x v="6"/>
    <x v="9"/>
    <n v="36"/>
  </r>
  <r>
    <n v="12"/>
    <d v="2011-01-01T00:00:00"/>
    <n v="1"/>
    <n v="11"/>
    <b v="0"/>
    <n v="6"/>
    <x v="0"/>
    <x v="0"/>
    <x v="0"/>
    <x v="0"/>
    <n v="0.36"/>
    <x v="1"/>
    <n v="0.33329999999999999"/>
    <n v="0.81"/>
    <x v="0"/>
    <x v="3"/>
    <x v="7"/>
    <x v="10"/>
    <n v="56"/>
  </r>
  <r>
    <n v="13"/>
    <d v="2011-01-01T00:00:00"/>
    <n v="1"/>
    <n v="12"/>
    <b v="0"/>
    <n v="6"/>
    <x v="0"/>
    <x v="0"/>
    <x v="0"/>
    <x v="0"/>
    <n v="0.42"/>
    <x v="1"/>
    <n v="0.42420000000000002"/>
    <n v="0.77"/>
    <x v="0"/>
    <x v="3"/>
    <x v="8"/>
    <x v="11"/>
    <n v="84"/>
  </r>
  <r>
    <n v="14"/>
    <d v="2011-01-01T00:00:00"/>
    <n v="1"/>
    <n v="13"/>
    <b v="0"/>
    <n v="6"/>
    <x v="0"/>
    <x v="0"/>
    <x v="1"/>
    <x v="1"/>
    <n v="0.46"/>
    <x v="1"/>
    <n v="0.45450000000000002"/>
    <n v="0.72"/>
    <x v="0"/>
    <x v="4"/>
    <x v="9"/>
    <x v="12"/>
    <n v="94"/>
  </r>
  <r>
    <n v="15"/>
    <d v="2011-01-01T00:00:00"/>
    <n v="1"/>
    <n v="14"/>
    <b v="0"/>
    <n v="6"/>
    <x v="0"/>
    <x v="0"/>
    <x v="1"/>
    <x v="1"/>
    <n v="0.46"/>
    <x v="1"/>
    <n v="0.45450000000000002"/>
    <n v="0.72"/>
    <x v="0"/>
    <x v="3"/>
    <x v="10"/>
    <x v="13"/>
    <n v="106"/>
  </r>
  <r>
    <n v="16"/>
    <d v="2011-01-01T00:00:00"/>
    <n v="1"/>
    <n v="15"/>
    <b v="0"/>
    <n v="6"/>
    <x v="0"/>
    <x v="0"/>
    <x v="1"/>
    <x v="1"/>
    <n v="0.44"/>
    <x v="1"/>
    <n v="0.43940000000000001"/>
    <n v="0.77"/>
    <x v="0"/>
    <x v="4"/>
    <x v="11"/>
    <x v="14"/>
    <n v="110"/>
  </r>
  <r>
    <n v="17"/>
    <d v="2011-01-01T00:00:00"/>
    <n v="1"/>
    <n v="16"/>
    <b v="0"/>
    <n v="6"/>
    <x v="0"/>
    <x v="0"/>
    <x v="1"/>
    <x v="1"/>
    <n v="0.42"/>
    <x v="1"/>
    <n v="0.42420000000000002"/>
    <n v="0.82"/>
    <x v="0"/>
    <x v="4"/>
    <x v="12"/>
    <x v="15"/>
    <n v="93"/>
  </r>
  <r>
    <n v="18"/>
    <d v="2011-01-01T00:00:00"/>
    <n v="1"/>
    <n v="17"/>
    <b v="0"/>
    <n v="6"/>
    <x v="0"/>
    <x v="0"/>
    <x v="1"/>
    <x v="1"/>
    <n v="0.44"/>
    <x v="1"/>
    <n v="0.19604030874785608"/>
    <n v="0.82"/>
    <x v="0"/>
    <x v="3"/>
    <x v="13"/>
    <x v="15"/>
    <n v="67"/>
  </r>
  <r>
    <n v="19"/>
    <d v="2011-01-01T00:00:00"/>
    <n v="1"/>
    <n v="18"/>
    <b v="0"/>
    <n v="6"/>
    <x v="0"/>
    <x v="0"/>
    <x v="2"/>
    <x v="2"/>
    <n v="0.42"/>
    <x v="1"/>
    <n v="0.42420000000000002"/>
    <n v="0.88"/>
    <x v="0"/>
    <x v="2"/>
    <x v="14"/>
    <x v="16"/>
    <n v="35"/>
  </r>
  <r>
    <n v="20"/>
    <d v="2011-01-01T00:00:00"/>
    <n v="1"/>
    <n v="19"/>
    <b v="0"/>
    <n v="6"/>
    <x v="0"/>
    <x v="0"/>
    <x v="2"/>
    <x v="2"/>
    <n v="0.42"/>
    <x v="1"/>
    <n v="0.42420000000000002"/>
    <n v="0.88"/>
    <x v="0"/>
    <x v="2"/>
    <x v="15"/>
    <x v="17"/>
    <n v="37"/>
  </r>
  <r>
    <n v="21"/>
    <d v="2011-01-01T00:00:00"/>
    <n v="1"/>
    <n v="20"/>
    <b v="0"/>
    <n v="6"/>
    <x v="0"/>
    <x v="0"/>
    <x v="1"/>
    <x v="1"/>
    <n v="0.4"/>
    <x v="1"/>
    <n v="0.40910000000000002"/>
    <n v="0.87"/>
    <x v="0"/>
    <x v="2"/>
    <x v="16"/>
    <x v="18"/>
    <n v="36"/>
  </r>
  <r>
    <n v="22"/>
    <d v="2011-01-01T00:00:00"/>
    <n v="1"/>
    <n v="21"/>
    <b v="0"/>
    <n v="6"/>
    <x v="0"/>
    <x v="0"/>
    <x v="1"/>
    <x v="1"/>
    <n v="0.4"/>
    <x v="1"/>
    <n v="0.40910000000000002"/>
    <n v="0.87"/>
    <x v="0"/>
    <x v="5"/>
    <x v="0"/>
    <x v="17"/>
    <n v="34"/>
  </r>
  <r>
    <n v="23"/>
    <d v="2011-01-01T00:00:00"/>
    <n v="1"/>
    <n v="22"/>
    <b v="0"/>
    <n v="6"/>
    <x v="0"/>
    <x v="0"/>
    <x v="1"/>
    <x v="1"/>
    <n v="0.4"/>
    <x v="1"/>
    <n v="0.40910000000000002"/>
    <n v="0.94"/>
    <x v="0"/>
    <x v="6"/>
    <x v="16"/>
    <x v="19"/>
    <n v="28"/>
  </r>
  <r>
    <n v="24"/>
    <d v="2011-01-01T00:00:00"/>
    <n v="1"/>
    <n v="23"/>
    <b v="0"/>
    <n v="6"/>
    <x v="0"/>
    <x v="0"/>
    <x v="1"/>
    <x v="1"/>
    <n v="0.46"/>
    <x v="1"/>
    <n v="0.19414498269896208"/>
    <n v="0.88"/>
    <x v="0"/>
    <x v="4"/>
    <x v="13"/>
    <x v="9"/>
    <n v="39"/>
  </r>
  <r>
    <n v="25"/>
    <d v="2011-01-02T00:00:00"/>
    <n v="1"/>
    <n v="0"/>
    <b v="0"/>
    <n v="0"/>
    <x v="0"/>
    <x v="1"/>
    <x v="1"/>
    <x v="1"/>
    <n v="0.46"/>
    <x v="1"/>
    <n v="0.45450000000000002"/>
    <n v="0.88"/>
    <x v="0"/>
    <x v="4"/>
    <x v="17"/>
    <x v="0"/>
    <n v="17"/>
  </r>
  <r>
    <n v="26"/>
    <d v="2011-01-02T00:00:00"/>
    <n v="1"/>
    <n v="1"/>
    <b v="0"/>
    <n v="0"/>
    <x v="0"/>
    <x v="1"/>
    <x v="1"/>
    <x v="1"/>
    <n v="0.44"/>
    <x v="1"/>
    <n v="0.43940000000000001"/>
    <n v="0.94"/>
    <x v="0"/>
    <x v="2"/>
    <x v="5"/>
    <x v="20"/>
    <n v="17"/>
  </r>
  <r>
    <n v="27"/>
    <d v="2011-01-02T00:00:00"/>
    <n v="1"/>
    <n v="2"/>
    <b v="0"/>
    <n v="0"/>
    <x v="0"/>
    <x v="1"/>
    <x v="1"/>
    <x v="1"/>
    <n v="0.42"/>
    <x v="1"/>
    <n v="0.42420000000000002"/>
    <n v="1"/>
    <x v="0"/>
    <x v="3"/>
    <x v="5"/>
    <x v="21"/>
    <n v="9"/>
  </r>
  <r>
    <n v="28"/>
    <d v="2011-01-02T00:00:00"/>
    <n v="1"/>
    <n v="3"/>
    <b v="0"/>
    <n v="0"/>
    <x v="0"/>
    <x v="1"/>
    <x v="1"/>
    <x v="1"/>
    <n v="0.46"/>
    <x v="1"/>
    <n v="0.45450000000000002"/>
    <n v="0.94"/>
    <x v="0"/>
    <x v="5"/>
    <x v="4"/>
    <x v="22"/>
    <n v="6"/>
  </r>
  <r>
    <n v="29"/>
    <d v="2011-01-02T00:00:00"/>
    <n v="1"/>
    <n v="4"/>
    <b v="0"/>
    <n v="0"/>
    <x v="0"/>
    <x v="1"/>
    <x v="1"/>
    <x v="1"/>
    <n v="0.46"/>
    <x v="1"/>
    <n v="0.192409756097561"/>
    <n v="0.94"/>
    <x v="0"/>
    <x v="5"/>
    <x v="4"/>
    <x v="4"/>
    <n v="3"/>
  </r>
  <r>
    <n v="30"/>
    <d v="2011-01-02T00:00:00"/>
    <n v="1"/>
    <n v="6"/>
    <b v="0"/>
    <n v="0"/>
    <x v="0"/>
    <x v="1"/>
    <x v="2"/>
    <x v="2"/>
    <n v="0.42"/>
    <x v="1"/>
    <n v="0.42420000000000002"/>
    <n v="0.77"/>
    <x v="0"/>
    <x v="4"/>
    <x v="3"/>
    <x v="6"/>
    <n v="2"/>
  </r>
  <r>
    <n v="31"/>
    <d v="2011-01-02T00:00:00"/>
    <n v="1"/>
    <n v="7"/>
    <b v="0"/>
    <n v="0"/>
    <x v="0"/>
    <x v="1"/>
    <x v="1"/>
    <x v="1"/>
    <n v="0.4"/>
    <x v="1"/>
    <n v="0.40910000000000002"/>
    <n v="0.76"/>
    <x v="0"/>
    <x v="5"/>
    <x v="3"/>
    <x v="4"/>
    <n v="1"/>
  </r>
  <r>
    <n v="32"/>
    <d v="2011-01-02T00:00:00"/>
    <n v="1"/>
    <n v="8"/>
    <b v="0"/>
    <n v="0"/>
    <x v="0"/>
    <x v="1"/>
    <x v="2"/>
    <x v="2"/>
    <n v="0.4"/>
    <x v="1"/>
    <n v="0.40910000000000002"/>
    <n v="0.71"/>
    <x v="0"/>
    <x v="6"/>
    <x v="3"/>
    <x v="21"/>
    <n v="8"/>
  </r>
  <r>
    <n v="33"/>
    <d v="2011-01-02T00:00:00"/>
    <n v="1"/>
    <n v="9"/>
    <b v="0"/>
    <n v="0"/>
    <x v="0"/>
    <x v="1"/>
    <x v="1"/>
    <x v="1"/>
    <n v="0.38"/>
    <x v="1"/>
    <n v="0.19124483362521896"/>
    <n v="0.76"/>
    <x v="0"/>
    <x v="6"/>
    <x v="5"/>
    <x v="23"/>
    <n v="20"/>
  </r>
  <r>
    <n v="34"/>
    <d v="2011-01-02T00:00:00"/>
    <n v="1"/>
    <n v="10"/>
    <b v="0"/>
    <n v="0"/>
    <x v="0"/>
    <x v="1"/>
    <x v="1"/>
    <x v="1"/>
    <n v="0.36"/>
    <x v="1"/>
    <n v="0.34849999999999998"/>
    <n v="0.81"/>
    <x v="0"/>
    <x v="6"/>
    <x v="18"/>
    <x v="24"/>
    <n v="53"/>
  </r>
  <r>
    <n v="35"/>
    <d v="2011-01-02T00:00:00"/>
    <n v="1"/>
    <n v="11"/>
    <b v="0"/>
    <n v="0"/>
    <x v="0"/>
    <x v="1"/>
    <x v="1"/>
    <x v="1"/>
    <n v="0.36"/>
    <x v="1"/>
    <n v="0.33329999999999999"/>
    <n v="0.71"/>
    <x v="0"/>
    <x v="2"/>
    <x v="19"/>
    <x v="25"/>
    <n v="70"/>
  </r>
  <r>
    <n v="36"/>
    <d v="2011-01-02T00:00:00"/>
    <n v="1"/>
    <n v="12"/>
    <b v="0"/>
    <n v="0"/>
    <x v="0"/>
    <x v="1"/>
    <x v="1"/>
    <x v="1"/>
    <n v="0.36"/>
    <x v="1"/>
    <n v="0.33329999999999999"/>
    <n v="0.66"/>
    <x v="1"/>
    <x v="4"/>
    <x v="20"/>
    <x v="26"/>
    <n v="93"/>
  </r>
  <r>
    <n v="37"/>
    <d v="2011-01-02T00:00:00"/>
    <n v="1"/>
    <n v="13"/>
    <b v="0"/>
    <n v="0"/>
    <x v="0"/>
    <x v="1"/>
    <x v="1"/>
    <x v="1"/>
    <n v="0.36"/>
    <x v="1"/>
    <n v="0.34849999999999998"/>
    <n v="0.66"/>
    <x v="1"/>
    <x v="7"/>
    <x v="16"/>
    <x v="27"/>
    <n v="75"/>
  </r>
  <r>
    <n v="38"/>
    <d v="2011-01-02T00:00:00"/>
    <n v="1"/>
    <n v="14"/>
    <b v="0"/>
    <n v="0"/>
    <x v="0"/>
    <x v="1"/>
    <x v="2"/>
    <x v="2"/>
    <n v="0.36"/>
    <x v="1"/>
    <n v="0.19018906525573195"/>
    <n v="0.76"/>
    <x v="0"/>
    <x v="5"/>
    <x v="17"/>
    <x v="11"/>
    <n v="59"/>
  </r>
  <r>
    <n v="39"/>
    <d v="2011-01-02T00:00:00"/>
    <n v="1"/>
    <n v="15"/>
    <b v="0"/>
    <n v="0"/>
    <x v="0"/>
    <x v="1"/>
    <x v="2"/>
    <x v="2"/>
    <n v="0.34"/>
    <x v="0"/>
    <n v="0.33329999999999999"/>
    <n v="0.81"/>
    <x v="0"/>
    <x v="8"/>
    <x v="21"/>
    <x v="11"/>
    <n v="74"/>
  </r>
  <r>
    <n v="40"/>
    <d v="2011-01-02T00:00:00"/>
    <n v="1"/>
    <n v="16"/>
    <b v="0"/>
    <n v="0"/>
    <x v="0"/>
    <x v="1"/>
    <x v="2"/>
    <x v="2"/>
    <n v="0.34"/>
    <x v="0"/>
    <n v="0.33329999999999999"/>
    <n v="0.71"/>
    <x v="0"/>
    <x v="8"/>
    <x v="14"/>
    <x v="28"/>
    <n v="76"/>
  </r>
  <r>
    <n v="41"/>
    <d v="2011-01-02T00:00:00"/>
    <n v="1"/>
    <n v="17"/>
    <b v="0"/>
    <n v="0"/>
    <x v="0"/>
    <x v="1"/>
    <x v="0"/>
    <x v="0"/>
    <n v="0.34"/>
    <x v="0"/>
    <n v="0.33329999999999999"/>
    <n v="0.56999999999999995"/>
    <x v="1"/>
    <x v="5"/>
    <x v="18"/>
    <x v="29"/>
    <n v="65"/>
  </r>
  <r>
    <n v="42"/>
    <d v="2011-01-02T00:00:00"/>
    <n v="1"/>
    <n v="18"/>
    <b v="0"/>
    <n v="0"/>
    <x v="0"/>
    <x v="1"/>
    <x v="1"/>
    <x v="1"/>
    <n v="0.36"/>
    <x v="1"/>
    <n v="0.33329999999999999"/>
    <n v="0.46"/>
    <x v="1"/>
    <x v="9"/>
    <x v="22"/>
    <x v="30"/>
    <n v="53"/>
  </r>
  <r>
    <n v="43"/>
    <d v="2011-01-02T00:00:00"/>
    <n v="1"/>
    <n v="19"/>
    <b v="0"/>
    <n v="0"/>
    <x v="0"/>
    <x v="1"/>
    <x v="0"/>
    <x v="0"/>
    <n v="0.32"/>
    <x v="0"/>
    <n v="0.28789999999999999"/>
    <n v="0.42"/>
    <x v="1"/>
    <x v="10"/>
    <x v="5"/>
    <x v="31"/>
    <n v="30"/>
  </r>
  <r>
    <n v="44"/>
    <d v="2011-01-02T00:00:00"/>
    <n v="1"/>
    <n v="20"/>
    <b v="0"/>
    <n v="0"/>
    <x v="0"/>
    <x v="1"/>
    <x v="0"/>
    <x v="0"/>
    <n v="0.3"/>
    <x v="0"/>
    <n v="0.18899661921708191"/>
    <n v="0.39"/>
    <x v="1"/>
    <x v="11"/>
    <x v="2"/>
    <x v="19"/>
    <n v="22"/>
  </r>
  <r>
    <n v="45"/>
    <d v="2011-01-02T00:00:00"/>
    <n v="1"/>
    <n v="21"/>
    <b v="0"/>
    <n v="0"/>
    <x v="0"/>
    <x v="1"/>
    <x v="0"/>
    <x v="0"/>
    <n v="0.26"/>
    <x v="0"/>
    <n v="0.2273"/>
    <n v="0.44"/>
    <x v="1"/>
    <x v="9"/>
    <x v="16"/>
    <x v="32"/>
    <n v="31"/>
  </r>
  <r>
    <n v="46"/>
    <d v="2011-01-02T00:00:00"/>
    <n v="1"/>
    <n v="22"/>
    <b v="0"/>
    <n v="0"/>
    <x v="0"/>
    <x v="1"/>
    <x v="0"/>
    <x v="0"/>
    <n v="0.24"/>
    <x v="0"/>
    <n v="0.21210000000000001"/>
    <n v="0.44"/>
    <x v="1"/>
    <x v="4"/>
    <x v="3"/>
    <x v="33"/>
    <n v="9"/>
  </r>
  <r>
    <n v="47"/>
    <d v="2011-01-02T00:00:00"/>
    <n v="1"/>
    <n v="23"/>
    <b v="0"/>
    <n v="0"/>
    <x v="0"/>
    <x v="1"/>
    <x v="0"/>
    <x v="0"/>
    <n v="0.22"/>
    <x v="0"/>
    <n v="0.2273"/>
    <n v="0.47"/>
    <x v="1"/>
    <x v="8"/>
    <x v="3"/>
    <x v="21"/>
    <n v="8"/>
  </r>
  <r>
    <n v="48"/>
    <d v="2011-01-03T00:00:00"/>
    <n v="1"/>
    <n v="0"/>
    <b v="0"/>
    <n v="1"/>
    <x v="1"/>
    <x v="2"/>
    <x v="0"/>
    <x v="0"/>
    <n v="0.22"/>
    <x v="0"/>
    <n v="0.19700000000000001"/>
    <n v="0.44"/>
    <x v="1"/>
    <x v="11"/>
    <x v="3"/>
    <x v="34"/>
    <n v="5"/>
  </r>
  <r>
    <n v="49"/>
    <d v="2011-01-03T00:00:00"/>
    <n v="1"/>
    <n v="1"/>
    <b v="0"/>
    <n v="1"/>
    <x v="1"/>
    <x v="2"/>
    <x v="0"/>
    <x v="0"/>
    <n v="0.2"/>
    <x v="0"/>
    <n v="0.18880358422939073"/>
    <n v="0.44"/>
    <x v="1"/>
    <x v="12"/>
    <x v="3"/>
    <x v="6"/>
    <n v="2"/>
  </r>
  <r>
    <n v="50"/>
    <d v="2011-01-03T00:00:00"/>
    <n v="1"/>
    <n v="4"/>
    <b v="0"/>
    <n v="1"/>
    <x v="1"/>
    <x v="2"/>
    <x v="0"/>
    <x v="0"/>
    <n v="0.16"/>
    <x v="0"/>
    <n v="0.13639999999999999"/>
    <n v="0.47"/>
    <x v="1"/>
    <x v="13"/>
    <x v="3"/>
    <x v="4"/>
    <n v="1"/>
  </r>
  <r>
    <n v="51"/>
    <d v="2011-01-03T00:00:00"/>
    <n v="1"/>
    <n v="5"/>
    <b v="0"/>
    <n v="1"/>
    <x v="1"/>
    <x v="2"/>
    <x v="0"/>
    <x v="0"/>
    <n v="0.16"/>
    <x v="0"/>
    <n v="0.13639999999999999"/>
    <n v="0.47"/>
    <x v="1"/>
    <x v="3"/>
    <x v="3"/>
    <x v="35"/>
    <n v="3"/>
  </r>
  <r>
    <n v="52"/>
    <d v="2011-01-03T00:00:00"/>
    <n v="1"/>
    <n v="6"/>
    <b v="0"/>
    <n v="1"/>
    <x v="1"/>
    <x v="2"/>
    <x v="0"/>
    <x v="0"/>
    <n v="0.14000000000000001"/>
    <x v="0"/>
    <n v="0.1061"/>
    <n v="0.5"/>
    <x v="1"/>
    <x v="13"/>
    <x v="3"/>
    <x v="10"/>
    <n v="30"/>
  </r>
  <r>
    <n v="53"/>
    <d v="2011-01-03T00:00:00"/>
    <n v="1"/>
    <n v="7"/>
    <b v="0"/>
    <n v="1"/>
    <x v="1"/>
    <x v="2"/>
    <x v="0"/>
    <x v="0"/>
    <n v="0.14000000000000001"/>
    <x v="0"/>
    <n v="0.13639999999999999"/>
    <n v="0.5"/>
    <x v="1"/>
    <x v="5"/>
    <x v="5"/>
    <x v="36"/>
    <n v="64"/>
  </r>
  <r>
    <n v="54"/>
    <d v="2011-01-03T00:00:00"/>
    <n v="1"/>
    <n v="8"/>
    <b v="0"/>
    <n v="1"/>
    <x v="1"/>
    <x v="2"/>
    <x v="0"/>
    <x v="0"/>
    <n v="0.14000000000000001"/>
    <x v="0"/>
    <n v="0.1212"/>
    <n v="0.5"/>
    <x v="1"/>
    <x v="3"/>
    <x v="5"/>
    <x v="37"/>
    <n v="154"/>
  </r>
  <r>
    <n v="55"/>
    <d v="2011-01-03T00:00:00"/>
    <n v="1"/>
    <n v="9"/>
    <b v="0"/>
    <n v="1"/>
    <x v="1"/>
    <x v="2"/>
    <x v="0"/>
    <x v="0"/>
    <n v="0.16"/>
    <x v="0"/>
    <n v="0.13639999999999999"/>
    <n v="0.43"/>
    <x v="1"/>
    <x v="13"/>
    <x v="18"/>
    <x v="38"/>
    <n v="88"/>
  </r>
  <r>
    <n v="56"/>
    <d v="2011-01-03T00:00:00"/>
    <n v="1"/>
    <n v="10"/>
    <b v="0"/>
    <n v="1"/>
    <x v="1"/>
    <x v="2"/>
    <x v="0"/>
    <x v="0"/>
    <n v="0.18"/>
    <x v="0"/>
    <n v="0.16669999999999999"/>
    <n v="0.43"/>
    <x v="1"/>
    <x v="2"/>
    <x v="16"/>
    <x v="39"/>
    <n v="44"/>
  </r>
  <r>
    <n v="57"/>
    <d v="2011-01-03T00:00:00"/>
    <n v="1"/>
    <n v="11"/>
    <b v="0"/>
    <n v="1"/>
    <x v="1"/>
    <x v="2"/>
    <x v="0"/>
    <x v="0"/>
    <n v="0.2"/>
    <x v="0"/>
    <n v="0.18179999999999999"/>
    <n v="0.4"/>
    <x v="1"/>
    <x v="9"/>
    <x v="22"/>
    <x v="40"/>
    <n v="51"/>
  </r>
  <r>
    <n v="58"/>
    <d v="2011-01-03T00:00:00"/>
    <n v="1"/>
    <n v="12"/>
    <b v="0"/>
    <n v="1"/>
    <x v="1"/>
    <x v="2"/>
    <x v="0"/>
    <x v="0"/>
    <n v="0.22"/>
    <x v="0"/>
    <n v="0.21210000000000001"/>
    <n v="0.35"/>
    <x v="1"/>
    <x v="4"/>
    <x v="23"/>
    <x v="41"/>
    <n v="61"/>
  </r>
  <r>
    <n v="59"/>
    <d v="2011-01-03T00:00:00"/>
    <n v="1"/>
    <n v="13"/>
    <b v="0"/>
    <n v="1"/>
    <x v="1"/>
    <x v="2"/>
    <x v="0"/>
    <x v="0"/>
    <n v="0.24"/>
    <x v="0"/>
    <n v="0.18946976320582881"/>
    <n v="0.35"/>
    <x v="1"/>
    <x v="3"/>
    <x v="1"/>
    <x v="42"/>
    <n v="61"/>
  </r>
  <r>
    <n v="60"/>
    <d v="2011-01-03T00:00:00"/>
    <n v="1"/>
    <n v="14"/>
    <b v="0"/>
    <n v="1"/>
    <x v="1"/>
    <x v="2"/>
    <x v="0"/>
    <x v="0"/>
    <n v="0.26"/>
    <x v="0"/>
    <n v="0.2424"/>
    <n v="0.3"/>
    <x v="1"/>
    <x v="3"/>
    <x v="16"/>
    <x v="43"/>
    <n v="77"/>
  </r>
  <r>
    <n v="61"/>
    <d v="2011-01-03T00:00:00"/>
    <n v="1"/>
    <n v="15"/>
    <b v="0"/>
    <n v="1"/>
    <x v="1"/>
    <x v="2"/>
    <x v="0"/>
    <x v="0"/>
    <n v="0.26"/>
    <x v="0"/>
    <n v="0.2424"/>
    <n v="0.3"/>
    <x v="1"/>
    <x v="2"/>
    <x v="24"/>
    <x v="29"/>
    <n v="72"/>
  </r>
  <r>
    <n v="62"/>
    <d v="2011-01-03T00:00:00"/>
    <n v="1"/>
    <n v="16"/>
    <b v="0"/>
    <n v="1"/>
    <x v="1"/>
    <x v="2"/>
    <x v="0"/>
    <x v="0"/>
    <n v="0.26"/>
    <x v="0"/>
    <n v="0.2424"/>
    <n v="0.3"/>
    <x v="1"/>
    <x v="2"/>
    <x v="14"/>
    <x v="28"/>
    <n v="76"/>
  </r>
  <r>
    <n v="63"/>
    <d v="2011-01-03T00:00:00"/>
    <n v="1"/>
    <n v="17"/>
    <b v="0"/>
    <n v="1"/>
    <x v="1"/>
    <x v="2"/>
    <x v="0"/>
    <x v="0"/>
    <n v="0.24"/>
    <x v="0"/>
    <n v="0.2273"/>
    <n v="0.3"/>
    <x v="1"/>
    <x v="6"/>
    <x v="16"/>
    <x v="44"/>
    <n v="157"/>
  </r>
  <r>
    <n v="64"/>
    <d v="2011-01-03T00:00:00"/>
    <n v="1"/>
    <n v="18"/>
    <b v="0"/>
    <n v="1"/>
    <x v="1"/>
    <x v="2"/>
    <x v="0"/>
    <x v="0"/>
    <n v="0.24"/>
    <x v="0"/>
    <n v="0.2576"/>
    <n v="0.32"/>
    <x v="1"/>
    <x v="14"/>
    <x v="14"/>
    <x v="45"/>
    <n v="157"/>
  </r>
  <r>
    <n v="65"/>
    <d v="2011-01-03T00:00:00"/>
    <n v="1"/>
    <n v="19"/>
    <b v="0"/>
    <n v="1"/>
    <x v="1"/>
    <x v="2"/>
    <x v="0"/>
    <x v="0"/>
    <n v="0.2"/>
    <x v="0"/>
    <n v="0.2576"/>
    <n v="0.47"/>
    <x v="1"/>
    <x v="0"/>
    <x v="1"/>
    <x v="46"/>
    <n v="110"/>
  </r>
  <r>
    <n v="66"/>
    <d v="2011-01-03T00:00:00"/>
    <n v="1"/>
    <n v="20"/>
    <b v="0"/>
    <n v="1"/>
    <x v="1"/>
    <x v="2"/>
    <x v="0"/>
    <x v="0"/>
    <n v="0.2"/>
    <x v="0"/>
    <n v="0.18885672191528544"/>
    <n v="0.47"/>
    <x v="1"/>
    <x v="14"/>
    <x v="0"/>
    <x v="47"/>
    <n v="52"/>
  </r>
  <r>
    <n v="67"/>
    <d v="2011-01-03T00:00:00"/>
    <n v="1"/>
    <n v="21"/>
    <b v="0"/>
    <n v="1"/>
    <x v="1"/>
    <x v="2"/>
    <x v="0"/>
    <x v="0"/>
    <n v="0.18"/>
    <x v="0"/>
    <n v="0.19700000000000001"/>
    <n v="0.64"/>
    <x v="1"/>
    <x v="7"/>
    <x v="0"/>
    <x v="47"/>
    <n v="52"/>
  </r>
  <r>
    <n v="68"/>
    <d v="2011-01-03T00:00:00"/>
    <n v="1"/>
    <n v="22"/>
    <b v="0"/>
    <n v="1"/>
    <x v="1"/>
    <x v="2"/>
    <x v="0"/>
    <x v="0"/>
    <n v="0.14000000000000001"/>
    <x v="0"/>
    <n v="0.1515"/>
    <n v="0.69"/>
    <x v="1"/>
    <x v="7"/>
    <x v="3"/>
    <x v="32"/>
    <n v="20"/>
  </r>
  <r>
    <n v="69"/>
    <d v="2011-01-03T00:00:00"/>
    <n v="1"/>
    <n v="23"/>
    <b v="0"/>
    <n v="1"/>
    <x v="1"/>
    <x v="2"/>
    <x v="0"/>
    <x v="0"/>
    <n v="0.18"/>
    <x v="0"/>
    <n v="0.21210000000000001"/>
    <n v="0.55000000000000004"/>
    <x v="1"/>
    <x v="14"/>
    <x v="5"/>
    <x v="48"/>
    <n v="12"/>
  </r>
  <r>
    <n v="70"/>
    <d v="2011-01-04T00:00:00"/>
    <n v="1"/>
    <n v="0"/>
    <b v="0"/>
    <n v="2"/>
    <x v="1"/>
    <x v="3"/>
    <x v="0"/>
    <x v="0"/>
    <n v="0.16"/>
    <x v="0"/>
    <n v="0.18886777777777777"/>
    <n v="0.55000000000000004"/>
    <x v="1"/>
    <x v="14"/>
    <x v="3"/>
    <x v="34"/>
    <n v="5"/>
  </r>
  <r>
    <n v="71"/>
    <d v="2011-01-04T00:00:00"/>
    <n v="1"/>
    <n v="1"/>
    <b v="0"/>
    <n v="2"/>
    <x v="1"/>
    <x v="3"/>
    <x v="0"/>
    <x v="0"/>
    <n v="0.16"/>
    <x v="0"/>
    <n v="0.18179999999999999"/>
    <n v="0.59"/>
    <x v="1"/>
    <x v="14"/>
    <x v="3"/>
    <x v="6"/>
    <n v="2"/>
  </r>
  <r>
    <n v="72"/>
    <d v="2011-01-04T00:00:00"/>
    <n v="1"/>
    <n v="2"/>
    <b v="0"/>
    <n v="2"/>
    <x v="1"/>
    <x v="3"/>
    <x v="0"/>
    <x v="0"/>
    <n v="0.14000000000000001"/>
    <x v="0"/>
    <n v="0.1515"/>
    <n v="0.63"/>
    <x v="1"/>
    <x v="7"/>
    <x v="3"/>
    <x v="4"/>
    <n v="1"/>
  </r>
  <r>
    <n v="73"/>
    <d v="2011-01-04T00:00:00"/>
    <n v="1"/>
    <n v="4"/>
    <b v="0"/>
    <n v="2"/>
    <x v="1"/>
    <x v="3"/>
    <x v="0"/>
    <x v="0"/>
    <n v="0.14000000000000001"/>
    <x v="0"/>
    <n v="0.18179999999999999"/>
    <n v="0.63"/>
    <x v="1"/>
    <x v="1"/>
    <x v="3"/>
    <x v="6"/>
    <n v="2"/>
  </r>
  <r>
    <n v="74"/>
    <d v="2011-01-04T00:00:00"/>
    <n v="1"/>
    <n v="5"/>
    <b v="0"/>
    <n v="2"/>
    <x v="1"/>
    <x v="3"/>
    <x v="0"/>
    <x v="0"/>
    <n v="0.12"/>
    <x v="0"/>
    <n v="0.1515"/>
    <n v="0.68"/>
    <x v="1"/>
    <x v="14"/>
    <x v="3"/>
    <x v="22"/>
    <n v="4"/>
  </r>
  <r>
    <n v="75"/>
    <d v="2011-01-04T00:00:00"/>
    <n v="1"/>
    <n v="6"/>
    <b v="0"/>
    <n v="2"/>
    <x v="1"/>
    <x v="3"/>
    <x v="0"/>
    <x v="0"/>
    <n v="0.12"/>
    <x v="0"/>
    <n v="0.1515"/>
    <n v="0.74"/>
    <x v="0"/>
    <x v="14"/>
    <x v="3"/>
    <x v="49"/>
    <n v="36"/>
  </r>
  <r>
    <n v="76"/>
    <d v="2011-01-04T00:00:00"/>
    <n v="1"/>
    <n v="7"/>
    <b v="0"/>
    <n v="2"/>
    <x v="1"/>
    <x v="3"/>
    <x v="0"/>
    <x v="0"/>
    <n v="0.12"/>
    <x v="0"/>
    <n v="0.1515"/>
    <n v="0.74"/>
    <x v="0"/>
    <x v="7"/>
    <x v="4"/>
    <x v="50"/>
    <n v="94"/>
  </r>
  <r>
    <n v="77"/>
    <d v="2011-01-04T00:00:00"/>
    <n v="1"/>
    <n v="8"/>
    <b v="0"/>
    <n v="2"/>
    <x v="1"/>
    <x v="3"/>
    <x v="0"/>
    <x v="0"/>
    <n v="0.14000000000000001"/>
    <x v="0"/>
    <n v="0.1515"/>
    <n v="0.69"/>
    <x v="1"/>
    <x v="8"/>
    <x v="4"/>
    <x v="51"/>
    <n v="179"/>
  </r>
  <r>
    <n v="78"/>
    <d v="2011-01-04T00:00:00"/>
    <n v="1"/>
    <n v="9"/>
    <b v="0"/>
    <n v="2"/>
    <x v="1"/>
    <x v="3"/>
    <x v="0"/>
    <x v="0"/>
    <n v="0.16"/>
    <x v="0"/>
    <n v="0.1515"/>
    <n v="0.64"/>
    <x v="1"/>
    <x v="6"/>
    <x v="4"/>
    <x v="52"/>
    <n v="100"/>
  </r>
  <r>
    <n v="79"/>
    <d v="2011-01-04T00:00:00"/>
    <n v="1"/>
    <n v="10"/>
    <b v="0"/>
    <n v="2"/>
    <x v="1"/>
    <x v="3"/>
    <x v="1"/>
    <x v="1"/>
    <n v="0.16"/>
    <x v="0"/>
    <n v="0.13639999999999999"/>
    <n v="0.69"/>
    <x v="1"/>
    <x v="9"/>
    <x v="2"/>
    <x v="53"/>
    <n v="42"/>
  </r>
  <r>
    <n v="80"/>
    <d v="2011-01-04T00:00:00"/>
    <n v="1"/>
    <n v="11"/>
    <b v="0"/>
    <n v="2"/>
    <x v="1"/>
    <x v="3"/>
    <x v="0"/>
    <x v="0"/>
    <n v="0.22"/>
    <x v="0"/>
    <n v="0.21210000000000001"/>
    <n v="0.51"/>
    <x v="1"/>
    <x v="4"/>
    <x v="18"/>
    <x v="54"/>
    <n v="57"/>
  </r>
  <r>
    <n v="81"/>
    <d v="2011-01-04T00:00:00"/>
    <n v="1"/>
    <n v="12"/>
    <b v="0"/>
    <n v="2"/>
    <x v="1"/>
    <x v="3"/>
    <x v="0"/>
    <x v="0"/>
    <n v="0.22"/>
    <x v="0"/>
    <n v="0.2273"/>
    <n v="0.51"/>
    <x v="1"/>
    <x v="8"/>
    <x v="6"/>
    <x v="43"/>
    <n v="78"/>
  </r>
  <r>
    <n v="82"/>
    <d v="2011-01-04T00:00:00"/>
    <n v="1"/>
    <n v="13"/>
    <b v="0"/>
    <n v="2"/>
    <x v="1"/>
    <x v="3"/>
    <x v="0"/>
    <x v="0"/>
    <n v="0.24"/>
    <x v="0"/>
    <n v="0.2273"/>
    <n v="0.56000000000000005"/>
    <x v="1"/>
    <x v="5"/>
    <x v="25"/>
    <x v="55"/>
    <n v="97"/>
  </r>
  <r>
    <n v="83"/>
    <d v="2011-01-04T00:00:00"/>
    <n v="1"/>
    <n v="14"/>
    <b v="0"/>
    <n v="2"/>
    <x v="1"/>
    <x v="3"/>
    <x v="0"/>
    <x v="0"/>
    <n v="0.26"/>
    <x v="0"/>
    <n v="0.2576"/>
    <n v="0.52"/>
    <x v="1"/>
    <x v="6"/>
    <x v="14"/>
    <x v="25"/>
    <n v="63"/>
  </r>
  <r>
    <n v="84"/>
    <d v="2011-01-04T00:00:00"/>
    <n v="1"/>
    <n v="15"/>
    <b v="0"/>
    <n v="2"/>
    <x v="1"/>
    <x v="3"/>
    <x v="0"/>
    <x v="0"/>
    <n v="0.28000000000000003"/>
    <x v="0"/>
    <n v="0.2727"/>
    <n v="0.52"/>
    <x v="1"/>
    <x v="2"/>
    <x v="26"/>
    <x v="41"/>
    <n v="65"/>
  </r>
  <r>
    <n v="85"/>
    <d v="2011-01-04T00:00:00"/>
    <n v="1"/>
    <n v="16"/>
    <b v="0"/>
    <n v="2"/>
    <x v="1"/>
    <x v="3"/>
    <x v="0"/>
    <x v="0"/>
    <n v="0.3"/>
    <x v="0"/>
    <n v="0.28789999999999999"/>
    <n v="0.49"/>
    <x v="1"/>
    <x v="2"/>
    <x v="13"/>
    <x v="56"/>
    <n v="83"/>
  </r>
  <r>
    <n v="86"/>
    <d v="2011-01-04T00:00:00"/>
    <n v="1"/>
    <n v="17"/>
    <b v="0"/>
    <n v="2"/>
    <x v="1"/>
    <x v="3"/>
    <x v="0"/>
    <x v="0"/>
    <n v="0.28000000000000003"/>
    <x v="0"/>
    <n v="0.2727"/>
    <n v="0.48"/>
    <x v="1"/>
    <x v="6"/>
    <x v="22"/>
    <x v="57"/>
    <n v="212"/>
  </r>
  <r>
    <n v="87"/>
    <d v="2011-01-04T00:00:00"/>
    <n v="1"/>
    <n v="18"/>
    <b v="0"/>
    <n v="2"/>
    <x v="1"/>
    <x v="3"/>
    <x v="0"/>
    <x v="0"/>
    <n v="0.26"/>
    <x v="0"/>
    <n v="0.2576"/>
    <n v="0.48"/>
    <x v="1"/>
    <x v="5"/>
    <x v="0"/>
    <x v="58"/>
    <n v="182"/>
  </r>
  <r>
    <n v="88"/>
    <d v="2011-01-04T00:00:00"/>
    <n v="1"/>
    <n v="19"/>
    <b v="0"/>
    <n v="2"/>
    <x v="1"/>
    <x v="3"/>
    <x v="0"/>
    <x v="0"/>
    <n v="0.24"/>
    <x v="0"/>
    <n v="0.2576"/>
    <n v="0.48"/>
    <x v="1"/>
    <x v="14"/>
    <x v="4"/>
    <x v="59"/>
    <n v="112"/>
  </r>
  <r>
    <n v="89"/>
    <d v="2011-01-04T00:00:00"/>
    <n v="1"/>
    <n v="20"/>
    <b v="0"/>
    <n v="2"/>
    <x v="1"/>
    <x v="3"/>
    <x v="0"/>
    <x v="0"/>
    <n v="0.24"/>
    <x v="0"/>
    <n v="0.2576"/>
    <n v="0.48"/>
    <x v="1"/>
    <x v="14"/>
    <x v="5"/>
    <x v="42"/>
    <n v="54"/>
  </r>
  <r>
    <n v="90"/>
    <d v="2011-01-04T00:00:00"/>
    <n v="1"/>
    <n v="21"/>
    <b v="0"/>
    <n v="2"/>
    <x v="1"/>
    <x v="3"/>
    <x v="0"/>
    <x v="0"/>
    <n v="0.22"/>
    <x v="0"/>
    <n v="0.2727"/>
    <n v="0.64"/>
    <x v="1"/>
    <x v="0"/>
    <x v="3"/>
    <x v="41"/>
    <n v="48"/>
  </r>
  <r>
    <n v="91"/>
    <d v="2011-01-04T00:00:00"/>
    <n v="1"/>
    <n v="22"/>
    <b v="0"/>
    <n v="2"/>
    <x v="1"/>
    <x v="3"/>
    <x v="0"/>
    <x v="0"/>
    <n v="0.22"/>
    <x v="0"/>
    <n v="0.2576"/>
    <n v="0.64"/>
    <x v="1"/>
    <x v="1"/>
    <x v="5"/>
    <x v="60"/>
    <n v="35"/>
  </r>
  <r>
    <n v="92"/>
    <d v="2011-01-04T00:00:00"/>
    <n v="1"/>
    <n v="23"/>
    <b v="0"/>
    <n v="2"/>
    <x v="1"/>
    <x v="3"/>
    <x v="0"/>
    <x v="0"/>
    <n v="0.2"/>
    <x v="0"/>
    <n v="0.2273"/>
    <n v="0.69"/>
    <x v="1"/>
    <x v="1"/>
    <x v="4"/>
    <x v="33"/>
    <n v="11"/>
  </r>
  <r>
    <n v="93"/>
    <d v="2011-01-05T00:00:00"/>
    <n v="1"/>
    <n v="0"/>
    <b v="0"/>
    <n v="3"/>
    <x v="1"/>
    <x v="4"/>
    <x v="0"/>
    <x v="0"/>
    <n v="0.2"/>
    <x v="0"/>
    <n v="0.2576"/>
    <n v="0.64"/>
    <x v="1"/>
    <x v="0"/>
    <x v="3"/>
    <x v="8"/>
    <n v="6"/>
  </r>
  <r>
    <n v="94"/>
    <d v="2011-01-05T00:00:00"/>
    <n v="1"/>
    <n v="1"/>
    <b v="0"/>
    <n v="3"/>
    <x v="1"/>
    <x v="4"/>
    <x v="0"/>
    <x v="0"/>
    <n v="0.16"/>
    <x v="0"/>
    <n v="0.19700000000000001"/>
    <n v="0.74"/>
    <x v="0"/>
    <x v="1"/>
    <x v="3"/>
    <x v="8"/>
    <n v="6"/>
  </r>
  <r>
    <n v="95"/>
    <d v="2011-01-05T00:00:00"/>
    <n v="1"/>
    <n v="2"/>
    <b v="0"/>
    <n v="3"/>
    <x v="1"/>
    <x v="4"/>
    <x v="0"/>
    <x v="0"/>
    <n v="0.16"/>
    <x v="0"/>
    <n v="0.19700000000000001"/>
    <n v="0.74"/>
    <x v="0"/>
    <x v="1"/>
    <x v="3"/>
    <x v="6"/>
    <n v="2"/>
  </r>
  <r>
    <n v="96"/>
    <d v="2011-01-05T00:00:00"/>
    <n v="1"/>
    <n v="4"/>
    <b v="0"/>
    <n v="3"/>
    <x v="1"/>
    <x v="4"/>
    <x v="0"/>
    <x v="0"/>
    <n v="0.24"/>
    <x v="0"/>
    <n v="0.2273"/>
    <n v="0.48"/>
    <x v="1"/>
    <x v="6"/>
    <x v="3"/>
    <x v="6"/>
    <n v="2"/>
  </r>
  <r>
    <n v="97"/>
    <d v="2011-01-05T00:00:00"/>
    <n v="1"/>
    <n v="5"/>
    <b v="0"/>
    <n v="3"/>
    <x v="1"/>
    <x v="4"/>
    <x v="0"/>
    <x v="0"/>
    <n v="0.22"/>
    <x v="0"/>
    <n v="0.2273"/>
    <n v="0.47"/>
    <x v="1"/>
    <x v="8"/>
    <x v="3"/>
    <x v="35"/>
    <n v="3"/>
  </r>
  <r>
    <n v="98"/>
    <d v="2011-01-05T00:00:00"/>
    <n v="1"/>
    <n v="6"/>
    <b v="0"/>
    <n v="3"/>
    <x v="1"/>
    <x v="4"/>
    <x v="0"/>
    <x v="0"/>
    <n v="0.2"/>
    <x v="0"/>
    <n v="0.19700000000000001"/>
    <n v="0.47"/>
    <x v="1"/>
    <x v="6"/>
    <x v="3"/>
    <x v="39"/>
    <n v="33"/>
  </r>
  <r>
    <n v="99"/>
    <d v="2011-01-05T00:00:00"/>
    <n v="1"/>
    <n v="7"/>
    <b v="0"/>
    <n v="3"/>
    <x v="1"/>
    <x v="4"/>
    <x v="0"/>
    <x v="0"/>
    <n v="0.18"/>
    <x v="0"/>
    <n v="0.18179999999999999"/>
    <n v="0.43"/>
    <x v="1"/>
    <x v="5"/>
    <x v="5"/>
    <x v="61"/>
    <n v="88"/>
  </r>
  <r>
    <n v="100"/>
    <d v="2011-01-05T00:00:00"/>
    <n v="1"/>
    <n v="8"/>
    <b v="0"/>
    <n v="3"/>
    <x v="1"/>
    <x v="4"/>
    <x v="0"/>
    <x v="0"/>
    <n v="0.2"/>
    <x v="0"/>
    <n v="0.18179999999999999"/>
    <n v="0.4"/>
    <x v="1"/>
    <x v="4"/>
    <x v="0"/>
    <x v="62"/>
    <n v="195"/>
  </r>
  <r>
    <n v="101"/>
    <d v="2011-01-05T00:00:00"/>
    <n v="1"/>
    <n v="9"/>
    <b v="0"/>
    <n v="3"/>
    <x v="1"/>
    <x v="4"/>
    <x v="0"/>
    <x v="0"/>
    <n v="0.22"/>
    <x v="0"/>
    <n v="0.19700000000000001"/>
    <n v="0.37"/>
    <x v="1"/>
    <x v="9"/>
    <x v="15"/>
    <x v="63"/>
    <n v="115"/>
  </r>
  <r>
    <n v="102"/>
    <d v="2011-01-05T00:00:00"/>
    <n v="1"/>
    <n v="10"/>
    <b v="0"/>
    <n v="3"/>
    <x v="1"/>
    <x v="4"/>
    <x v="0"/>
    <x v="0"/>
    <n v="0.22"/>
    <x v="0"/>
    <n v="0.19700000000000001"/>
    <n v="0.37"/>
    <x v="1"/>
    <x v="9"/>
    <x v="17"/>
    <x v="42"/>
    <n v="57"/>
  </r>
  <r>
    <n v="103"/>
    <d v="2011-01-05T00:00:00"/>
    <n v="1"/>
    <n v="11"/>
    <b v="0"/>
    <n v="3"/>
    <x v="1"/>
    <x v="4"/>
    <x v="0"/>
    <x v="0"/>
    <n v="0.26"/>
    <x v="0"/>
    <n v="0.2273"/>
    <n v="0.33"/>
    <x v="1"/>
    <x v="9"/>
    <x v="6"/>
    <x v="60"/>
    <n v="46"/>
  </r>
  <r>
    <n v="104"/>
    <d v="2011-01-05T00:00:00"/>
    <n v="1"/>
    <n v="12"/>
    <b v="0"/>
    <n v="3"/>
    <x v="1"/>
    <x v="4"/>
    <x v="0"/>
    <x v="0"/>
    <n v="0.26"/>
    <x v="0"/>
    <n v="0.2273"/>
    <n v="0.33"/>
    <x v="1"/>
    <x v="9"/>
    <x v="2"/>
    <x v="64"/>
    <n v="79"/>
  </r>
  <r>
    <n v="105"/>
    <d v="2011-01-05T00:00:00"/>
    <n v="1"/>
    <n v="13"/>
    <b v="0"/>
    <n v="3"/>
    <x v="1"/>
    <x v="4"/>
    <x v="0"/>
    <x v="0"/>
    <n v="0.28000000000000003"/>
    <x v="0"/>
    <n v="0.2576"/>
    <n v="0.3"/>
    <x v="1"/>
    <x v="4"/>
    <x v="15"/>
    <x v="65"/>
    <n v="71"/>
  </r>
  <r>
    <n v="106"/>
    <d v="2011-01-05T00:00:00"/>
    <n v="1"/>
    <n v="14"/>
    <b v="0"/>
    <n v="3"/>
    <x v="1"/>
    <x v="4"/>
    <x v="0"/>
    <x v="0"/>
    <n v="0.3"/>
    <x v="0"/>
    <n v="0.28789999999999999"/>
    <n v="0.28000000000000003"/>
    <x v="1"/>
    <x v="5"/>
    <x v="22"/>
    <x v="15"/>
    <n v="62"/>
  </r>
  <r>
    <n v="107"/>
    <d v="2011-01-05T00:00:00"/>
    <n v="1"/>
    <n v="15"/>
    <b v="0"/>
    <n v="3"/>
    <x v="1"/>
    <x v="4"/>
    <x v="0"/>
    <x v="0"/>
    <n v="0.3"/>
    <x v="0"/>
    <n v="0.28789999999999999"/>
    <n v="0.28000000000000003"/>
    <x v="1"/>
    <x v="5"/>
    <x v="18"/>
    <x v="11"/>
    <n v="62"/>
  </r>
  <r>
    <n v="108"/>
    <d v="2011-01-05T00:00:00"/>
    <n v="1"/>
    <n v="16"/>
    <b v="0"/>
    <n v="3"/>
    <x v="1"/>
    <x v="4"/>
    <x v="0"/>
    <x v="0"/>
    <n v="0.3"/>
    <x v="0"/>
    <n v="0.31819999999999998"/>
    <n v="0.28000000000000003"/>
    <x v="1"/>
    <x v="1"/>
    <x v="17"/>
    <x v="66"/>
    <n v="89"/>
  </r>
  <r>
    <n v="109"/>
    <d v="2011-01-05T00:00:00"/>
    <n v="1"/>
    <n v="17"/>
    <b v="0"/>
    <n v="3"/>
    <x v="1"/>
    <x v="4"/>
    <x v="0"/>
    <x v="0"/>
    <n v="0.24"/>
    <x v="0"/>
    <n v="0.2273"/>
    <n v="0.38"/>
    <x v="1"/>
    <x v="5"/>
    <x v="17"/>
    <x v="67"/>
    <n v="190"/>
  </r>
  <r>
    <n v="110"/>
    <d v="2011-01-05T00:00:00"/>
    <n v="1"/>
    <n v="18"/>
    <b v="0"/>
    <n v="3"/>
    <x v="1"/>
    <x v="4"/>
    <x v="0"/>
    <x v="0"/>
    <n v="0.24"/>
    <x v="0"/>
    <n v="0.2424"/>
    <n v="0.38"/>
    <x v="1"/>
    <x v="7"/>
    <x v="0"/>
    <x v="68"/>
    <n v="169"/>
  </r>
  <r>
    <n v="111"/>
    <d v="2011-01-05T00:00:00"/>
    <n v="1"/>
    <n v="19"/>
    <b v="0"/>
    <n v="3"/>
    <x v="1"/>
    <x v="4"/>
    <x v="0"/>
    <x v="0"/>
    <n v="0.24"/>
    <x v="0"/>
    <n v="0.2576"/>
    <n v="0.38"/>
    <x v="1"/>
    <x v="14"/>
    <x v="2"/>
    <x v="69"/>
    <n v="132"/>
  </r>
  <r>
    <n v="112"/>
    <d v="2011-01-05T00:00:00"/>
    <n v="1"/>
    <n v="20"/>
    <b v="0"/>
    <n v="3"/>
    <x v="1"/>
    <x v="4"/>
    <x v="0"/>
    <x v="0"/>
    <n v="0.22"/>
    <x v="0"/>
    <n v="0.2273"/>
    <n v="0.47"/>
    <x v="1"/>
    <x v="8"/>
    <x v="18"/>
    <x v="70"/>
    <n v="89"/>
  </r>
  <r>
    <n v="113"/>
    <d v="2011-01-05T00:00:00"/>
    <n v="1"/>
    <n v="21"/>
    <b v="0"/>
    <n v="3"/>
    <x v="1"/>
    <x v="4"/>
    <x v="0"/>
    <x v="0"/>
    <n v="0.2"/>
    <x v="0"/>
    <n v="0.19700000000000001"/>
    <n v="0.51"/>
    <x v="1"/>
    <x v="5"/>
    <x v="0"/>
    <x v="71"/>
    <n v="43"/>
  </r>
  <r>
    <n v="114"/>
    <d v="2011-01-05T00:00:00"/>
    <n v="1"/>
    <n v="22"/>
    <b v="0"/>
    <n v="3"/>
    <x v="1"/>
    <x v="4"/>
    <x v="0"/>
    <x v="0"/>
    <n v="0.18"/>
    <x v="0"/>
    <n v="0.19700000000000001"/>
    <n v="0.55000000000000004"/>
    <x v="1"/>
    <x v="7"/>
    <x v="5"/>
    <x v="40"/>
    <n v="42"/>
  </r>
  <r>
    <n v="115"/>
    <d v="2011-01-05T00:00:00"/>
    <n v="1"/>
    <n v="23"/>
    <b v="0"/>
    <n v="3"/>
    <x v="1"/>
    <x v="4"/>
    <x v="0"/>
    <x v="0"/>
    <n v="0.2"/>
    <x v="0"/>
    <n v="0.2576"/>
    <n v="0.47"/>
    <x v="1"/>
    <x v="0"/>
    <x v="5"/>
    <x v="72"/>
    <n v="19"/>
  </r>
  <r>
    <n v="116"/>
    <d v="2011-01-06T00:00:00"/>
    <n v="1"/>
    <n v="0"/>
    <b v="0"/>
    <n v="4"/>
    <x v="1"/>
    <x v="5"/>
    <x v="0"/>
    <x v="0"/>
    <n v="0.18"/>
    <x v="0"/>
    <n v="0.2424"/>
    <n v="0.55000000000000004"/>
    <x v="1"/>
    <x v="0"/>
    <x v="3"/>
    <x v="48"/>
    <n v="11"/>
  </r>
  <r>
    <n v="117"/>
    <d v="2011-01-06T00:00:00"/>
    <n v="1"/>
    <n v="1"/>
    <b v="0"/>
    <n v="4"/>
    <x v="1"/>
    <x v="5"/>
    <x v="0"/>
    <x v="0"/>
    <n v="0.16"/>
    <x v="0"/>
    <n v="0.2273"/>
    <n v="0.64"/>
    <x v="1"/>
    <x v="0"/>
    <x v="3"/>
    <x v="22"/>
    <n v="4"/>
  </r>
  <r>
    <n v="118"/>
    <d v="2011-01-06T00:00:00"/>
    <n v="1"/>
    <n v="2"/>
    <b v="0"/>
    <n v="4"/>
    <x v="1"/>
    <x v="5"/>
    <x v="0"/>
    <x v="0"/>
    <n v="0.16"/>
    <x v="0"/>
    <n v="0.2273"/>
    <n v="0.64"/>
    <x v="1"/>
    <x v="0"/>
    <x v="3"/>
    <x v="6"/>
    <n v="2"/>
  </r>
  <r>
    <n v="119"/>
    <d v="2011-01-06T00:00:00"/>
    <n v="1"/>
    <n v="4"/>
    <b v="0"/>
    <n v="4"/>
    <x v="1"/>
    <x v="5"/>
    <x v="1"/>
    <x v="1"/>
    <n v="0.16"/>
    <x v="0"/>
    <n v="0.19700000000000001"/>
    <n v="0.64"/>
    <x v="1"/>
    <x v="1"/>
    <x v="3"/>
    <x v="4"/>
    <n v="1"/>
  </r>
  <r>
    <n v="120"/>
    <d v="2011-01-06T00:00:00"/>
    <n v="1"/>
    <n v="5"/>
    <b v="0"/>
    <n v="4"/>
    <x v="1"/>
    <x v="5"/>
    <x v="1"/>
    <x v="1"/>
    <n v="0.14000000000000001"/>
    <x v="0"/>
    <n v="0.18179999999999999"/>
    <n v="0.69"/>
    <x v="1"/>
    <x v="1"/>
    <x v="3"/>
    <x v="22"/>
    <n v="4"/>
  </r>
  <r>
    <n v="121"/>
    <d v="2011-01-06T00:00:00"/>
    <n v="1"/>
    <n v="6"/>
    <b v="0"/>
    <n v="4"/>
    <x v="1"/>
    <x v="5"/>
    <x v="1"/>
    <x v="1"/>
    <n v="0.14000000000000001"/>
    <x v="0"/>
    <n v="0.16669999999999999"/>
    <n v="0.63"/>
    <x v="1"/>
    <x v="14"/>
    <x v="3"/>
    <x v="49"/>
    <n v="36"/>
  </r>
  <r>
    <n v="122"/>
    <d v="2011-01-06T00:00:00"/>
    <n v="1"/>
    <n v="7"/>
    <b v="0"/>
    <n v="4"/>
    <x v="1"/>
    <x v="5"/>
    <x v="1"/>
    <x v="1"/>
    <n v="0.16"/>
    <x v="0"/>
    <n v="0.2273"/>
    <n v="0.59"/>
    <x v="1"/>
    <x v="0"/>
    <x v="3"/>
    <x v="73"/>
    <n v="95"/>
  </r>
  <r>
    <n v="123"/>
    <d v="2011-01-06T00:00:00"/>
    <n v="1"/>
    <n v="8"/>
    <b v="0"/>
    <n v="4"/>
    <x v="1"/>
    <x v="5"/>
    <x v="0"/>
    <x v="0"/>
    <n v="0.16"/>
    <x v="0"/>
    <n v="0.2273"/>
    <n v="0.59"/>
    <x v="1"/>
    <x v="0"/>
    <x v="0"/>
    <x v="74"/>
    <n v="219"/>
  </r>
  <r>
    <n v="124"/>
    <d v="2011-01-06T00:00:00"/>
    <n v="1"/>
    <n v="9"/>
    <b v="0"/>
    <n v="4"/>
    <x v="1"/>
    <x v="5"/>
    <x v="1"/>
    <x v="1"/>
    <n v="0.18"/>
    <x v="0"/>
    <n v="0.2424"/>
    <n v="0.51"/>
    <x v="1"/>
    <x v="0"/>
    <x v="15"/>
    <x v="75"/>
    <n v="122"/>
  </r>
  <r>
    <n v="125"/>
    <d v="2011-01-06T00:00:00"/>
    <n v="1"/>
    <n v="10"/>
    <b v="0"/>
    <n v="4"/>
    <x v="1"/>
    <x v="5"/>
    <x v="0"/>
    <x v="0"/>
    <n v="0.2"/>
    <x v="0"/>
    <n v="0.2576"/>
    <n v="0.47"/>
    <x v="1"/>
    <x v="0"/>
    <x v="0"/>
    <x v="76"/>
    <n v="45"/>
  </r>
  <r>
    <n v="126"/>
    <d v="2011-01-06T00:00:00"/>
    <n v="1"/>
    <n v="11"/>
    <b v="0"/>
    <n v="4"/>
    <x v="1"/>
    <x v="5"/>
    <x v="0"/>
    <x v="0"/>
    <n v="0.22"/>
    <x v="0"/>
    <n v="0.2576"/>
    <n v="0.44"/>
    <x v="1"/>
    <x v="1"/>
    <x v="4"/>
    <x v="77"/>
    <n v="59"/>
  </r>
  <r>
    <n v="127"/>
    <d v="2011-01-06T00:00:00"/>
    <n v="1"/>
    <n v="12"/>
    <b v="0"/>
    <n v="4"/>
    <x v="1"/>
    <x v="5"/>
    <x v="0"/>
    <x v="0"/>
    <n v="0.26"/>
    <x v="0"/>
    <n v="0.28789999999999999"/>
    <n v="0.35"/>
    <x v="1"/>
    <x v="0"/>
    <x v="15"/>
    <x v="78"/>
    <n v="84"/>
  </r>
  <r>
    <n v="128"/>
    <d v="2011-01-06T00:00:00"/>
    <n v="1"/>
    <n v="13"/>
    <b v="0"/>
    <n v="4"/>
    <x v="1"/>
    <x v="5"/>
    <x v="0"/>
    <x v="0"/>
    <n v="0.26"/>
    <x v="0"/>
    <n v="0.2727"/>
    <n v="0.35"/>
    <x v="1"/>
    <x v="14"/>
    <x v="6"/>
    <x v="11"/>
    <n v="67"/>
  </r>
  <r>
    <n v="129"/>
    <d v="2011-01-06T00:00:00"/>
    <n v="1"/>
    <n v="14"/>
    <b v="0"/>
    <n v="4"/>
    <x v="1"/>
    <x v="5"/>
    <x v="0"/>
    <x v="0"/>
    <n v="0.28000000000000003"/>
    <x v="0"/>
    <n v="0.2727"/>
    <n v="0.36"/>
    <x v="1"/>
    <x v="8"/>
    <x v="16"/>
    <x v="79"/>
    <n v="70"/>
  </r>
  <r>
    <n v="130"/>
    <d v="2011-01-06T00:00:00"/>
    <n v="1"/>
    <n v="15"/>
    <b v="0"/>
    <n v="4"/>
    <x v="1"/>
    <x v="5"/>
    <x v="0"/>
    <x v="0"/>
    <n v="0.28000000000000003"/>
    <x v="0"/>
    <n v="0.2727"/>
    <n v="0.36"/>
    <x v="1"/>
    <x v="0"/>
    <x v="1"/>
    <x v="25"/>
    <n v="62"/>
  </r>
  <r>
    <n v="131"/>
    <d v="2011-01-06T00:00:00"/>
    <n v="1"/>
    <n v="16"/>
    <b v="0"/>
    <n v="4"/>
    <x v="1"/>
    <x v="5"/>
    <x v="0"/>
    <x v="0"/>
    <n v="0.26"/>
    <x v="0"/>
    <n v="0.2576"/>
    <n v="0.38"/>
    <x v="1"/>
    <x v="8"/>
    <x v="6"/>
    <x v="64"/>
    <n v="86"/>
  </r>
  <r>
    <n v="132"/>
    <d v="2011-01-06T00:00:00"/>
    <n v="1"/>
    <n v="17"/>
    <b v="0"/>
    <n v="4"/>
    <x v="1"/>
    <x v="5"/>
    <x v="0"/>
    <x v="0"/>
    <n v="0.22"/>
    <x v="0"/>
    <n v="0.2273"/>
    <n v="0.51"/>
    <x v="1"/>
    <x v="8"/>
    <x v="14"/>
    <x v="80"/>
    <n v="172"/>
  </r>
  <r>
    <n v="133"/>
    <d v="2011-01-06T00:00:00"/>
    <n v="1"/>
    <n v="18"/>
    <b v="0"/>
    <n v="4"/>
    <x v="1"/>
    <x v="5"/>
    <x v="0"/>
    <x v="0"/>
    <n v="0.22"/>
    <x v="0"/>
    <n v="0.2273"/>
    <n v="0.51"/>
    <x v="1"/>
    <x v="7"/>
    <x v="2"/>
    <x v="81"/>
    <n v="163"/>
  </r>
  <r>
    <n v="134"/>
    <d v="2011-01-06T00:00:00"/>
    <n v="1"/>
    <n v="19"/>
    <b v="0"/>
    <n v="4"/>
    <x v="1"/>
    <x v="5"/>
    <x v="0"/>
    <x v="0"/>
    <n v="0.22"/>
    <x v="0"/>
    <n v="0.2576"/>
    <n v="0.55000000000000004"/>
    <x v="1"/>
    <x v="1"/>
    <x v="0"/>
    <x v="63"/>
    <n v="112"/>
  </r>
  <r>
    <n v="135"/>
    <d v="2011-01-06T00:00:00"/>
    <n v="1"/>
    <n v="20"/>
    <b v="0"/>
    <n v="4"/>
    <x v="1"/>
    <x v="5"/>
    <x v="0"/>
    <x v="0"/>
    <n v="0.2"/>
    <x v="0"/>
    <n v="0.21210000000000001"/>
    <n v="0.51"/>
    <x v="1"/>
    <x v="8"/>
    <x v="0"/>
    <x v="43"/>
    <n v="69"/>
  </r>
  <r>
    <n v="136"/>
    <d v="2011-01-06T00:00:00"/>
    <n v="1"/>
    <n v="21"/>
    <b v="0"/>
    <n v="4"/>
    <x v="1"/>
    <x v="5"/>
    <x v="1"/>
    <x v="1"/>
    <n v="0.22"/>
    <x v="0"/>
    <n v="0.21210000000000001"/>
    <n v="0.55000000000000004"/>
    <x v="1"/>
    <x v="6"/>
    <x v="3"/>
    <x v="41"/>
    <n v="48"/>
  </r>
  <r>
    <n v="137"/>
    <d v="2011-01-06T00:00:00"/>
    <n v="1"/>
    <n v="22"/>
    <b v="0"/>
    <n v="4"/>
    <x v="1"/>
    <x v="5"/>
    <x v="1"/>
    <x v="1"/>
    <n v="0.22"/>
    <x v="0"/>
    <n v="0.21210000000000001"/>
    <n v="0.51"/>
    <x v="1"/>
    <x v="3"/>
    <x v="5"/>
    <x v="82"/>
    <n v="52"/>
  </r>
  <r>
    <n v="138"/>
    <d v="2011-01-06T00:00:00"/>
    <n v="1"/>
    <n v="23"/>
    <b v="0"/>
    <n v="4"/>
    <x v="1"/>
    <x v="5"/>
    <x v="1"/>
    <x v="1"/>
    <n v="0.2"/>
    <x v="0"/>
    <n v="0.19700000000000001"/>
    <n v="0.59"/>
    <x v="1"/>
    <x v="5"/>
    <x v="17"/>
    <x v="23"/>
    <n v="23"/>
  </r>
  <r>
    <n v="139"/>
    <d v="2011-01-07T00:00:00"/>
    <n v="1"/>
    <n v="0"/>
    <b v="0"/>
    <n v="5"/>
    <x v="1"/>
    <x v="6"/>
    <x v="1"/>
    <x v="1"/>
    <n v="0.2"/>
    <x v="0"/>
    <n v="0.19700000000000001"/>
    <n v="0.64"/>
    <x v="1"/>
    <x v="5"/>
    <x v="17"/>
    <x v="0"/>
    <n v="17"/>
  </r>
  <r>
    <n v="140"/>
    <d v="2011-01-07T00:00:00"/>
    <n v="1"/>
    <n v="1"/>
    <b v="0"/>
    <n v="5"/>
    <x v="1"/>
    <x v="6"/>
    <x v="1"/>
    <x v="1"/>
    <n v="0.2"/>
    <x v="0"/>
    <n v="0.19700000000000001"/>
    <n v="0.69"/>
    <x v="1"/>
    <x v="6"/>
    <x v="4"/>
    <x v="34"/>
    <n v="7"/>
  </r>
  <r>
    <n v="141"/>
    <d v="2011-01-07T00:00:00"/>
    <n v="1"/>
    <n v="2"/>
    <b v="0"/>
    <n v="5"/>
    <x v="1"/>
    <x v="6"/>
    <x v="1"/>
    <x v="1"/>
    <n v="0.2"/>
    <x v="0"/>
    <n v="0.19700000000000001"/>
    <n v="0.69"/>
    <x v="1"/>
    <x v="6"/>
    <x v="3"/>
    <x v="4"/>
    <n v="1"/>
  </r>
  <r>
    <n v="142"/>
    <d v="2011-01-07T00:00:00"/>
    <n v="1"/>
    <n v="4"/>
    <b v="0"/>
    <n v="5"/>
    <x v="1"/>
    <x v="6"/>
    <x v="1"/>
    <x v="1"/>
    <n v="0.2"/>
    <x v="0"/>
    <n v="0.21210000000000001"/>
    <n v="0.69"/>
    <x v="1"/>
    <x v="7"/>
    <x v="3"/>
    <x v="4"/>
    <n v="1"/>
  </r>
  <r>
    <n v="143"/>
    <d v="2011-01-07T00:00:00"/>
    <n v="1"/>
    <n v="5"/>
    <b v="0"/>
    <n v="5"/>
    <x v="1"/>
    <x v="6"/>
    <x v="2"/>
    <x v="2"/>
    <n v="0.22"/>
    <x v="0"/>
    <n v="0.2727"/>
    <n v="0.55000000000000004"/>
    <x v="1"/>
    <x v="0"/>
    <x v="3"/>
    <x v="34"/>
    <n v="5"/>
  </r>
  <r>
    <n v="144"/>
    <d v="2011-01-07T00:00:00"/>
    <n v="1"/>
    <n v="6"/>
    <b v="0"/>
    <n v="5"/>
    <x v="1"/>
    <x v="6"/>
    <x v="1"/>
    <x v="1"/>
    <n v="0.2"/>
    <x v="0"/>
    <n v="0.2576"/>
    <n v="0.69"/>
    <x v="1"/>
    <x v="0"/>
    <x v="1"/>
    <x v="16"/>
    <n v="34"/>
  </r>
  <r>
    <n v="145"/>
    <d v="2011-01-07T00:00:00"/>
    <n v="1"/>
    <n v="7"/>
    <b v="0"/>
    <n v="5"/>
    <x v="1"/>
    <x v="6"/>
    <x v="0"/>
    <x v="0"/>
    <n v="0.2"/>
    <x v="0"/>
    <n v="0.21210000000000001"/>
    <n v="0.69"/>
    <x v="1"/>
    <x v="7"/>
    <x v="1"/>
    <x v="83"/>
    <n v="84"/>
  </r>
  <r>
    <n v="146"/>
    <d v="2011-01-07T00:00:00"/>
    <n v="1"/>
    <n v="8"/>
    <b v="0"/>
    <n v="5"/>
    <x v="1"/>
    <x v="6"/>
    <x v="0"/>
    <x v="0"/>
    <n v="0.2"/>
    <x v="0"/>
    <n v="0.19700000000000001"/>
    <n v="0.51"/>
    <x v="1"/>
    <x v="2"/>
    <x v="20"/>
    <x v="84"/>
    <n v="210"/>
  </r>
  <r>
    <n v="147"/>
    <d v="2011-01-07T00:00:00"/>
    <n v="1"/>
    <n v="9"/>
    <b v="0"/>
    <n v="5"/>
    <x v="1"/>
    <x v="6"/>
    <x v="0"/>
    <x v="0"/>
    <n v="0.2"/>
    <x v="0"/>
    <n v="0.18179999999999999"/>
    <n v="0.47"/>
    <x v="1"/>
    <x v="4"/>
    <x v="14"/>
    <x v="85"/>
    <n v="134"/>
  </r>
  <r>
    <n v="148"/>
    <d v="2011-01-07T00:00:00"/>
    <n v="1"/>
    <n v="10"/>
    <b v="0"/>
    <n v="5"/>
    <x v="1"/>
    <x v="6"/>
    <x v="0"/>
    <x v="0"/>
    <n v="0.22"/>
    <x v="0"/>
    <n v="0.19700000000000001"/>
    <n v="0.37"/>
    <x v="1"/>
    <x v="9"/>
    <x v="19"/>
    <x v="12"/>
    <n v="63"/>
  </r>
  <r>
    <n v="149"/>
    <d v="2011-01-07T00:00:00"/>
    <n v="1"/>
    <n v="11"/>
    <b v="0"/>
    <n v="5"/>
    <x v="1"/>
    <x v="6"/>
    <x v="1"/>
    <x v="1"/>
    <n v="0.2"/>
    <x v="0"/>
    <n v="0.19700000000000001"/>
    <n v="0.4"/>
    <x v="1"/>
    <x v="6"/>
    <x v="21"/>
    <x v="41"/>
    <n v="67"/>
  </r>
  <r>
    <n v="150"/>
    <d v="2011-01-07T00:00:00"/>
    <n v="1"/>
    <n v="12"/>
    <b v="0"/>
    <n v="5"/>
    <x v="1"/>
    <x v="6"/>
    <x v="1"/>
    <x v="1"/>
    <n v="0.2"/>
    <x v="0"/>
    <n v="0.19700000000000001"/>
    <n v="0.37"/>
    <x v="1"/>
    <x v="2"/>
    <x v="14"/>
    <x v="54"/>
    <n v="59"/>
  </r>
  <r>
    <n v="151"/>
    <d v="2011-01-07T00:00:00"/>
    <n v="1"/>
    <n v="13"/>
    <b v="0"/>
    <n v="5"/>
    <x v="1"/>
    <x v="6"/>
    <x v="1"/>
    <x v="1"/>
    <n v="0.2"/>
    <x v="0"/>
    <n v="0.18179999999999999"/>
    <n v="0.37"/>
    <x v="1"/>
    <x v="3"/>
    <x v="14"/>
    <x v="27"/>
    <n v="73"/>
  </r>
  <r>
    <n v="152"/>
    <d v="2011-01-07T00:00:00"/>
    <n v="1"/>
    <n v="14"/>
    <b v="0"/>
    <n v="5"/>
    <x v="1"/>
    <x v="6"/>
    <x v="1"/>
    <x v="1"/>
    <n v="0.2"/>
    <x v="0"/>
    <n v="0.19700000000000001"/>
    <n v="0.4"/>
    <x v="1"/>
    <x v="2"/>
    <x v="18"/>
    <x v="30"/>
    <n v="50"/>
  </r>
  <r>
    <n v="153"/>
    <d v="2011-01-07T00:00:00"/>
    <n v="1"/>
    <n v="15"/>
    <b v="0"/>
    <n v="5"/>
    <x v="1"/>
    <x v="6"/>
    <x v="1"/>
    <x v="1"/>
    <n v="0.2"/>
    <x v="0"/>
    <n v="0.21210000000000001"/>
    <n v="0.37"/>
    <x v="1"/>
    <x v="8"/>
    <x v="14"/>
    <x v="36"/>
    <n v="72"/>
  </r>
  <r>
    <n v="154"/>
    <d v="2011-01-07T00:00:00"/>
    <n v="1"/>
    <n v="16"/>
    <b v="0"/>
    <n v="5"/>
    <x v="1"/>
    <x v="6"/>
    <x v="1"/>
    <x v="1"/>
    <n v="0.2"/>
    <x v="0"/>
    <n v="0.21210000000000001"/>
    <n v="0.37"/>
    <x v="1"/>
    <x v="8"/>
    <x v="2"/>
    <x v="70"/>
    <n v="87"/>
  </r>
  <r>
    <n v="155"/>
    <d v="2011-01-07T00:00:00"/>
    <n v="1"/>
    <n v="17"/>
    <b v="0"/>
    <n v="5"/>
    <x v="1"/>
    <x v="6"/>
    <x v="1"/>
    <x v="1"/>
    <n v="0.2"/>
    <x v="0"/>
    <n v="0.2576"/>
    <n v="0.37"/>
    <x v="1"/>
    <x v="0"/>
    <x v="14"/>
    <x v="86"/>
    <n v="187"/>
  </r>
  <r>
    <n v="156"/>
    <d v="2011-01-07T00:00:00"/>
    <n v="1"/>
    <n v="18"/>
    <b v="0"/>
    <n v="5"/>
    <x v="1"/>
    <x v="6"/>
    <x v="0"/>
    <x v="0"/>
    <n v="0.2"/>
    <x v="0"/>
    <n v="0.2273"/>
    <n v="0.4"/>
    <x v="1"/>
    <x v="1"/>
    <x v="18"/>
    <x v="75"/>
    <n v="123"/>
  </r>
  <r>
    <n v="157"/>
    <d v="2011-01-07T00:00:00"/>
    <n v="1"/>
    <n v="19"/>
    <b v="0"/>
    <n v="5"/>
    <x v="1"/>
    <x v="6"/>
    <x v="0"/>
    <x v="0"/>
    <n v="0.16"/>
    <x v="0"/>
    <n v="0.19700000000000001"/>
    <n v="0.55000000000000004"/>
    <x v="1"/>
    <x v="1"/>
    <x v="0"/>
    <x v="50"/>
    <n v="95"/>
  </r>
  <r>
    <n v="158"/>
    <d v="2011-01-07T00:00:00"/>
    <n v="1"/>
    <n v="20"/>
    <b v="0"/>
    <n v="5"/>
    <x v="1"/>
    <x v="6"/>
    <x v="0"/>
    <x v="0"/>
    <n v="0.18"/>
    <x v="0"/>
    <n v="0.21210000000000001"/>
    <n v="0.47"/>
    <x v="1"/>
    <x v="14"/>
    <x v="5"/>
    <x v="54"/>
    <n v="51"/>
  </r>
  <r>
    <n v="159"/>
    <d v="2011-01-07T00:00:00"/>
    <n v="1"/>
    <n v="21"/>
    <b v="0"/>
    <n v="5"/>
    <x v="1"/>
    <x v="6"/>
    <x v="0"/>
    <x v="0"/>
    <n v="0.18"/>
    <x v="0"/>
    <n v="0.19700000000000001"/>
    <n v="0.47"/>
    <x v="1"/>
    <x v="7"/>
    <x v="3"/>
    <x v="87"/>
    <n v="39"/>
  </r>
  <r>
    <n v="160"/>
    <d v="2011-01-07T00:00:00"/>
    <n v="1"/>
    <n v="22"/>
    <b v="0"/>
    <n v="5"/>
    <x v="1"/>
    <x v="6"/>
    <x v="1"/>
    <x v="1"/>
    <n v="0.18"/>
    <x v="0"/>
    <n v="0.19700000000000001"/>
    <n v="0.43"/>
    <x v="1"/>
    <x v="8"/>
    <x v="4"/>
    <x v="60"/>
    <n v="36"/>
  </r>
  <r>
    <n v="161"/>
    <d v="2011-01-07T00:00:00"/>
    <n v="1"/>
    <n v="23"/>
    <b v="0"/>
    <n v="5"/>
    <x v="1"/>
    <x v="6"/>
    <x v="1"/>
    <x v="1"/>
    <n v="0.18"/>
    <x v="0"/>
    <n v="0.19700000000000001"/>
    <n v="0.51"/>
    <x v="1"/>
    <x v="8"/>
    <x v="5"/>
    <x v="88"/>
    <n v="15"/>
  </r>
  <r>
    <n v="162"/>
    <d v="2011-01-08T00:00:00"/>
    <n v="1"/>
    <n v="0"/>
    <b v="0"/>
    <n v="6"/>
    <x v="0"/>
    <x v="0"/>
    <x v="1"/>
    <x v="1"/>
    <n v="0.18"/>
    <x v="0"/>
    <n v="0.19700000000000001"/>
    <n v="0.51"/>
    <x v="1"/>
    <x v="8"/>
    <x v="5"/>
    <x v="9"/>
    <n v="25"/>
  </r>
  <r>
    <n v="163"/>
    <d v="2011-01-08T00:00:00"/>
    <n v="1"/>
    <n v="1"/>
    <b v="0"/>
    <n v="6"/>
    <x v="0"/>
    <x v="0"/>
    <x v="1"/>
    <x v="1"/>
    <n v="0.18"/>
    <x v="0"/>
    <n v="0.21210000000000001"/>
    <n v="0.55000000000000004"/>
    <x v="1"/>
    <x v="1"/>
    <x v="5"/>
    <x v="89"/>
    <n v="16"/>
  </r>
  <r>
    <n v="164"/>
    <d v="2011-01-08T00:00:00"/>
    <n v="1"/>
    <n v="2"/>
    <b v="0"/>
    <n v="6"/>
    <x v="0"/>
    <x v="0"/>
    <x v="1"/>
    <x v="1"/>
    <n v="0.18"/>
    <x v="0"/>
    <n v="0.2424"/>
    <n v="0.55000000000000004"/>
    <x v="1"/>
    <x v="0"/>
    <x v="0"/>
    <x v="0"/>
    <n v="16"/>
  </r>
  <r>
    <n v="165"/>
    <d v="2011-01-08T00:00:00"/>
    <n v="1"/>
    <n v="3"/>
    <b v="0"/>
    <n v="6"/>
    <x v="0"/>
    <x v="0"/>
    <x v="2"/>
    <x v="2"/>
    <n v="0.18"/>
    <x v="0"/>
    <n v="0.19700000000000001"/>
    <n v="0.55000000000000004"/>
    <x v="1"/>
    <x v="8"/>
    <x v="3"/>
    <x v="7"/>
    <n v="7"/>
  </r>
  <r>
    <n v="166"/>
    <d v="2011-01-08T00:00:00"/>
    <n v="1"/>
    <n v="4"/>
    <b v="0"/>
    <n v="6"/>
    <x v="0"/>
    <x v="0"/>
    <x v="2"/>
    <x v="2"/>
    <n v="0.18"/>
    <x v="0"/>
    <n v="0.19700000000000001"/>
    <n v="0.55000000000000004"/>
    <x v="1"/>
    <x v="8"/>
    <x v="3"/>
    <x v="4"/>
    <n v="1"/>
  </r>
  <r>
    <n v="167"/>
    <d v="2011-01-08T00:00:00"/>
    <n v="1"/>
    <n v="5"/>
    <b v="0"/>
    <n v="6"/>
    <x v="0"/>
    <x v="0"/>
    <x v="1"/>
    <x v="1"/>
    <n v="0.16"/>
    <x v="0"/>
    <n v="0.16669999999999999"/>
    <n v="0.74"/>
    <x v="0"/>
    <x v="8"/>
    <x v="3"/>
    <x v="34"/>
    <n v="5"/>
  </r>
  <r>
    <n v="168"/>
    <d v="2011-01-08T00:00:00"/>
    <n v="1"/>
    <n v="6"/>
    <b v="0"/>
    <n v="6"/>
    <x v="0"/>
    <x v="0"/>
    <x v="1"/>
    <x v="1"/>
    <n v="0.16"/>
    <x v="0"/>
    <n v="0.16669999999999999"/>
    <n v="0.74"/>
    <x v="0"/>
    <x v="8"/>
    <x v="3"/>
    <x v="6"/>
    <n v="2"/>
  </r>
  <r>
    <n v="169"/>
    <d v="2011-01-08T00:00:00"/>
    <n v="1"/>
    <n v="7"/>
    <b v="0"/>
    <n v="6"/>
    <x v="0"/>
    <x v="0"/>
    <x v="1"/>
    <x v="1"/>
    <n v="0.16"/>
    <x v="0"/>
    <n v="0.18179999999999999"/>
    <n v="0.74"/>
    <x v="0"/>
    <x v="14"/>
    <x v="5"/>
    <x v="21"/>
    <n v="9"/>
  </r>
  <r>
    <n v="170"/>
    <d v="2011-01-08T00:00:00"/>
    <n v="1"/>
    <n v="8"/>
    <b v="0"/>
    <n v="6"/>
    <x v="0"/>
    <x v="0"/>
    <x v="2"/>
    <x v="2"/>
    <n v="0.16"/>
    <x v="0"/>
    <n v="0.18179999999999999"/>
    <n v="0.93"/>
    <x v="0"/>
    <x v="14"/>
    <x v="3"/>
    <x v="89"/>
    <n v="15"/>
  </r>
  <r>
    <n v="171"/>
    <d v="2011-01-08T00:00:00"/>
    <n v="1"/>
    <n v="9"/>
    <b v="0"/>
    <n v="6"/>
    <x v="0"/>
    <x v="0"/>
    <x v="2"/>
    <x v="2"/>
    <n v="0.16"/>
    <x v="0"/>
    <n v="0.18179999999999999"/>
    <n v="0.93"/>
    <x v="0"/>
    <x v="14"/>
    <x v="3"/>
    <x v="32"/>
    <n v="20"/>
  </r>
  <r>
    <n v="172"/>
    <d v="2011-01-08T00:00:00"/>
    <n v="1"/>
    <n v="10"/>
    <b v="0"/>
    <n v="6"/>
    <x v="0"/>
    <x v="0"/>
    <x v="1"/>
    <x v="1"/>
    <n v="0.18"/>
    <x v="0"/>
    <n v="0.19700000000000001"/>
    <n v="0.8"/>
    <x v="0"/>
    <x v="8"/>
    <x v="2"/>
    <x v="90"/>
    <n v="61"/>
  </r>
  <r>
    <n v="173"/>
    <d v="2011-01-08T00:00:00"/>
    <n v="1"/>
    <n v="11"/>
    <b v="0"/>
    <n v="6"/>
    <x v="0"/>
    <x v="0"/>
    <x v="1"/>
    <x v="1"/>
    <n v="0.2"/>
    <x v="0"/>
    <n v="0.18179999999999999"/>
    <n v="0.69"/>
    <x v="1"/>
    <x v="13"/>
    <x v="4"/>
    <x v="91"/>
    <n v="62"/>
  </r>
  <r>
    <n v="174"/>
    <d v="2011-01-08T00:00:00"/>
    <n v="1"/>
    <n v="12"/>
    <b v="0"/>
    <n v="6"/>
    <x v="0"/>
    <x v="0"/>
    <x v="1"/>
    <x v="1"/>
    <n v="0.2"/>
    <x v="0"/>
    <n v="0.18179999999999999"/>
    <n v="0.59"/>
    <x v="1"/>
    <x v="11"/>
    <x v="1"/>
    <x v="92"/>
    <n v="98"/>
  </r>
  <r>
    <n v="175"/>
    <d v="2011-01-08T00:00:00"/>
    <n v="1"/>
    <n v="13"/>
    <b v="0"/>
    <n v="6"/>
    <x v="0"/>
    <x v="0"/>
    <x v="0"/>
    <x v="0"/>
    <n v="0.2"/>
    <x v="0"/>
    <n v="0.18179999999999999"/>
    <n v="0.44"/>
    <x v="1"/>
    <x v="9"/>
    <x v="18"/>
    <x v="73"/>
    <n v="102"/>
  </r>
  <r>
    <n v="176"/>
    <d v="2011-01-08T00:00:00"/>
    <n v="1"/>
    <n v="14"/>
    <b v="0"/>
    <n v="6"/>
    <x v="0"/>
    <x v="0"/>
    <x v="0"/>
    <x v="0"/>
    <n v="0.2"/>
    <x v="0"/>
    <n v="0.16669999999999999"/>
    <n v="0.32"/>
    <x v="1"/>
    <x v="15"/>
    <x v="6"/>
    <x v="93"/>
    <n v="95"/>
  </r>
  <r>
    <n v="177"/>
    <d v="2011-01-08T00:00:00"/>
    <n v="1"/>
    <n v="15"/>
    <b v="0"/>
    <n v="6"/>
    <x v="0"/>
    <x v="0"/>
    <x v="0"/>
    <x v="0"/>
    <n v="0.2"/>
    <x v="0"/>
    <n v="0.16669999999999999"/>
    <n v="0.32"/>
    <x v="1"/>
    <x v="10"/>
    <x v="2"/>
    <x v="94"/>
    <n v="74"/>
  </r>
  <r>
    <n v="178"/>
    <d v="2011-01-08T00:00:00"/>
    <n v="1"/>
    <n v="16"/>
    <b v="0"/>
    <n v="6"/>
    <x v="0"/>
    <x v="0"/>
    <x v="0"/>
    <x v="0"/>
    <n v="0.18"/>
    <x v="0"/>
    <n v="0.13639999999999999"/>
    <n v="0.28999999999999998"/>
    <x v="1"/>
    <x v="10"/>
    <x v="1"/>
    <x v="56"/>
    <n v="76"/>
  </r>
  <r>
    <n v="179"/>
    <d v="2011-01-08T00:00:00"/>
    <n v="1"/>
    <n v="17"/>
    <b v="0"/>
    <n v="6"/>
    <x v="0"/>
    <x v="0"/>
    <x v="0"/>
    <x v="0"/>
    <n v="0.16"/>
    <x v="0"/>
    <n v="0.1212"/>
    <n v="0.37"/>
    <x v="1"/>
    <x v="16"/>
    <x v="2"/>
    <x v="27"/>
    <n v="69"/>
  </r>
  <r>
    <n v="180"/>
    <d v="2011-01-08T00:00:00"/>
    <n v="1"/>
    <n v="18"/>
    <b v="0"/>
    <n v="6"/>
    <x v="0"/>
    <x v="0"/>
    <x v="0"/>
    <x v="0"/>
    <n v="0.14000000000000001"/>
    <x v="0"/>
    <n v="0.1212"/>
    <n v="0.39"/>
    <x v="1"/>
    <x v="4"/>
    <x v="0"/>
    <x v="15"/>
    <n v="55"/>
  </r>
  <r>
    <n v="181"/>
    <d v="2011-01-08T00:00:00"/>
    <n v="1"/>
    <n v="19"/>
    <b v="0"/>
    <n v="6"/>
    <x v="0"/>
    <x v="0"/>
    <x v="0"/>
    <x v="0"/>
    <n v="0.14000000000000001"/>
    <x v="0"/>
    <n v="0.1212"/>
    <n v="0.36"/>
    <x v="1"/>
    <x v="2"/>
    <x v="17"/>
    <x v="16"/>
    <n v="30"/>
  </r>
  <r>
    <n v="182"/>
    <d v="2011-01-08T00:00:00"/>
    <n v="1"/>
    <n v="20"/>
    <b v="0"/>
    <n v="6"/>
    <x v="0"/>
    <x v="0"/>
    <x v="0"/>
    <x v="0"/>
    <n v="0.12"/>
    <x v="0"/>
    <n v="0.1212"/>
    <n v="0.36"/>
    <x v="1"/>
    <x v="2"/>
    <x v="3"/>
    <x v="95"/>
    <n v="28"/>
  </r>
  <r>
    <n v="183"/>
    <d v="2011-01-08T00:00:00"/>
    <n v="1"/>
    <n v="21"/>
    <b v="0"/>
    <n v="6"/>
    <x v="0"/>
    <x v="0"/>
    <x v="0"/>
    <x v="0"/>
    <n v="0.12"/>
    <x v="0"/>
    <n v="0.1061"/>
    <n v="0.39"/>
    <x v="1"/>
    <x v="11"/>
    <x v="4"/>
    <x v="96"/>
    <n v="37"/>
  </r>
  <r>
    <n v="184"/>
    <d v="2011-01-08T00:00:00"/>
    <n v="1"/>
    <n v="22"/>
    <b v="0"/>
    <n v="6"/>
    <x v="0"/>
    <x v="0"/>
    <x v="0"/>
    <x v="0"/>
    <n v="0.12"/>
    <x v="0"/>
    <n v="0.1061"/>
    <n v="0.36"/>
    <x v="1"/>
    <x v="13"/>
    <x v="5"/>
    <x v="39"/>
    <n v="34"/>
  </r>
  <r>
    <n v="185"/>
    <d v="2011-01-08T00:00:00"/>
    <n v="1"/>
    <n v="23"/>
    <b v="0"/>
    <n v="6"/>
    <x v="0"/>
    <x v="0"/>
    <x v="0"/>
    <x v="0"/>
    <n v="0.1"/>
    <x v="0"/>
    <n v="6.0600000000000001E-2"/>
    <n v="0.39"/>
    <x v="1"/>
    <x v="10"/>
    <x v="3"/>
    <x v="97"/>
    <n v="22"/>
  </r>
  <r>
    <n v="186"/>
    <d v="2011-01-09T00:00:00"/>
    <n v="1"/>
    <n v="0"/>
    <b v="0"/>
    <n v="0"/>
    <x v="0"/>
    <x v="1"/>
    <x v="0"/>
    <x v="0"/>
    <n v="0.1"/>
    <x v="0"/>
    <n v="7.5800000000000006E-2"/>
    <n v="0.42"/>
    <x v="1"/>
    <x v="13"/>
    <x v="5"/>
    <x v="9"/>
    <n v="25"/>
  </r>
  <r>
    <n v="187"/>
    <d v="2011-01-09T00:00:00"/>
    <n v="1"/>
    <n v="1"/>
    <b v="0"/>
    <n v="0"/>
    <x v="0"/>
    <x v="1"/>
    <x v="0"/>
    <x v="0"/>
    <n v="0.1"/>
    <x v="0"/>
    <n v="6.0600000000000001E-2"/>
    <n v="0.42"/>
    <x v="1"/>
    <x v="17"/>
    <x v="3"/>
    <x v="98"/>
    <n v="12"/>
  </r>
  <r>
    <n v="188"/>
    <d v="2011-01-09T00:00:00"/>
    <n v="1"/>
    <n v="2"/>
    <b v="0"/>
    <n v="0"/>
    <x v="0"/>
    <x v="1"/>
    <x v="0"/>
    <x v="0"/>
    <n v="0.1"/>
    <x v="0"/>
    <n v="6.0600000000000001E-2"/>
    <n v="0.46"/>
    <x v="1"/>
    <x v="17"/>
    <x v="3"/>
    <x v="48"/>
    <n v="11"/>
  </r>
  <r>
    <n v="189"/>
    <d v="2011-01-09T00:00:00"/>
    <n v="1"/>
    <n v="3"/>
    <b v="0"/>
    <n v="0"/>
    <x v="0"/>
    <x v="1"/>
    <x v="0"/>
    <x v="0"/>
    <n v="0.1"/>
    <x v="0"/>
    <n v="7.5800000000000006E-2"/>
    <n v="0.46"/>
    <x v="1"/>
    <x v="12"/>
    <x v="3"/>
    <x v="22"/>
    <n v="4"/>
  </r>
  <r>
    <n v="190"/>
    <d v="2011-01-09T00:00:00"/>
    <n v="1"/>
    <n v="4"/>
    <b v="0"/>
    <n v="0"/>
    <x v="0"/>
    <x v="1"/>
    <x v="0"/>
    <x v="0"/>
    <n v="0.08"/>
    <x v="1"/>
    <n v="9.0899999999999995E-2"/>
    <n v="0.53"/>
    <x v="1"/>
    <x v="5"/>
    <x v="3"/>
    <x v="4"/>
    <n v="1"/>
  </r>
  <r>
    <n v="191"/>
    <d v="2011-01-09T00:00:00"/>
    <n v="1"/>
    <n v="5"/>
    <b v="0"/>
    <n v="0"/>
    <x v="0"/>
    <x v="1"/>
    <x v="0"/>
    <x v="0"/>
    <n v="0.08"/>
    <x v="1"/>
    <n v="9.0899999999999995E-2"/>
    <n v="0.53"/>
    <x v="1"/>
    <x v="5"/>
    <x v="3"/>
    <x v="4"/>
    <n v="1"/>
  </r>
  <r>
    <n v="192"/>
    <d v="2011-01-09T00:00:00"/>
    <n v="1"/>
    <n v="6"/>
    <b v="0"/>
    <n v="0"/>
    <x v="0"/>
    <x v="1"/>
    <x v="0"/>
    <x v="0"/>
    <n v="0.1"/>
    <x v="0"/>
    <n v="9.0899999999999995E-2"/>
    <n v="0.49"/>
    <x v="1"/>
    <x v="3"/>
    <x v="3"/>
    <x v="4"/>
    <n v="1"/>
  </r>
  <r>
    <n v="193"/>
    <d v="2011-01-09T00:00:00"/>
    <n v="1"/>
    <n v="7"/>
    <b v="0"/>
    <n v="0"/>
    <x v="0"/>
    <x v="1"/>
    <x v="0"/>
    <x v="0"/>
    <n v="0.08"/>
    <x v="1"/>
    <n v="9.0899999999999995E-2"/>
    <n v="0.53"/>
    <x v="1"/>
    <x v="5"/>
    <x v="5"/>
    <x v="34"/>
    <n v="6"/>
  </r>
  <r>
    <n v="194"/>
    <d v="2011-01-09T00:00:00"/>
    <n v="1"/>
    <n v="8"/>
    <b v="0"/>
    <n v="0"/>
    <x v="0"/>
    <x v="1"/>
    <x v="0"/>
    <x v="0"/>
    <n v="0.1"/>
    <x v="0"/>
    <n v="9.0899999999999995E-2"/>
    <n v="0.49"/>
    <x v="1"/>
    <x v="3"/>
    <x v="3"/>
    <x v="3"/>
    <n v="10"/>
  </r>
  <r>
    <n v="195"/>
    <d v="2011-01-09T00:00:00"/>
    <n v="1"/>
    <n v="9"/>
    <b v="0"/>
    <n v="0"/>
    <x v="0"/>
    <x v="1"/>
    <x v="0"/>
    <x v="0"/>
    <n v="0.12"/>
    <x v="0"/>
    <n v="7.5800000000000006E-2"/>
    <n v="0.46"/>
    <x v="1"/>
    <x v="18"/>
    <x v="3"/>
    <x v="23"/>
    <n v="19"/>
  </r>
  <r>
    <n v="196"/>
    <d v="2011-01-09T00:00:00"/>
    <n v="1"/>
    <n v="10"/>
    <b v="0"/>
    <n v="0"/>
    <x v="0"/>
    <x v="1"/>
    <x v="0"/>
    <x v="0"/>
    <n v="0.14000000000000001"/>
    <x v="0"/>
    <n v="0.1061"/>
    <n v="0.43"/>
    <x v="1"/>
    <x v="13"/>
    <x v="3"/>
    <x v="47"/>
    <n v="49"/>
  </r>
  <r>
    <n v="197"/>
    <d v="2011-01-09T00:00:00"/>
    <n v="1"/>
    <n v="11"/>
    <b v="0"/>
    <n v="0"/>
    <x v="0"/>
    <x v="1"/>
    <x v="0"/>
    <x v="0"/>
    <n v="0.16"/>
    <x v="0"/>
    <n v="0.1212"/>
    <n v="0.4"/>
    <x v="1"/>
    <x v="18"/>
    <x v="4"/>
    <x v="12"/>
    <n v="49"/>
  </r>
  <r>
    <n v="198"/>
    <d v="2011-01-09T00:00:00"/>
    <n v="1"/>
    <n v="12"/>
    <b v="0"/>
    <n v="0"/>
    <x v="0"/>
    <x v="1"/>
    <x v="0"/>
    <x v="0"/>
    <n v="0.18"/>
    <x v="0"/>
    <n v="0.13639999999999999"/>
    <n v="0.37"/>
    <x v="1"/>
    <x v="10"/>
    <x v="17"/>
    <x v="55"/>
    <n v="83"/>
  </r>
  <r>
    <n v="199"/>
    <d v="2011-01-09T00:00:00"/>
    <n v="1"/>
    <n v="13"/>
    <b v="0"/>
    <n v="0"/>
    <x v="0"/>
    <x v="1"/>
    <x v="0"/>
    <x v="0"/>
    <n v="0.2"/>
    <x v="0"/>
    <n v="0.16669999999999999"/>
    <n v="0.34"/>
    <x v="1"/>
    <x v="10"/>
    <x v="15"/>
    <x v="94"/>
    <n v="75"/>
  </r>
  <r>
    <n v="200"/>
    <d v="2011-01-09T00:00:00"/>
    <n v="1"/>
    <n v="14"/>
    <b v="0"/>
    <n v="0"/>
    <x v="0"/>
    <x v="1"/>
    <x v="0"/>
    <x v="0"/>
    <n v="0.22"/>
    <x v="0"/>
    <n v="0.18179999999999999"/>
    <n v="0.32"/>
    <x v="1"/>
    <x v="17"/>
    <x v="1"/>
    <x v="27"/>
    <n v="72"/>
  </r>
  <r>
    <n v="201"/>
    <d v="2011-01-09T00:00:00"/>
    <n v="1"/>
    <n v="15"/>
    <b v="0"/>
    <n v="0"/>
    <x v="0"/>
    <x v="1"/>
    <x v="0"/>
    <x v="0"/>
    <n v="0.22"/>
    <x v="0"/>
    <n v="0.19700000000000001"/>
    <n v="0.35"/>
    <x v="1"/>
    <x v="11"/>
    <x v="2"/>
    <x v="99"/>
    <n v="82"/>
  </r>
  <r>
    <n v="202"/>
    <d v="2011-01-09T00:00:00"/>
    <n v="1"/>
    <n v="16"/>
    <b v="0"/>
    <n v="0"/>
    <x v="0"/>
    <x v="1"/>
    <x v="0"/>
    <x v="0"/>
    <n v="0.2"/>
    <x v="0"/>
    <n v="0.16669999999999999"/>
    <n v="0.34"/>
    <x v="1"/>
    <x v="10"/>
    <x v="23"/>
    <x v="55"/>
    <n v="92"/>
  </r>
  <r>
    <n v="203"/>
    <d v="2011-01-09T00:00:00"/>
    <n v="1"/>
    <n v="17"/>
    <b v="0"/>
    <n v="0"/>
    <x v="0"/>
    <x v="1"/>
    <x v="0"/>
    <x v="0"/>
    <n v="0.18"/>
    <x v="0"/>
    <n v="0.1515"/>
    <n v="0.37"/>
    <x v="1"/>
    <x v="13"/>
    <x v="0"/>
    <x v="79"/>
    <n v="62"/>
  </r>
  <r>
    <n v="204"/>
    <d v="2011-01-09T00:00:00"/>
    <n v="1"/>
    <n v="18"/>
    <b v="0"/>
    <n v="0"/>
    <x v="0"/>
    <x v="1"/>
    <x v="0"/>
    <x v="0"/>
    <n v="0.16"/>
    <x v="0"/>
    <n v="0.13639999999999999"/>
    <n v="0.4"/>
    <x v="1"/>
    <x v="9"/>
    <x v="17"/>
    <x v="100"/>
    <n v="48"/>
  </r>
  <r>
    <n v="205"/>
    <d v="2011-01-09T00:00:00"/>
    <n v="1"/>
    <n v="19"/>
    <b v="0"/>
    <n v="0"/>
    <x v="0"/>
    <x v="1"/>
    <x v="0"/>
    <x v="0"/>
    <n v="0.16"/>
    <x v="0"/>
    <n v="0.13639999999999999"/>
    <n v="0.43"/>
    <x v="1"/>
    <x v="9"/>
    <x v="5"/>
    <x v="71"/>
    <n v="41"/>
  </r>
  <r>
    <n v="206"/>
    <d v="2011-01-09T00:00:00"/>
    <n v="1"/>
    <n v="20"/>
    <b v="0"/>
    <n v="0"/>
    <x v="0"/>
    <x v="1"/>
    <x v="0"/>
    <x v="0"/>
    <n v="0.14000000000000001"/>
    <x v="0"/>
    <n v="0.1212"/>
    <n v="0.46"/>
    <x v="1"/>
    <x v="2"/>
    <x v="3"/>
    <x v="101"/>
    <n v="38"/>
  </r>
  <r>
    <n v="207"/>
    <d v="2011-01-09T00:00:00"/>
    <n v="1"/>
    <n v="21"/>
    <b v="0"/>
    <n v="0"/>
    <x v="0"/>
    <x v="1"/>
    <x v="0"/>
    <x v="0"/>
    <n v="0.14000000000000001"/>
    <x v="0"/>
    <n v="0.1061"/>
    <n v="0.46"/>
    <x v="1"/>
    <x v="12"/>
    <x v="5"/>
    <x v="23"/>
    <n v="20"/>
  </r>
  <r>
    <n v="208"/>
    <d v="2011-01-09T00:00:00"/>
    <n v="1"/>
    <n v="22"/>
    <b v="0"/>
    <n v="0"/>
    <x v="0"/>
    <x v="1"/>
    <x v="0"/>
    <x v="0"/>
    <n v="0.14000000000000001"/>
    <x v="0"/>
    <n v="0.1212"/>
    <n v="0.46"/>
    <x v="1"/>
    <x v="4"/>
    <x v="2"/>
    <x v="3"/>
    <n v="15"/>
  </r>
  <r>
    <n v="209"/>
    <d v="2011-01-09T00:00:00"/>
    <n v="1"/>
    <n v="23"/>
    <b v="0"/>
    <n v="0"/>
    <x v="0"/>
    <x v="1"/>
    <x v="0"/>
    <x v="0"/>
    <n v="0.12"/>
    <x v="0"/>
    <n v="0.13639999999999999"/>
    <n v="0.5"/>
    <x v="1"/>
    <x v="5"/>
    <x v="3"/>
    <x v="8"/>
    <n v="6"/>
  </r>
  <r>
    <n v="210"/>
    <d v="2011-01-10T00:00:00"/>
    <n v="1"/>
    <n v="0"/>
    <b v="0"/>
    <n v="1"/>
    <x v="1"/>
    <x v="2"/>
    <x v="0"/>
    <x v="0"/>
    <n v="0.12"/>
    <x v="0"/>
    <n v="0.1212"/>
    <n v="0.5"/>
    <x v="1"/>
    <x v="3"/>
    <x v="4"/>
    <x v="35"/>
    <n v="5"/>
  </r>
  <r>
    <n v="211"/>
    <d v="2011-01-10T00:00:00"/>
    <n v="1"/>
    <n v="1"/>
    <b v="0"/>
    <n v="1"/>
    <x v="1"/>
    <x v="2"/>
    <x v="0"/>
    <x v="0"/>
    <n v="0.12"/>
    <x v="0"/>
    <n v="0.1212"/>
    <n v="0.5"/>
    <x v="1"/>
    <x v="3"/>
    <x v="5"/>
    <x v="5"/>
    <n v="1"/>
  </r>
  <r>
    <n v="212"/>
    <d v="2011-01-10T00:00:00"/>
    <n v="1"/>
    <n v="2"/>
    <b v="0"/>
    <n v="1"/>
    <x v="1"/>
    <x v="2"/>
    <x v="0"/>
    <x v="0"/>
    <n v="0.12"/>
    <x v="0"/>
    <n v="0.1212"/>
    <n v="0.5"/>
    <x v="1"/>
    <x v="6"/>
    <x v="3"/>
    <x v="35"/>
    <n v="3"/>
  </r>
  <r>
    <n v="213"/>
    <d v="2011-01-10T00:00:00"/>
    <n v="1"/>
    <n v="3"/>
    <b v="0"/>
    <n v="1"/>
    <x v="1"/>
    <x v="2"/>
    <x v="0"/>
    <x v="0"/>
    <n v="0.12"/>
    <x v="0"/>
    <n v="0.1212"/>
    <n v="0.5"/>
    <x v="1"/>
    <x v="6"/>
    <x v="3"/>
    <x v="4"/>
    <n v="1"/>
  </r>
  <r>
    <n v="214"/>
    <d v="2011-01-10T00:00:00"/>
    <n v="1"/>
    <n v="4"/>
    <b v="0"/>
    <n v="1"/>
    <x v="1"/>
    <x v="2"/>
    <x v="0"/>
    <x v="0"/>
    <n v="0.1"/>
    <x v="0"/>
    <n v="0.1212"/>
    <n v="0.54"/>
    <x v="1"/>
    <x v="7"/>
    <x v="5"/>
    <x v="6"/>
    <n v="3"/>
  </r>
  <r>
    <n v="215"/>
    <d v="2011-01-10T00:00:00"/>
    <n v="1"/>
    <n v="5"/>
    <b v="0"/>
    <n v="1"/>
    <x v="1"/>
    <x v="2"/>
    <x v="0"/>
    <x v="0"/>
    <n v="0.1"/>
    <x v="0"/>
    <n v="0.1061"/>
    <n v="0.54"/>
    <x v="1"/>
    <x v="2"/>
    <x v="3"/>
    <x v="35"/>
    <n v="3"/>
  </r>
  <r>
    <n v="216"/>
    <d v="2011-01-10T00:00:00"/>
    <n v="1"/>
    <n v="6"/>
    <b v="0"/>
    <n v="1"/>
    <x v="1"/>
    <x v="2"/>
    <x v="0"/>
    <x v="0"/>
    <n v="0.12"/>
    <x v="0"/>
    <n v="0.1212"/>
    <n v="0.5"/>
    <x v="1"/>
    <x v="3"/>
    <x v="3"/>
    <x v="17"/>
    <n v="31"/>
  </r>
  <r>
    <n v="217"/>
    <d v="2011-01-10T00:00:00"/>
    <n v="1"/>
    <n v="7"/>
    <b v="0"/>
    <n v="1"/>
    <x v="1"/>
    <x v="2"/>
    <x v="0"/>
    <x v="0"/>
    <n v="0.12"/>
    <x v="0"/>
    <n v="0.1212"/>
    <n v="0.5"/>
    <x v="1"/>
    <x v="6"/>
    <x v="4"/>
    <x v="102"/>
    <n v="77"/>
  </r>
  <r>
    <n v="218"/>
    <d v="2011-01-10T00:00:00"/>
    <n v="1"/>
    <n v="8"/>
    <b v="0"/>
    <n v="1"/>
    <x v="1"/>
    <x v="2"/>
    <x v="1"/>
    <x v="1"/>
    <n v="0.12"/>
    <x v="0"/>
    <n v="0.1212"/>
    <n v="0.5"/>
    <x v="1"/>
    <x v="3"/>
    <x v="17"/>
    <x v="103"/>
    <n v="188"/>
  </r>
  <r>
    <n v="219"/>
    <d v="2011-01-10T00:00:00"/>
    <n v="1"/>
    <n v="9"/>
    <b v="0"/>
    <n v="1"/>
    <x v="1"/>
    <x v="2"/>
    <x v="1"/>
    <x v="1"/>
    <n v="0.14000000000000001"/>
    <x v="0"/>
    <n v="0.1212"/>
    <n v="0.5"/>
    <x v="1"/>
    <x v="2"/>
    <x v="4"/>
    <x v="50"/>
    <n v="94"/>
  </r>
  <r>
    <n v="220"/>
    <d v="2011-01-10T00:00:00"/>
    <n v="1"/>
    <n v="10"/>
    <b v="0"/>
    <n v="1"/>
    <x v="1"/>
    <x v="2"/>
    <x v="1"/>
    <x v="1"/>
    <n v="0.14000000000000001"/>
    <x v="0"/>
    <n v="0.1212"/>
    <n v="0.5"/>
    <x v="1"/>
    <x v="4"/>
    <x v="3"/>
    <x v="17"/>
    <n v="31"/>
  </r>
  <r>
    <n v="221"/>
    <d v="2011-01-10T00:00:00"/>
    <n v="1"/>
    <n v="11"/>
    <b v="0"/>
    <n v="1"/>
    <x v="1"/>
    <x v="2"/>
    <x v="1"/>
    <x v="1"/>
    <n v="0.16"/>
    <x v="0"/>
    <n v="0.13639999999999999"/>
    <n v="0.47"/>
    <x v="1"/>
    <x v="3"/>
    <x v="4"/>
    <x v="95"/>
    <n v="30"/>
  </r>
  <r>
    <n v="222"/>
    <d v="2011-01-10T00:00:00"/>
    <n v="1"/>
    <n v="12"/>
    <b v="0"/>
    <n v="1"/>
    <x v="1"/>
    <x v="2"/>
    <x v="1"/>
    <x v="1"/>
    <n v="0.2"/>
    <x v="0"/>
    <n v="0.18179999999999999"/>
    <n v="0.4"/>
    <x v="1"/>
    <x v="3"/>
    <x v="2"/>
    <x v="12"/>
    <n v="52"/>
  </r>
  <r>
    <n v="223"/>
    <d v="2011-01-10T00:00:00"/>
    <n v="1"/>
    <n v="13"/>
    <b v="0"/>
    <n v="1"/>
    <x v="1"/>
    <x v="2"/>
    <x v="1"/>
    <x v="1"/>
    <n v="0.2"/>
    <x v="0"/>
    <n v="0.18179999999999999"/>
    <n v="0.4"/>
    <x v="1"/>
    <x v="3"/>
    <x v="17"/>
    <x v="54"/>
    <n v="54"/>
  </r>
  <r>
    <n v="224"/>
    <d v="2011-01-10T00:00:00"/>
    <n v="1"/>
    <n v="14"/>
    <b v="0"/>
    <n v="1"/>
    <x v="1"/>
    <x v="2"/>
    <x v="1"/>
    <x v="1"/>
    <n v="0.2"/>
    <x v="0"/>
    <n v="0.19700000000000001"/>
    <n v="0.4"/>
    <x v="1"/>
    <x v="6"/>
    <x v="3"/>
    <x v="12"/>
    <n v="47"/>
  </r>
  <r>
    <n v="225"/>
    <d v="2011-01-10T00:00:00"/>
    <n v="1"/>
    <n v="15"/>
    <b v="0"/>
    <n v="1"/>
    <x v="1"/>
    <x v="2"/>
    <x v="1"/>
    <x v="1"/>
    <n v="0.2"/>
    <x v="0"/>
    <n v="0.19700000000000001"/>
    <n v="0.4"/>
    <x v="1"/>
    <x v="6"/>
    <x v="4"/>
    <x v="30"/>
    <n v="45"/>
  </r>
  <r>
    <n v="226"/>
    <d v="2011-01-10T00:00:00"/>
    <n v="1"/>
    <n v="16"/>
    <b v="0"/>
    <n v="1"/>
    <x v="1"/>
    <x v="2"/>
    <x v="0"/>
    <x v="0"/>
    <n v="0.2"/>
    <x v="0"/>
    <n v="0.21210000000000001"/>
    <n v="0.4"/>
    <x v="1"/>
    <x v="7"/>
    <x v="17"/>
    <x v="14"/>
    <n v="74"/>
  </r>
  <r>
    <n v="227"/>
    <d v="2011-01-10T00:00:00"/>
    <n v="1"/>
    <n v="17"/>
    <b v="0"/>
    <n v="1"/>
    <x v="1"/>
    <x v="2"/>
    <x v="0"/>
    <x v="0"/>
    <n v="0.2"/>
    <x v="0"/>
    <n v="0.2273"/>
    <n v="0.4"/>
    <x v="1"/>
    <x v="14"/>
    <x v="17"/>
    <x v="104"/>
    <n v="178"/>
  </r>
  <r>
    <n v="228"/>
    <d v="2011-01-10T00:00:00"/>
    <n v="1"/>
    <n v="18"/>
    <b v="0"/>
    <n v="1"/>
    <x v="1"/>
    <x v="2"/>
    <x v="0"/>
    <x v="0"/>
    <n v="0.2"/>
    <x v="0"/>
    <n v="0.19700000000000001"/>
    <n v="0.4"/>
    <x v="1"/>
    <x v="6"/>
    <x v="5"/>
    <x v="105"/>
    <n v="155"/>
  </r>
  <r>
    <n v="229"/>
    <d v="2011-01-10T00:00:00"/>
    <n v="1"/>
    <n v="19"/>
    <b v="0"/>
    <n v="1"/>
    <x v="1"/>
    <x v="2"/>
    <x v="0"/>
    <x v="0"/>
    <n v="0.16"/>
    <x v="0"/>
    <n v="0.16669999999999999"/>
    <n v="0.47"/>
    <x v="1"/>
    <x v="8"/>
    <x v="0"/>
    <x v="50"/>
    <n v="95"/>
  </r>
  <r>
    <n v="230"/>
    <d v="2011-01-10T00:00:00"/>
    <n v="1"/>
    <n v="20"/>
    <b v="0"/>
    <n v="1"/>
    <x v="1"/>
    <x v="2"/>
    <x v="0"/>
    <x v="0"/>
    <n v="0.16"/>
    <x v="0"/>
    <n v="0.16669999999999999"/>
    <n v="0.5"/>
    <x v="1"/>
    <x v="8"/>
    <x v="5"/>
    <x v="26"/>
    <n v="74"/>
  </r>
  <r>
    <n v="231"/>
    <d v="2011-01-10T00:00:00"/>
    <n v="1"/>
    <n v="21"/>
    <b v="0"/>
    <n v="1"/>
    <x v="1"/>
    <x v="2"/>
    <x v="0"/>
    <x v="0"/>
    <n v="0.14000000000000001"/>
    <x v="0"/>
    <n v="0.13639999999999999"/>
    <n v="0.59"/>
    <x v="1"/>
    <x v="5"/>
    <x v="5"/>
    <x v="53"/>
    <n v="38"/>
  </r>
  <r>
    <n v="232"/>
    <d v="2011-01-10T00:00:00"/>
    <n v="1"/>
    <n v="22"/>
    <b v="0"/>
    <n v="1"/>
    <x v="1"/>
    <x v="2"/>
    <x v="0"/>
    <x v="0"/>
    <n v="0.14000000000000001"/>
    <x v="0"/>
    <n v="0.1515"/>
    <n v="0.59"/>
    <x v="1"/>
    <x v="8"/>
    <x v="4"/>
    <x v="97"/>
    <n v="24"/>
  </r>
  <r>
    <n v="233"/>
    <d v="2011-01-10T00:00:00"/>
    <n v="1"/>
    <n v="23"/>
    <b v="0"/>
    <n v="1"/>
    <x v="1"/>
    <x v="2"/>
    <x v="0"/>
    <x v="0"/>
    <n v="0.14000000000000001"/>
    <x v="0"/>
    <n v="0.1515"/>
    <n v="0.59"/>
    <x v="1"/>
    <x v="8"/>
    <x v="3"/>
    <x v="72"/>
    <n v="18"/>
  </r>
  <r>
    <n v="234"/>
    <d v="2011-01-11T00:00:00"/>
    <n v="1"/>
    <n v="0"/>
    <b v="0"/>
    <n v="2"/>
    <x v="1"/>
    <x v="3"/>
    <x v="0"/>
    <x v="0"/>
    <n v="0.14000000000000001"/>
    <x v="0"/>
    <n v="0.16669999999999999"/>
    <n v="0.59"/>
    <x v="1"/>
    <x v="14"/>
    <x v="4"/>
    <x v="3"/>
    <n v="12"/>
  </r>
  <r>
    <n v="235"/>
    <d v="2011-01-11T00:00:00"/>
    <n v="1"/>
    <n v="1"/>
    <b v="0"/>
    <n v="2"/>
    <x v="1"/>
    <x v="3"/>
    <x v="0"/>
    <x v="0"/>
    <n v="0.14000000000000001"/>
    <x v="0"/>
    <n v="0.1515"/>
    <n v="0.59"/>
    <x v="1"/>
    <x v="8"/>
    <x v="3"/>
    <x v="35"/>
    <n v="3"/>
  </r>
  <r>
    <n v="236"/>
    <d v="2011-01-11T00:00:00"/>
    <n v="1"/>
    <n v="2"/>
    <b v="0"/>
    <n v="2"/>
    <x v="1"/>
    <x v="3"/>
    <x v="1"/>
    <x v="1"/>
    <n v="0.16"/>
    <x v="0"/>
    <n v="0.1515"/>
    <n v="0.55000000000000004"/>
    <x v="1"/>
    <x v="5"/>
    <x v="3"/>
    <x v="35"/>
    <n v="3"/>
  </r>
  <r>
    <n v="237"/>
    <d v="2011-01-11T00:00:00"/>
    <n v="1"/>
    <n v="5"/>
    <b v="0"/>
    <n v="2"/>
    <x v="1"/>
    <x v="3"/>
    <x v="1"/>
    <x v="1"/>
    <n v="0.16"/>
    <x v="0"/>
    <n v="0.18179999999999999"/>
    <n v="0.55000000000000004"/>
    <x v="1"/>
    <x v="7"/>
    <x v="3"/>
    <x v="8"/>
    <n v="6"/>
  </r>
  <r>
    <n v="238"/>
    <d v="2011-01-11T00:00:00"/>
    <n v="1"/>
    <n v="6"/>
    <b v="0"/>
    <n v="2"/>
    <x v="1"/>
    <x v="3"/>
    <x v="1"/>
    <x v="1"/>
    <n v="0.16"/>
    <x v="0"/>
    <n v="0.18179999999999999"/>
    <n v="0.55000000000000004"/>
    <x v="1"/>
    <x v="7"/>
    <x v="3"/>
    <x v="2"/>
    <n v="27"/>
  </r>
  <r>
    <n v="239"/>
    <d v="2011-01-11T00:00:00"/>
    <n v="1"/>
    <n v="7"/>
    <b v="0"/>
    <n v="2"/>
    <x v="1"/>
    <x v="3"/>
    <x v="1"/>
    <x v="1"/>
    <n v="0.16"/>
    <x v="0"/>
    <n v="0.2273"/>
    <n v="0.55000000000000004"/>
    <x v="1"/>
    <x v="0"/>
    <x v="4"/>
    <x v="106"/>
    <n v="99"/>
  </r>
  <r>
    <n v="240"/>
    <d v="2011-01-11T00:00:00"/>
    <n v="1"/>
    <n v="8"/>
    <b v="0"/>
    <n v="2"/>
    <x v="1"/>
    <x v="3"/>
    <x v="1"/>
    <x v="1"/>
    <n v="0.18"/>
    <x v="0"/>
    <n v="0.21210000000000001"/>
    <n v="0.51"/>
    <x v="1"/>
    <x v="1"/>
    <x v="0"/>
    <x v="107"/>
    <n v="217"/>
  </r>
  <r>
    <n v="241"/>
    <d v="2011-01-11T00:00:00"/>
    <n v="1"/>
    <n v="9"/>
    <b v="0"/>
    <n v="2"/>
    <x v="1"/>
    <x v="3"/>
    <x v="1"/>
    <x v="1"/>
    <n v="0.18"/>
    <x v="0"/>
    <n v="0.19700000000000001"/>
    <n v="0.51"/>
    <x v="1"/>
    <x v="8"/>
    <x v="0"/>
    <x v="69"/>
    <n v="130"/>
  </r>
  <r>
    <n v="242"/>
    <d v="2011-01-11T00:00:00"/>
    <n v="1"/>
    <n v="10"/>
    <b v="0"/>
    <n v="2"/>
    <x v="1"/>
    <x v="3"/>
    <x v="1"/>
    <x v="1"/>
    <n v="0.2"/>
    <x v="0"/>
    <n v="0.21210000000000001"/>
    <n v="0.51"/>
    <x v="1"/>
    <x v="8"/>
    <x v="0"/>
    <x v="82"/>
    <n v="54"/>
  </r>
  <r>
    <n v="243"/>
    <d v="2011-01-11T00:00:00"/>
    <n v="1"/>
    <n v="11"/>
    <b v="0"/>
    <n v="2"/>
    <x v="1"/>
    <x v="3"/>
    <x v="1"/>
    <x v="1"/>
    <n v="0.2"/>
    <x v="0"/>
    <n v="0.21210000000000001"/>
    <n v="0.47"/>
    <x v="1"/>
    <x v="7"/>
    <x v="17"/>
    <x v="17"/>
    <n v="35"/>
  </r>
  <r>
    <n v="244"/>
    <d v="2011-01-11T00:00:00"/>
    <n v="1"/>
    <n v="12"/>
    <b v="0"/>
    <n v="2"/>
    <x v="1"/>
    <x v="3"/>
    <x v="1"/>
    <x v="1"/>
    <n v="0.2"/>
    <x v="0"/>
    <n v="0.2273"/>
    <n v="0.51"/>
    <x v="1"/>
    <x v="14"/>
    <x v="4"/>
    <x v="11"/>
    <n v="57"/>
  </r>
  <r>
    <n v="245"/>
    <d v="2011-01-11T00:00:00"/>
    <n v="1"/>
    <n v="13"/>
    <b v="0"/>
    <n v="2"/>
    <x v="1"/>
    <x v="3"/>
    <x v="1"/>
    <x v="1"/>
    <n v="0.2"/>
    <x v="0"/>
    <n v="0.2273"/>
    <n v="0.59"/>
    <x v="1"/>
    <x v="1"/>
    <x v="15"/>
    <x v="24"/>
    <n v="52"/>
  </r>
  <r>
    <n v="246"/>
    <d v="2011-01-11T00:00:00"/>
    <n v="1"/>
    <n v="14"/>
    <b v="0"/>
    <n v="2"/>
    <x v="1"/>
    <x v="3"/>
    <x v="1"/>
    <x v="1"/>
    <n v="0.2"/>
    <x v="0"/>
    <n v="0.2273"/>
    <n v="0.59"/>
    <x v="1"/>
    <x v="1"/>
    <x v="0"/>
    <x v="91"/>
    <n v="63"/>
  </r>
  <r>
    <n v="247"/>
    <d v="2011-01-11T00:00:00"/>
    <n v="1"/>
    <n v="15"/>
    <b v="0"/>
    <n v="2"/>
    <x v="1"/>
    <x v="3"/>
    <x v="1"/>
    <x v="1"/>
    <n v="0.16"/>
    <x v="0"/>
    <n v="0.19700000000000001"/>
    <n v="0.8"/>
    <x v="0"/>
    <x v="1"/>
    <x v="4"/>
    <x v="108"/>
    <n v="47"/>
  </r>
  <r>
    <n v="248"/>
    <d v="2011-01-11T00:00:00"/>
    <n v="1"/>
    <n v="16"/>
    <b v="0"/>
    <n v="2"/>
    <x v="1"/>
    <x v="3"/>
    <x v="1"/>
    <x v="1"/>
    <n v="0.16"/>
    <x v="0"/>
    <n v="0.1515"/>
    <n v="0.86"/>
    <x v="0"/>
    <x v="6"/>
    <x v="17"/>
    <x v="109"/>
    <n v="76"/>
  </r>
  <r>
    <n v="249"/>
    <d v="2011-01-11T00:00:00"/>
    <n v="1"/>
    <n v="17"/>
    <b v="0"/>
    <n v="2"/>
    <x v="1"/>
    <x v="3"/>
    <x v="1"/>
    <x v="1"/>
    <n v="0.16"/>
    <x v="0"/>
    <n v="0.1515"/>
    <n v="0.86"/>
    <x v="0"/>
    <x v="6"/>
    <x v="15"/>
    <x v="110"/>
    <n v="136"/>
  </r>
  <r>
    <n v="250"/>
    <d v="2011-01-11T00:00:00"/>
    <n v="1"/>
    <n v="18"/>
    <b v="0"/>
    <n v="2"/>
    <x v="1"/>
    <x v="3"/>
    <x v="2"/>
    <x v="2"/>
    <n v="0.16"/>
    <x v="0"/>
    <n v="0.18179999999999999"/>
    <n v="0.93"/>
    <x v="0"/>
    <x v="14"/>
    <x v="5"/>
    <x v="111"/>
    <n v="95"/>
  </r>
  <r>
    <n v="251"/>
    <d v="2011-01-11T00:00:00"/>
    <n v="1"/>
    <n v="19"/>
    <b v="0"/>
    <n v="2"/>
    <x v="1"/>
    <x v="3"/>
    <x v="2"/>
    <x v="2"/>
    <n v="0.16"/>
    <x v="0"/>
    <n v="0.2273"/>
    <n v="0.93"/>
    <x v="0"/>
    <x v="0"/>
    <x v="3"/>
    <x v="82"/>
    <n v="51"/>
  </r>
  <r>
    <n v="252"/>
    <d v="2011-01-11T00:00:00"/>
    <n v="1"/>
    <n v="20"/>
    <b v="0"/>
    <n v="2"/>
    <x v="1"/>
    <x v="3"/>
    <x v="2"/>
    <x v="2"/>
    <n v="0.16"/>
    <x v="0"/>
    <n v="0.1515"/>
    <n v="0.93"/>
    <x v="0"/>
    <x v="5"/>
    <x v="3"/>
    <x v="1"/>
    <n v="32"/>
  </r>
  <r>
    <n v="253"/>
    <d v="2011-01-11T00:00:00"/>
    <n v="1"/>
    <n v="21"/>
    <b v="0"/>
    <n v="2"/>
    <x v="1"/>
    <x v="3"/>
    <x v="2"/>
    <x v="2"/>
    <n v="0.16"/>
    <x v="0"/>
    <n v="0.19700000000000001"/>
    <n v="0.86"/>
    <x v="0"/>
    <x v="1"/>
    <x v="3"/>
    <x v="32"/>
    <n v="20"/>
  </r>
  <r>
    <n v="254"/>
    <d v="2011-01-11T00:00:00"/>
    <n v="1"/>
    <n v="22"/>
    <b v="0"/>
    <n v="2"/>
    <x v="1"/>
    <x v="3"/>
    <x v="2"/>
    <x v="2"/>
    <n v="0.16"/>
    <x v="0"/>
    <n v="0.18179999999999999"/>
    <n v="0.93"/>
    <x v="0"/>
    <x v="14"/>
    <x v="5"/>
    <x v="95"/>
    <n v="29"/>
  </r>
  <r>
    <n v="255"/>
    <d v="2011-01-11T00:00:00"/>
    <n v="1"/>
    <n v="23"/>
    <b v="0"/>
    <n v="2"/>
    <x v="1"/>
    <x v="3"/>
    <x v="2"/>
    <x v="2"/>
    <n v="0.16"/>
    <x v="0"/>
    <n v="0.19700000000000001"/>
    <n v="0.93"/>
    <x v="0"/>
    <x v="1"/>
    <x v="5"/>
    <x v="72"/>
    <n v="19"/>
  </r>
  <r>
    <n v="256"/>
    <d v="2011-01-12T00:00:00"/>
    <n v="1"/>
    <n v="0"/>
    <b v="0"/>
    <n v="3"/>
    <x v="1"/>
    <x v="4"/>
    <x v="1"/>
    <x v="1"/>
    <n v="0.16"/>
    <x v="0"/>
    <n v="0.19700000000000001"/>
    <n v="0.86"/>
    <x v="0"/>
    <x v="1"/>
    <x v="3"/>
    <x v="7"/>
    <n v="7"/>
  </r>
  <r>
    <n v="257"/>
    <d v="2011-01-12T00:00:00"/>
    <n v="1"/>
    <n v="1"/>
    <b v="0"/>
    <n v="3"/>
    <x v="1"/>
    <x v="4"/>
    <x v="1"/>
    <x v="1"/>
    <n v="0.16"/>
    <x v="0"/>
    <n v="0.18179999999999999"/>
    <n v="0.86"/>
    <x v="0"/>
    <x v="14"/>
    <x v="3"/>
    <x v="8"/>
    <n v="6"/>
  </r>
  <r>
    <n v="258"/>
    <d v="2011-01-12T00:00:00"/>
    <n v="1"/>
    <n v="2"/>
    <b v="0"/>
    <n v="3"/>
    <x v="1"/>
    <x v="4"/>
    <x v="0"/>
    <x v="0"/>
    <n v="0.14000000000000001"/>
    <x v="0"/>
    <n v="0.1515"/>
    <n v="0.86"/>
    <x v="0"/>
    <x v="7"/>
    <x v="3"/>
    <x v="4"/>
    <n v="1"/>
  </r>
  <r>
    <n v="259"/>
    <d v="2011-01-12T00:00:00"/>
    <n v="1"/>
    <n v="5"/>
    <b v="0"/>
    <n v="3"/>
    <x v="1"/>
    <x v="4"/>
    <x v="0"/>
    <x v="0"/>
    <n v="0.14000000000000001"/>
    <x v="0"/>
    <n v="0.1515"/>
    <n v="0.86"/>
    <x v="0"/>
    <x v="8"/>
    <x v="3"/>
    <x v="34"/>
    <n v="5"/>
  </r>
  <r>
    <n v="260"/>
    <d v="2011-01-12T00:00:00"/>
    <n v="1"/>
    <n v="6"/>
    <b v="0"/>
    <n v="3"/>
    <x v="1"/>
    <x v="4"/>
    <x v="0"/>
    <x v="0"/>
    <n v="0.12"/>
    <x v="0"/>
    <n v="0.1515"/>
    <n v="0.93"/>
    <x v="0"/>
    <x v="7"/>
    <x v="3"/>
    <x v="20"/>
    <n v="16"/>
  </r>
  <r>
    <n v="261"/>
    <d v="2011-01-12T00:00:00"/>
    <n v="1"/>
    <n v="7"/>
    <b v="0"/>
    <n v="3"/>
    <x v="1"/>
    <x v="4"/>
    <x v="0"/>
    <x v="0"/>
    <n v="0.14000000000000001"/>
    <x v="0"/>
    <n v="0.1515"/>
    <n v="0.69"/>
    <x v="1"/>
    <x v="7"/>
    <x v="3"/>
    <x v="25"/>
    <n v="54"/>
  </r>
  <r>
    <n v="262"/>
    <d v="2011-01-12T00:00:00"/>
    <n v="1"/>
    <n v="8"/>
    <b v="0"/>
    <n v="3"/>
    <x v="1"/>
    <x v="4"/>
    <x v="0"/>
    <x v="0"/>
    <n v="0.16"/>
    <x v="0"/>
    <n v="0.16669999999999999"/>
    <n v="0.59"/>
    <x v="1"/>
    <x v="8"/>
    <x v="0"/>
    <x v="85"/>
    <n v="128"/>
  </r>
  <r>
    <n v="263"/>
    <d v="2011-01-12T00:00:00"/>
    <n v="1"/>
    <n v="9"/>
    <b v="0"/>
    <n v="3"/>
    <x v="1"/>
    <x v="4"/>
    <x v="0"/>
    <x v="0"/>
    <n v="0.16"/>
    <x v="0"/>
    <n v="0.13639999999999999"/>
    <n v="0.59"/>
    <x v="1"/>
    <x v="9"/>
    <x v="0"/>
    <x v="78"/>
    <n v="81"/>
  </r>
  <r>
    <n v="264"/>
    <d v="2011-01-12T00:00:00"/>
    <n v="1"/>
    <n v="10"/>
    <b v="0"/>
    <n v="3"/>
    <x v="1"/>
    <x v="4"/>
    <x v="0"/>
    <x v="0"/>
    <n v="0.18"/>
    <x v="0"/>
    <n v="0.18179999999999999"/>
    <n v="0.55000000000000004"/>
    <x v="1"/>
    <x v="6"/>
    <x v="3"/>
    <x v="87"/>
    <n v="39"/>
  </r>
  <r>
    <n v="265"/>
    <d v="2011-01-12T00:00:00"/>
    <n v="1"/>
    <n v="11"/>
    <b v="0"/>
    <n v="3"/>
    <x v="1"/>
    <x v="4"/>
    <x v="0"/>
    <x v="0"/>
    <n v="0.2"/>
    <x v="0"/>
    <n v="0.18179999999999999"/>
    <n v="0.51"/>
    <x v="1"/>
    <x v="13"/>
    <x v="0"/>
    <x v="1"/>
    <n v="35"/>
  </r>
  <r>
    <n v="266"/>
    <d v="2011-01-12T00:00:00"/>
    <n v="1"/>
    <n v="12"/>
    <b v="0"/>
    <n v="3"/>
    <x v="1"/>
    <x v="4"/>
    <x v="0"/>
    <x v="0"/>
    <n v="0.2"/>
    <x v="0"/>
    <n v="0.1515"/>
    <n v="0.47"/>
    <x v="1"/>
    <x v="19"/>
    <x v="0"/>
    <x v="15"/>
    <n v="55"/>
  </r>
  <r>
    <n v="267"/>
    <d v="2011-01-12T00:00:00"/>
    <n v="1"/>
    <n v="13"/>
    <b v="0"/>
    <n v="3"/>
    <x v="1"/>
    <x v="4"/>
    <x v="0"/>
    <x v="0"/>
    <n v="0.22"/>
    <x v="0"/>
    <n v="0.19700000000000001"/>
    <n v="0.44"/>
    <x v="1"/>
    <x v="11"/>
    <x v="3"/>
    <x v="47"/>
    <n v="49"/>
  </r>
  <r>
    <n v="268"/>
    <d v="2011-01-12T00:00:00"/>
    <n v="1"/>
    <n v="14"/>
    <b v="0"/>
    <n v="3"/>
    <x v="1"/>
    <x v="4"/>
    <x v="0"/>
    <x v="0"/>
    <n v="0.2"/>
    <x v="0"/>
    <n v="0.18179999999999999"/>
    <n v="0.47"/>
    <x v="1"/>
    <x v="9"/>
    <x v="3"/>
    <x v="100"/>
    <n v="44"/>
  </r>
  <r>
    <n v="269"/>
    <d v="2011-01-12T00:00:00"/>
    <n v="1"/>
    <n v="15"/>
    <b v="0"/>
    <n v="3"/>
    <x v="1"/>
    <x v="4"/>
    <x v="0"/>
    <x v="0"/>
    <n v="0.2"/>
    <x v="0"/>
    <n v="0.16669999999999999"/>
    <n v="0.47"/>
    <x v="1"/>
    <x v="12"/>
    <x v="5"/>
    <x v="41"/>
    <n v="49"/>
  </r>
  <r>
    <n v="270"/>
    <d v="2011-01-12T00:00:00"/>
    <n v="1"/>
    <n v="16"/>
    <b v="0"/>
    <n v="3"/>
    <x v="1"/>
    <x v="4"/>
    <x v="0"/>
    <x v="0"/>
    <n v="0.22"/>
    <x v="0"/>
    <n v="0.19700000000000001"/>
    <n v="0.44"/>
    <x v="1"/>
    <x v="9"/>
    <x v="2"/>
    <x v="36"/>
    <n v="68"/>
  </r>
  <r>
    <n v="271"/>
    <d v="2011-01-12T00:00:00"/>
    <n v="1"/>
    <n v="17"/>
    <b v="0"/>
    <n v="3"/>
    <x v="1"/>
    <x v="4"/>
    <x v="0"/>
    <x v="0"/>
    <n v="0.2"/>
    <x v="0"/>
    <n v="0.18179999999999999"/>
    <n v="0.47"/>
    <x v="1"/>
    <x v="11"/>
    <x v="3"/>
    <x v="112"/>
    <n v="139"/>
  </r>
  <r>
    <n v="272"/>
    <d v="2011-01-12T00:00:00"/>
    <n v="1"/>
    <n v="18"/>
    <b v="0"/>
    <n v="3"/>
    <x v="1"/>
    <x v="4"/>
    <x v="0"/>
    <x v="0"/>
    <n v="0.2"/>
    <x v="0"/>
    <n v="0.1515"/>
    <n v="0.47"/>
    <x v="1"/>
    <x v="18"/>
    <x v="4"/>
    <x v="113"/>
    <n v="137"/>
  </r>
  <r>
    <n v="273"/>
    <d v="2011-01-12T00:00:00"/>
    <n v="1"/>
    <n v="19"/>
    <b v="0"/>
    <n v="3"/>
    <x v="1"/>
    <x v="4"/>
    <x v="0"/>
    <x v="0"/>
    <n v="0.18"/>
    <x v="0"/>
    <n v="0.1515"/>
    <n v="0.47"/>
    <x v="1"/>
    <x v="12"/>
    <x v="5"/>
    <x v="70"/>
    <n v="83"/>
  </r>
  <r>
    <n v="274"/>
    <d v="2011-01-12T00:00:00"/>
    <n v="1"/>
    <n v="20"/>
    <b v="0"/>
    <n v="3"/>
    <x v="1"/>
    <x v="4"/>
    <x v="0"/>
    <x v="0"/>
    <n v="0.16"/>
    <x v="0"/>
    <n v="0.13639999999999999"/>
    <n v="0.5"/>
    <x v="1"/>
    <x v="9"/>
    <x v="4"/>
    <x v="25"/>
    <n v="56"/>
  </r>
  <r>
    <n v="275"/>
    <d v="2011-01-12T00:00:00"/>
    <n v="1"/>
    <n v="21"/>
    <b v="0"/>
    <n v="3"/>
    <x v="1"/>
    <x v="4"/>
    <x v="0"/>
    <x v="0"/>
    <n v="0.16"/>
    <x v="0"/>
    <n v="0.13639999999999999"/>
    <n v="0.55000000000000004"/>
    <x v="1"/>
    <x v="9"/>
    <x v="3"/>
    <x v="77"/>
    <n v="57"/>
  </r>
  <r>
    <n v="276"/>
    <d v="2011-01-12T00:00:00"/>
    <n v="1"/>
    <n v="22"/>
    <b v="0"/>
    <n v="3"/>
    <x v="1"/>
    <x v="4"/>
    <x v="0"/>
    <x v="0"/>
    <n v="0.16"/>
    <x v="0"/>
    <n v="0.1212"/>
    <n v="0.55000000000000004"/>
    <x v="1"/>
    <x v="10"/>
    <x v="5"/>
    <x v="1"/>
    <n v="33"/>
  </r>
  <r>
    <n v="277"/>
    <d v="2011-01-12T00:00:00"/>
    <n v="1"/>
    <n v="23"/>
    <b v="0"/>
    <n v="3"/>
    <x v="1"/>
    <x v="4"/>
    <x v="0"/>
    <x v="0"/>
    <n v="0.14000000000000001"/>
    <x v="0"/>
    <n v="0.1061"/>
    <n v="0.59"/>
    <x v="1"/>
    <x v="12"/>
    <x v="5"/>
    <x v="23"/>
    <n v="20"/>
  </r>
  <r>
    <n v="278"/>
    <d v="2011-01-13T00:00:00"/>
    <n v="1"/>
    <n v="0"/>
    <b v="0"/>
    <n v="4"/>
    <x v="1"/>
    <x v="5"/>
    <x v="0"/>
    <x v="0"/>
    <n v="0.14000000000000001"/>
    <x v="0"/>
    <n v="0.1212"/>
    <n v="0.59"/>
    <x v="1"/>
    <x v="3"/>
    <x v="5"/>
    <x v="8"/>
    <n v="7"/>
  </r>
  <r>
    <n v="279"/>
    <d v="2011-01-13T00:00:00"/>
    <n v="1"/>
    <n v="1"/>
    <b v="0"/>
    <n v="4"/>
    <x v="1"/>
    <x v="5"/>
    <x v="0"/>
    <x v="0"/>
    <n v="0.14000000000000001"/>
    <x v="0"/>
    <n v="0.1212"/>
    <n v="0.5"/>
    <x v="1"/>
    <x v="3"/>
    <x v="3"/>
    <x v="6"/>
    <n v="2"/>
  </r>
  <r>
    <n v="280"/>
    <d v="2011-01-13T00:00:00"/>
    <n v="1"/>
    <n v="2"/>
    <b v="0"/>
    <n v="4"/>
    <x v="1"/>
    <x v="5"/>
    <x v="0"/>
    <x v="0"/>
    <n v="0.14000000000000001"/>
    <x v="0"/>
    <n v="0.1212"/>
    <n v="0.5"/>
    <x v="1"/>
    <x v="11"/>
    <x v="3"/>
    <x v="6"/>
    <n v="2"/>
  </r>
  <r>
    <n v="281"/>
    <d v="2011-01-13T00:00:00"/>
    <n v="1"/>
    <n v="3"/>
    <b v="0"/>
    <n v="4"/>
    <x v="1"/>
    <x v="5"/>
    <x v="0"/>
    <x v="0"/>
    <n v="0.14000000000000001"/>
    <x v="0"/>
    <n v="0.1212"/>
    <n v="0.5"/>
    <x v="1"/>
    <x v="9"/>
    <x v="3"/>
    <x v="35"/>
    <n v="3"/>
  </r>
  <r>
    <n v="282"/>
    <d v="2011-01-13T00:00:00"/>
    <n v="1"/>
    <n v="4"/>
    <b v="0"/>
    <n v="4"/>
    <x v="1"/>
    <x v="5"/>
    <x v="0"/>
    <x v="0"/>
    <n v="0.14000000000000001"/>
    <x v="0"/>
    <n v="0.1212"/>
    <n v="0.5"/>
    <x v="1"/>
    <x v="2"/>
    <x v="3"/>
    <x v="22"/>
    <n v="4"/>
  </r>
  <r>
    <n v="283"/>
    <d v="2011-01-13T00:00:00"/>
    <n v="1"/>
    <n v="5"/>
    <b v="0"/>
    <n v="4"/>
    <x v="1"/>
    <x v="5"/>
    <x v="0"/>
    <x v="0"/>
    <n v="0.14000000000000001"/>
    <x v="0"/>
    <n v="0.1212"/>
    <n v="0.5"/>
    <x v="1"/>
    <x v="4"/>
    <x v="3"/>
    <x v="35"/>
    <n v="3"/>
  </r>
  <r>
    <n v="284"/>
    <d v="2011-01-13T00:00:00"/>
    <n v="1"/>
    <n v="6"/>
    <b v="0"/>
    <n v="4"/>
    <x v="1"/>
    <x v="5"/>
    <x v="0"/>
    <x v="0"/>
    <n v="0.12"/>
    <x v="0"/>
    <n v="0.1515"/>
    <n v="0.54"/>
    <x v="1"/>
    <x v="7"/>
    <x v="3"/>
    <x v="95"/>
    <n v="28"/>
  </r>
  <r>
    <n v="285"/>
    <d v="2011-01-13T00:00:00"/>
    <n v="1"/>
    <n v="7"/>
    <b v="0"/>
    <n v="4"/>
    <x v="1"/>
    <x v="5"/>
    <x v="0"/>
    <x v="0"/>
    <n v="0.12"/>
    <x v="0"/>
    <n v="0.1515"/>
    <n v="0.54"/>
    <x v="1"/>
    <x v="7"/>
    <x v="3"/>
    <x v="109"/>
    <n v="72"/>
  </r>
  <r>
    <n v="286"/>
    <d v="2011-01-13T00:00:00"/>
    <n v="1"/>
    <n v="8"/>
    <b v="0"/>
    <n v="4"/>
    <x v="1"/>
    <x v="5"/>
    <x v="0"/>
    <x v="0"/>
    <n v="0.14000000000000001"/>
    <x v="0"/>
    <n v="0.13639999999999999"/>
    <n v="0.5"/>
    <x v="1"/>
    <x v="5"/>
    <x v="2"/>
    <x v="114"/>
    <n v="202"/>
  </r>
  <r>
    <n v="287"/>
    <d v="2011-01-13T00:00:00"/>
    <n v="1"/>
    <n v="9"/>
    <b v="0"/>
    <n v="4"/>
    <x v="1"/>
    <x v="5"/>
    <x v="0"/>
    <x v="0"/>
    <n v="0.14000000000000001"/>
    <x v="0"/>
    <n v="0.1212"/>
    <n v="0.5"/>
    <x v="1"/>
    <x v="9"/>
    <x v="4"/>
    <x v="115"/>
    <n v="139"/>
  </r>
  <r>
    <n v="288"/>
    <d v="2011-01-13T00:00:00"/>
    <n v="1"/>
    <n v="10"/>
    <b v="0"/>
    <n v="4"/>
    <x v="1"/>
    <x v="5"/>
    <x v="1"/>
    <x v="1"/>
    <n v="0.16"/>
    <x v="0"/>
    <n v="0.13639999999999999"/>
    <n v="0.5"/>
    <x v="1"/>
    <x v="11"/>
    <x v="4"/>
    <x v="49"/>
    <n v="38"/>
  </r>
  <r>
    <n v="289"/>
    <d v="2011-01-13T00:00:00"/>
    <n v="1"/>
    <n v="11"/>
    <b v="0"/>
    <n v="4"/>
    <x v="1"/>
    <x v="5"/>
    <x v="1"/>
    <x v="1"/>
    <n v="0.2"/>
    <x v="0"/>
    <n v="0.16669999999999999"/>
    <n v="0.44"/>
    <x v="1"/>
    <x v="10"/>
    <x v="17"/>
    <x v="39"/>
    <n v="37"/>
  </r>
  <r>
    <n v="290"/>
    <d v="2011-01-13T00:00:00"/>
    <n v="1"/>
    <n v="12"/>
    <b v="0"/>
    <n v="4"/>
    <x v="1"/>
    <x v="5"/>
    <x v="0"/>
    <x v="0"/>
    <n v="0.2"/>
    <x v="0"/>
    <n v="0.16669999999999999"/>
    <n v="0.44"/>
    <x v="1"/>
    <x v="12"/>
    <x v="0"/>
    <x v="47"/>
    <n v="52"/>
  </r>
  <r>
    <n v="291"/>
    <d v="2011-01-13T00:00:00"/>
    <n v="1"/>
    <n v="13"/>
    <b v="0"/>
    <n v="4"/>
    <x v="1"/>
    <x v="5"/>
    <x v="0"/>
    <x v="0"/>
    <n v="0.22"/>
    <x v="0"/>
    <n v="0.19700000000000001"/>
    <n v="0.41"/>
    <x v="1"/>
    <x v="10"/>
    <x v="4"/>
    <x v="38"/>
    <n v="83"/>
  </r>
  <r>
    <n v="292"/>
    <d v="2011-01-13T00:00:00"/>
    <n v="1"/>
    <n v="14"/>
    <b v="0"/>
    <n v="4"/>
    <x v="1"/>
    <x v="5"/>
    <x v="0"/>
    <x v="0"/>
    <n v="0.22"/>
    <x v="0"/>
    <n v="0.19700000000000001"/>
    <n v="0.41"/>
    <x v="1"/>
    <x v="13"/>
    <x v="0"/>
    <x v="87"/>
    <n v="42"/>
  </r>
  <r>
    <n v="293"/>
    <d v="2011-01-13T00:00:00"/>
    <n v="1"/>
    <n v="15"/>
    <b v="0"/>
    <n v="4"/>
    <x v="1"/>
    <x v="5"/>
    <x v="0"/>
    <x v="0"/>
    <n v="0.24"/>
    <x v="0"/>
    <n v="0.21210000000000001"/>
    <n v="0.38"/>
    <x v="1"/>
    <x v="4"/>
    <x v="2"/>
    <x v="11"/>
    <n v="60"/>
  </r>
  <r>
    <n v="294"/>
    <d v="2011-01-13T00:00:00"/>
    <n v="1"/>
    <n v="16"/>
    <b v="0"/>
    <n v="4"/>
    <x v="1"/>
    <x v="5"/>
    <x v="0"/>
    <x v="0"/>
    <n v="0.24"/>
    <x v="0"/>
    <n v="0.21210000000000001"/>
    <n v="0.38"/>
    <x v="1"/>
    <x v="11"/>
    <x v="4"/>
    <x v="83"/>
    <n v="78"/>
  </r>
  <r>
    <n v="295"/>
    <d v="2011-01-13T00:00:00"/>
    <n v="1"/>
    <n v="17"/>
    <b v="0"/>
    <n v="4"/>
    <x v="1"/>
    <x v="5"/>
    <x v="0"/>
    <x v="0"/>
    <n v="0.2"/>
    <x v="0"/>
    <n v="0.18179999999999999"/>
    <n v="0.4"/>
    <x v="1"/>
    <x v="3"/>
    <x v="17"/>
    <x v="81"/>
    <n v="162"/>
  </r>
  <r>
    <n v="296"/>
    <d v="2011-01-13T00:00:00"/>
    <n v="1"/>
    <n v="18"/>
    <b v="0"/>
    <n v="4"/>
    <x v="1"/>
    <x v="5"/>
    <x v="0"/>
    <x v="0"/>
    <n v="0.2"/>
    <x v="0"/>
    <n v="0.18179999999999999"/>
    <n v="0.4"/>
    <x v="1"/>
    <x v="9"/>
    <x v="0"/>
    <x v="116"/>
    <n v="144"/>
  </r>
  <r>
    <n v="297"/>
    <d v="2011-01-13T00:00:00"/>
    <n v="1"/>
    <n v="19"/>
    <b v="0"/>
    <n v="4"/>
    <x v="1"/>
    <x v="5"/>
    <x v="0"/>
    <x v="0"/>
    <n v="0.16"/>
    <x v="0"/>
    <n v="0.1515"/>
    <n v="0.47"/>
    <x v="1"/>
    <x v="2"/>
    <x v="5"/>
    <x v="52"/>
    <n v="99"/>
  </r>
  <r>
    <n v="298"/>
    <d v="2011-01-13T00:00:00"/>
    <n v="1"/>
    <n v="20"/>
    <b v="0"/>
    <n v="4"/>
    <x v="1"/>
    <x v="5"/>
    <x v="0"/>
    <x v="0"/>
    <n v="0.16"/>
    <x v="0"/>
    <n v="0.1515"/>
    <n v="0.47"/>
    <x v="1"/>
    <x v="6"/>
    <x v="3"/>
    <x v="27"/>
    <n v="64"/>
  </r>
  <r>
    <n v="299"/>
    <d v="2011-01-13T00:00:00"/>
    <n v="1"/>
    <n v="21"/>
    <b v="0"/>
    <n v="4"/>
    <x v="1"/>
    <x v="5"/>
    <x v="0"/>
    <x v="0"/>
    <n v="0.14000000000000001"/>
    <x v="0"/>
    <n v="0.1212"/>
    <n v="0.46"/>
    <x v="1"/>
    <x v="4"/>
    <x v="3"/>
    <x v="71"/>
    <n v="40"/>
  </r>
  <r>
    <n v="300"/>
    <d v="2011-01-13T00:00:00"/>
    <n v="1"/>
    <n v="22"/>
    <b v="0"/>
    <n v="4"/>
    <x v="1"/>
    <x v="5"/>
    <x v="0"/>
    <x v="0"/>
    <n v="0.14000000000000001"/>
    <x v="0"/>
    <n v="0.1212"/>
    <n v="0.46"/>
    <x v="1"/>
    <x v="9"/>
    <x v="3"/>
    <x v="10"/>
    <n v="30"/>
  </r>
  <r>
    <n v="301"/>
    <d v="2011-01-13T00:00:00"/>
    <n v="1"/>
    <n v="23"/>
    <b v="0"/>
    <n v="4"/>
    <x v="1"/>
    <x v="5"/>
    <x v="0"/>
    <x v="0"/>
    <n v="0.12"/>
    <x v="0"/>
    <n v="0.13639999999999999"/>
    <n v="0.5"/>
    <x v="1"/>
    <x v="5"/>
    <x v="5"/>
    <x v="88"/>
    <n v="15"/>
  </r>
  <r>
    <n v="302"/>
    <d v="2011-01-14T00:00:00"/>
    <n v="1"/>
    <n v="0"/>
    <b v="0"/>
    <n v="5"/>
    <x v="1"/>
    <x v="6"/>
    <x v="0"/>
    <x v="0"/>
    <n v="0.12"/>
    <x v="0"/>
    <n v="0.13639999999999999"/>
    <n v="0.5"/>
    <x v="1"/>
    <x v="5"/>
    <x v="3"/>
    <x v="88"/>
    <n v="14"/>
  </r>
  <r>
    <n v="303"/>
    <d v="2011-01-14T00:00:00"/>
    <n v="1"/>
    <n v="1"/>
    <b v="0"/>
    <n v="5"/>
    <x v="1"/>
    <x v="6"/>
    <x v="0"/>
    <x v="0"/>
    <n v="0.1"/>
    <x v="0"/>
    <n v="0.1212"/>
    <n v="0.54"/>
    <x v="1"/>
    <x v="8"/>
    <x v="3"/>
    <x v="34"/>
    <n v="5"/>
  </r>
  <r>
    <n v="304"/>
    <d v="2011-01-14T00:00:00"/>
    <n v="1"/>
    <n v="2"/>
    <b v="0"/>
    <n v="5"/>
    <x v="1"/>
    <x v="6"/>
    <x v="0"/>
    <x v="0"/>
    <n v="0.1"/>
    <x v="0"/>
    <n v="0.1212"/>
    <n v="0.54"/>
    <x v="1"/>
    <x v="7"/>
    <x v="3"/>
    <x v="4"/>
    <n v="1"/>
  </r>
  <r>
    <n v="305"/>
    <d v="2011-01-14T00:00:00"/>
    <n v="1"/>
    <n v="3"/>
    <b v="0"/>
    <n v="5"/>
    <x v="1"/>
    <x v="6"/>
    <x v="0"/>
    <x v="0"/>
    <n v="0.1"/>
    <x v="0"/>
    <n v="0.13639999999999999"/>
    <n v="0.54"/>
    <x v="1"/>
    <x v="14"/>
    <x v="3"/>
    <x v="4"/>
    <n v="1"/>
  </r>
  <r>
    <n v="306"/>
    <d v="2011-01-14T00:00:00"/>
    <n v="1"/>
    <n v="5"/>
    <b v="0"/>
    <n v="5"/>
    <x v="1"/>
    <x v="6"/>
    <x v="0"/>
    <x v="0"/>
    <n v="0.1"/>
    <x v="0"/>
    <n v="0.13639999999999999"/>
    <n v="0.54"/>
    <x v="1"/>
    <x v="1"/>
    <x v="3"/>
    <x v="21"/>
    <n v="8"/>
  </r>
  <r>
    <n v="307"/>
    <d v="2011-01-14T00:00:00"/>
    <n v="1"/>
    <n v="6"/>
    <b v="0"/>
    <n v="5"/>
    <x v="1"/>
    <x v="6"/>
    <x v="0"/>
    <x v="0"/>
    <n v="0.1"/>
    <x v="0"/>
    <n v="0.18179999999999999"/>
    <n v="0.54"/>
    <x v="1"/>
    <x v="0"/>
    <x v="3"/>
    <x v="19"/>
    <n v="17"/>
  </r>
  <r>
    <n v="308"/>
    <d v="2011-01-14T00:00:00"/>
    <n v="1"/>
    <n v="7"/>
    <b v="0"/>
    <n v="5"/>
    <x v="1"/>
    <x v="6"/>
    <x v="0"/>
    <x v="0"/>
    <n v="0.1"/>
    <x v="0"/>
    <n v="0.1212"/>
    <n v="0.74"/>
    <x v="0"/>
    <x v="8"/>
    <x v="3"/>
    <x v="14"/>
    <n v="70"/>
  </r>
  <r>
    <n v="309"/>
    <d v="2011-01-14T00:00:00"/>
    <n v="1"/>
    <n v="8"/>
    <b v="0"/>
    <n v="5"/>
    <x v="1"/>
    <x v="6"/>
    <x v="0"/>
    <x v="0"/>
    <n v="0.12"/>
    <x v="0"/>
    <n v="0.16669999999999999"/>
    <n v="0.68"/>
    <x v="1"/>
    <x v="0"/>
    <x v="4"/>
    <x v="117"/>
    <n v="158"/>
  </r>
  <r>
    <n v="310"/>
    <d v="2011-01-14T00:00:00"/>
    <n v="1"/>
    <n v="9"/>
    <b v="0"/>
    <n v="5"/>
    <x v="1"/>
    <x v="6"/>
    <x v="0"/>
    <x v="0"/>
    <n v="0.14000000000000001"/>
    <x v="0"/>
    <n v="0.1515"/>
    <n v="0.69"/>
    <x v="1"/>
    <x v="7"/>
    <x v="3"/>
    <x v="118"/>
    <n v="117"/>
  </r>
  <r>
    <n v="311"/>
    <d v="2011-01-14T00:00:00"/>
    <n v="1"/>
    <n v="10"/>
    <b v="0"/>
    <n v="5"/>
    <x v="1"/>
    <x v="6"/>
    <x v="0"/>
    <x v="0"/>
    <n v="0.18"/>
    <x v="0"/>
    <n v="0.18179999999999999"/>
    <n v="0.55000000000000004"/>
    <x v="1"/>
    <x v="5"/>
    <x v="17"/>
    <x v="71"/>
    <n v="44"/>
  </r>
  <r>
    <n v="312"/>
    <d v="2011-01-14T00:00:00"/>
    <n v="1"/>
    <n v="11"/>
    <b v="0"/>
    <n v="5"/>
    <x v="1"/>
    <x v="6"/>
    <x v="0"/>
    <x v="0"/>
    <n v="0.18"/>
    <x v="0"/>
    <n v="0.16669999999999999"/>
    <n v="0.51"/>
    <x v="1"/>
    <x v="3"/>
    <x v="15"/>
    <x v="12"/>
    <n v="53"/>
  </r>
  <r>
    <n v="313"/>
    <d v="2011-01-14T00:00:00"/>
    <n v="1"/>
    <n v="12"/>
    <b v="0"/>
    <n v="5"/>
    <x v="1"/>
    <x v="6"/>
    <x v="0"/>
    <x v="0"/>
    <n v="0.2"/>
    <x v="0"/>
    <n v="0.19700000000000001"/>
    <n v="0.44"/>
    <x v="1"/>
    <x v="2"/>
    <x v="4"/>
    <x v="79"/>
    <n v="61"/>
  </r>
  <r>
    <n v="314"/>
    <d v="2011-01-14T00:00:00"/>
    <n v="1"/>
    <n v="13"/>
    <b v="0"/>
    <n v="5"/>
    <x v="1"/>
    <x v="6"/>
    <x v="0"/>
    <x v="0"/>
    <n v="0.22"/>
    <x v="0"/>
    <n v="0.19700000000000001"/>
    <n v="0.37"/>
    <x v="1"/>
    <x v="13"/>
    <x v="17"/>
    <x v="26"/>
    <n v="77"/>
  </r>
  <r>
    <n v="315"/>
    <d v="2011-01-14T00:00:00"/>
    <n v="1"/>
    <n v="14"/>
    <b v="0"/>
    <n v="5"/>
    <x v="1"/>
    <x v="6"/>
    <x v="0"/>
    <x v="0"/>
    <n v="0.22"/>
    <x v="0"/>
    <n v="0.21210000000000001"/>
    <n v="0.41"/>
    <x v="1"/>
    <x v="3"/>
    <x v="2"/>
    <x v="79"/>
    <n v="64"/>
  </r>
  <r>
    <n v="316"/>
    <d v="2011-01-14T00:00:00"/>
    <n v="1"/>
    <n v="15"/>
    <b v="0"/>
    <n v="5"/>
    <x v="1"/>
    <x v="6"/>
    <x v="0"/>
    <x v="0"/>
    <n v="0.24"/>
    <x v="0"/>
    <n v="0.2424"/>
    <n v="0.38"/>
    <x v="1"/>
    <x v="8"/>
    <x v="14"/>
    <x v="79"/>
    <n v="68"/>
  </r>
  <r>
    <n v="317"/>
    <d v="2011-01-14T00:00:00"/>
    <n v="1"/>
    <n v="16"/>
    <b v="0"/>
    <n v="5"/>
    <x v="1"/>
    <x v="6"/>
    <x v="0"/>
    <x v="0"/>
    <n v="0.22"/>
    <x v="0"/>
    <n v="0.2424"/>
    <n v="0.41"/>
    <x v="1"/>
    <x v="14"/>
    <x v="0"/>
    <x v="61"/>
    <n v="90"/>
  </r>
  <r>
    <n v="318"/>
    <d v="2011-01-14T00:00:00"/>
    <n v="1"/>
    <n v="17"/>
    <b v="0"/>
    <n v="5"/>
    <x v="1"/>
    <x v="6"/>
    <x v="0"/>
    <x v="0"/>
    <n v="0.22"/>
    <x v="0"/>
    <n v="0.2273"/>
    <n v="0.41"/>
    <x v="1"/>
    <x v="8"/>
    <x v="17"/>
    <x v="119"/>
    <n v="159"/>
  </r>
  <r>
    <n v="319"/>
    <d v="2011-01-14T00:00:00"/>
    <n v="1"/>
    <n v="18"/>
    <b v="0"/>
    <n v="5"/>
    <x v="1"/>
    <x v="6"/>
    <x v="0"/>
    <x v="0"/>
    <n v="0.2"/>
    <x v="0"/>
    <n v="0.2576"/>
    <n v="0.47"/>
    <x v="1"/>
    <x v="0"/>
    <x v="2"/>
    <x v="120"/>
    <n v="139"/>
  </r>
  <r>
    <n v="320"/>
    <d v="2011-01-14T00:00:00"/>
    <n v="1"/>
    <n v="19"/>
    <b v="0"/>
    <n v="5"/>
    <x v="1"/>
    <x v="6"/>
    <x v="0"/>
    <x v="0"/>
    <n v="0.16"/>
    <x v="0"/>
    <n v="0.19700000000000001"/>
    <n v="0.59"/>
    <x v="1"/>
    <x v="1"/>
    <x v="0"/>
    <x v="121"/>
    <n v="92"/>
  </r>
  <r>
    <n v="321"/>
    <d v="2011-01-14T00:00:00"/>
    <n v="1"/>
    <n v="20"/>
    <b v="0"/>
    <n v="5"/>
    <x v="1"/>
    <x v="6"/>
    <x v="0"/>
    <x v="0"/>
    <n v="0.18"/>
    <x v="0"/>
    <n v="0.2424"/>
    <n v="0.59"/>
    <x v="1"/>
    <x v="0"/>
    <x v="3"/>
    <x v="56"/>
    <n v="68"/>
  </r>
  <r>
    <n v="322"/>
    <d v="2011-01-14T00:00:00"/>
    <n v="1"/>
    <n v="21"/>
    <b v="0"/>
    <n v="5"/>
    <x v="1"/>
    <x v="6"/>
    <x v="0"/>
    <x v="0"/>
    <n v="0.16"/>
    <x v="0"/>
    <n v="0.2273"/>
    <n v="0.69"/>
    <x v="1"/>
    <x v="0"/>
    <x v="17"/>
    <x v="41"/>
    <n v="52"/>
  </r>
  <r>
    <n v="323"/>
    <d v="2011-01-14T00:00:00"/>
    <n v="1"/>
    <n v="22"/>
    <b v="0"/>
    <n v="5"/>
    <x v="1"/>
    <x v="6"/>
    <x v="1"/>
    <x v="1"/>
    <n v="0.16"/>
    <x v="0"/>
    <n v="0.2273"/>
    <n v="0.69"/>
    <x v="1"/>
    <x v="0"/>
    <x v="4"/>
    <x v="60"/>
    <n v="36"/>
  </r>
  <r>
    <n v="324"/>
    <d v="2011-01-14T00:00:00"/>
    <n v="1"/>
    <n v="23"/>
    <b v="0"/>
    <n v="5"/>
    <x v="1"/>
    <x v="6"/>
    <x v="1"/>
    <x v="1"/>
    <n v="0.18"/>
    <x v="0"/>
    <n v="0.2424"/>
    <n v="0.55000000000000004"/>
    <x v="1"/>
    <x v="0"/>
    <x v="5"/>
    <x v="16"/>
    <n v="27"/>
  </r>
  <r>
    <n v="325"/>
    <d v="2011-01-15T00:00:00"/>
    <n v="1"/>
    <n v="0"/>
    <b v="0"/>
    <n v="6"/>
    <x v="0"/>
    <x v="0"/>
    <x v="0"/>
    <x v="0"/>
    <n v="0.18"/>
    <x v="0"/>
    <n v="0.2424"/>
    <n v="0.55000000000000004"/>
    <x v="1"/>
    <x v="0"/>
    <x v="0"/>
    <x v="18"/>
    <n v="28"/>
  </r>
  <r>
    <n v="326"/>
    <d v="2011-01-15T00:00:00"/>
    <n v="1"/>
    <n v="1"/>
    <b v="0"/>
    <n v="6"/>
    <x v="0"/>
    <x v="0"/>
    <x v="1"/>
    <x v="1"/>
    <n v="0.16"/>
    <x v="0"/>
    <n v="0.19700000000000001"/>
    <n v="0.59"/>
    <x v="1"/>
    <x v="1"/>
    <x v="4"/>
    <x v="72"/>
    <n v="20"/>
  </r>
  <r>
    <n v="327"/>
    <d v="2011-01-15T00:00:00"/>
    <n v="1"/>
    <n v="2"/>
    <b v="0"/>
    <n v="6"/>
    <x v="0"/>
    <x v="0"/>
    <x v="1"/>
    <x v="1"/>
    <n v="0.16"/>
    <x v="0"/>
    <n v="0.19700000000000001"/>
    <n v="0.59"/>
    <x v="1"/>
    <x v="1"/>
    <x v="3"/>
    <x v="98"/>
    <n v="12"/>
  </r>
  <r>
    <n v="328"/>
    <d v="2011-01-15T00:00:00"/>
    <n v="1"/>
    <n v="3"/>
    <b v="0"/>
    <n v="6"/>
    <x v="0"/>
    <x v="0"/>
    <x v="1"/>
    <x v="1"/>
    <n v="0.16"/>
    <x v="0"/>
    <n v="0.2273"/>
    <n v="0.59"/>
    <x v="1"/>
    <x v="0"/>
    <x v="5"/>
    <x v="7"/>
    <n v="8"/>
  </r>
  <r>
    <n v="329"/>
    <d v="2011-01-15T00:00:00"/>
    <n v="1"/>
    <n v="4"/>
    <b v="0"/>
    <n v="6"/>
    <x v="0"/>
    <x v="0"/>
    <x v="1"/>
    <x v="1"/>
    <n v="0.16"/>
    <x v="0"/>
    <n v="0.2273"/>
    <n v="0.59"/>
    <x v="1"/>
    <x v="0"/>
    <x v="3"/>
    <x v="34"/>
    <n v="5"/>
  </r>
  <r>
    <n v="330"/>
    <d v="2011-01-15T00:00:00"/>
    <n v="1"/>
    <n v="5"/>
    <b v="0"/>
    <n v="6"/>
    <x v="0"/>
    <x v="0"/>
    <x v="0"/>
    <x v="0"/>
    <n v="0.16"/>
    <x v="0"/>
    <n v="0.2273"/>
    <n v="0.59"/>
    <x v="1"/>
    <x v="0"/>
    <x v="3"/>
    <x v="4"/>
    <n v="1"/>
  </r>
  <r>
    <n v="331"/>
    <d v="2011-01-15T00:00:00"/>
    <n v="1"/>
    <n v="6"/>
    <b v="0"/>
    <n v="6"/>
    <x v="0"/>
    <x v="0"/>
    <x v="0"/>
    <x v="0"/>
    <n v="0.14000000000000001"/>
    <x v="0"/>
    <n v="0.16669999999999999"/>
    <n v="0.63"/>
    <x v="1"/>
    <x v="14"/>
    <x v="5"/>
    <x v="6"/>
    <n v="3"/>
  </r>
  <r>
    <n v="332"/>
    <d v="2011-01-15T00:00:00"/>
    <n v="1"/>
    <n v="7"/>
    <b v="0"/>
    <n v="6"/>
    <x v="0"/>
    <x v="0"/>
    <x v="0"/>
    <x v="0"/>
    <n v="0.14000000000000001"/>
    <x v="0"/>
    <n v="0.21210000000000001"/>
    <n v="0.63"/>
    <x v="1"/>
    <x v="0"/>
    <x v="5"/>
    <x v="33"/>
    <n v="10"/>
  </r>
  <r>
    <n v="333"/>
    <d v="2011-01-15T00:00:00"/>
    <n v="1"/>
    <n v="8"/>
    <b v="0"/>
    <n v="6"/>
    <x v="0"/>
    <x v="0"/>
    <x v="0"/>
    <x v="0"/>
    <n v="0.14000000000000001"/>
    <x v="0"/>
    <n v="0.1515"/>
    <n v="0.63"/>
    <x v="1"/>
    <x v="7"/>
    <x v="5"/>
    <x v="97"/>
    <n v="23"/>
  </r>
  <r>
    <n v="334"/>
    <d v="2011-01-15T00:00:00"/>
    <n v="1"/>
    <n v="9"/>
    <b v="0"/>
    <n v="6"/>
    <x v="0"/>
    <x v="0"/>
    <x v="0"/>
    <x v="0"/>
    <n v="0.16"/>
    <x v="0"/>
    <n v="0.18179999999999999"/>
    <n v="0.64"/>
    <x v="1"/>
    <x v="7"/>
    <x v="4"/>
    <x v="17"/>
    <n v="33"/>
  </r>
  <r>
    <n v="335"/>
    <d v="2011-01-15T00:00:00"/>
    <n v="1"/>
    <n v="10"/>
    <b v="0"/>
    <n v="6"/>
    <x v="0"/>
    <x v="0"/>
    <x v="0"/>
    <x v="0"/>
    <n v="0.18"/>
    <x v="0"/>
    <n v="0.19700000000000001"/>
    <n v="0.59"/>
    <x v="1"/>
    <x v="8"/>
    <x v="4"/>
    <x v="77"/>
    <n v="59"/>
  </r>
  <r>
    <n v="336"/>
    <d v="2011-01-15T00:00:00"/>
    <n v="1"/>
    <n v="11"/>
    <b v="0"/>
    <n v="6"/>
    <x v="0"/>
    <x v="0"/>
    <x v="0"/>
    <x v="0"/>
    <n v="0.2"/>
    <x v="0"/>
    <n v="0.19700000000000001"/>
    <n v="0.55000000000000004"/>
    <x v="1"/>
    <x v="6"/>
    <x v="25"/>
    <x v="25"/>
    <n v="72"/>
  </r>
  <r>
    <n v="337"/>
    <d v="2011-01-15T00:00:00"/>
    <n v="1"/>
    <n v="12"/>
    <b v="0"/>
    <n v="6"/>
    <x v="0"/>
    <x v="0"/>
    <x v="0"/>
    <x v="0"/>
    <n v="0.24"/>
    <x v="0"/>
    <n v="0.2273"/>
    <n v="0.48"/>
    <x v="1"/>
    <x v="6"/>
    <x v="13"/>
    <x v="64"/>
    <n v="89"/>
  </r>
  <r>
    <n v="338"/>
    <d v="2011-01-15T00:00:00"/>
    <n v="1"/>
    <n v="13"/>
    <b v="0"/>
    <n v="6"/>
    <x v="0"/>
    <x v="0"/>
    <x v="0"/>
    <x v="0"/>
    <n v="0.28000000000000003"/>
    <x v="0"/>
    <n v="0.2576"/>
    <n v="0.38"/>
    <x v="1"/>
    <x v="4"/>
    <x v="27"/>
    <x v="122"/>
    <n v="101"/>
  </r>
  <r>
    <n v="339"/>
    <d v="2011-01-15T00:00:00"/>
    <n v="1"/>
    <n v="14"/>
    <b v="0"/>
    <n v="6"/>
    <x v="0"/>
    <x v="0"/>
    <x v="0"/>
    <x v="0"/>
    <n v="0.3"/>
    <x v="0"/>
    <n v="0.28789999999999999"/>
    <n v="0.39"/>
    <x v="1"/>
    <x v="3"/>
    <x v="7"/>
    <x v="50"/>
    <n v="118"/>
  </r>
  <r>
    <n v="340"/>
    <d v="2011-01-15T00:00:00"/>
    <n v="1"/>
    <n v="15"/>
    <b v="0"/>
    <n v="6"/>
    <x v="0"/>
    <x v="0"/>
    <x v="1"/>
    <x v="1"/>
    <n v="0.32"/>
    <x v="0"/>
    <n v="0.31819999999999998"/>
    <n v="0.36"/>
    <x v="1"/>
    <x v="5"/>
    <x v="27"/>
    <x v="123"/>
    <n v="129"/>
  </r>
  <r>
    <n v="341"/>
    <d v="2011-01-15T00:00:00"/>
    <n v="1"/>
    <n v="16"/>
    <b v="0"/>
    <n v="6"/>
    <x v="0"/>
    <x v="0"/>
    <x v="1"/>
    <x v="1"/>
    <n v="0.34"/>
    <x v="0"/>
    <n v="0.33329999999999999"/>
    <n v="0.34"/>
    <x v="1"/>
    <x v="5"/>
    <x v="28"/>
    <x v="73"/>
    <n v="128"/>
  </r>
  <r>
    <n v="342"/>
    <d v="2011-01-15T00:00:00"/>
    <n v="1"/>
    <n v="17"/>
    <b v="0"/>
    <n v="6"/>
    <x v="0"/>
    <x v="0"/>
    <x v="1"/>
    <x v="1"/>
    <n v="0.32"/>
    <x v="0"/>
    <n v="0.30299999999999999"/>
    <n v="0.36"/>
    <x v="1"/>
    <x v="3"/>
    <x v="8"/>
    <x v="25"/>
    <n v="83"/>
  </r>
  <r>
    <n v="343"/>
    <d v="2011-01-15T00:00:00"/>
    <n v="1"/>
    <n v="18"/>
    <b v="0"/>
    <n v="6"/>
    <x v="0"/>
    <x v="0"/>
    <x v="1"/>
    <x v="1"/>
    <n v="0.3"/>
    <x v="0"/>
    <n v="0.28789999999999999"/>
    <n v="0.45"/>
    <x v="1"/>
    <x v="2"/>
    <x v="13"/>
    <x v="94"/>
    <n v="84"/>
  </r>
  <r>
    <n v="344"/>
    <d v="2011-01-15T00:00:00"/>
    <n v="1"/>
    <n v="19"/>
    <b v="0"/>
    <n v="6"/>
    <x v="0"/>
    <x v="0"/>
    <x v="1"/>
    <x v="1"/>
    <n v="0.32"/>
    <x v="0"/>
    <n v="0.30299999999999999"/>
    <n v="0.39"/>
    <x v="1"/>
    <x v="2"/>
    <x v="24"/>
    <x v="91"/>
    <n v="74"/>
  </r>
  <r>
    <n v="345"/>
    <d v="2011-01-15T00:00:00"/>
    <n v="1"/>
    <n v="20"/>
    <b v="0"/>
    <n v="6"/>
    <x v="0"/>
    <x v="0"/>
    <x v="1"/>
    <x v="1"/>
    <n v="0.32"/>
    <x v="0"/>
    <n v="0.30299999999999999"/>
    <n v="0.39"/>
    <x v="1"/>
    <x v="2"/>
    <x v="15"/>
    <x v="96"/>
    <n v="41"/>
  </r>
  <r>
    <n v="346"/>
    <d v="2011-01-15T00:00:00"/>
    <n v="1"/>
    <n v="21"/>
    <b v="0"/>
    <n v="6"/>
    <x v="0"/>
    <x v="0"/>
    <x v="1"/>
    <x v="1"/>
    <n v="0.32"/>
    <x v="0"/>
    <n v="0.30299999999999999"/>
    <n v="0.39"/>
    <x v="1"/>
    <x v="6"/>
    <x v="15"/>
    <x v="82"/>
    <n v="57"/>
  </r>
  <r>
    <n v="347"/>
    <d v="2011-01-15T00:00:00"/>
    <n v="1"/>
    <n v="22"/>
    <b v="0"/>
    <n v="6"/>
    <x v="0"/>
    <x v="0"/>
    <x v="1"/>
    <x v="1"/>
    <n v="0.3"/>
    <x v="0"/>
    <n v="0.31819999999999998"/>
    <n v="0.42"/>
    <x v="1"/>
    <x v="14"/>
    <x v="3"/>
    <x v="16"/>
    <n v="26"/>
  </r>
  <r>
    <n v="348"/>
    <d v="2011-01-15T00:00:00"/>
    <n v="1"/>
    <n v="23"/>
    <b v="0"/>
    <n v="6"/>
    <x v="0"/>
    <x v="0"/>
    <x v="0"/>
    <x v="0"/>
    <n v="0.3"/>
    <x v="0"/>
    <n v="0.28789999999999999"/>
    <n v="0.45"/>
    <x v="1"/>
    <x v="3"/>
    <x v="2"/>
    <x v="87"/>
    <n v="44"/>
  </r>
  <r>
    <n v="349"/>
    <d v="2011-01-16T00:00:00"/>
    <n v="1"/>
    <n v="0"/>
    <b v="0"/>
    <n v="0"/>
    <x v="0"/>
    <x v="1"/>
    <x v="0"/>
    <x v="0"/>
    <n v="0.26"/>
    <x v="0"/>
    <n v="0.30299999999999999"/>
    <n v="0.56000000000000005"/>
    <x v="1"/>
    <x v="0"/>
    <x v="15"/>
    <x v="39"/>
    <n v="39"/>
  </r>
  <r>
    <n v="350"/>
    <d v="2011-01-16T00:00:00"/>
    <n v="1"/>
    <n v="1"/>
    <b v="0"/>
    <n v="0"/>
    <x v="0"/>
    <x v="1"/>
    <x v="0"/>
    <x v="0"/>
    <n v="0.26"/>
    <x v="0"/>
    <n v="0.2727"/>
    <n v="0.56000000000000005"/>
    <x v="1"/>
    <x v="7"/>
    <x v="17"/>
    <x v="23"/>
    <n v="23"/>
  </r>
  <r>
    <n v="351"/>
    <d v="2011-01-16T00:00:00"/>
    <n v="1"/>
    <n v="2"/>
    <b v="0"/>
    <n v="0"/>
    <x v="0"/>
    <x v="1"/>
    <x v="0"/>
    <x v="0"/>
    <n v="0.26"/>
    <x v="0"/>
    <n v="0.28789999999999999"/>
    <n v="0.56000000000000005"/>
    <x v="1"/>
    <x v="1"/>
    <x v="0"/>
    <x v="0"/>
    <n v="16"/>
  </r>
  <r>
    <n v="352"/>
    <d v="2011-01-16T00:00:00"/>
    <n v="1"/>
    <n v="3"/>
    <b v="0"/>
    <n v="0"/>
    <x v="0"/>
    <x v="1"/>
    <x v="0"/>
    <x v="0"/>
    <n v="0.22"/>
    <x v="0"/>
    <n v="0.2727"/>
    <n v="0.69"/>
    <x v="1"/>
    <x v="0"/>
    <x v="14"/>
    <x v="8"/>
    <n v="15"/>
  </r>
  <r>
    <n v="353"/>
    <d v="2011-01-16T00:00:00"/>
    <n v="1"/>
    <n v="4"/>
    <b v="0"/>
    <n v="0"/>
    <x v="0"/>
    <x v="1"/>
    <x v="0"/>
    <x v="0"/>
    <n v="0.26"/>
    <x v="0"/>
    <n v="0.2576"/>
    <n v="0.56000000000000005"/>
    <x v="1"/>
    <x v="8"/>
    <x v="3"/>
    <x v="4"/>
    <n v="1"/>
  </r>
  <r>
    <n v="354"/>
    <d v="2011-01-16T00:00:00"/>
    <n v="1"/>
    <n v="5"/>
    <b v="0"/>
    <n v="0"/>
    <x v="0"/>
    <x v="1"/>
    <x v="1"/>
    <x v="1"/>
    <n v="0.26"/>
    <x v="0"/>
    <n v="0.2576"/>
    <n v="0.56000000000000005"/>
    <x v="1"/>
    <x v="8"/>
    <x v="5"/>
    <x v="4"/>
    <n v="2"/>
  </r>
  <r>
    <n v="355"/>
    <d v="2011-01-16T00:00:00"/>
    <n v="1"/>
    <n v="6"/>
    <b v="0"/>
    <n v="0"/>
    <x v="0"/>
    <x v="1"/>
    <x v="1"/>
    <x v="1"/>
    <n v="0.26"/>
    <x v="0"/>
    <n v="0.2576"/>
    <n v="0.56000000000000005"/>
    <x v="1"/>
    <x v="8"/>
    <x v="3"/>
    <x v="4"/>
    <n v="1"/>
  </r>
  <r>
    <n v="356"/>
    <d v="2011-01-16T00:00:00"/>
    <n v="1"/>
    <n v="7"/>
    <b v="0"/>
    <n v="0"/>
    <x v="0"/>
    <x v="1"/>
    <x v="1"/>
    <x v="1"/>
    <n v="0.24"/>
    <x v="0"/>
    <n v="0.21210000000000001"/>
    <n v="0.56000000000000005"/>
    <x v="1"/>
    <x v="4"/>
    <x v="3"/>
    <x v="35"/>
    <n v="3"/>
  </r>
  <r>
    <n v="357"/>
    <d v="2011-01-16T00:00:00"/>
    <n v="1"/>
    <n v="8"/>
    <b v="0"/>
    <n v="0"/>
    <x v="0"/>
    <x v="1"/>
    <x v="0"/>
    <x v="0"/>
    <n v="0.22"/>
    <x v="0"/>
    <n v="0.21210000000000001"/>
    <n v="0.55000000000000004"/>
    <x v="1"/>
    <x v="3"/>
    <x v="3"/>
    <x v="72"/>
    <n v="18"/>
  </r>
  <r>
    <n v="358"/>
    <d v="2011-01-16T00:00:00"/>
    <n v="1"/>
    <n v="9"/>
    <b v="0"/>
    <n v="0"/>
    <x v="0"/>
    <x v="1"/>
    <x v="0"/>
    <x v="0"/>
    <n v="0.22"/>
    <x v="0"/>
    <n v="0.21210000000000001"/>
    <n v="0.51"/>
    <x v="1"/>
    <x v="2"/>
    <x v="0"/>
    <x v="31"/>
    <n v="32"/>
  </r>
  <r>
    <n v="359"/>
    <d v="2011-01-16T00:00:00"/>
    <n v="1"/>
    <n v="10"/>
    <b v="0"/>
    <n v="0"/>
    <x v="0"/>
    <x v="1"/>
    <x v="0"/>
    <x v="0"/>
    <n v="0.22"/>
    <x v="0"/>
    <n v="0.21210000000000001"/>
    <n v="0.51"/>
    <x v="1"/>
    <x v="3"/>
    <x v="1"/>
    <x v="13"/>
    <n v="79"/>
  </r>
  <r>
    <n v="360"/>
    <d v="2011-01-16T00:00:00"/>
    <n v="1"/>
    <n v="11"/>
    <b v="0"/>
    <n v="0"/>
    <x v="0"/>
    <x v="1"/>
    <x v="0"/>
    <x v="0"/>
    <n v="0.24"/>
    <x v="0"/>
    <n v="0.2273"/>
    <n v="0.44"/>
    <x v="1"/>
    <x v="2"/>
    <x v="29"/>
    <x v="14"/>
    <n v="93"/>
  </r>
  <r>
    <n v="361"/>
    <d v="2011-01-16T00:00:00"/>
    <n v="1"/>
    <n v="12"/>
    <b v="0"/>
    <n v="0"/>
    <x v="0"/>
    <x v="1"/>
    <x v="0"/>
    <x v="0"/>
    <n v="0.24"/>
    <x v="0"/>
    <n v="0.21210000000000001"/>
    <n v="0.41"/>
    <x v="1"/>
    <x v="3"/>
    <x v="8"/>
    <x v="102"/>
    <n v="104"/>
  </r>
  <r>
    <n v="362"/>
    <d v="2011-01-16T00:00:00"/>
    <n v="1"/>
    <n v="13"/>
    <b v="0"/>
    <n v="0"/>
    <x v="0"/>
    <x v="1"/>
    <x v="0"/>
    <x v="0"/>
    <n v="0.26"/>
    <x v="0"/>
    <n v="0.2273"/>
    <n v="0.35"/>
    <x v="1"/>
    <x v="4"/>
    <x v="29"/>
    <x v="73"/>
    <n v="118"/>
  </r>
  <r>
    <n v="363"/>
    <d v="2011-01-16T00:00:00"/>
    <n v="1"/>
    <n v="14"/>
    <b v="0"/>
    <n v="0"/>
    <x v="0"/>
    <x v="1"/>
    <x v="0"/>
    <x v="0"/>
    <n v="0.28000000000000003"/>
    <x v="0"/>
    <n v="0.2727"/>
    <n v="0.36"/>
    <x v="1"/>
    <x v="2"/>
    <x v="30"/>
    <x v="94"/>
    <n v="91"/>
  </r>
  <r>
    <n v="364"/>
    <d v="2011-01-16T00:00:00"/>
    <n v="1"/>
    <n v="15"/>
    <b v="0"/>
    <n v="0"/>
    <x v="0"/>
    <x v="1"/>
    <x v="0"/>
    <x v="0"/>
    <n v="0.26"/>
    <x v="0"/>
    <n v="0.2424"/>
    <n v="0.38"/>
    <x v="1"/>
    <x v="2"/>
    <x v="10"/>
    <x v="78"/>
    <n v="113"/>
  </r>
  <r>
    <n v="365"/>
    <d v="2011-01-16T00:00:00"/>
    <n v="1"/>
    <n v="16"/>
    <b v="0"/>
    <n v="0"/>
    <x v="0"/>
    <x v="1"/>
    <x v="0"/>
    <x v="0"/>
    <n v="0.24"/>
    <x v="0"/>
    <n v="0.2273"/>
    <n v="0.38"/>
    <x v="1"/>
    <x v="6"/>
    <x v="30"/>
    <x v="99"/>
    <n v="99"/>
  </r>
  <r>
    <n v="366"/>
    <d v="2011-01-16T00:00:00"/>
    <n v="1"/>
    <n v="17"/>
    <b v="0"/>
    <n v="0"/>
    <x v="0"/>
    <x v="1"/>
    <x v="0"/>
    <x v="0"/>
    <n v="0.22"/>
    <x v="0"/>
    <n v="0.21210000000000001"/>
    <n v="0.37"/>
    <x v="1"/>
    <x v="2"/>
    <x v="29"/>
    <x v="70"/>
    <n v="105"/>
  </r>
  <r>
    <n v="367"/>
    <d v="2011-01-16T00:00:00"/>
    <n v="1"/>
    <n v="18"/>
    <b v="0"/>
    <n v="0"/>
    <x v="0"/>
    <x v="1"/>
    <x v="0"/>
    <x v="0"/>
    <n v="0.2"/>
    <x v="0"/>
    <n v="0.21210000000000001"/>
    <n v="0.4"/>
    <x v="1"/>
    <x v="8"/>
    <x v="16"/>
    <x v="90"/>
    <n v="67"/>
  </r>
  <r>
    <n v="368"/>
    <d v="2011-01-16T00:00:00"/>
    <n v="1"/>
    <n v="19"/>
    <b v="0"/>
    <n v="0"/>
    <x v="0"/>
    <x v="1"/>
    <x v="0"/>
    <x v="0"/>
    <n v="0.18"/>
    <x v="0"/>
    <n v="0.19700000000000001"/>
    <n v="0.47"/>
    <x v="1"/>
    <x v="7"/>
    <x v="24"/>
    <x v="12"/>
    <n v="61"/>
  </r>
  <r>
    <n v="369"/>
    <d v="2011-01-16T00:00:00"/>
    <n v="1"/>
    <n v="20"/>
    <b v="0"/>
    <n v="0"/>
    <x v="0"/>
    <x v="1"/>
    <x v="0"/>
    <x v="0"/>
    <n v="0.18"/>
    <x v="0"/>
    <n v="0.19700000000000001"/>
    <n v="0.47"/>
    <x v="1"/>
    <x v="8"/>
    <x v="18"/>
    <x v="54"/>
    <n v="57"/>
  </r>
  <r>
    <n v="370"/>
    <d v="2011-01-16T00:00:00"/>
    <n v="1"/>
    <n v="21"/>
    <b v="0"/>
    <n v="0"/>
    <x v="0"/>
    <x v="1"/>
    <x v="0"/>
    <x v="0"/>
    <n v="0.18"/>
    <x v="0"/>
    <n v="0.19700000000000001"/>
    <n v="0.51"/>
    <x v="1"/>
    <x v="8"/>
    <x v="15"/>
    <x v="97"/>
    <n v="28"/>
  </r>
  <r>
    <n v="371"/>
    <d v="2011-01-16T00:00:00"/>
    <n v="1"/>
    <n v="22"/>
    <b v="0"/>
    <n v="0"/>
    <x v="0"/>
    <x v="1"/>
    <x v="1"/>
    <x v="1"/>
    <n v="0.2"/>
    <x v="0"/>
    <n v="0.21210000000000001"/>
    <n v="0.49"/>
    <x v="1"/>
    <x v="7"/>
    <x v="4"/>
    <x v="23"/>
    <n v="21"/>
  </r>
  <r>
    <n v="372"/>
    <d v="2011-01-16T00:00:00"/>
    <n v="1"/>
    <n v="23"/>
    <b v="0"/>
    <n v="0"/>
    <x v="0"/>
    <x v="1"/>
    <x v="1"/>
    <x v="1"/>
    <n v="0.2"/>
    <x v="0"/>
    <n v="0.2273"/>
    <n v="0.4"/>
    <x v="1"/>
    <x v="14"/>
    <x v="3"/>
    <x v="72"/>
    <n v="18"/>
  </r>
  <r>
    <n v="373"/>
    <d v="2011-01-17T00:00:00"/>
    <n v="1"/>
    <n v="0"/>
    <b v="1"/>
    <n v="1"/>
    <x v="1"/>
    <x v="2"/>
    <x v="1"/>
    <x v="1"/>
    <n v="0.2"/>
    <x v="0"/>
    <n v="0.19700000000000001"/>
    <n v="0.47"/>
    <x v="1"/>
    <x v="6"/>
    <x v="5"/>
    <x v="20"/>
    <n v="17"/>
  </r>
  <r>
    <n v="374"/>
    <d v="2011-01-17T00:00:00"/>
    <n v="1"/>
    <n v="1"/>
    <b v="1"/>
    <n v="1"/>
    <x v="1"/>
    <x v="2"/>
    <x v="1"/>
    <x v="1"/>
    <n v="0.2"/>
    <x v="0"/>
    <n v="0.19700000000000001"/>
    <n v="0.44"/>
    <x v="1"/>
    <x v="5"/>
    <x v="5"/>
    <x v="89"/>
    <n v="16"/>
  </r>
  <r>
    <n v="375"/>
    <d v="2011-01-17T00:00:00"/>
    <n v="1"/>
    <n v="2"/>
    <b v="1"/>
    <n v="1"/>
    <x v="1"/>
    <x v="2"/>
    <x v="1"/>
    <x v="1"/>
    <n v="0.18"/>
    <x v="0"/>
    <n v="0.16669999999999999"/>
    <n v="0.43"/>
    <x v="1"/>
    <x v="2"/>
    <x v="3"/>
    <x v="21"/>
    <n v="8"/>
  </r>
  <r>
    <n v="376"/>
    <d v="2011-01-17T00:00:00"/>
    <n v="1"/>
    <n v="3"/>
    <b v="1"/>
    <n v="1"/>
    <x v="1"/>
    <x v="2"/>
    <x v="1"/>
    <x v="1"/>
    <n v="0.18"/>
    <x v="0"/>
    <n v="0.18179999999999999"/>
    <n v="0.43"/>
    <x v="1"/>
    <x v="5"/>
    <x v="3"/>
    <x v="6"/>
    <n v="2"/>
  </r>
  <r>
    <n v="377"/>
    <d v="2011-01-17T00:00:00"/>
    <n v="1"/>
    <n v="4"/>
    <b v="1"/>
    <n v="1"/>
    <x v="1"/>
    <x v="2"/>
    <x v="1"/>
    <x v="1"/>
    <n v="0.18"/>
    <x v="0"/>
    <n v="0.19700000000000001"/>
    <n v="0.43"/>
    <x v="1"/>
    <x v="7"/>
    <x v="5"/>
    <x v="6"/>
    <n v="3"/>
  </r>
  <r>
    <n v="378"/>
    <d v="2011-01-17T00:00:00"/>
    <n v="1"/>
    <n v="5"/>
    <b v="1"/>
    <n v="1"/>
    <x v="1"/>
    <x v="2"/>
    <x v="1"/>
    <x v="1"/>
    <n v="0.18"/>
    <x v="0"/>
    <n v="0.19700000000000001"/>
    <n v="0.43"/>
    <x v="1"/>
    <x v="8"/>
    <x v="3"/>
    <x v="4"/>
    <n v="1"/>
  </r>
  <r>
    <n v="379"/>
    <d v="2011-01-17T00:00:00"/>
    <n v="1"/>
    <n v="6"/>
    <b v="1"/>
    <n v="1"/>
    <x v="1"/>
    <x v="2"/>
    <x v="1"/>
    <x v="1"/>
    <n v="0.18"/>
    <x v="0"/>
    <n v="0.18179999999999999"/>
    <n v="0.43"/>
    <x v="1"/>
    <x v="5"/>
    <x v="3"/>
    <x v="34"/>
    <n v="5"/>
  </r>
  <r>
    <n v="380"/>
    <d v="2011-01-17T00:00:00"/>
    <n v="1"/>
    <n v="7"/>
    <b v="1"/>
    <n v="1"/>
    <x v="1"/>
    <x v="2"/>
    <x v="1"/>
    <x v="1"/>
    <n v="0.16"/>
    <x v="0"/>
    <n v="0.18179999999999999"/>
    <n v="0.5"/>
    <x v="1"/>
    <x v="7"/>
    <x v="17"/>
    <x v="33"/>
    <n v="13"/>
  </r>
  <r>
    <n v="381"/>
    <d v="2011-01-17T00:00:00"/>
    <n v="1"/>
    <n v="8"/>
    <b v="1"/>
    <n v="1"/>
    <x v="1"/>
    <x v="2"/>
    <x v="1"/>
    <x v="1"/>
    <n v="0.16"/>
    <x v="0"/>
    <n v="0.1515"/>
    <n v="0.47"/>
    <x v="1"/>
    <x v="6"/>
    <x v="0"/>
    <x v="10"/>
    <n v="33"/>
  </r>
  <r>
    <n v="382"/>
    <d v="2011-01-17T00:00:00"/>
    <n v="1"/>
    <n v="9"/>
    <b v="1"/>
    <n v="1"/>
    <x v="1"/>
    <x v="2"/>
    <x v="1"/>
    <x v="1"/>
    <n v="0.16"/>
    <x v="0"/>
    <n v="0.1515"/>
    <n v="0.47"/>
    <x v="1"/>
    <x v="6"/>
    <x v="1"/>
    <x v="87"/>
    <n v="47"/>
  </r>
  <r>
    <n v="383"/>
    <d v="2011-01-17T00:00:00"/>
    <n v="1"/>
    <n v="10"/>
    <b v="1"/>
    <n v="1"/>
    <x v="1"/>
    <x v="2"/>
    <x v="1"/>
    <x v="1"/>
    <n v="0.16"/>
    <x v="0"/>
    <n v="0.1515"/>
    <n v="0.5"/>
    <x v="1"/>
    <x v="2"/>
    <x v="18"/>
    <x v="54"/>
    <n v="57"/>
  </r>
  <r>
    <n v="384"/>
    <d v="2011-01-17T00:00:00"/>
    <n v="1"/>
    <n v="11"/>
    <b v="1"/>
    <n v="1"/>
    <x v="1"/>
    <x v="2"/>
    <x v="1"/>
    <x v="1"/>
    <n v="0.16"/>
    <x v="0"/>
    <n v="0.1515"/>
    <n v="0.55000000000000004"/>
    <x v="1"/>
    <x v="5"/>
    <x v="14"/>
    <x v="11"/>
    <n v="64"/>
  </r>
  <r>
    <n v="385"/>
    <d v="2011-01-17T00:00:00"/>
    <n v="1"/>
    <n v="12"/>
    <b v="1"/>
    <n v="1"/>
    <x v="1"/>
    <x v="2"/>
    <x v="1"/>
    <x v="1"/>
    <n v="0.18"/>
    <x v="0"/>
    <n v="0.19700000000000001"/>
    <n v="0.47"/>
    <x v="1"/>
    <x v="7"/>
    <x v="22"/>
    <x v="14"/>
    <n v="80"/>
  </r>
  <r>
    <n v="386"/>
    <d v="2011-01-17T00:00:00"/>
    <n v="1"/>
    <n v="13"/>
    <b v="1"/>
    <n v="1"/>
    <x v="1"/>
    <x v="2"/>
    <x v="1"/>
    <x v="1"/>
    <n v="0.18"/>
    <x v="0"/>
    <n v="0.19700000000000001"/>
    <n v="0.47"/>
    <x v="1"/>
    <x v="7"/>
    <x v="23"/>
    <x v="122"/>
    <n v="93"/>
  </r>
  <r>
    <n v="387"/>
    <d v="2011-01-17T00:00:00"/>
    <n v="1"/>
    <n v="14"/>
    <b v="1"/>
    <n v="1"/>
    <x v="1"/>
    <x v="2"/>
    <x v="1"/>
    <x v="1"/>
    <n v="0.18"/>
    <x v="0"/>
    <n v="0.21210000000000001"/>
    <n v="0.43"/>
    <x v="1"/>
    <x v="14"/>
    <x v="6"/>
    <x v="64"/>
    <n v="86"/>
  </r>
  <r>
    <n v="388"/>
    <d v="2011-01-17T00:00:00"/>
    <n v="1"/>
    <n v="15"/>
    <b v="1"/>
    <n v="1"/>
    <x v="1"/>
    <x v="2"/>
    <x v="1"/>
    <x v="1"/>
    <n v="0.2"/>
    <x v="0"/>
    <n v="0.21210000000000001"/>
    <n v="0.47"/>
    <x v="1"/>
    <x v="8"/>
    <x v="27"/>
    <x v="109"/>
    <n v="93"/>
  </r>
  <r>
    <n v="389"/>
    <d v="2011-01-17T00:00:00"/>
    <n v="1"/>
    <n v="16"/>
    <b v="1"/>
    <n v="1"/>
    <x v="1"/>
    <x v="2"/>
    <x v="1"/>
    <x v="1"/>
    <n v="0.2"/>
    <x v="0"/>
    <n v="0.21210000000000001"/>
    <n v="0.47"/>
    <x v="1"/>
    <x v="8"/>
    <x v="15"/>
    <x v="83"/>
    <n v="82"/>
  </r>
  <r>
    <n v="390"/>
    <d v="2011-01-17T00:00:00"/>
    <n v="1"/>
    <n v="17"/>
    <b v="1"/>
    <n v="1"/>
    <x v="1"/>
    <x v="2"/>
    <x v="0"/>
    <x v="0"/>
    <n v="0.2"/>
    <x v="0"/>
    <n v="0.19700000000000001"/>
    <n v="0.51"/>
    <x v="1"/>
    <x v="5"/>
    <x v="17"/>
    <x v="28"/>
    <n v="71"/>
  </r>
  <r>
    <n v="391"/>
    <d v="2011-01-17T00:00:00"/>
    <n v="1"/>
    <n v="18"/>
    <b v="1"/>
    <n v="1"/>
    <x v="1"/>
    <x v="2"/>
    <x v="1"/>
    <x v="1"/>
    <n v="0.18"/>
    <x v="0"/>
    <n v="0.16669999999999999"/>
    <n v="0.55000000000000004"/>
    <x v="1"/>
    <x v="2"/>
    <x v="18"/>
    <x v="66"/>
    <n v="92"/>
  </r>
  <r>
    <n v="392"/>
    <d v="2011-01-17T00:00:00"/>
    <n v="1"/>
    <n v="19"/>
    <b v="1"/>
    <n v="1"/>
    <x v="1"/>
    <x v="2"/>
    <x v="2"/>
    <x v="2"/>
    <n v="0.18"/>
    <x v="0"/>
    <n v="0.18179999999999999"/>
    <n v="0.59"/>
    <x v="1"/>
    <x v="5"/>
    <x v="4"/>
    <x v="29"/>
    <n v="60"/>
  </r>
  <r>
    <n v="393"/>
    <d v="2011-01-17T00:00:00"/>
    <n v="1"/>
    <n v="20"/>
    <b v="1"/>
    <n v="1"/>
    <x v="1"/>
    <x v="2"/>
    <x v="2"/>
    <x v="2"/>
    <n v="0.16"/>
    <x v="0"/>
    <n v="0.1515"/>
    <n v="0.8"/>
    <x v="0"/>
    <x v="5"/>
    <x v="17"/>
    <x v="31"/>
    <n v="33"/>
  </r>
  <r>
    <n v="394"/>
    <d v="2011-01-17T00:00:00"/>
    <n v="1"/>
    <n v="21"/>
    <b v="1"/>
    <n v="1"/>
    <x v="1"/>
    <x v="2"/>
    <x v="2"/>
    <x v="2"/>
    <n v="0.16"/>
    <x v="0"/>
    <n v="0.1515"/>
    <n v="0.8"/>
    <x v="0"/>
    <x v="5"/>
    <x v="0"/>
    <x v="9"/>
    <n v="27"/>
  </r>
  <r>
    <n v="395"/>
    <d v="2011-01-17T00:00:00"/>
    <n v="1"/>
    <n v="22"/>
    <b v="1"/>
    <n v="1"/>
    <x v="1"/>
    <x v="2"/>
    <x v="2"/>
    <x v="2"/>
    <n v="0.14000000000000001"/>
    <x v="0"/>
    <n v="0.1212"/>
    <n v="0.93"/>
    <x v="0"/>
    <x v="2"/>
    <x v="3"/>
    <x v="0"/>
    <n v="13"/>
  </r>
  <r>
    <n v="396"/>
    <d v="2011-01-17T00:00:00"/>
    <n v="1"/>
    <n v="23"/>
    <b v="1"/>
    <n v="1"/>
    <x v="1"/>
    <x v="2"/>
    <x v="2"/>
    <x v="2"/>
    <n v="0.16"/>
    <x v="0"/>
    <n v="0.13639999999999999"/>
    <n v="0.86"/>
    <x v="0"/>
    <x v="3"/>
    <x v="5"/>
    <x v="35"/>
    <n v="4"/>
  </r>
  <r>
    <n v="397"/>
    <d v="2011-01-18T00:00:00"/>
    <n v="1"/>
    <n v="12"/>
    <b v="0"/>
    <n v="2"/>
    <x v="1"/>
    <x v="3"/>
    <x v="1"/>
    <x v="1"/>
    <n v="0.2"/>
    <x v="0"/>
    <n v="0.18179999999999999"/>
    <n v="0.86"/>
    <x v="0"/>
    <x v="9"/>
    <x v="3"/>
    <x v="35"/>
    <n v="3"/>
  </r>
  <r>
    <n v="398"/>
    <d v="2011-01-18T00:00:00"/>
    <n v="1"/>
    <n v="13"/>
    <b v="0"/>
    <n v="2"/>
    <x v="1"/>
    <x v="3"/>
    <x v="1"/>
    <x v="1"/>
    <n v="0.2"/>
    <x v="0"/>
    <n v="0.19700000000000001"/>
    <n v="0.86"/>
    <x v="0"/>
    <x v="6"/>
    <x v="3"/>
    <x v="97"/>
    <n v="22"/>
  </r>
  <r>
    <n v="399"/>
    <d v="2011-01-18T00:00:00"/>
    <n v="1"/>
    <n v="14"/>
    <b v="0"/>
    <n v="2"/>
    <x v="1"/>
    <x v="3"/>
    <x v="1"/>
    <x v="1"/>
    <n v="0.22"/>
    <x v="0"/>
    <n v="0.2273"/>
    <n v="0.8"/>
    <x v="0"/>
    <x v="8"/>
    <x v="4"/>
    <x v="16"/>
    <n v="28"/>
  </r>
  <r>
    <n v="400"/>
    <d v="2011-01-18T00:00:00"/>
    <n v="1"/>
    <n v="15"/>
    <b v="0"/>
    <n v="2"/>
    <x v="1"/>
    <x v="3"/>
    <x v="1"/>
    <x v="1"/>
    <n v="0.22"/>
    <x v="0"/>
    <n v="0.2273"/>
    <n v="0.87"/>
    <x v="0"/>
    <x v="8"/>
    <x v="0"/>
    <x v="1"/>
    <n v="35"/>
  </r>
  <r>
    <n v="401"/>
    <d v="2011-01-18T00:00:00"/>
    <n v="1"/>
    <n v="16"/>
    <b v="0"/>
    <n v="2"/>
    <x v="1"/>
    <x v="3"/>
    <x v="1"/>
    <x v="1"/>
    <n v="0.22"/>
    <x v="0"/>
    <n v="0.2273"/>
    <n v="0.87"/>
    <x v="0"/>
    <x v="5"/>
    <x v="3"/>
    <x v="124"/>
    <n v="61"/>
  </r>
  <r>
    <n v="402"/>
    <d v="2011-01-18T00:00:00"/>
    <n v="1"/>
    <n v="17"/>
    <b v="0"/>
    <n v="2"/>
    <x v="1"/>
    <x v="3"/>
    <x v="1"/>
    <x v="1"/>
    <n v="0.22"/>
    <x v="0"/>
    <n v="0.2273"/>
    <n v="0.82"/>
    <x v="0"/>
    <x v="5"/>
    <x v="5"/>
    <x v="125"/>
    <n v="125"/>
  </r>
  <r>
    <n v="403"/>
    <d v="2011-01-18T00:00:00"/>
    <n v="1"/>
    <n v="18"/>
    <b v="0"/>
    <n v="2"/>
    <x v="1"/>
    <x v="3"/>
    <x v="1"/>
    <x v="1"/>
    <n v="0.22"/>
    <x v="0"/>
    <n v="0.2273"/>
    <n v="0.8"/>
    <x v="0"/>
    <x v="8"/>
    <x v="5"/>
    <x v="126"/>
    <n v="133"/>
  </r>
  <r>
    <n v="404"/>
    <d v="2011-01-18T00:00:00"/>
    <n v="1"/>
    <n v="19"/>
    <b v="0"/>
    <n v="2"/>
    <x v="1"/>
    <x v="3"/>
    <x v="1"/>
    <x v="1"/>
    <n v="0.22"/>
    <x v="0"/>
    <n v="0.2273"/>
    <n v="0.8"/>
    <x v="0"/>
    <x v="7"/>
    <x v="5"/>
    <x v="52"/>
    <n v="99"/>
  </r>
  <r>
    <n v="405"/>
    <d v="2011-01-18T00:00:00"/>
    <n v="1"/>
    <n v="20"/>
    <b v="0"/>
    <n v="2"/>
    <x v="1"/>
    <x v="3"/>
    <x v="1"/>
    <x v="1"/>
    <n v="0.22"/>
    <x v="0"/>
    <n v="0.2727"/>
    <n v="0.87"/>
    <x v="0"/>
    <x v="0"/>
    <x v="3"/>
    <x v="93"/>
    <n v="83"/>
  </r>
  <r>
    <n v="406"/>
    <d v="2011-01-18T00:00:00"/>
    <n v="1"/>
    <n v="21"/>
    <b v="0"/>
    <n v="2"/>
    <x v="1"/>
    <x v="3"/>
    <x v="1"/>
    <x v="1"/>
    <n v="0.22"/>
    <x v="0"/>
    <n v="0.2424"/>
    <n v="0.93"/>
    <x v="0"/>
    <x v="14"/>
    <x v="3"/>
    <x v="40"/>
    <n v="41"/>
  </r>
  <r>
    <n v="407"/>
    <d v="2011-01-18T00:00:00"/>
    <n v="1"/>
    <n v="22"/>
    <b v="0"/>
    <n v="2"/>
    <x v="1"/>
    <x v="3"/>
    <x v="1"/>
    <x v="1"/>
    <n v="0.22"/>
    <x v="0"/>
    <n v="0.2576"/>
    <n v="0.93"/>
    <x v="0"/>
    <x v="1"/>
    <x v="3"/>
    <x v="39"/>
    <n v="33"/>
  </r>
  <r>
    <n v="408"/>
    <d v="2011-01-18T00:00:00"/>
    <n v="1"/>
    <n v="23"/>
    <b v="0"/>
    <n v="2"/>
    <x v="1"/>
    <x v="3"/>
    <x v="1"/>
    <x v="1"/>
    <n v="0.22"/>
    <x v="0"/>
    <n v="0.2727"/>
    <n v="0.93"/>
    <x v="0"/>
    <x v="0"/>
    <x v="5"/>
    <x v="23"/>
    <n v="20"/>
  </r>
  <r>
    <n v="409"/>
    <d v="2011-01-19T00:00:00"/>
    <n v="1"/>
    <n v="0"/>
    <b v="0"/>
    <n v="3"/>
    <x v="1"/>
    <x v="4"/>
    <x v="1"/>
    <x v="1"/>
    <n v="0.22"/>
    <x v="0"/>
    <n v="0.2727"/>
    <n v="0.93"/>
    <x v="0"/>
    <x v="0"/>
    <x v="3"/>
    <x v="35"/>
    <n v="3"/>
  </r>
  <r>
    <n v="410"/>
    <d v="2011-01-19T00:00:00"/>
    <n v="1"/>
    <n v="1"/>
    <b v="0"/>
    <n v="3"/>
    <x v="1"/>
    <x v="4"/>
    <x v="2"/>
    <x v="2"/>
    <n v="0.22"/>
    <x v="0"/>
    <n v="0.2273"/>
    <n v="0.93"/>
    <x v="0"/>
    <x v="7"/>
    <x v="5"/>
    <x v="8"/>
    <n v="7"/>
  </r>
  <r>
    <n v="411"/>
    <d v="2011-01-19T00:00:00"/>
    <n v="1"/>
    <n v="2"/>
    <b v="0"/>
    <n v="3"/>
    <x v="1"/>
    <x v="4"/>
    <x v="2"/>
    <x v="2"/>
    <n v="0.22"/>
    <x v="0"/>
    <n v="0.2273"/>
    <n v="0.93"/>
    <x v="0"/>
    <x v="7"/>
    <x v="3"/>
    <x v="35"/>
    <n v="3"/>
  </r>
  <r>
    <n v="412"/>
    <d v="2011-01-19T00:00:00"/>
    <n v="1"/>
    <n v="4"/>
    <b v="0"/>
    <n v="3"/>
    <x v="1"/>
    <x v="4"/>
    <x v="2"/>
    <x v="2"/>
    <n v="0.22"/>
    <x v="0"/>
    <n v="0.2273"/>
    <n v="0.93"/>
    <x v="0"/>
    <x v="7"/>
    <x v="5"/>
    <x v="4"/>
    <n v="2"/>
  </r>
  <r>
    <n v="413"/>
    <d v="2011-01-19T00:00:00"/>
    <n v="1"/>
    <n v="5"/>
    <b v="0"/>
    <n v="3"/>
    <x v="1"/>
    <x v="4"/>
    <x v="1"/>
    <x v="1"/>
    <n v="0.22"/>
    <x v="0"/>
    <n v="0.2576"/>
    <n v="0.93"/>
    <x v="0"/>
    <x v="1"/>
    <x v="3"/>
    <x v="7"/>
    <n v="7"/>
  </r>
  <r>
    <n v="414"/>
    <d v="2011-01-19T00:00:00"/>
    <n v="1"/>
    <n v="6"/>
    <b v="0"/>
    <n v="3"/>
    <x v="1"/>
    <x v="4"/>
    <x v="1"/>
    <x v="1"/>
    <n v="0.22"/>
    <x v="0"/>
    <n v="0.2576"/>
    <n v="0.93"/>
    <x v="0"/>
    <x v="1"/>
    <x v="3"/>
    <x v="1"/>
    <n v="32"/>
  </r>
  <r>
    <n v="415"/>
    <d v="2011-01-19T00:00:00"/>
    <n v="1"/>
    <n v="7"/>
    <b v="0"/>
    <n v="3"/>
    <x v="1"/>
    <x v="4"/>
    <x v="1"/>
    <x v="1"/>
    <n v="0.24"/>
    <x v="0"/>
    <n v="0.2576"/>
    <n v="0.92"/>
    <x v="0"/>
    <x v="14"/>
    <x v="5"/>
    <x v="121"/>
    <n v="90"/>
  </r>
  <r>
    <n v="416"/>
    <d v="2011-01-19T00:00:00"/>
    <n v="1"/>
    <n v="8"/>
    <b v="0"/>
    <n v="3"/>
    <x v="1"/>
    <x v="4"/>
    <x v="1"/>
    <x v="1"/>
    <n v="0.24"/>
    <x v="0"/>
    <n v="0.2576"/>
    <n v="0.93"/>
    <x v="0"/>
    <x v="14"/>
    <x v="5"/>
    <x v="127"/>
    <n v="197"/>
  </r>
  <r>
    <n v="417"/>
    <d v="2011-01-19T00:00:00"/>
    <n v="1"/>
    <n v="9"/>
    <b v="0"/>
    <n v="3"/>
    <x v="1"/>
    <x v="4"/>
    <x v="1"/>
    <x v="1"/>
    <n v="0.24"/>
    <x v="0"/>
    <n v="0.2576"/>
    <n v="0.93"/>
    <x v="0"/>
    <x v="14"/>
    <x v="4"/>
    <x v="128"/>
    <n v="109"/>
  </r>
  <r>
    <n v="418"/>
    <d v="2011-01-19T00:00:00"/>
    <n v="1"/>
    <n v="10"/>
    <b v="0"/>
    <n v="3"/>
    <x v="1"/>
    <x v="4"/>
    <x v="1"/>
    <x v="1"/>
    <n v="0.26"/>
    <x v="0"/>
    <n v="0.2727"/>
    <n v="0.93"/>
    <x v="0"/>
    <x v="7"/>
    <x v="5"/>
    <x v="24"/>
    <n v="47"/>
  </r>
  <r>
    <n v="419"/>
    <d v="2011-01-19T00:00:00"/>
    <n v="1"/>
    <n v="11"/>
    <b v="0"/>
    <n v="3"/>
    <x v="1"/>
    <x v="4"/>
    <x v="1"/>
    <x v="1"/>
    <n v="0.28000000000000003"/>
    <x v="0"/>
    <n v="0.30299999999999999"/>
    <n v="0.87"/>
    <x v="0"/>
    <x v="1"/>
    <x v="2"/>
    <x v="12"/>
    <n v="52"/>
  </r>
  <r>
    <n v="420"/>
    <d v="2011-01-19T00:00:00"/>
    <n v="1"/>
    <n v="12"/>
    <b v="0"/>
    <n v="3"/>
    <x v="1"/>
    <x v="4"/>
    <x v="1"/>
    <x v="1"/>
    <n v="0.3"/>
    <x v="0"/>
    <n v="0.31819999999999998"/>
    <n v="0.81"/>
    <x v="0"/>
    <x v="1"/>
    <x v="2"/>
    <x v="65"/>
    <n v="70"/>
  </r>
  <r>
    <n v="421"/>
    <d v="2011-01-19T00:00:00"/>
    <n v="1"/>
    <n v="13"/>
    <b v="0"/>
    <n v="3"/>
    <x v="1"/>
    <x v="4"/>
    <x v="0"/>
    <x v="0"/>
    <n v="0.4"/>
    <x v="1"/>
    <n v="0.40910000000000002"/>
    <n v="0.62"/>
    <x v="1"/>
    <x v="3"/>
    <x v="16"/>
    <x v="28"/>
    <n v="78"/>
  </r>
  <r>
    <n v="422"/>
    <d v="2011-01-19T00:00:00"/>
    <n v="1"/>
    <n v="14"/>
    <b v="0"/>
    <n v="3"/>
    <x v="1"/>
    <x v="4"/>
    <x v="0"/>
    <x v="0"/>
    <n v="0.4"/>
    <x v="1"/>
    <n v="0.40910000000000002"/>
    <n v="0.57999999999999996"/>
    <x v="1"/>
    <x v="2"/>
    <x v="18"/>
    <x v="56"/>
    <n v="75"/>
  </r>
  <r>
    <n v="423"/>
    <d v="2011-01-19T00:00:00"/>
    <n v="1"/>
    <n v="15"/>
    <b v="0"/>
    <n v="3"/>
    <x v="1"/>
    <x v="4"/>
    <x v="0"/>
    <x v="0"/>
    <n v="0.4"/>
    <x v="1"/>
    <n v="0.40910000000000002"/>
    <n v="0.54"/>
    <x v="1"/>
    <x v="3"/>
    <x v="17"/>
    <x v="78"/>
    <n v="82"/>
  </r>
  <r>
    <n v="424"/>
    <d v="2011-01-19T00:00:00"/>
    <n v="1"/>
    <n v="16"/>
    <b v="0"/>
    <n v="3"/>
    <x v="1"/>
    <x v="4"/>
    <x v="0"/>
    <x v="0"/>
    <n v="0.38"/>
    <x v="1"/>
    <n v="0.39389999999999997"/>
    <n v="0.57999999999999996"/>
    <x v="1"/>
    <x v="13"/>
    <x v="22"/>
    <x v="111"/>
    <n v="104"/>
  </r>
  <r>
    <n v="425"/>
    <d v="2011-01-19T00:00:00"/>
    <n v="1"/>
    <n v="17"/>
    <b v="0"/>
    <n v="3"/>
    <x v="1"/>
    <x v="4"/>
    <x v="0"/>
    <x v="0"/>
    <n v="0.36"/>
    <x v="1"/>
    <n v="0.33329999999999999"/>
    <n v="0.56999999999999995"/>
    <x v="1"/>
    <x v="9"/>
    <x v="18"/>
    <x v="84"/>
    <n v="197"/>
  </r>
  <r>
    <n v="426"/>
    <d v="2011-01-19T00:00:00"/>
    <n v="1"/>
    <n v="18"/>
    <b v="0"/>
    <n v="3"/>
    <x v="1"/>
    <x v="4"/>
    <x v="0"/>
    <x v="0"/>
    <n v="0.34"/>
    <x v="0"/>
    <n v="0.31819999999999998"/>
    <n v="0.61"/>
    <x v="1"/>
    <x v="3"/>
    <x v="2"/>
    <x v="117"/>
    <n v="161"/>
  </r>
  <r>
    <n v="427"/>
    <d v="2011-01-19T00:00:00"/>
    <n v="1"/>
    <n v="19"/>
    <b v="0"/>
    <n v="3"/>
    <x v="1"/>
    <x v="4"/>
    <x v="0"/>
    <x v="0"/>
    <n v="0.32"/>
    <x v="0"/>
    <n v="0.28789999999999999"/>
    <n v="0.56999999999999995"/>
    <x v="1"/>
    <x v="12"/>
    <x v="17"/>
    <x v="123"/>
    <n v="112"/>
  </r>
  <r>
    <n v="428"/>
    <d v="2011-01-19T00:00:00"/>
    <n v="1"/>
    <n v="20"/>
    <b v="0"/>
    <n v="3"/>
    <x v="1"/>
    <x v="4"/>
    <x v="0"/>
    <x v="0"/>
    <n v="0.32"/>
    <x v="0"/>
    <n v="0.30299999999999999"/>
    <n v="0.49"/>
    <x v="1"/>
    <x v="4"/>
    <x v="4"/>
    <x v="64"/>
    <n v="76"/>
  </r>
  <r>
    <n v="429"/>
    <d v="2011-01-19T00:00:00"/>
    <n v="1"/>
    <n v="21"/>
    <b v="0"/>
    <n v="3"/>
    <x v="1"/>
    <x v="4"/>
    <x v="0"/>
    <x v="0"/>
    <n v="0.32"/>
    <x v="0"/>
    <n v="0.28789999999999999"/>
    <n v="0.49"/>
    <x v="1"/>
    <x v="12"/>
    <x v="17"/>
    <x v="11"/>
    <n v="59"/>
  </r>
  <r>
    <n v="430"/>
    <d v="2011-01-19T00:00:00"/>
    <n v="1"/>
    <n v="22"/>
    <b v="0"/>
    <n v="3"/>
    <x v="1"/>
    <x v="4"/>
    <x v="0"/>
    <x v="0"/>
    <n v="0.3"/>
    <x v="0"/>
    <n v="0.30299999999999999"/>
    <n v="0.52"/>
    <x v="1"/>
    <x v="8"/>
    <x v="15"/>
    <x v="42"/>
    <n v="59"/>
  </r>
  <r>
    <n v="431"/>
    <d v="2011-01-19T00:00:00"/>
    <n v="1"/>
    <n v="23"/>
    <b v="0"/>
    <n v="3"/>
    <x v="1"/>
    <x v="4"/>
    <x v="0"/>
    <x v="0"/>
    <n v="0.3"/>
    <x v="0"/>
    <n v="0.2727"/>
    <n v="0.52"/>
    <x v="1"/>
    <x v="17"/>
    <x v="5"/>
    <x v="2"/>
    <n v="28"/>
  </r>
  <r>
    <n v="432"/>
    <d v="2011-01-20T00:00:00"/>
    <n v="1"/>
    <n v="0"/>
    <b v="0"/>
    <n v="4"/>
    <x v="1"/>
    <x v="5"/>
    <x v="0"/>
    <x v="0"/>
    <n v="0.26"/>
    <x v="0"/>
    <n v="0.2273"/>
    <n v="0.56000000000000005"/>
    <x v="1"/>
    <x v="13"/>
    <x v="2"/>
    <x v="21"/>
    <n v="13"/>
  </r>
  <r>
    <n v="433"/>
    <d v="2011-01-20T00:00:00"/>
    <n v="1"/>
    <n v="1"/>
    <b v="0"/>
    <n v="4"/>
    <x v="1"/>
    <x v="5"/>
    <x v="0"/>
    <x v="0"/>
    <n v="0.26"/>
    <x v="0"/>
    <n v="0.2727"/>
    <n v="0.56000000000000005"/>
    <x v="1"/>
    <x v="0"/>
    <x v="4"/>
    <x v="35"/>
    <n v="5"/>
  </r>
  <r>
    <n v="434"/>
    <d v="2011-01-20T00:00:00"/>
    <n v="1"/>
    <n v="2"/>
    <b v="0"/>
    <n v="4"/>
    <x v="1"/>
    <x v="5"/>
    <x v="0"/>
    <x v="0"/>
    <n v="0.26"/>
    <x v="0"/>
    <n v="0.2727"/>
    <n v="0.56000000000000005"/>
    <x v="1"/>
    <x v="0"/>
    <x v="3"/>
    <x v="6"/>
    <n v="2"/>
  </r>
  <r>
    <n v="435"/>
    <d v="2011-01-20T00:00:00"/>
    <n v="1"/>
    <n v="3"/>
    <b v="0"/>
    <n v="4"/>
    <x v="1"/>
    <x v="5"/>
    <x v="0"/>
    <x v="0"/>
    <n v="0.26"/>
    <x v="0"/>
    <n v="0.2576"/>
    <n v="0.56000000000000005"/>
    <x v="1"/>
    <x v="8"/>
    <x v="3"/>
    <x v="4"/>
    <n v="1"/>
  </r>
  <r>
    <n v="436"/>
    <d v="2011-01-20T00:00:00"/>
    <n v="1"/>
    <n v="4"/>
    <b v="0"/>
    <n v="4"/>
    <x v="1"/>
    <x v="5"/>
    <x v="0"/>
    <x v="0"/>
    <n v="0.26"/>
    <x v="0"/>
    <n v="0.2576"/>
    <n v="0.56000000000000005"/>
    <x v="1"/>
    <x v="8"/>
    <x v="3"/>
    <x v="4"/>
    <n v="1"/>
  </r>
  <r>
    <n v="437"/>
    <d v="2011-01-20T00:00:00"/>
    <n v="1"/>
    <n v="5"/>
    <b v="0"/>
    <n v="4"/>
    <x v="1"/>
    <x v="5"/>
    <x v="0"/>
    <x v="0"/>
    <n v="0.24"/>
    <x v="0"/>
    <n v="0.2273"/>
    <n v="0.6"/>
    <x v="1"/>
    <x v="6"/>
    <x v="3"/>
    <x v="8"/>
    <n v="6"/>
  </r>
  <r>
    <n v="438"/>
    <d v="2011-01-20T00:00:00"/>
    <n v="1"/>
    <n v="6"/>
    <b v="0"/>
    <n v="4"/>
    <x v="1"/>
    <x v="5"/>
    <x v="0"/>
    <x v="0"/>
    <n v="0.22"/>
    <x v="0"/>
    <n v="0.21210000000000001"/>
    <n v="0.6"/>
    <x v="1"/>
    <x v="6"/>
    <x v="3"/>
    <x v="96"/>
    <n v="35"/>
  </r>
  <r>
    <n v="439"/>
    <d v="2011-01-20T00:00:00"/>
    <n v="1"/>
    <n v="7"/>
    <b v="0"/>
    <n v="4"/>
    <x v="1"/>
    <x v="5"/>
    <x v="0"/>
    <x v="0"/>
    <n v="0.22"/>
    <x v="0"/>
    <n v="0.21210000000000001"/>
    <n v="0.55000000000000004"/>
    <x v="1"/>
    <x v="6"/>
    <x v="5"/>
    <x v="129"/>
    <n v="101"/>
  </r>
  <r>
    <n v="440"/>
    <d v="2011-01-20T00:00:00"/>
    <n v="1"/>
    <n v="8"/>
    <b v="0"/>
    <n v="4"/>
    <x v="1"/>
    <x v="5"/>
    <x v="0"/>
    <x v="0"/>
    <n v="0.22"/>
    <x v="0"/>
    <n v="0.21210000000000001"/>
    <n v="0.55000000000000004"/>
    <x v="1"/>
    <x v="3"/>
    <x v="4"/>
    <x v="130"/>
    <n v="249"/>
  </r>
  <r>
    <n v="441"/>
    <d v="2011-01-20T00:00:00"/>
    <n v="1"/>
    <n v="9"/>
    <b v="0"/>
    <n v="4"/>
    <x v="1"/>
    <x v="5"/>
    <x v="1"/>
    <x v="1"/>
    <n v="0.24"/>
    <x v="0"/>
    <n v="0.2273"/>
    <n v="0.52"/>
    <x v="1"/>
    <x v="6"/>
    <x v="0"/>
    <x v="131"/>
    <n v="143"/>
  </r>
  <r>
    <n v="442"/>
    <d v="2011-01-20T00:00:00"/>
    <n v="1"/>
    <n v="10"/>
    <b v="0"/>
    <n v="4"/>
    <x v="1"/>
    <x v="5"/>
    <x v="0"/>
    <x v="0"/>
    <n v="0.26"/>
    <x v="0"/>
    <n v="0.2273"/>
    <n v="0.48"/>
    <x v="1"/>
    <x v="4"/>
    <x v="5"/>
    <x v="90"/>
    <n v="57"/>
  </r>
  <r>
    <n v="443"/>
    <d v="2011-01-20T00:00:00"/>
    <n v="1"/>
    <n v="11"/>
    <b v="0"/>
    <n v="4"/>
    <x v="1"/>
    <x v="5"/>
    <x v="1"/>
    <x v="1"/>
    <n v="0.28000000000000003"/>
    <x v="0"/>
    <n v="0.2727"/>
    <n v="0.45"/>
    <x v="1"/>
    <x v="8"/>
    <x v="2"/>
    <x v="36"/>
    <n v="68"/>
  </r>
  <r>
    <n v="444"/>
    <d v="2011-01-20T00:00:00"/>
    <n v="1"/>
    <n v="12"/>
    <b v="0"/>
    <n v="4"/>
    <x v="1"/>
    <x v="5"/>
    <x v="1"/>
    <x v="1"/>
    <n v="0.3"/>
    <x v="0"/>
    <n v="0.33329999999999999"/>
    <n v="0.42"/>
    <x v="1"/>
    <x v="0"/>
    <x v="18"/>
    <x v="99"/>
    <n v="84"/>
  </r>
  <r>
    <n v="445"/>
    <d v="2011-01-20T00:00:00"/>
    <n v="1"/>
    <n v="13"/>
    <b v="0"/>
    <n v="4"/>
    <x v="1"/>
    <x v="5"/>
    <x v="1"/>
    <x v="1"/>
    <n v="0.28000000000000003"/>
    <x v="0"/>
    <n v="0.28789999999999999"/>
    <n v="0.45"/>
    <x v="1"/>
    <x v="14"/>
    <x v="6"/>
    <x v="132"/>
    <n v="98"/>
  </r>
  <r>
    <n v="446"/>
    <d v="2011-01-20T00:00:00"/>
    <n v="1"/>
    <n v="14"/>
    <b v="0"/>
    <n v="4"/>
    <x v="1"/>
    <x v="5"/>
    <x v="1"/>
    <x v="1"/>
    <n v="0.3"/>
    <x v="0"/>
    <n v="0.30299999999999999"/>
    <n v="0.45"/>
    <x v="1"/>
    <x v="7"/>
    <x v="15"/>
    <x v="102"/>
    <n v="81"/>
  </r>
  <r>
    <n v="447"/>
    <d v="2011-01-20T00:00:00"/>
    <n v="1"/>
    <n v="15"/>
    <b v="0"/>
    <n v="4"/>
    <x v="1"/>
    <x v="5"/>
    <x v="1"/>
    <x v="1"/>
    <n v="0.32"/>
    <x v="0"/>
    <n v="0.31819999999999998"/>
    <n v="0.45"/>
    <x v="1"/>
    <x v="5"/>
    <x v="1"/>
    <x v="133"/>
    <n v="70"/>
  </r>
  <r>
    <n v="448"/>
    <d v="2011-01-20T00:00:00"/>
    <n v="1"/>
    <n v="16"/>
    <b v="0"/>
    <n v="4"/>
    <x v="1"/>
    <x v="5"/>
    <x v="1"/>
    <x v="1"/>
    <n v="0.3"/>
    <x v="0"/>
    <n v="0.30299999999999999"/>
    <n v="0.49"/>
    <x v="1"/>
    <x v="7"/>
    <x v="1"/>
    <x v="93"/>
    <n v="91"/>
  </r>
  <r>
    <n v="449"/>
    <d v="2011-01-20T00:00:00"/>
    <n v="1"/>
    <n v="17"/>
    <b v="0"/>
    <n v="4"/>
    <x v="1"/>
    <x v="5"/>
    <x v="1"/>
    <x v="1"/>
    <n v="0.3"/>
    <x v="0"/>
    <n v="0.31819999999999998"/>
    <n v="0.49"/>
    <x v="1"/>
    <x v="14"/>
    <x v="1"/>
    <x v="134"/>
    <n v="215"/>
  </r>
  <r>
    <n v="450"/>
    <d v="2011-01-20T00:00:00"/>
    <n v="1"/>
    <n v="18"/>
    <b v="0"/>
    <n v="4"/>
    <x v="1"/>
    <x v="5"/>
    <x v="1"/>
    <x v="1"/>
    <n v="0.26"/>
    <x v="0"/>
    <n v="0.2576"/>
    <n v="0.56000000000000005"/>
    <x v="1"/>
    <x v="5"/>
    <x v="5"/>
    <x v="103"/>
    <n v="185"/>
  </r>
  <r>
    <n v="451"/>
    <d v="2011-01-20T00:00:00"/>
    <n v="1"/>
    <n v="19"/>
    <b v="0"/>
    <n v="4"/>
    <x v="1"/>
    <x v="5"/>
    <x v="0"/>
    <x v="0"/>
    <n v="0.26"/>
    <x v="0"/>
    <n v="0.2273"/>
    <n v="0.56000000000000005"/>
    <x v="1"/>
    <x v="9"/>
    <x v="15"/>
    <x v="44"/>
    <n v="152"/>
  </r>
  <r>
    <n v="452"/>
    <d v="2011-01-20T00:00:00"/>
    <n v="1"/>
    <n v="20"/>
    <b v="0"/>
    <n v="4"/>
    <x v="1"/>
    <x v="5"/>
    <x v="1"/>
    <x v="1"/>
    <n v="0.26"/>
    <x v="0"/>
    <n v="0.2424"/>
    <n v="0.6"/>
    <x v="1"/>
    <x v="3"/>
    <x v="4"/>
    <x v="125"/>
    <n v="126"/>
  </r>
  <r>
    <n v="453"/>
    <d v="2011-01-20T00:00:00"/>
    <n v="1"/>
    <n v="21"/>
    <b v="0"/>
    <n v="4"/>
    <x v="1"/>
    <x v="5"/>
    <x v="1"/>
    <x v="1"/>
    <n v="0.24"/>
    <x v="0"/>
    <n v="0.2273"/>
    <n v="0.6"/>
    <x v="1"/>
    <x v="2"/>
    <x v="0"/>
    <x v="25"/>
    <n v="57"/>
  </r>
  <r>
    <n v="454"/>
    <d v="2011-01-20T00:00:00"/>
    <n v="1"/>
    <n v="22"/>
    <b v="0"/>
    <n v="4"/>
    <x v="1"/>
    <x v="5"/>
    <x v="1"/>
    <x v="1"/>
    <n v="0.24"/>
    <x v="0"/>
    <n v="0.21210000000000001"/>
    <n v="0.65"/>
    <x v="1"/>
    <x v="3"/>
    <x v="3"/>
    <x v="90"/>
    <n v="56"/>
  </r>
  <r>
    <n v="455"/>
    <d v="2011-01-20T00:00:00"/>
    <n v="1"/>
    <n v="23"/>
    <b v="0"/>
    <n v="4"/>
    <x v="1"/>
    <x v="5"/>
    <x v="1"/>
    <x v="1"/>
    <n v="0.24"/>
    <x v="0"/>
    <n v="0.21210000000000001"/>
    <n v="0.65"/>
    <x v="1"/>
    <x v="9"/>
    <x v="0"/>
    <x v="95"/>
    <n v="31"/>
  </r>
  <r>
    <n v="456"/>
    <d v="2011-01-21T00:00:00"/>
    <n v="1"/>
    <n v="0"/>
    <b v="0"/>
    <n v="5"/>
    <x v="1"/>
    <x v="6"/>
    <x v="1"/>
    <x v="1"/>
    <n v="0.24"/>
    <x v="0"/>
    <n v="0.2273"/>
    <n v="0.7"/>
    <x v="0"/>
    <x v="2"/>
    <x v="5"/>
    <x v="32"/>
    <n v="21"/>
  </r>
  <r>
    <n v="457"/>
    <d v="2011-01-21T00:00:00"/>
    <n v="1"/>
    <n v="1"/>
    <b v="0"/>
    <n v="5"/>
    <x v="1"/>
    <x v="6"/>
    <x v="1"/>
    <x v="1"/>
    <n v="0.24"/>
    <x v="0"/>
    <n v="0.2273"/>
    <n v="0.7"/>
    <x v="0"/>
    <x v="2"/>
    <x v="3"/>
    <x v="8"/>
    <n v="6"/>
  </r>
  <r>
    <n v="458"/>
    <d v="2011-01-21T00:00:00"/>
    <n v="1"/>
    <n v="2"/>
    <b v="0"/>
    <n v="5"/>
    <x v="1"/>
    <x v="6"/>
    <x v="2"/>
    <x v="2"/>
    <n v="0.24"/>
    <x v="0"/>
    <n v="0.2424"/>
    <n v="0.75"/>
    <x v="0"/>
    <x v="8"/>
    <x v="3"/>
    <x v="6"/>
    <n v="2"/>
  </r>
  <r>
    <n v="459"/>
    <d v="2011-01-21T00:00:00"/>
    <n v="1"/>
    <n v="3"/>
    <b v="0"/>
    <n v="5"/>
    <x v="1"/>
    <x v="6"/>
    <x v="2"/>
    <x v="2"/>
    <n v="0.22"/>
    <x v="0"/>
    <n v="0.21210000000000001"/>
    <n v="0.8"/>
    <x v="0"/>
    <x v="4"/>
    <x v="3"/>
    <x v="4"/>
    <n v="1"/>
  </r>
  <r>
    <n v="460"/>
    <d v="2011-01-21T00:00:00"/>
    <n v="1"/>
    <n v="4"/>
    <b v="0"/>
    <n v="5"/>
    <x v="1"/>
    <x v="6"/>
    <x v="1"/>
    <x v="1"/>
    <n v="0.22"/>
    <x v="0"/>
    <n v="0.2576"/>
    <n v="0.87"/>
    <x v="0"/>
    <x v="1"/>
    <x v="3"/>
    <x v="4"/>
    <n v="1"/>
  </r>
  <r>
    <n v="461"/>
    <d v="2011-01-21T00:00:00"/>
    <n v="1"/>
    <n v="5"/>
    <b v="0"/>
    <n v="5"/>
    <x v="1"/>
    <x v="6"/>
    <x v="0"/>
    <x v="0"/>
    <n v="0.24"/>
    <x v="0"/>
    <n v="0.19700000000000001"/>
    <n v="0.6"/>
    <x v="1"/>
    <x v="12"/>
    <x v="5"/>
    <x v="22"/>
    <n v="5"/>
  </r>
  <r>
    <n v="462"/>
    <d v="2011-01-21T00:00:00"/>
    <n v="1"/>
    <n v="6"/>
    <b v="0"/>
    <n v="5"/>
    <x v="1"/>
    <x v="6"/>
    <x v="0"/>
    <x v="0"/>
    <n v="0.22"/>
    <x v="0"/>
    <n v="0.21210000000000001"/>
    <n v="0.55000000000000004"/>
    <x v="1"/>
    <x v="2"/>
    <x v="3"/>
    <x v="2"/>
    <n v="27"/>
  </r>
  <r>
    <n v="463"/>
    <d v="2011-01-21T00:00:00"/>
    <n v="1"/>
    <n v="7"/>
    <b v="0"/>
    <n v="5"/>
    <x v="1"/>
    <x v="6"/>
    <x v="0"/>
    <x v="0"/>
    <n v="0.2"/>
    <x v="0"/>
    <n v="0.18179999999999999"/>
    <n v="0.51"/>
    <x v="1"/>
    <x v="3"/>
    <x v="4"/>
    <x v="43"/>
    <n v="68"/>
  </r>
  <r>
    <n v="464"/>
    <d v="2011-01-21T00:00:00"/>
    <n v="1"/>
    <n v="8"/>
    <b v="0"/>
    <n v="5"/>
    <x v="1"/>
    <x v="6"/>
    <x v="0"/>
    <x v="0"/>
    <n v="0.2"/>
    <x v="0"/>
    <n v="0.18179999999999999"/>
    <n v="0.47"/>
    <x v="1"/>
    <x v="9"/>
    <x v="18"/>
    <x v="135"/>
    <n v="217"/>
  </r>
  <r>
    <n v="465"/>
    <d v="2011-01-21T00:00:00"/>
    <n v="1"/>
    <n v="9"/>
    <b v="0"/>
    <n v="5"/>
    <x v="1"/>
    <x v="6"/>
    <x v="0"/>
    <x v="0"/>
    <n v="0.2"/>
    <x v="0"/>
    <n v="0.18179999999999999"/>
    <n v="0.51"/>
    <x v="1"/>
    <x v="11"/>
    <x v="18"/>
    <x v="136"/>
    <n v="166"/>
  </r>
  <r>
    <n v="466"/>
    <d v="2011-01-21T00:00:00"/>
    <n v="1"/>
    <n v="10"/>
    <b v="0"/>
    <n v="5"/>
    <x v="1"/>
    <x v="6"/>
    <x v="0"/>
    <x v="0"/>
    <n v="0.2"/>
    <x v="0"/>
    <n v="0.16669999999999999"/>
    <n v="0.47"/>
    <x v="1"/>
    <x v="17"/>
    <x v="15"/>
    <x v="77"/>
    <n v="63"/>
  </r>
  <r>
    <n v="467"/>
    <d v="2011-01-21T00:00:00"/>
    <n v="1"/>
    <n v="11"/>
    <b v="0"/>
    <n v="5"/>
    <x v="1"/>
    <x v="6"/>
    <x v="0"/>
    <x v="0"/>
    <n v="0.22"/>
    <x v="0"/>
    <n v="0.18179999999999999"/>
    <n v="0.41"/>
    <x v="1"/>
    <x v="17"/>
    <x v="15"/>
    <x v="42"/>
    <n v="59"/>
  </r>
  <r>
    <n v="468"/>
    <d v="2011-01-21T00:00:00"/>
    <n v="1"/>
    <n v="12"/>
    <b v="0"/>
    <n v="5"/>
    <x v="1"/>
    <x v="6"/>
    <x v="0"/>
    <x v="0"/>
    <n v="0.22"/>
    <x v="0"/>
    <n v="0.18179999999999999"/>
    <n v="0.27"/>
    <x v="1"/>
    <x v="19"/>
    <x v="16"/>
    <x v="28"/>
    <n v="78"/>
  </r>
  <r>
    <n v="469"/>
    <d v="2011-01-21T00:00:00"/>
    <n v="1"/>
    <n v="13"/>
    <b v="0"/>
    <n v="5"/>
    <x v="1"/>
    <x v="6"/>
    <x v="0"/>
    <x v="0"/>
    <n v="0.2"/>
    <x v="0"/>
    <n v="0.1515"/>
    <n v="0.21"/>
    <x v="1"/>
    <x v="19"/>
    <x v="1"/>
    <x v="65"/>
    <n v="73"/>
  </r>
  <r>
    <n v="470"/>
    <d v="2011-01-21T00:00:00"/>
    <n v="1"/>
    <n v="14"/>
    <b v="0"/>
    <n v="5"/>
    <x v="1"/>
    <x v="6"/>
    <x v="0"/>
    <x v="0"/>
    <n v="0.2"/>
    <x v="0"/>
    <n v="0.1515"/>
    <n v="0.25"/>
    <x v="1"/>
    <x v="18"/>
    <x v="15"/>
    <x v="90"/>
    <n v="62"/>
  </r>
  <r>
    <n v="471"/>
    <d v="2011-01-21T00:00:00"/>
    <n v="1"/>
    <n v="15"/>
    <b v="0"/>
    <n v="5"/>
    <x v="1"/>
    <x v="6"/>
    <x v="0"/>
    <x v="0"/>
    <n v="0.16"/>
    <x v="0"/>
    <n v="0.1212"/>
    <n v="0.26"/>
    <x v="1"/>
    <x v="10"/>
    <x v="17"/>
    <x v="124"/>
    <n v="65"/>
  </r>
  <r>
    <n v="472"/>
    <d v="2011-01-21T00:00:00"/>
    <n v="1"/>
    <n v="16"/>
    <b v="0"/>
    <n v="5"/>
    <x v="1"/>
    <x v="6"/>
    <x v="0"/>
    <x v="0"/>
    <n v="0.16"/>
    <x v="0"/>
    <n v="0.13639999999999999"/>
    <n v="0.26"/>
    <x v="1"/>
    <x v="11"/>
    <x v="3"/>
    <x v="106"/>
    <n v="97"/>
  </r>
  <r>
    <n v="473"/>
    <d v="2011-01-21T00:00:00"/>
    <n v="1"/>
    <n v="17"/>
    <b v="0"/>
    <n v="5"/>
    <x v="1"/>
    <x v="6"/>
    <x v="0"/>
    <x v="0"/>
    <n v="0.14000000000000001"/>
    <x v="0"/>
    <n v="0.1212"/>
    <n v="0.28000000000000003"/>
    <x v="1"/>
    <x v="11"/>
    <x v="22"/>
    <x v="137"/>
    <n v="161"/>
  </r>
  <r>
    <n v="474"/>
    <d v="2011-01-21T00:00:00"/>
    <n v="1"/>
    <n v="18"/>
    <b v="0"/>
    <n v="5"/>
    <x v="1"/>
    <x v="6"/>
    <x v="0"/>
    <x v="0"/>
    <n v="0.12"/>
    <x v="0"/>
    <n v="0.1212"/>
    <n v="0.3"/>
    <x v="1"/>
    <x v="2"/>
    <x v="5"/>
    <x v="138"/>
    <n v="120"/>
  </r>
  <r>
    <n v="475"/>
    <d v="2011-01-21T00:00:00"/>
    <n v="1"/>
    <n v="19"/>
    <b v="0"/>
    <n v="5"/>
    <x v="1"/>
    <x v="6"/>
    <x v="0"/>
    <x v="0"/>
    <n v="0.12"/>
    <x v="0"/>
    <n v="0.1061"/>
    <n v="0.3"/>
    <x v="1"/>
    <x v="9"/>
    <x v="0"/>
    <x v="139"/>
    <n v="96"/>
  </r>
  <r>
    <n v="476"/>
    <d v="2011-01-21T00:00:00"/>
    <n v="1"/>
    <n v="20"/>
    <b v="0"/>
    <n v="5"/>
    <x v="1"/>
    <x v="6"/>
    <x v="0"/>
    <x v="0"/>
    <n v="0.1"/>
    <x v="0"/>
    <n v="7.5800000000000006E-2"/>
    <n v="0.33"/>
    <x v="1"/>
    <x v="12"/>
    <x v="5"/>
    <x v="15"/>
    <n v="53"/>
  </r>
  <r>
    <n v="477"/>
    <d v="2011-01-21T00:00:00"/>
    <n v="1"/>
    <n v="21"/>
    <b v="0"/>
    <n v="5"/>
    <x v="1"/>
    <x v="6"/>
    <x v="0"/>
    <x v="0"/>
    <n v="0.08"/>
    <x v="1"/>
    <n v="7.5800000000000006E-2"/>
    <n v="0.38"/>
    <x v="1"/>
    <x v="3"/>
    <x v="3"/>
    <x v="40"/>
    <n v="41"/>
  </r>
  <r>
    <n v="478"/>
    <d v="2011-01-21T00:00:00"/>
    <n v="1"/>
    <n v="22"/>
    <b v="0"/>
    <n v="5"/>
    <x v="1"/>
    <x v="6"/>
    <x v="0"/>
    <x v="0"/>
    <n v="0.06"/>
    <x v="1"/>
    <n v="3.0300000000000001E-2"/>
    <n v="0.41"/>
    <x v="1"/>
    <x v="13"/>
    <x v="5"/>
    <x v="39"/>
    <n v="34"/>
  </r>
  <r>
    <n v="479"/>
    <d v="2011-01-21T00:00:00"/>
    <n v="1"/>
    <n v="23"/>
    <b v="0"/>
    <n v="5"/>
    <x v="1"/>
    <x v="6"/>
    <x v="0"/>
    <x v="0"/>
    <n v="0.06"/>
    <x v="1"/>
    <n v="4.5499999999999999E-2"/>
    <n v="0.38"/>
    <x v="1"/>
    <x v="9"/>
    <x v="3"/>
    <x v="2"/>
    <n v="27"/>
  </r>
  <r>
    <n v="480"/>
    <d v="2011-01-22T00:00:00"/>
    <n v="1"/>
    <n v="0"/>
    <b v="0"/>
    <n v="6"/>
    <x v="0"/>
    <x v="0"/>
    <x v="0"/>
    <x v="0"/>
    <n v="0.04"/>
    <x v="1"/>
    <n v="3.0300000000000001E-2"/>
    <n v="0.45"/>
    <x v="1"/>
    <x v="2"/>
    <x v="3"/>
    <x v="0"/>
    <n v="13"/>
  </r>
  <r>
    <n v="481"/>
    <d v="2011-01-22T00:00:00"/>
    <n v="1"/>
    <n v="1"/>
    <b v="0"/>
    <n v="6"/>
    <x v="0"/>
    <x v="0"/>
    <x v="1"/>
    <x v="1"/>
    <n v="0.04"/>
    <x v="1"/>
    <n v="0"/>
    <n v="0.41"/>
    <x v="1"/>
    <x v="13"/>
    <x v="0"/>
    <x v="33"/>
    <n v="12"/>
  </r>
  <r>
    <n v="482"/>
    <d v="2011-01-22T00:00:00"/>
    <n v="1"/>
    <n v="2"/>
    <b v="0"/>
    <n v="6"/>
    <x v="0"/>
    <x v="0"/>
    <x v="1"/>
    <x v="1"/>
    <n v="0.04"/>
    <x v="1"/>
    <n v="3.0300000000000001E-2"/>
    <n v="0.41"/>
    <x v="1"/>
    <x v="2"/>
    <x v="3"/>
    <x v="48"/>
    <n v="11"/>
  </r>
  <r>
    <n v="483"/>
    <d v="2011-01-22T00:00:00"/>
    <n v="1"/>
    <n v="3"/>
    <b v="0"/>
    <n v="6"/>
    <x v="0"/>
    <x v="0"/>
    <x v="1"/>
    <x v="1"/>
    <n v="0.04"/>
    <x v="1"/>
    <n v="3.0300000000000001E-2"/>
    <n v="0.41"/>
    <x v="1"/>
    <x v="3"/>
    <x v="5"/>
    <x v="8"/>
    <n v="7"/>
  </r>
  <r>
    <n v="484"/>
    <d v="2011-01-22T00:00:00"/>
    <n v="1"/>
    <n v="4"/>
    <b v="0"/>
    <n v="6"/>
    <x v="0"/>
    <x v="0"/>
    <x v="1"/>
    <x v="1"/>
    <n v="0.02"/>
    <x v="1"/>
    <n v="1.52E-2"/>
    <n v="0.48"/>
    <x v="1"/>
    <x v="4"/>
    <x v="3"/>
    <x v="35"/>
    <n v="3"/>
  </r>
  <r>
    <n v="485"/>
    <d v="2011-01-22T00:00:00"/>
    <n v="1"/>
    <n v="6"/>
    <b v="0"/>
    <n v="6"/>
    <x v="0"/>
    <x v="0"/>
    <x v="1"/>
    <x v="1"/>
    <n v="0.02"/>
    <x v="1"/>
    <n v="3.0300000000000001E-2"/>
    <n v="0.44"/>
    <x v="1"/>
    <x v="6"/>
    <x v="3"/>
    <x v="6"/>
    <n v="2"/>
  </r>
  <r>
    <n v="486"/>
    <d v="2011-01-22T00:00:00"/>
    <n v="1"/>
    <n v="7"/>
    <b v="0"/>
    <n v="6"/>
    <x v="0"/>
    <x v="0"/>
    <x v="0"/>
    <x v="0"/>
    <n v="0.02"/>
    <x v="1"/>
    <n v="1.52E-2"/>
    <n v="0.44"/>
    <x v="1"/>
    <x v="3"/>
    <x v="3"/>
    <x v="21"/>
    <n v="8"/>
  </r>
  <r>
    <n v="487"/>
    <d v="2011-01-22T00:00:00"/>
    <n v="1"/>
    <n v="8"/>
    <b v="0"/>
    <n v="6"/>
    <x v="0"/>
    <x v="0"/>
    <x v="0"/>
    <x v="0"/>
    <n v="0.02"/>
    <x v="1"/>
    <n v="0"/>
    <n v="0.44"/>
    <x v="1"/>
    <x v="9"/>
    <x v="5"/>
    <x v="16"/>
    <n v="27"/>
  </r>
  <r>
    <n v="488"/>
    <d v="2011-01-22T00:00:00"/>
    <n v="1"/>
    <n v="9"/>
    <b v="0"/>
    <n v="6"/>
    <x v="0"/>
    <x v="0"/>
    <x v="0"/>
    <x v="0"/>
    <n v="0.04"/>
    <x v="1"/>
    <n v="3.0300000000000001E-2"/>
    <n v="0.41"/>
    <x v="1"/>
    <x v="2"/>
    <x v="0"/>
    <x v="53"/>
    <n v="40"/>
  </r>
  <r>
    <n v="489"/>
    <d v="2011-01-22T00:00:00"/>
    <n v="1"/>
    <n v="10"/>
    <b v="0"/>
    <n v="6"/>
    <x v="0"/>
    <x v="0"/>
    <x v="1"/>
    <x v="1"/>
    <n v="0.04"/>
    <x v="1"/>
    <n v="6.0600000000000001E-2"/>
    <n v="0.41"/>
    <x v="1"/>
    <x v="8"/>
    <x v="0"/>
    <x v="54"/>
    <n v="53"/>
  </r>
  <r>
    <n v="490"/>
    <d v="2011-01-22T00:00:00"/>
    <n v="1"/>
    <n v="11"/>
    <b v="0"/>
    <n v="6"/>
    <x v="0"/>
    <x v="0"/>
    <x v="1"/>
    <x v="1"/>
    <n v="0.06"/>
    <x v="1"/>
    <n v="7.5800000000000006E-2"/>
    <n v="0.38"/>
    <x v="1"/>
    <x v="7"/>
    <x v="17"/>
    <x v="79"/>
    <n v="63"/>
  </r>
  <r>
    <n v="491"/>
    <d v="2011-01-22T00:00:00"/>
    <n v="1"/>
    <n v="12"/>
    <b v="0"/>
    <n v="6"/>
    <x v="0"/>
    <x v="0"/>
    <x v="1"/>
    <x v="1"/>
    <n v="0.06"/>
    <x v="1"/>
    <n v="0.1061"/>
    <n v="0.38"/>
    <x v="1"/>
    <x v="14"/>
    <x v="22"/>
    <x v="91"/>
    <n v="70"/>
  </r>
  <r>
    <n v="492"/>
    <d v="2011-01-22T00:00:00"/>
    <n v="1"/>
    <n v="13"/>
    <b v="0"/>
    <n v="6"/>
    <x v="0"/>
    <x v="0"/>
    <x v="0"/>
    <x v="0"/>
    <n v="0.08"/>
    <x v="1"/>
    <n v="0.16669999999999999"/>
    <n v="0.35"/>
    <x v="1"/>
    <x v="0"/>
    <x v="6"/>
    <x v="109"/>
    <n v="84"/>
  </r>
  <r>
    <n v="493"/>
    <d v="2011-01-22T00:00:00"/>
    <n v="1"/>
    <n v="14"/>
    <b v="0"/>
    <n v="6"/>
    <x v="0"/>
    <x v="0"/>
    <x v="0"/>
    <x v="0"/>
    <n v="0.1"/>
    <x v="0"/>
    <n v="0.13639999999999999"/>
    <n v="0.33"/>
    <x v="1"/>
    <x v="14"/>
    <x v="16"/>
    <x v="27"/>
    <n v="75"/>
  </r>
  <r>
    <n v="494"/>
    <d v="2011-01-22T00:00:00"/>
    <n v="1"/>
    <n v="15"/>
    <b v="0"/>
    <n v="6"/>
    <x v="0"/>
    <x v="0"/>
    <x v="0"/>
    <x v="0"/>
    <n v="0.12"/>
    <x v="0"/>
    <n v="0.1515"/>
    <n v="0.28000000000000003"/>
    <x v="1"/>
    <x v="0"/>
    <x v="22"/>
    <x v="139"/>
    <n v="103"/>
  </r>
  <r>
    <n v="495"/>
    <d v="2011-01-22T00:00:00"/>
    <n v="1"/>
    <n v="16"/>
    <b v="0"/>
    <n v="6"/>
    <x v="0"/>
    <x v="0"/>
    <x v="0"/>
    <x v="0"/>
    <n v="0.12"/>
    <x v="0"/>
    <n v="0.13639999999999999"/>
    <n v="0.28000000000000003"/>
    <x v="1"/>
    <x v="5"/>
    <x v="16"/>
    <x v="109"/>
    <n v="83"/>
  </r>
  <r>
    <n v="496"/>
    <d v="2011-01-22T00:00:00"/>
    <n v="1"/>
    <n v="17"/>
    <b v="0"/>
    <n v="6"/>
    <x v="0"/>
    <x v="0"/>
    <x v="0"/>
    <x v="0"/>
    <n v="0.12"/>
    <x v="0"/>
    <n v="0.19700000000000001"/>
    <n v="0.28000000000000003"/>
    <x v="1"/>
    <x v="0"/>
    <x v="1"/>
    <x v="79"/>
    <n v="67"/>
  </r>
  <r>
    <n v="497"/>
    <d v="2011-01-22T00:00:00"/>
    <n v="1"/>
    <n v="18"/>
    <b v="0"/>
    <n v="6"/>
    <x v="0"/>
    <x v="0"/>
    <x v="0"/>
    <x v="0"/>
    <n v="0.08"/>
    <x v="1"/>
    <n v="9.0899999999999995E-2"/>
    <n v="0.35"/>
    <x v="1"/>
    <x v="5"/>
    <x v="3"/>
    <x v="25"/>
    <n v="54"/>
  </r>
  <r>
    <n v="498"/>
    <d v="2011-01-22T00:00:00"/>
    <n v="1"/>
    <n v="19"/>
    <b v="0"/>
    <n v="6"/>
    <x v="0"/>
    <x v="0"/>
    <x v="0"/>
    <x v="0"/>
    <n v="0.08"/>
    <x v="1"/>
    <n v="0.1061"/>
    <n v="0.35"/>
    <x v="1"/>
    <x v="7"/>
    <x v="15"/>
    <x v="42"/>
    <n v="59"/>
  </r>
  <r>
    <n v="499"/>
    <d v="2011-01-22T00:00:00"/>
    <n v="1"/>
    <n v="20"/>
    <b v="0"/>
    <n v="6"/>
    <x v="0"/>
    <x v="0"/>
    <x v="0"/>
    <x v="0"/>
    <n v="0.06"/>
    <x v="1"/>
    <n v="7.5800000000000006E-2"/>
    <n v="0.45"/>
    <x v="1"/>
    <x v="8"/>
    <x v="5"/>
    <x v="100"/>
    <n v="45"/>
  </r>
  <r>
    <n v="500"/>
    <d v="2011-01-22T00:00:00"/>
    <n v="1"/>
    <n v="21"/>
    <b v="0"/>
    <n v="6"/>
    <x v="0"/>
    <x v="0"/>
    <x v="0"/>
    <x v="0"/>
    <n v="0.06"/>
    <x v="1"/>
    <n v="0.1061"/>
    <n v="0.41"/>
    <x v="1"/>
    <x v="1"/>
    <x v="3"/>
    <x v="87"/>
    <n v="39"/>
  </r>
  <r>
    <n v="501"/>
    <d v="2011-01-22T00:00:00"/>
    <n v="1"/>
    <n v="22"/>
    <b v="0"/>
    <n v="6"/>
    <x v="0"/>
    <x v="0"/>
    <x v="0"/>
    <x v="0"/>
    <n v="0.06"/>
    <x v="1"/>
    <n v="0.1515"/>
    <n v="0.49"/>
    <x v="1"/>
    <x v="0"/>
    <x v="18"/>
    <x v="140"/>
    <n v="30"/>
  </r>
  <r>
    <n v="502"/>
    <d v="2011-01-22T00:00:00"/>
    <n v="1"/>
    <n v="23"/>
    <b v="0"/>
    <n v="6"/>
    <x v="0"/>
    <x v="0"/>
    <x v="0"/>
    <x v="0"/>
    <n v="0.04"/>
    <x v="1"/>
    <n v="7.5800000000000006E-2"/>
    <n v="0.56999999999999995"/>
    <x v="1"/>
    <x v="14"/>
    <x v="4"/>
    <x v="17"/>
    <n v="33"/>
  </r>
  <r>
    <n v="503"/>
    <d v="2011-01-23T00:00:00"/>
    <n v="1"/>
    <n v="0"/>
    <b v="0"/>
    <n v="0"/>
    <x v="0"/>
    <x v="1"/>
    <x v="0"/>
    <x v="0"/>
    <n v="0.04"/>
    <x v="1"/>
    <n v="7.5800000000000006E-2"/>
    <n v="0.56999999999999995"/>
    <x v="1"/>
    <x v="14"/>
    <x v="4"/>
    <x v="32"/>
    <n v="22"/>
  </r>
  <r>
    <n v="504"/>
    <d v="2011-01-23T00:00:00"/>
    <n v="1"/>
    <n v="1"/>
    <b v="0"/>
    <n v="0"/>
    <x v="0"/>
    <x v="1"/>
    <x v="0"/>
    <x v="0"/>
    <n v="0.04"/>
    <x v="1"/>
    <n v="7.5800000000000006E-2"/>
    <n v="0.56999999999999995"/>
    <x v="1"/>
    <x v="14"/>
    <x v="5"/>
    <x v="98"/>
    <n v="13"/>
  </r>
  <r>
    <n v="505"/>
    <d v="2011-01-23T00:00:00"/>
    <n v="1"/>
    <n v="2"/>
    <b v="0"/>
    <n v="0"/>
    <x v="0"/>
    <x v="1"/>
    <x v="0"/>
    <x v="0"/>
    <n v="0.02"/>
    <x v="1"/>
    <n v="6.0600000000000001E-2"/>
    <n v="0.62"/>
    <x v="1"/>
    <x v="7"/>
    <x v="0"/>
    <x v="89"/>
    <n v="18"/>
  </r>
  <r>
    <n v="506"/>
    <d v="2011-01-23T00:00:00"/>
    <n v="1"/>
    <n v="3"/>
    <b v="0"/>
    <n v="0"/>
    <x v="0"/>
    <x v="1"/>
    <x v="0"/>
    <x v="0"/>
    <n v="0.02"/>
    <x v="1"/>
    <n v="6.0600000000000001E-2"/>
    <n v="0.62"/>
    <x v="1"/>
    <x v="7"/>
    <x v="5"/>
    <x v="22"/>
    <n v="5"/>
  </r>
  <r>
    <n v="507"/>
    <d v="2011-01-23T00:00:00"/>
    <n v="1"/>
    <n v="5"/>
    <b v="0"/>
    <n v="0"/>
    <x v="0"/>
    <x v="1"/>
    <x v="1"/>
    <x v="1"/>
    <n v="0.04"/>
    <x v="1"/>
    <n v="7.5800000000000006E-2"/>
    <n v="0.56999999999999995"/>
    <x v="1"/>
    <x v="14"/>
    <x v="3"/>
    <x v="35"/>
    <n v="3"/>
  </r>
  <r>
    <n v="508"/>
    <d v="2011-01-23T00:00:00"/>
    <n v="1"/>
    <n v="6"/>
    <b v="0"/>
    <n v="0"/>
    <x v="0"/>
    <x v="1"/>
    <x v="1"/>
    <x v="1"/>
    <n v="0.04"/>
    <x v="1"/>
    <n v="7.5800000000000006E-2"/>
    <n v="0.56999999999999995"/>
    <x v="1"/>
    <x v="14"/>
    <x v="3"/>
    <x v="4"/>
    <n v="1"/>
  </r>
  <r>
    <n v="509"/>
    <d v="2011-01-23T00:00:00"/>
    <n v="1"/>
    <n v="7"/>
    <b v="0"/>
    <n v="0"/>
    <x v="0"/>
    <x v="1"/>
    <x v="0"/>
    <x v="0"/>
    <n v="0.08"/>
    <x v="1"/>
    <n v="0.1061"/>
    <n v="0.57999999999999996"/>
    <x v="1"/>
    <x v="8"/>
    <x v="5"/>
    <x v="4"/>
    <n v="2"/>
  </r>
  <r>
    <n v="510"/>
    <d v="2011-01-23T00:00:00"/>
    <n v="1"/>
    <n v="8"/>
    <b v="0"/>
    <n v="0"/>
    <x v="0"/>
    <x v="1"/>
    <x v="0"/>
    <x v="0"/>
    <n v="0.06"/>
    <x v="1"/>
    <n v="7.5800000000000006E-2"/>
    <n v="0.62"/>
    <x v="1"/>
    <x v="8"/>
    <x v="4"/>
    <x v="19"/>
    <n v="19"/>
  </r>
  <r>
    <n v="511"/>
    <d v="2011-01-23T00:00:00"/>
    <n v="1"/>
    <n v="9"/>
    <b v="0"/>
    <n v="0"/>
    <x v="0"/>
    <x v="1"/>
    <x v="0"/>
    <x v="0"/>
    <n v="0.1"/>
    <x v="0"/>
    <n v="7.5800000000000006E-2"/>
    <n v="0.54"/>
    <x v="1"/>
    <x v="11"/>
    <x v="0"/>
    <x v="18"/>
    <n v="28"/>
  </r>
  <r>
    <n v="512"/>
    <d v="2011-01-23T00:00:00"/>
    <n v="1"/>
    <n v="10"/>
    <b v="0"/>
    <n v="0"/>
    <x v="0"/>
    <x v="1"/>
    <x v="0"/>
    <x v="0"/>
    <n v="0.14000000000000001"/>
    <x v="0"/>
    <n v="0.1061"/>
    <n v="0.46"/>
    <x v="1"/>
    <x v="13"/>
    <x v="18"/>
    <x v="82"/>
    <n v="58"/>
  </r>
  <r>
    <n v="513"/>
    <d v="2011-01-23T00:00:00"/>
    <n v="1"/>
    <n v="11"/>
    <b v="0"/>
    <n v="0"/>
    <x v="0"/>
    <x v="1"/>
    <x v="0"/>
    <x v="0"/>
    <n v="0.14000000000000001"/>
    <x v="0"/>
    <n v="0.13639999999999999"/>
    <n v="0.43"/>
    <x v="1"/>
    <x v="6"/>
    <x v="30"/>
    <x v="99"/>
    <n v="99"/>
  </r>
  <r>
    <n v="514"/>
    <d v="2011-01-23T00:00:00"/>
    <n v="1"/>
    <n v="12"/>
    <b v="0"/>
    <n v="0"/>
    <x v="0"/>
    <x v="1"/>
    <x v="0"/>
    <x v="0"/>
    <n v="0.16"/>
    <x v="0"/>
    <n v="0.1212"/>
    <n v="0.37"/>
    <x v="1"/>
    <x v="17"/>
    <x v="31"/>
    <x v="50"/>
    <n v="116"/>
  </r>
  <r>
    <n v="515"/>
    <d v="2011-01-23T00:00:00"/>
    <n v="1"/>
    <n v="13"/>
    <b v="0"/>
    <n v="0"/>
    <x v="0"/>
    <x v="1"/>
    <x v="0"/>
    <x v="0"/>
    <n v="0.14000000000000001"/>
    <x v="0"/>
    <n v="0.1061"/>
    <n v="0.33"/>
    <x v="1"/>
    <x v="13"/>
    <x v="6"/>
    <x v="102"/>
    <n v="87"/>
  </r>
  <r>
    <n v="516"/>
    <d v="2011-01-23T00:00:00"/>
    <n v="1"/>
    <n v="14"/>
    <b v="0"/>
    <n v="0"/>
    <x v="0"/>
    <x v="1"/>
    <x v="0"/>
    <x v="0"/>
    <n v="0.16"/>
    <x v="0"/>
    <n v="0.13639999999999999"/>
    <n v="0.28000000000000003"/>
    <x v="1"/>
    <x v="11"/>
    <x v="26"/>
    <x v="139"/>
    <n v="110"/>
  </r>
  <r>
    <n v="517"/>
    <d v="2011-01-23T00:00:00"/>
    <n v="1"/>
    <n v="15"/>
    <b v="0"/>
    <n v="0"/>
    <x v="0"/>
    <x v="1"/>
    <x v="0"/>
    <x v="0"/>
    <n v="0.16"/>
    <x v="0"/>
    <n v="0.13639999999999999"/>
    <n v="0.28000000000000003"/>
    <x v="1"/>
    <x v="11"/>
    <x v="23"/>
    <x v="27"/>
    <n v="77"/>
  </r>
  <r>
    <n v="518"/>
    <d v="2011-01-23T00:00:00"/>
    <n v="1"/>
    <n v="16"/>
    <b v="0"/>
    <n v="0"/>
    <x v="0"/>
    <x v="1"/>
    <x v="0"/>
    <x v="0"/>
    <n v="0.16"/>
    <x v="0"/>
    <n v="0.13639999999999999"/>
    <n v="0.26"/>
    <x v="1"/>
    <x v="9"/>
    <x v="14"/>
    <x v="90"/>
    <n v="65"/>
  </r>
  <r>
    <n v="519"/>
    <d v="2011-01-23T00:00:00"/>
    <n v="1"/>
    <n v="17"/>
    <b v="0"/>
    <n v="0"/>
    <x v="0"/>
    <x v="1"/>
    <x v="0"/>
    <x v="0"/>
    <n v="0.14000000000000001"/>
    <x v="0"/>
    <n v="0.1061"/>
    <n v="0.26"/>
    <x v="1"/>
    <x v="13"/>
    <x v="2"/>
    <x v="54"/>
    <n v="55"/>
  </r>
  <r>
    <n v="520"/>
    <d v="2011-01-23T00:00:00"/>
    <n v="1"/>
    <n v="18"/>
    <b v="0"/>
    <n v="0"/>
    <x v="0"/>
    <x v="1"/>
    <x v="0"/>
    <x v="0"/>
    <n v="0.12"/>
    <x v="0"/>
    <n v="0.1212"/>
    <n v="0.3"/>
    <x v="1"/>
    <x v="2"/>
    <x v="2"/>
    <x v="100"/>
    <n v="49"/>
  </r>
  <r>
    <n v="521"/>
    <d v="2011-01-23T00:00:00"/>
    <n v="1"/>
    <n v="19"/>
    <b v="0"/>
    <n v="0"/>
    <x v="0"/>
    <x v="1"/>
    <x v="0"/>
    <x v="0"/>
    <n v="0.12"/>
    <x v="0"/>
    <n v="0.1212"/>
    <n v="0.3"/>
    <x v="1"/>
    <x v="3"/>
    <x v="2"/>
    <x v="108"/>
    <n v="50"/>
  </r>
  <r>
    <n v="522"/>
    <d v="2011-01-23T00:00:00"/>
    <n v="1"/>
    <n v="20"/>
    <b v="0"/>
    <n v="0"/>
    <x v="0"/>
    <x v="1"/>
    <x v="0"/>
    <x v="0"/>
    <n v="0.1"/>
    <x v="0"/>
    <n v="0.1061"/>
    <n v="0.36"/>
    <x v="1"/>
    <x v="2"/>
    <x v="17"/>
    <x v="17"/>
    <n v="35"/>
  </r>
  <r>
    <n v="523"/>
    <d v="2011-01-23T00:00:00"/>
    <n v="1"/>
    <n v="21"/>
    <b v="0"/>
    <n v="0"/>
    <x v="0"/>
    <x v="1"/>
    <x v="0"/>
    <x v="0"/>
    <n v="0.1"/>
    <x v="0"/>
    <n v="0.1061"/>
    <n v="0.36"/>
    <x v="1"/>
    <x v="5"/>
    <x v="2"/>
    <x v="32"/>
    <n v="25"/>
  </r>
  <r>
    <n v="524"/>
    <d v="2011-01-23T00:00:00"/>
    <n v="1"/>
    <n v="22"/>
    <b v="0"/>
    <n v="0"/>
    <x v="0"/>
    <x v="1"/>
    <x v="0"/>
    <x v="0"/>
    <n v="0.08"/>
    <x v="1"/>
    <n v="9.0899999999999995E-2"/>
    <n v="0.38"/>
    <x v="1"/>
    <x v="5"/>
    <x v="2"/>
    <x v="140"/>
    <n v="28"/>
  </r>
  <r>
    <n v="525"/>
    <d v="2011-01-23T00:00:00"/>
    <n v="1"/>
    <n v="23"/>
    <b v="0"/>
    <n v="0"/>
    <x v="0"/>
    <x v="1"/>
    <x v="0"/>
    <x v="0"/>
    <n v="0.06"/>
    <x v="1"/>
    <n v="6.0600000000000001E-2"/>
    <n v="0.41"/>
    <x v="1"/>
    <x v="6"/>
    <x v="17"/>
    <x v="19"/>
    <n v="21"/>
  </r>
  <r>
    <n v="526"/>
    <d v="2011-01-24T00:00:00"/>
    <n v="1"/>
    <n v="0"/>
    <b v="0"/>
    <n v="1"/>
    <x v="1"/>
    <x v="2"/>
    <x v="0"/>
    <x v="0"/>
    <n v="0.06"/>
    <x v="1"/>
    <n v="6.0600000000000001E-2"/>
    <n v="0.41"/>
    <x v="1"/>
    <x v="5"/>
    <x v="3"/>
    <x v="7"/>
    <n v="7"/>
  </r>
  <r>
    <n v="527"/>
    <d v="2011-01-24T00:00:00"/>
    <n v="1"/>
    <n v="1"/>
    <b v="0"/>
    <n v="1"/>
    <x v="1"/>
    <x v="2"/>
    <x v="0"/>
    <x v="0"/>
    <n v="0.04"/>
    <x v="1"/>
    <n v="4.5499999999999999E-2"/>
    <n v="0.45"/>
    <x v="1"/>
    <x v="5"/>
    <x v="3"/>
    <x v="4"/>
    <n v="1"/>
  </r>
  <r>
    <n v="528"/>
    <d v="2011-01-24T00:00:00"/>
    <n v="1"/>
    <n v="3"/>
    <b v="0"/>
    <n v="1"/>
    <x v="1"/>
    <x v="2"/>
    <x v="0"/>
    <x v="0"/>
    <n v="0.04"/>
    <x v="1"/>
    <n v="3.0300000000000001E-2"/>
    <n v="0.45"/>
    <x v="1"/>
    <x v="2"/>
    <x v="3"/>
    <x v="4"/>
    <n v="1"/>
  </r>
  <r>
    <n v="529"/>
    <d v="2011-01-24T00:00:00"/>
    <n v="1"/>
    <n v="4"/>
    <b v="0"/>
    <n v="1"/>
    <x v="1"/>
    <x v="2"/>
    <x v="0"/>
    <x v="0"/>
    <n v="0.02"/>
    <x v="1"/>
    <n v="6.0600000000000001E-2"/>
    <n v="0.48"/>
    <x v="1"/>
    <x v="7"/>
    <x v="3"/>
    <x v="4"/>
    <n v="1"/>
  </r>
  <r>
    <n v="530"/>
    <d v="2011-01-24T00:00:00"/>
    <n v="1"/>
    <n v="5"/>
    <b v="0"/>
    <n v="1"/>
    <x v="1"/>
    <x v="2"/>
    <x v="0"/>
    <x v="0"/>
    <n v="0.02"/>
    <x v="1"/>
    <n v="6.0600000000000001E-2"/>
    <n v="0.48"/>
    <x v="1"/>
    <x v="7"/>
    <x v="3"/>
    <x v="34"/>
    <n v="5"/>
  </r>
  <r>
    <n v="531"/>
    <d v="2011-01-24T00:00:00"/>
    <n v="1"/>
    <n v="6"/>
    <b v="0"/>
    <n v="1"/>
    <x v="1"/>
    <x v="2"/>
    <x v="0"/>
    <x v="0"/>
    <n v="0.02"/>
    <x v="1"/>
    <n v="7.5800000000000006E-2"/>
    <n v="0.48"/>
    <x v="1"/>
    <x v="1"/>
    <x v="3"/>
    <x v="89"/>
    <n v="15"/>
  </r>
  <r>
    <n v="532"/>
    <d v="2011-01-24T00:00:00"/>
    <n v="1"/>
    <n v="7"/>
    <b v="0"/>
    <n v="1"/>
    <x v="1"/>
    <x v="2"/>
    <x v="0"/>
    <x v="0"/>
    <n v="0.02"/>
    <x v="1"/>
    <n v="0.1212"/>
    <n v="0.48"/>
    <x v="1"/>
    <x v="0"/>
    <x v="2"/>
    <x v="55"/>
    <n v="84"/>
  </r>
  <r>
    <n v="533"/>
    <d v="2011-01-24T00:00:00"/>
    <n v="1"/>
    <n v="8"/>
    <b v="0"/>
    <n v="1"/>
    <x v="1"/>
    <x v="2"/>
    <x v="0"/>
    <x v="0"/>
    <n v="0.04"/>
    <x v="1"/>
    <n v="0.13639999999999999"/>
    <n v="0.49"/>
    <x v="1"/>
    <x v="0"/>
    <x v="15"/>
    <x v="141"/>
    <n v="177"/>
  </r>
  <r>
    <n v="534"/>
    <d v="2011-01-24T00:00:00"/>
    <n v="1"/>
    <n v="9"/>
    <b v="0"/>
    <n v="1"/>
    <x v="1"/>
    <x v="2"/>
    <x v="0"/>
    <x v="0"/>
    <n v="0.06"/>
    <x v="1"/>
    <n v="0.1515"/>
    <n v="0.41"/>
    <x v="1"/>
    <x v="0"/>
    <x v="17"/>
    <x v="52"/>
    <n v="102"/>
  </r>
  <r>
    <n v="535"/>
    <d v="2011-01-24T00:00:00"/>
    <n v="1"/>
    <n v="10"/>
    <b v="0"/>
    <n v="1"/>
    <x v="1"/>
    <x v="2"/>
    <x v="0"/>
    <x v="0"/>
    <n v="0.1"/>
    <x v="0"/>
    <n v="0.13639999999999999"/>
    <n v="0.42"/>
    <x v="1"/>
    <x v="0"/>
    <x v="15"/>
    <x v="60"/>
    <n v="40"/>
  </r>
  <r>
    <n v="536"/>
    <d v="2011-01-24T00:00:00"/>
    <n v="1"/>
    <n v="11"/>
    <b v="0"/>
    <n v="1"/>
    <x v="1"/>
    <x v="2"/>
    <x v="0"/>
    <x v="0"/>
    <n v="0.1"/>
    <x v="0"/>
    <n v="0.1212"/>
    <n v="0.46"/>
    <x v="1"/>
    <x v="7"/>
    <x v="0"/>
    <x v="30"/>
    <n v="46"/>
  </r>
  <r>
    <n v="537"/>
    <d v="2011-01-24T00:00:00"/>
    <n v="1"/>
    <n v="12"/>
    <b v="0"/>
    <n v="1"/>
    <x v="1"/>
    <x v="2"/>
    <x v="1"/>
    <x v="1"/>
    <n v="0.12"/>
    <x v="0"/>
    <n v="0.13639999999999999"/>
    <n v="0.42"/>
    <x v="1"/>
    <x v="5"/>
    <x v="16"/>
    <x v="15"/>
    <n v="63"/>
  </r>
  <r>
    <n v="538"/>
    <d v="2011-01-24T00:00:00"/>
    <n v="1"/>
    <n v="13"/>
    <b v="0"/>
    <n v="1"/>
    <x v="1"/>
    <x v="2"/>
    <x v="1"/>
    <x v="1"/>
    <n v="0.14000000000000001"/>
    <x v="0"/>
    <n v="0.13639999999999999"/>
    <n v="0.43"/>
    <x v="1"/>
    <x v="6"/>
    <x v="15"/>
    <x v="25"/>
    <n v="60"/>
  </r>
  <r>
    <n v="539"/>
    <d v="2011-01-24T00:00:00"/>
    <n v="1"/>
    <n v="14"/>
    <b v="0"/>
    <n v="1"/>
    <x v="1"/>
    <x v="2"/>
    <x v="1"/>
    <x v="1"/>
    <n v="0.14000000000000001"/>
    <x v="0"/>
    <n v="0.13639999999999999"/>
    <n v="0.46"/>
    <x v="1"/>
    <x v="6"/>
    <x v="4"/>
    <x v="30"/>
    <n v="45"/>
  </r>
  <r>
    <n v="540"/>
    <d v="2011-01-24T00:00:00"/>
    <n v="1"/>
    <n v="15"/>
    <b v="0"/>
    <n v="1"/>
    <x v="1"/>
    <x v="2"/>
    <x v="0"/>
    <x v="0"/>
    <n v="0.16"/>
    <x v="0"/>
    <n v="0.16669999999999999"/>
    <n v="0.4"/>
    <x v="1"/>
    <x v="8"/>
    <x v="18"/>
    <x v="54"/>
    <n v="57"/>
  </r>
  <r>
    <n v="541"/>
    <d v="2011-01-24T00:00:00"/>
    <n v="1"/>
    <n v="16"/>
    <b v="0"/>
    <n v="1"/>
    <x v="1"/>
    <x v="2"/>
    <x v="0"/>
    <x v="0"/>
    <n v="0.16"/>
    <x v="0"/>
    <n v="0.1515"/>
    <n v="0.47"/>
    <x v="1"/>
    <x v="2"/>
    <x v="17"/>
    <x v="43"/>
    <n v="70"/>
  </r>
  <r>
    <n v="542"/>
    <d v="2011-01-24T00:00:00"/>
    <n v="1"/>
    <n v="17"/>
    <b v="0"/>
    <n v="1"/>
    <x v="1"/>
    <x v="2"/>
    <x v="0"/>
    <x v="0"/>
    <n v="0.14000000000000001"/>
    <x v="0"/>
    <n v="0.1212"/>
    <n v="0.5"/>
    <x v="1"/>
    <x v="2"/>
    <x v="15"/>
    <x v="86"/>
    <n v="184"/>
  </r>
  <r>
    <n v="543"/>
    <d v="2011-01-24T00:00:00"/>
    <n v="1"/>
    <n v="18"/>
    <b v="0"/>
    <n v="1"/>
    <x v="1"/>
    <x v="2"/>
    <x v="0"/>
    <x v="0"/>
    <n v="0.14000000000000001"/>
    <x v="0"/>
    <n v="0.13639999999999999"/>
    <n v="0.59"/>
    <x v="1"/>
    <x v="5"/>
    <x v="1"/>
    <x v="142"/>
    <n v="153"/>
  </r>
  <r>
    <n v="544"/>
    <d v="2011-01-24T00:00:00"/>
    <n v="1"/>
    <n v="19"/>
    <b v="0"/>
    <n v="1"/>
    <x v="1"/>
    <x v="2"/>
    <x v="0"/>
    <x v="0"/>
    <n v="0.14000000000000001"/>
    <x v="0"/>
    <n v="0.1515"/>
    <n v="0.54"/>
    <x v="1"/>
    <x v="8"/>
    <x v="2"/>
    <x v="143"/>
    <n v="106"/>
  </r>
  <r>
    <n v="545"/>
    <d v="2011-01-24T00:00:00"/>
    <n v="1"/>
    <n v="20"/>
    <b v="0"/>
    <n v="1"/>
    <x v="1"/>
    <x v="2"/>
    <x v="0"/>
    <x v="0"/>
    <n v="0.14000000000000001"/>
    <x v="0"/>
    <n v="0.13639999999999999"/>
    <n v="0.59"/>
    <x v="1"/>
    <x v="5"/>
    <x v="5"/>
    <x v="122"/>
    <n v="81"/>
  </r>
  <r>
    <n v="546"/>
    <d v="2011-01-24T00:00:00"/>
    <n v="1"/>
    <n v="21"/>
    <b v="0"/>
    <n v="1"/>
    <x v="1"/>
    <x v="2"/>
    <x v="0"/>
    <x v="0"/>
    <n v="0.14000000000000001"/>
    <x v="0"/>
    <n v="0.1515"/>
    <n v="0.63"/>
    <x v="1"/>
    <x v="8"/>
    <x v="15"/>
    <x v="42"/>
    <n v="59"/>
  </r>
  <r>
    <n v="547"/>
    <d v="2011-01-24T00:00:00"/>
    <n v="1"/>
    <n v="22"/>
    <b v="0"/>
    <n v="1"/>
    <x v="1"/>
    <x v="2"/>
    <x v="1"/>
    <x v="1"/>
    <n v="0.14000000000000001"/>
    <x v="0"/>
    <n v="0.13639999999999999"/>
    <n v="0.63"/>
    <x v="1"/>
    <x v="6"/>
    <x v="0"/>
    <x v="1"/>
    <n v="35"/>
  </r>
  <r>
    <n v="548"/>
    <d v="2011-01-24T00:00:00"/>
    <n v="1"/>
    <n v="23"/>
    <b v="0"/>
    <n v="1"/>
    <x v="1"/>
    <x v="2"/>
    <x v="1"/>
    <x v="1"/>
    <n v="0.16"/>
    <x v="0"/>
    <n v="0.1515"/>
    <n v="0.64"/>
    <x v="1"/>
    <x v="2"/>
    <x v="0"/>
    <x v="144"/>
    <n v="24"/>
  </r>
  <r>
    <n v="549"/>
    <d v="2011-01-25T00:00:00"/>
    <n v="1"/>
    <n v="0"/>
    <b v="0"/>
    <n v="2"/>
    <x v="1"/>
    <x v="3"/>
    <x v="1"/>
    <x v="1"/>
    <n v="0.16"/>
    <x v="0"/>
    <n v="0.13639999999999999"/>
    <n v="0.69"/>
    <x v="1"/>
    <x v="3"/>
    <x v="0"/>
    <x v="8"/>
    <n v="9"/>
  </r>
  <r>
    <n v="550"/>
    <d v="2011-01-25T00:00:00"/>
    <n v="1"/>
    <n v="1"/>
    <b v="0"/>
    <n v="2"/>
    <x v="1"/>
    <x v="3"/>
    <x v="1"/>
    <x v="1"/>
    <n v="0.16"/>
    <x v="0"/>
    <n v="0.16669999999999999"/>
    <n v="0.69"/>
    <x v="1"/>
    <x v="8"/>
    <x v="3"/>
    <x v="34"/>
    <n v="5"/>
  </r>
  <r>
    <n v="551"/>
    <d v="2011-01-25T00:00:00"/>
    <n v="1"/>
    <n v="2"/>
    <b v="0"/>
    <n v="2"/>
    <x v="1"/>
    <x v="3"/>
    <x v="0"/>
    <x v="0"/>
    <n v="0.16"/>
    <x v="0"/>
    <n v="0.1515"/>
    <n v="0.69"/>
    <x v="1"/>
    <x v="6"/>
    <x v="3"/>
    <x v="6"/>
    <n v="2"/>
  </r>
  <r>
    <n v="552"/>
    <d v="2011-01-25T00:00:00"/>
    <n v="1"/>
    <n v="4"/>
    <b v="0"/>
    <n v="2"/>
    <x v="1"/>
    <x v="3"/>
    <x v="0"/>
    <x v="0"/>
    <n v="0.14000000000000001"/>
    <x v="0"/>
    <n v="0.16669999999999999"/>
    <n v="0.74"/>
    <x v="0"/>
    <x v="14"/>
    <x v="3"/>
    <x v="4"/>
    <n v="1"/>
  </r>
  <r>
    <n v="553"/>
    <d v="2011-01-25T00:00:00"/>
    <n v="1"/>
    <n v="5"/>
    <b v="0"/>
    <n v="2"/>
    <x v="1"/>
    <x v="3"/>
    <x v="0"/>
    <x v="0"/>
    <n v="0.14000000000000001"/>
    <x v="0"/>
    <n v="0.13639999999999999"/>
    <n v="0.74"/>
    <x v="0"/>
    <x v="6"/>
    <x v="3"/>
    <x v="33"/>
    <n v="9"/>
  </r>
  <r>
    <n v="554"/>
    <d v="2011-01-25T00:00:00"/>
    <n v="1"/>
    <n v="6"/>
    <b v="0"/>
    <n v="2"/>
    <x v="1"/>
    <x v="3"/>
    <x v="0"/>
    <x v="0"/>
    <n v="0.16"/>
    <x v="0"/>
    <n v="0.18179999999999999"/>
    <n v="0.74"/>
    <x v="0"/>
    <x v="14"/>
    <x v="5"/>
    <x v="96"/>
    <n v="36"/>
  </r>
  <r>
    <n v="555"/>
    <d v="2011-01-25T00:00:00"/>
    <n v="1"/>
    <n v="7"/>
    <b v="0"/>
    <n v="2"/>
    <x v="1"/>
    <x v="3"/>
    <x v="0"/>
    <x v="0"/>
    <n v="0.16"/>
    <x v="0"/>
    <n v="0.1515"/>
    <n v="0.74"/>
    <x v="0"/>
    <x v="6"/>
    <x v="2"/>
    <x v="145"/>
    <n v="108"/>
  </r>
  <r>
    <n v="556"/>
    <d v="2011-01-25T00:00:00"/>
    <n v="1"/>
    <n v="8"/>
    <b v="0"/>
    <n v="2"/>
    <x v="1"/>
    <x v="3"/>
    <x v="1"/>
    <x v="1"/>
    <n v="0.16"/>
    <x v="0"/>
    <n v="0.18179999999999999"/>
    <n v="0.74"/>
    <x v="0"/>
    <x v="7"/>
    <x v="2"/>
    <x v="146"/>
    <n v="238"/>
  </r>
  <r>
    <n v="557"/>
    <d v="2011-01-25T00:00:00"/>
    <n v="1"/>
    <n v="9"/>
    <b v="0"/>
    <n v="2"/>
    <x v="1"/>
    <x v="3"/>
    <x v="1"/>
    <x v="1"/>
    <n v="0.2"/>
    <x v="0"/>
    <n v="0.2273"/>
    <n v="0.64"/>
    <x v="1"/>
    <x v="1"/>
    <x v="22"/>
    <x v="120"/>
    <n v="144"/>
  </r>
  <r>
    <n v="558"/>
    <d v="2011-01-25T00:00:00"/>
    <n v="1"/>
    <n v="10"/>
    <b v="0"/>
    <n v="2"/>
    <x v="1"/>
    <x v="3"/>
    <x v="1"/>
    <x v="1"/>
    <n v="0.22"/>
    <x v="0"/>
    <n v="0.2424"/>
    <n v="0.6"/>
    <x v="1"/>
    <x v="14"/>
    <x v="15"/>
    <x v="47"/>
    <n v="55"/>
  </r>
  <r>
    <n v="559"/>
    <d v="2011-01-25T00:00:00"/>
    <n v="1"/>
    <n v="11"/>
    <b v="0"/>
    <n v="2"/>
    <x v="1"/>
    <x v="3"/>
    <x v="1"/>
    <x v="1"/>
    <n v="0.24"/>
    <x v="0"/>
    <n v="0.2424"/>
    <n v="0.6"/>
    <x v="1"/>
    <x v="7"/>
    <x v="15"/>
    <x v="11"/>
    <n v="61"/>
  </r>
  <r>
    <n v="560"/>
    <d v="2011-01-25T00:00:00"/>
    <n v="1"/>
    <n v="12"/>
    <b v="0"/>
    <n v="2"/>
    <x v="1"/>
    <x v="3"/>
    <x v="1"/>
    <x v="1"/>
    <n v="0.26"/>
    <x v="0"/>
    <n v="0.28789999999999999"/>
    <n v="0.56000000000000005"/>
    <x v="1"/>
    <x v="1"/>
    <x v="27"/>
    <x v="66"/>
    <n v="106"/>
  </r>
  <r>
    <n v="561"/>
    <d v="2011-01-25T00:00:00"/>
    <n v="1"/>
    <n v="13"/>
    <b v="0"/>
    <n v="2"/>
    <x v="1"/>
    <x v="3"/>
    <x v="1"/>
    <x v="1"/>
    <n v="0.26"/>
    <x v="0"/>
    <n v="0.2727"/>
    <n v="0.56000000000000005"/>
    <x v="1"/>
    <x v="7"/>
    <x v="27"/>
    <x v="109"/>
    <n v="93"/>
  </r>
  <r>
    <n v="562"/>
    <d v="2011-01-25T00:00:00"/>
    <n v="1"/>
    <n v="14"/>
    <b v="0"/>
    <n v="2"/>
    <x v="1"/>
    <x v="3"/>
    <x v="1"/>
    <x v="1"/>
    <n v="0.3"/>
    <x v="0"/>
    <n v="0.33329999999999999"/>
    <n v="0.45"/>
    <x v="1"/>
    <x v="0"/>
    <x v="16"/>
    <x v="77"/>
    <n v="68"/>
  </r>
  <r>
    <n v="563"/>
    <d v="2011-01-25T00:00:00"/>
    <n v="1"/>
    <n v="15"/>
    <b v="0"/>
    <n v="2"/>
    <x v="1"/>
    <x v="3"/>
    <x v="1"/>
    <x v="1"/>
    <n v="0.32"/>
    <x v="0"/>
    <n v="0.34849999999999998"/>
    <n v="0.42"/>
    <x v="1"/>
    <x v="0"/>
    <x v="27"/>
    <x v="36"/>
    <n v="84"/>
  </r>
  <r>
    <n v="564"/>
    <d v="2011-01-25T00:00:00"/>
    <n v="1"/>
    <n v="16"/>
    <b v="0"/>
    <n v="2"/>
    <x v="1"/>
    <x v="3"/>
    <x v="1"/>
    <x v="1"/>
    <n v="0.32"/>
    <x v="0"/>
    <n v="0.34849999999999998"/>
    <n v="0.42"/>
    <x v="1"/>
    <x v="0"/>
    <x v="24"/>
    <x v="46"/>
    <n v="116"/>
  </r>
  <r>
    <n v="565"/>
    <d v="2011-01-25T00:00:00"/>
    <n v="1"/>
    <n v="17"/>
    <b v="0"/>
    <n v="2"/>
    <x v="1"/>
    <x v="3"/>
    <x v="0"/>
    <x v="0"/>
    <n v="0.3"/>
    <x v="0"/>
    <n v="0.33329999999999999"/>
    <n v="0.45"/>
    <x v="1"/>
    <x v="0"/>
    <x v="24"/>
    <x v="147"/>
    <n v="222"/>
  </r>
  <r>
    <n v="566"/>
    <d v="2011-01-25T00:00:00"/>
    <n v="1"/>
    <n v="18"/>
    <b v="0"/>
    <n v="2"/>
    <x v="1"/>
    <x v="3"/>
    <x v="1"/>
    <x v="1"/>
    <n v="0.3"/>
    <x v="0"/>
    <n v="0.31819999999999998"/>
    <n v="0.49"/>
    <x v="1"/>
    <x v="1"/>
    <x v="18"/>
    <x v="148"/>
    <n v="225"/>
  </r>
  <r>
    <n v="567"/>
    <d v="2011-01-25T00:00:00"/>
    <n v="1"/>
    <n v="19"/>
    <b v="0"/>
    <n v="2"/>
    <x v="1"/>
    <x v="3"/>
    <x v="1"/>
    <x v="1"/>
    <n v="0.26"/>
    <x v="0"/>
    <n v="0.2576"/>
    <n v="0.65"/>
    <x v="1"/>
    <x v="8"/>
    <x v="23"/>
    <x v="149"/>
    <n v="146"/>
  </r>
  <r>
    <n v="568"/>
    <d v="2011-01-25T00:00:00"/>
    <n v="1"/>
    <n v="20"/>
    <b v="0"/>
    <n v="2"/>
    <x v="1"/>
    <x v="3"/>
    <x v="0"/>
    <x v="0"/>
    <n v="0.24"/>
    <x v="0"/>
    <n v="0.2273"/>
    <n v="0.65"/>
    <x v="1"/>
    <x v="5"/>
    <x v="19"/>
    <x v="145"/>
    <n v="119"/>
  </r>
  <r>
    <n v="569"/>
    <d v="2011-01-25T00:00:00"/>
    <n v="1"/>
    <n v="21"/>
    <b v="0"/>
    <n v="2"/>
    <x v="1"/>
    <x v="3"/>
    <x v="0"/>
    <x v="0"/>
    <n v="0.24"/>
    <x v="0"/>
    <n v="0.2273"/>
    <n v="0.65"/>
    <x v="1"/>
    <x v="5"/>
    <x v="2"/>
    <x v="71"/>
    <n v="45"/>
  </r>
  <r>
    <n v="570"/>
    <d v="2011-01-25T00:00:00"/>
    <n v="1"/>
    <n v="22"/>
    <b v="0"/>
    <n v="2"/>
    <x v="1"/>
    <x v="3"/>
    <x v="0"/>
    <x v="0"/>
    <n v="0.22"/>
    <x v="0"/>
    <n v="0.2273"/>
    <n v="0.64"/>
    <x v="1"/>
    <x v="8"/>
    <x v="17"/>
    <x v="47"/>
    <n v="53"/>
  </r>
  <r>
    <n v="571"/>
    <d v="2011-01-25T00:00:00"/>
    <n v="1"/>
    <n v="23"/>
    <b v="0"/>
    <n v="2"/>
    <x v="1"/>
    <x v="3"/>
    <x v="1"/>
    <x v="1"/>
    <n v="0.22"/>
    <x v="0"/>
    <n v="0.2273"/>
    <n v="0.64"/>
    <x v="1"/>
    <x v="8"/>
    <x v="0"/>
    <x v="53"/>
    <n v="40"/>
  </r>
  <r>
    <n v="572"/>
    <d v="2011-01-26T00:00:00"/>
    <n v="1"/>
    <n v="0"/>
    <b v="0"/>
    <n v="3"/>
    <x v="1"/>
    <x v="4"/>
    <x v="1"/>
    <x v="1"/>
    <n v="0.22"/>
    <x v="0"/>
    <n v="0.2273"/>
    <n v="0.69"/>
    <x v="1"/>
    <x v="7"/>
    <x v="0"/>
    <x v="88"/>
    <n v="17"/>
  </r>
  <r>
    <n v="573"/>
    <d v="2011-01-26T00:00:00"/>
    <n v="1"/>
    <n v="1"/>
    <b v="0"/>
    <n v="3"/>
    <x v="1"/>
    <x v="4"/>
    <x v="1"/>
    <x v="1"/>
    <n v="0.24"/>
    <x v="0"/>
    <n v="0.2424"/>
    <n v="0.65"/>
    <x v="1"/>
    <x v="7"/>
    <x v="3"/>
    <x v="34"/>
    <n v="5"/>
  </r>
  <r>
    <n v="574"/>
    <d v="2011-01-26T00:00:00"/>
    <n v="1"/>
    <n v="2"/>
    <b v="0"/>
    <n v="3"/>
    <x v="1"/>
    <x v="4"/>
    <x v="2"/>
    <x v="2"/>
    <n v="0.22"/>
    <x v="0"/>
    <n v="0.2273"/>
    <n v="0.69"/>
    <x v="1"/>
    <x v="5"/>
    <x v="0"/>
    <x v="7"/>
    <n v="10"/>
  </r>
  <r>
    <n v="575"/>
    <d v="2011-01-26T00:00:00"/>
    <n v="1"/>
    <n v="5"/>
    <b v="0"/>
    <n v="3"/>
    <x v="1"/>
    <x v="4"/>
    <x v="2"/>
    <x v="2"/>
    <n v="0.2"/>
    <x v="0"/>
    <n v="0.18179999999999999"/>
    <n v="0.86"/>
    <x v="0"/>
    <x v="3"/>
    <x v="3"/>
    <x v="4"/>
    <n v="1"/>
  </r>
  <r>
    <n v="576"/>
    <d v="2011-01-26T00:00:00"/>
    <n v="1"/>
    <n v="6"/>
    <b v="0"/>
    <n v="3"/>
    <x v="1"/>
    <x v="4"/>
    <x v="2"/>
    <x v="2"/>
    <n v="0.2"/>
    <x v="0"/>
    <n v="0.18179999999999999"/>
    <n v="0.86"/>
    <x v="0"/>
    <x v="3"/>
    <x v="3"/>
    <x v="21"/>
    <n v="8"/>
  </r>
  <r>
    <n v="577"/>
    <d v="2011-01-26T00:00:00"/>
    <n v="1"/>
    <n v="7"/>
    <b v="0"/>
    <n v="3"/>
    <x v="1"/>
    <x v="4"/>
    <x v="2"/>
    <x v="2"/>
    <n v="0.22"/>
    <x v="0"/>
    <n v="0.21210000000000001"/>
    <n v="0.87"/>
    <x v="0"/>
    <x v="4"/>
    <x v="5"/>
    <x v="31"/>
    <n v="30"/>
  </r>
  <r>
    <n v="578"/>
    <d v="2011-01-26T00:00:00"/>
    <n v="1"/>
    <n v="8"/>
    <b v="0"/>
    <n v="3"/>
    <x v="1"/>
    <x v="4"/>
    <x v="2"/>
    <x v="2"/>
    <n v="0.22"/>
    <x v="0"/>
    <n v="0.21210000000000001"/>
    <n v="0.87"/>
    <x v="0"/>
    <x v="4"/>
    <x v="0"/>
    <x v="94"/>
    <n v="72"/>
  </r>
  <r>
    <n v="579"/>
    <d v="2011-01-26T00:00:00"/>
    <n v="1"/>
    <n v="9"/>
    <b v="0"/>
    <n v="3"/>
    <x v="1"/>
    <x v="4"/>
    <x v="2"/>
    <x v="2"/>
    <n v="0.22"/>
    <x v="0"/>
    <n v="0.21210000000000001"/>
    <n v="0.87"/>
    <x v="0"/>
    <x v="4"/>
    <x v="0"/>
    <x v="11"/>
    <n v="58"/>
  </r>
  <r>
    <n v="580"/>
    <d v="2011-01-26T00:00:00"/>
    <n v="1"/>
    <n v="10"/>
    <b v="0"/>
    <n v="3"/>
    <x v="1"/>
    <x v="4"/>
    <x v="2"/>
    <x v="2"/>
    <n v="0.22"/>
    <x v="0"/>
    <n v="0.21210000000000001"/>
    <n v="0.93"/>
    <x v="0"/>
    <x v="3"/>
    <x v="4"/>
    <x v="16"/>
    <n v="28"/>
  </r>
  <r>
    <n v="581"/>
    <d v="2011-01-26T00:00:00"/>
    <n v="1"/>
    <n v="11"/>
    <b v="0"/>
    <n v="3"/>
    <x v="1"/>
    <x v="4"/>
    <x v="2"/>
    <x v="2"/>
    <n v="0.22"/>
    <x v="0"/>
    <n v="0.19700000000000001"/>
    <n v="0.93"/>
    <x v="0"/>
    <x v="9"/>
    <x v="15"/>
    <x v="96"/>
    <n v="41"/>
  </r>
  <r>
    <n v="582"/>
    <d v="2011-01-26T00:00:00"/>
    <n v="1"/>
    <n v="12"/>
    <b v="0"/>
    <n v="3"/>
    <x v="1"/>
    <x v="4"/>
    <x v="2"/>
    <x v="2"/>
    <n v="0.22"/>
    <x v="0"/>
    <n v="0.19700000000000001"/>
    <n v="0.93"/>
    <x v="0"/>
    <x v="9"/>
    <x v="18"/>
    <x v="40"/>
    <n v="48"/>
  </r>
  <r>
    <n v="583"/>
    <d v="2011-01-26T00:00:00"/>
    <n v="1"/>
    <n v="13"/>
    <b v="0"/>
    <n v="3"/>
    <x v="1"/>
    <x v="4"/>
    <x v="2"/>
    <x v="2"/>
    <n v="0.22"/>
    <x v="0"/>
    <n v="0.19700000000000001"/>
    <n v="0.93"/>
    <x v="0"/>
    <x v="9"/>
    <x v="17"/>
    <x v="30"/>
    <n v="47"/>
  </r>
  <r>
    <n v="584"/>
    <d v="2011-01-26T00:00:00"/>
    <n v="1"/>
    <n v="14"/>
    <b v="0"/>
    <n v="3"/>
    <x v="1"/>
    <x v="4"/>
    <x v="2"/>
    <x v="2"/>
    <n v="0.22"/>
    <x v="0"/>
    <n v="0.19700000000000001"/>
    <n v="0.93"/>
    <x v="0"/>
    <x v="11"/>
    <x v="3"/>
    <x v="49"/>
    <n v="36"/>
  </r>
  <r>
    <n v="585"/>
    <d v="2011-01-26T00:00:00"/>
    <n v="1"/>
    <n v="15"/>
    <b v="0"/>
    <n v="3"/>
    <x v="1"/>
    <x v="4"/>
    <x v="2"/>
    <x v="2"/>
    <n v="0.22"/>
    <x v="0"/>
    <n v="0.18179999999999999"/>
    <n v="0.93"/>
    <x v="0"/>
    <x v="17"/>
    <x v="5"/>
    <x v="76"/>
    <n v="43"/>
  </r>
  <r>
    <n v="587"/>
    <d v="2011-01-26T00:00:00"/>
    <n v="1"/>
    <n v="17"/>
    <b v="0"/>
    <n v="3"/>
    <x v="1"/>
    <x v="4"/>
    <x v="2"/>
    <x v="2"/>
    <n v="0.2"/>
    <x v="0"/>
    <n v="0.18179999999999999"/>
    <n v="0.93"/>
    <x v="0"/>
    <x v="11"/>
    <x v="3"/>
    <x v="16"/>
    <n v="26"/>
  </r>
  <r>
    <n v="588"/>
    <d v="2011-01-27T00:00:00"/>
    <n v="1"/>
    <n v="16"/>
    <b v="0"/>
    <n v="4"/>
    <x v="1"/>
    <x v="5"/>
    <x v="0"/>
    <x v="0"/>
    <n v="0.22"/>
    <x v="0"/>
    <n v="0.2273"/>
    <n v="0.55000000000000004"/>
    <x v="1"/>
    <x v="5"/>
    <x v="5"/>
    <x v="140"/>
    <n v="24"/>
  </r>
  <r>
    <n v="589"/>
    <d v="2011-01-27T00:00:00"/>
    <n v="1"/>
    <n v="17"/>
    <b v="0"/>
    <n v="4"/>
    <x v="1"/>
    <x v="5"/>
    <x v="0"/>
    <x v="0"/>
    <n v="0.22"/>
    <x v="0"/>
    <n v="0.2424"/>
    <n v="0.55000000000000004"/>
    <x v="1"/>
    <x v="14"/>
    <x v="4"/>
    <x v="70"/>
    <n v="84"/>
  </r>
  <r>
    <n v="590"/>
    <d v="2011-01-27T00:00:00"/>
    <n v="1"/>
    <n v="18"/>
    <b v="0"/>
    <n v="4"/>
    <x v="1"/>
    <x v="5"/>
    <x v="0"/>
    <x v="0"/>
    <n v="0.2"/>
    <x v="0"/>
    <n v="0.2273"/>
    <n v="0.69"/>
    <x v="1"/>
    <x v="1"/>
    <x v="0"/>
    <x v="143"/>
    <n v="104"/>
  </r>
  <r>
    <n v="591"/>
    <d v="2011-01-27T00:00:00"/>
    <n v="1"/>
    <n v="19"/>
    <b v="0"/>
    <n v="4"/>
    <x v="1"/>
    <x v="5"/>
    <x v="0"/>
    <x v="0"/>
    <n v="0.2"/>
    <x v="0"/>
    <n v="0.2273"/>
    <n v="0.69"/>
    <x v="1"/>
    <x v="1"/>
    <x v="0"/>
    <x v="83"/>
    <n v="79"/>
  </r>
  <r>
    <n v="592"/>
    <d v="2011-01-27T00:00:00"/>
    <n v="1"/>
    <n v="20"/>
    <b v="0"/>
    <n v="4"/>
    <x v="1"/>
    <x v="5"/>
    <x v="0"/>
    <x v="0"/>
    <n v="0.18"/>
    <x v="0"/>
    <n v="0.21210000000000001"/>
    <n v="0.74"/>
    <x v="0"/>
    <x v="1"/>
    <x v="17"/>
    <x v="11"/>
    <n v="59"/>
  </r>
  <r>
    <n v="593"/>
    <d v="2011-01-27T00:00:00"/>
    <n v="1"/>
    <n v="21"/>
    <b v="0"/>
    <n v="4"/>
    <x v="1"/>
    <x v="5"/>
    <x v="0"/>
    <x v="0"/>
    <n v="0.18"/>
    <x v="0"/>
    <n v="0.21210000000000001"/>
    <n v="0.74"/>
    <x v="0"/>
    <x v="1"/>
    <x v="4"/>
    <x v="49"/>
    <n v="38"/>
  </r>
  <r>
    <n v="594"/>
    <d v="2011-01-27T00:00:00"/>
    <n v="1"/>
    <n v="22"/>
    <b v="0"/>
    <n v="4"/>
    <x v="1"/>
    <x v="5"/>
    <x v="0"/>
    <x v="0"/>
    <n v="0.18"/>
    <x v="0"/>
    <n v="0.21210000000000001"/>
    <n v="0.74"/>
    <x v="0"/>
    <x v="1"/>
    <x v="3"/>
    <x v="2"/>
    <n v="27"/>
  </r>
  <r>
    <n v="595"/>
    <d v="2011-01-27T00:00:00"/>
    <n v="1"/>
    <n v="23"/>
    <b v="0"/>
    <n v="4"/>
    <x v="1"/>
    <x v="5"/>
    <x v="0"/>
    <x v="0"/>
    <n v="0.18"/>
    <x v="0"/>
    <n v="0.19700000000000001"/>
    <n v="0.8"/>
    <x v="0"/>
    <x v="8"/>
    <x v="3"/>
    <x v="20"/>
    <n v="16"/>
  </r>
  <r>
    <n v="596"/>
    <d v="2011-01-28T00:00:00"/>
    <n v="1"/>
    <n v="0"/>
    <b v="0"/>
    <n v="5"/>
    <x v="1"/>
    <x v="6"/>
    <x v="1"/>
    <x v="1"/>
    <n v="0.2"/>
    <x v="0"/>
    <n v="0.21210000000000001"/>
    <n v="0.75"/>
    <x v="0"/>
    <x v="7"/>
    <x v="3"/>
    <x v="33"/>
    <n v="9"/>
  </r>
  <r>
    <n v="597"/>
    <d v="2011-01-28T00:00:00"/>
    <n v="1"/>
    <n v="1"/>
    <b v="0"/>
    <n v="5"/>
    <x v="1"/>
    <x v="6"/>
    <x v="1"/>
    <x v="1"/>
    <n v="0.2"/>
    <x v="0"/>
    <n v="0.21210000000000001"/>
    <n v="0.75"/>
    <x v="0"/>
    <x v="7"/>
    <x v="5"/>
    <x v="6"/>
    <n v="3"/>
  </r>
  <r>
    <n v="598"/>
    <d v="2011-01-28T00:00:00"/>
    <n v="1"/>
    <n v="2"/>
    <b v="0"/>
    <n v="5"/>
    <x v="1"/>
    <x v="6"/>
    <x v="1"/>
    <x v="1"/>
    <n v="0.2"/>
    <x v="0"/>
    <n v="0.21210000000000001"/>
    <n v="0.75"/>
    <x v="0"/>
    <x v="8"/>
    <x v="3"/>
    <x v="6"/>
    <n v="2"/>
  </r>
  <r>
    <n v="599"/>
    <d v="2011-01-28T00:00:00"/>
    <n v="1"/>
    <n v="3"/>
    <b v="0"/>
    <n v="5"/>
    <x v="1"/>
    <x v="6"/>
    <x v="1"/>
    <x v="1"/>
    <n v="0.2"/>
    <x v="0"/>
    <n v="0.2273"/>
    <n v="0.75"/>
    <x v="0"/>
    <x v="14"/>
    <x v="5"/>
    <x v="5"/>
    <n v="1"/>
  </r>
  <r>
    <n v="600"/>
    <d v="2011-01-28T00:00:00"/>
    <n v="1"/>
    <n v="5"/>
    <b v="0"/>
    <n v="5"/>
    <x v="1"/>
    <x v="6"/>
    <x v="1"/>
    <x v="1"/>
    <n v="0.18"/>
    <x v="0"/>
    <n v="0.21210000000000001"/>
    <n v="0.8"/>
    <x v="0"/>
    <x v="14"/>
    <x v="3"/>
    <x v="22"/>
    <n v="4"/>
  </r>
  <r>
    <n v="601"/>
    <d v="2011-01-28T00:00:00"/>
    <n v="1"/>
    <n v="6"/>
    <b v="0"/>
    <n v="5"/>
    <x v="1"/>
    <x v="6"/>
    <x v="1"/>
    <x v="1"/>
    <n v="0.18"/>
    <x v="0"/>
    <n v="0.19700000000000001"/>
    <n v="0.8"/>
    <x v="0"/>
    <x v="7"/>
    <x v="3"/>
    <x v="20"/>
    <n v="16"/>
  </r>
  <r>
    <n v="602"/>
    <d v="2011-01-28T00:00:00"/>
    <n v="1"/>
    <n v="7"/>
    <b v="0"/>
    <n v="5"/>
    <x v="1"/>
    <x v="6"/>
    <x v="1"/>
    <x v="1"/>
    <n v="0.16"/>
    <x v="0"/>
    <n v="0.19700000000000001"/>
    <n v="0.86"/>
    <x v="0"/>
    <x v="1"/>
    <x v="4"/>
    <x v="29"/>
    <n v="60"/>
  </r>
  <r>
    <n v="603"/>
    <d v="2011-01-28T00:00:00"/>
    <n v="1"/>
    <n v="8"/>
    <b v="0"/>
    <n v="5"/>
    <x v="1"/>
    <x v="6"/>
    <x v="1"/>
    <x v="1"/>
    <n v="0.16"/>
    <x v="0"/>
    <n v="0.19700000000000001"/>
    <n v="0.86"/>
    <x v="0"/>
    <x v="1"/>
    <x v="4"/>
    <x v="119"/>
    <n v="157"/>
  </r>
  <r>
    <n v="604"/>
    <d v="2011-01-28T00:00:00"/>
    <n v="1"/>
    <n v="9"/>
    <b v="0"/>
    <n v="5"/>
    <x v="1"/>
    <x v="6"/>
    <x v="2"/>
    <x v="2"/>
    <n v="0.18"/>
    <x v="0"/>
    <n v="0.21210000000000001"/>
    <n v="0.86"/>
    <x v="0"/>
    <x v="1"/>
    <x v="15"/>
    <x v="73"/>
    <n v="101"/>
  </r>
  <r>
    <n v="605"/>
    <d v="2011-01-28T00:00:00"/>
    <n v="1"/>
    <n v="10"/>
    <b v="0"/>
    <n v="5"/>
    <x v="1"/>
    <x v="6"/>
    <x v="2"/>
    <x v="2"/>
    <n v="0.18"/>
    <x v="0"/>
    <n v="0.21210000000000001"/>
    <n v="0.86"/>
    <x v="0"/>
    <x v="14"/>
    <x v="3"/>
    <x v="47"/>
    <n v="49"/>
  </r>
  <r>
    <n v="606"/>
    <d v="2011-01-28T00:00:00"/>
    <n v="1"/>
    <n v="11"/>
    <b v="0"/>
    <n v="5"/>
    <x v="1"/>
    <x v="6"/>
    <x v="2"/>
    <x v="2"/>
    <n v="0.18"/>
    <x v="0"/>
    <n v="0.21210000000000001"/>
    <n v="0.93"/>
    <x v="0"/>
    <x v="14"/>
    <x v="3"/>
    <x v="10"/>
    <n v="30"/>
  </r>
  <r>
    <n v="607"/>
    <d v="2011-01-28T00:00:00"/>
    <n v="1"/>
    <n v="12"/>
    <b v="0"/>
    <n v="5"/>
    <x v="1"/>
    <x v="6"/>
    <x v="2"/>
    <x v="2"/>
    <n v="0.18"/>
    <x v="0"/>
    <n v="0.21210000000000001"/>
    <n v="0.93"/>
    <x v="0"/>
    <x v="14"/>
    <x v="5"/>
    <x v="95"/>
    <n v="29"/>
  </r>
  <r>
    <n v="608"/>
    <d v="2011-01-28T00:00:00"/>
    <n v="1"/>
    <n v="13"/>
    <b v="0"/>
    <n v="5"/>
    <x v="1"/>
    <x v="6"/>
    <x v="2"/>
    <x v="2"/>
    <n v="0.18"/>
    <x v="0"/>
    <n v="0.21210000000000001"/>
    <n v="0.93"/>
    <x v="0"/>
    <x v="14"/>
    <x v="3"/>
    <x v="17"/>
    <n v="31"/>
  </r>
  <r>
    <n v="609"/>
    <d v="2011-01-28T00:00:00"/>
    <n v="1"/>
    <n v="14"/>
    <b v="0"/>
    <n v="5"/>
    <x v="1"/>
    <x v="6"/>
    <x v="2"/>
    <x v="2"/>
    <n v="0.22"/>
    <x v="0"/>
    <n v="0.2727"/>
    <n v="0.8"/>
    <x v="0"/>
    <x v="0"/>
    <x v="4"/>
    <x v="49"/>
    <n v="38"/>
  </r>
  <r>
    <n v="610"/>
    <d v="2011-01-28T00:00:00"/>
    <n v="1"/>
    <n v="15"/>
    <b v="0"/>
    <n v="5"/>
    <x v="1"/>
    <x v="6"/>
    <x v="1"/>
    <x v="1"/>
    <n v="0.2"/>
    <x v="0"/>
    <n v="0.2576"/>
    <n v="0.86"/>
    <x v="0"/>
    <x v="0"/>
    <x v="5"/>
    <x v="71"/>
    <n v="41"/>
  </r>
  <r>
    <n v="611"/>
    <d v="2011-01-28T00:00:00"/>
    <n v="1"/>
    <n v="16"/>
    <b v="0"/>
    <n v="5"/>
    <x v="1"/>
    <x v="6"/>
    <x v="0"/>
    <x v="0"/>
    <n v="0.22"/>
    <x v="0"/>
    <n v="0.2727"/>
    <n v="0.8"/>
    <x v="0"/>
    <x v="0"/>
    <x v="22"/>
    <x v="14"/>
    <n v="80"/>
  </r>
  <r>
    <n v="612"/>
    <d v="2011-01-28T00:00:00"/>
    <n v="1"/>
    <n v="17"/>
    <b v="0"/>
    <n v="5"/>
    <x v="1"/>
    <x v="6"/>
    <x v="0"/>
    <x v="0"/>
    <n v="0.24"/>
    <x v="0"/>
    <n v="0.2424"/>
    <n v="0.75"/>
    <x v="0"/>
    <x v="7"/>
    <x v="4"/>
    <x v="150"/>
    <n v="149"/>
  </r>
  <r>
    <n v="613"/>
    <d v="2011-01-28T00:00:00"/>
    <n v="1"/>
    <n v="18"/>
    <b v="0"/>
    <n v="5"/>
    <x v="1"/>
    <x v="6"/>
    <x v="0"/>
    <x v="0"/>
    <n v="0.24"/>
    <x v="0"/>
    <n v="0.2273"/>
    <n v="0.75"/>
    <x v="0"/>
    <x v="5"/>
    <x v="4"/>
    <x v="128"/>
    <n v="109"/>
  </r>
  <r>
    <n v="614"/>
    <d v="2011-01-28T00:00:00"/>
    <n v="1"/>
    <n v="19"/>
    <b v="0"/>
    <n v="5"/>
    <x v="1"/>
    <x v="6"/>
    <x v="1"/>
    <x v="1"/>
    <n v="0.24"/>
    <x v="0"/>
    <n v="0.2424"/>
    <n v="0.75"/>
    <x v="0"/>
    <x v="7"/>
    <x v="2"/>
    <x v="151"/>
    <n v="89"/>
  </r>
  <r>
    <n v="615"/>
    <d v="2011-01-28T00:00:00"/>
    <n v="1"/>
    <n v="20"/>
    <b v="0"/>
    <n v="5"/>
    <x v="1"/>
    <x v="6"/>
    <x v="1"/>
    <x v="1"/>
    <n v="0.24"/>
    <x v="0"/>
    <n v="0.2273"/>
    <n v="0.7"/>
    <x v="0"/>
    <x v="5"/>
    <x v="5"/>
    <x v="124"/>
    <n v="62"/>
  </r>
  <r>
    <n v="616"/>
    <d v="2011-01-28T00:00:00"/>
    <n v="1"/>
    <n v="21"/>
    <b v="0"/>
    <n v="5"/>
    <x v="1"/>
    <x v="6"/>
    <x v="1"/>
    <x v="1"/>
    <n v="0.22"/>
    <x v="0"/>
    <n v="0.2273"/>
    <n v="0.75"/>
    <x v="0"/>
    <x v="7"/>
    <x v="5"/>
    <x v="77"/>
    <n v="58"/>
  </r>
  <r>
    <n v="617"/>
    <d v="2011-01-28T00:00:00"/>
    <n v="1"/>
    <n v="22"/>
    <b v="0"/>
    <n v="5"/>
    <x v="1"/>
    <x v="6"/>
    <x v="0"/>
    <x v="0"/>
    <n v="0.24"/>
    <x v="0"/>
    <n v="0.21210000000000001"/>
    <n v="0.65"/>
    <x v="1"/>
    <x v="11"/>
    <x v="3"/>
    <x v="16"/>
    <n v="26"/>
  </r>
  <r>
    <n v="618"/>
    <d v="2011-01-28T00:00:00"/>
    <n v="1"/>
    <n v="23"/>
    <b v="0"/>
    <n v="5"/>
    <x v="1"/>
    <x v="6"/>
    <x v="0"/>
    <x v="0"/>
    <n v="0.24"/>
    <x v="0"/>
    <n v="0.2273"/>
    <n v="0.6"/>
    <x v="1"/>
    <x v="6"/>
    <x v="5"/>
    <x v="97"/>
    <n v="23"/>
  </r>
  <r>
    <n v="619"/>
    <d v="2011-01-29T00:00:00"/>
    <n v="1"/>
    <n v="0"/>
    <b v="0"/>
    <n v="6"/>
    <x v="0"/>
    <x v="0"/>
    <x v="0"/>
    <x v="0"/>
    <n v="0.22"/>
    <x v="0"/>
    <n v="0.19700000000000001"/>
    <n v="0.64"/>
    <x v="1"/>
    <x v="11"/>
    <x v="4"/>
    <x v="16"/>
    <n v="28"/>
  </r>
  <r>
    <n v="620"/>
    <d v="2011-01-29T00:00:00"/>
    <n v="1"/>
    <n v="1"/>
    <b v="0"/>
    <n v="6"/>
    <x v="0"/>
    <x v="0"/>
    <x v="0"/>
    <x v="0"/>
    <n v="0.22"/>
    <x v="0"/>
    <n v="0.2273"/>
    <n v="0.64"/>
    <x v="1"/>
    <x v="5"/>
    <x v="3"/>
    <x v="32"/>
    <n v="20"/>
  </r>
  <r>
    <n v="621"/>
    <d v="2011-01-29T00:00:00"/>
    <n v="1"/>
    <n v="2"/>
    <b v="0"/>
    <n v="6"/>
    <x v="0"/>
    <x v="0"/>
    <x v="0"/>
    <x v="0"/>
    <n v="0.22"/>
    <x v="0"/>
    <n v="0.2273"/>
    <n v="0.64"/>
    <x v="1"/>
    <x v="8"/>
    <x v="3"/>
    <x v="89"/>
    <n v="15"/>
  </r>
  <r>
    <n v="622"/>
    <d v="2011-01-29T00:00:00"/>
    <n v="1"/>
    <n v="3"/>
    <b v="0"/>
    <n v="6"/>
    <x v="0"/>
    <x v="0"/>
    <x v="0"/>
    <x v="0"/>
    <n v="0.2"/>
    <x v="0"/>
    <n v="0.21210000000000001"/>
    <n v="0.64"/>
    <x v="1"/>
    <x v="7"/>
    <x v="0"/>
    <x v="34"/>
    <n v="8"/>
  </r>
  <r>
    <n v="623"/>
    <d v="2011-01-29T00:00:00"/>
    <n v="1"/>
    <n v="4"/>
    <b v="0"/>
    <n v="6"/>
    <x v="0"/>
    <x v="0"/>
    <x v="0"/>
    <x v="0"/>
    <n v="0.16"/>
    <x v="0"/>
    <n v="0.18179999999999999"/>
    <n v="0.69"/>
    <x v="1"/>
    <x v="14"/>
    <x v="5"/>
    <x v="6"/>
    <n v="3"/>
  </r>
  <r>
    <n v="624"/>
    <d v="2011-01-29T00:00:00"/>
    <n v="1"/>
    <n v="6"/>
    <b v="0"/>
    <n v="6"/>
    <x v="0"/>
    <x v="0"/>
    <x v="0"/>
    <x v="0"/>
    <n v="0.16"/>
    <x v="0"/>
    <n v="0.18179999999999999"/>
    <n v="0.64"/>
    <x v="1"/>
    <x v="7"/>
    <x v="3"/>
    <x v="6"/>
    <n v="2"/>
  </r>
  <r>
    <n v="625"/>
    <d v="2011-01-29T00:00:00"/>
    <n v="1"/>
    <n v="7"/>
    <b v="0"/>
    <n v="6"/>
    <x v="0"/>
    <x v="0"/>
    <x v="0"/>
    <x v="0"/>
    <n v="0.16"/>
    <x v="0"/>
    <n v="0.18179999999999999"/>
    <n v="0.59"/>
    <x v="1"/>
    <x v="14"/>
    <x v="5"/>
    <x v="22"/>
    <n v="5"/>
  </r>
  <r>
    <n v="626"/>
    <d v="2011-01-29T00:00:00"/>
    <n v="1"/>
    <n v="8"/>
    <b v="0"/>
    <n v="6"/>
    <x v="0"/>
    <x v="0"/>
    <x v="0"/>
    <x v="0"/>
    <n v="0.18"/>
    <x v="0"/>
    <n v="0.19700000000000001"/>
    <n v="0.55000000000000004"/>
    <x v="1"/>
    <x v="8"/>
    <x v="0"/>
    <x v="17"/>
    <n v="34"/>
  </r>
  <r>
    <n v="627"/>
    <d v="2011-01-29T00:00:00"/>
    <n v="1"/>
    <n v="9"/>
    <b v="0"/>
    <n v="6"/>
    <x v="0"/>
    <x v="0"/>
    <x v="0"/>
    <x v="0"/>
    <n v="0.18"/>
    <x v="0"/>
    <n v="0.21210000000000001"/>
    <n v="0.59"/>
    <x v="1"/>
    <x v="1"/>
    <x v="3"/>
    <x v="60"/>
    <n v="34"/>
  </r>
  <r>
    <n v="628"/>
    <d v="2011-01-29T00:00:00"/>
    <n v="1"/>
    <n v="10"/>
    <b v="0"/>
    <n v="6"/>
    <x v="0"/>
    <x v="0"/>
    <x v="1"/>
    <x v="1"/>
    <n v="0.18"/>
    <x v="0"/>
    <n v="0.21210000000000001"/>
    <n v="0.64"/>
    <x v="1"/>
    <x v="14"/>
    <x v="17"/>
    <x v="82"/>
    <n v="55"/>
  </r>
  <r>
    <n v="629"/>
    <d v="2011-01-29T00:00:00"/>
    <n v="1"/>
    <n v="11"/>
    <b v="0"/>
    <n v="6"/>
    <x v="0"/>
    <x v="0"/>
    <x v="1"/>
    <x v="1"/>
    <n v="0.18"/>
    <x v="0"/>
    <n v="0.19700000000000001"/>
    <n v="0.64"/>
    <x v="1"/>
    <x v="7"/>
    <x v="17"/>
    <x v="91"/>
    <n v="64"/>
  </r>
  <r>
    <n v="630"/>
    <d v="2011-01-29T00:00:00"/>
    <n v="1"/>
    <n v="12"/>
    <b v="0"/>
    <n v="6"/>
    <x v="0"/>
    <x v="0"/>
    <x v="1"/>
    <x v="1"/>
    <n v="0.2"/>
    <x v="0"/>
    <n v="0.19700000000000001"/>
    <n v="0.59"/>
    <x v="1"/>
    <x v="5"/>
    <x v="6"/>
    <x v="43"/>
    <n v="78"/>
  </r>
  <r>
    <n v="631"/>
    <d v="2011-01-29T00:00:00"/>
    <n v="1"/>
    <n v="13"/>
    <b v="0"/>
    <n v="6"/>
    <x v="0"/>
    <x v="0"/>
    <x v="1"/>
    <x v="1"/>
    <n v="0.22"/>
    <x v="0"/>
    <n v="0.2273"/>
    <n v="0.55000000000000004"/>
    <x v="1"/>
    <x v="8"/>
    <x v="14"/>
    <x v="90"/>
    <n v="65"/>
  </r>
  <r>
    <n v="632"/>
    <d v="2011-01-29T00:00:00"/>
    <n v="1"/>
    <n v="14"/>
    <b v="0"/>
    <n v="6"/>
    <x v="0"/>
    <x v="0"/>
    <x v="1"/>
    <x v="1"/>
    <n v="0.22"/>
    <x v="0"/>
    <n v="0.2273"/>
    <n v="0.6"/>
    <x v="1"/>
    <x v="7"/>
    <x v="22"/>
    <x v="121"/>
    <n v="99"/>
  </r>
  <r>
    <n v="633"/>
    <d v="2011-01-29T00:00:00"/>
    <n v="1"/>
    <n v="15"/>
    <b v="0"/>
    <n v="6"/>
    <x v="0"/>
    <x v="0"/>
    <x v="0"/>
    <x v="0"/>
    <n v="0.22"/>
    <x v="0"/>
    <n v="0.21210000000000001"/>
    <n v="0.69"/>
    <x v="1"/>
    <x v="2"/>
    <x v="30"/>
    <x v="52"/>
    <n v="120"/>
  </r>
  <r>
    <n v="634"/>
    <d v="2011-01-29T00:00:00"/>
    <n v="1"/>
    <n v="16"/>
    <b v="0"/>
    <n v="6"/>
    <x v="0"/>
    <x v="0"/>
    <x v="0"/>
    <x v="0"/>
    <n v="0.24"/>
    <x v="0"/>
    <n v="0.2424"/>
    <n v="0.6"/>
    <x v="1"/>
    <x v="8"/>
    <x v="21"/>
    <x v="152"/>
    <n v="107"/>
  </r>
  <r>
    <n v="635"/>
    <d v="2011-01-29T00:00:00"/>
    <n v="1"/>
    <n v="17"/>
    <b v="0"/>
    <n v="6"/>
    <x v="0"/>
    <x v="0"/>
    <x v="0"/>
    <x v="0"/>
    <n v="0.24"/>
    <x v="0"/>
    <n v="0.28789999999999999"/>
    <n v="0.6"/>
    <x v="1"/>
    <x v="0"/>
    <x v="14"/>
    <x v="70"/>
    <n v="91"/>
  </r>
  <r>
    <n v="636"/>
    <d v="2011-01-29T00:00:00"/>
    <n v="1"/>
    <n v="18"/>
    <b v="0"/>
    <n v="6"/>
    <x v="0"/>
    <x v="0"/>
    <x v="0"/>
    <x v="0"/>
    <n v="0.22"/>
    <x v="0"/>
    <n v="0.2273"/>
    <n v="0.69"/>
    <x v="1"/>
    <x v="7"/>
    <x v="14"/>
    <x v="79"/>
    <n v="68"/>
  </r>
  <r>
    <n v="637"/>
    <d v="2011-01-29T00:00:00"/>
    <n v="1"/>
    <n v="19"/>
    <b v="0"/>
    <n v="6"/>
    <x v="0"/>
    <x v="0"/>
    <x v="1"/>
    <x v="1"/>
    <n v="0.22"/>
    <x v="0"/>
    <n v="0.21210000000000001"/>
    <n v="0.69"/>
    <x v="1"/>
    <x v="2"/>
    <x v="15"/>
    <x v="15"/>
    <n v="58"/>
  </r>
  <r>
    <n v="638"/>
    <d v="2011-01-29T00:00:00"/>
    <n v="1"/>
    <n v="20"/>
    <b v="0"/>
    <n v="6"/>
    <x v="0"/>
    <x v="0"/>
    <x v="0"/>
    <x v="0"/>
    <n v="0.18"/>
    <x v="0"/>
    <n v="0.21210000000000001"/>
    <n v="0.74"/>
    <x v="0"/>
    <x v="1"/>
    <x v="5"/>
    <x v="76"/>
    <n v="43"/>
  </r>
  <r>
    <n v="639"/>
    <d v="2011-01-29T00:00:00"/>
    <n v="1"/>
    <n v="21"/>
    <b v="0"/>
    <n v="6"/>
    <x v="0"/>
    <x v="0"/>
    <x v="0"/>
    <x v="0"/>
    <n v="0.18"/>
    <x v="0"/>
    <n v="0.21210000000000001"/>
    <n v="0.74"/>
    <x v="0"/>
    <x v="1"/>
    <x v="5"/>
    <x v="96"/>
    <n v="36"/>
  </r>
  <r>
    <n v="640"/>
    <d v="2011-01-29T00:00:00"/>
    <n v="1"/>
    <n v="22"/>
    <b v="0"/>
    <n v="6"/>
    <x v="0"/>
    <x v="0"/>
    <x v="0"/>
    <x v="0"/>
    <n v="0.16"/>
    <x v="0"/>
    <n v="0.19700000000000001"/>
    <n v="0.8"/>
    <x v="0"/>
    <x v="1"/>
    <x v="17"/>
    <x v="95"/>
    <n v="32"/>
  </r>
  <r>
    <n v="641"/>
    <d v="2011-01-29T00:00:00"/>
    <n v="1"/>
    <n v="23"/>
    <b v="0"/>
    <n v="6"/>
    <x v="0"/>
    <x v="0"/>
    <x v="0"/>
    <x v="0"/>
    <n v="0.16"/>
    <x v="0"/>
    <n v="0.19700000000000001"/>
    <n v="0.8"/>
    <x v="0"/>
    <x v="1"/>
    <x v="0"/>
    <x v="10"/>
    <n v="33"/>
  </r>
  <r>
    <n v="642"/>
    <d v="2011-01-30T00:00:00"/>
    <n v="1"/>
    <n v="0"/>
    <b v="0"/>
    <n v="0"/>
    <x v="0"/>
    <x v="1"/>
    <x v="0"/>
    <x v="0"/>
    <n v="0.16"/>
    <x v="0"/>
    <n v="0.18179999999999999"/>
    <n v="0.8"/>
    <x v="0"/>
    <x v="14"/>
    <x v="3"/>
    <x v="39"/>
    <n v="33"/>
  </r>
  <r>
    <n v="643"/>
    <d v="2011-01-30T00:00:00"/>
    <n v="1"/>
    <n v="1"/>
    <b v="0"/>
    <n v="0"/>
    <x v="0"/>
    <x v="1"/>
    <x v="0"/>
    <x v="0"/>
    <n v="0.14000000000000001"/>
    <x v="0"/>
    <n v="0.21210000000000001"/>
    <n v="0.8"/>
    <x v="0"/>
    <x v="0"/>
    <x v="18"/>
    <x v="97"/>
    <n v="29"/>
  </r>
  <r>
    <n v="644"/>
    <d v="2011-01-30T00:00:00"/>
    <n v="1"/>
    <n v="2"/>
    <b v="0"/>
    <n v="0"/>
    <x v="0"/>
    <x v="1"/>
    <x v="0"/>
    <x v="0"/>
    <n v="0.16"/>
    <x v="0"/>
    <n v="0.2273"/>
    <n v="0.8"/>
    <x v="0"/>
    <x v="0"/>
    <x v="5"/>
    <x v="3"/>
    <n v="11"/>
  </r>
  <r>
    <n v="645"/>
    <d v="2011-01-30T00:00:00"/>
    <n v="1"/>
    <n v="3"/>
    <b v="0"/>
    <n v="0"/>
    <x v="0"/>
    <x v="1"/>
    <x v="0"/>
    <x v="0"/>
    <n v="0.14000000000000001"/>
    <x v="0"/>
    <n v="0.21210000000000001"/>
    <n v="0.93"/>
    <x v="0"/>
    <x v="0"/>
    <x v="5"/>
    <x v="7"/>
    <n v="8"/>
  </r>
  <r>
    <n v="646"/>
    <d v="2011-01-30T00:00:00"/>
    <n v="1"/>
    <n v="4"/>
    <b v="0"/>
    <n v="0"/>
    <x v="0"/>
    <x v="1"/>
    <x v="0"/>
    <x v="0"/>
    <n v="0.14000000000000001"/>
    <x v="0"/>
    <n v="0.21210000000000001"/>
    <n v="0.93"/>
    <x v="0"/>
    <x v="0"/>
    <x v="3"/>
    <x v="4"/>
    <n v="1"/>
  </r>
  <r>
    <n v="647"/>
    <d v="2011-01-30T00:00:00"/>
    <n v="1"/>
    <n v="5"/>
    <b v="0"/>
    <n v="0"/>
    <x v="0"/>
    <x v="1"/>
    <x v="0"/>
    <x v="0"/>
    <n v="0.14000000000000001"/>
    <x v="0"/>
    <n v="0.21210000000000001"/>
    <n v="0.86"/>
    <x v="0"/>
    <x v="0"/>
    <x v="3"/>
    <x v="35"/>
    <n v="3"/>
  </r>
  <r>
    <n v="648"/>
    <d v="2011-01-30T00:00:00"/>
    <n v="1"/>
    <n v="7"/>
    <b v="0"/>
    <n v="0"/>
    <x v="0"/>
    <x v="1"/>
    <x v="0"/>
    <x v="0"/>
    <n v="0.14000000000000001"/>
    <x v="0"/>
    <n v="0.21210000000000001"/>
    <n v="0.86"/>
    <x v="0"/>
    <x v="0"/>
    <x v="3"/>
    <x v="35"/>
    <n v="3"/>
  </r>
  <r>
    <n v="649"/>
    <d v="2011-01-30T00:00:00"/>
    <n v="1"/>
    <n v="8"/>
    <b v="0"/>
    <n v="0"/>
    <x v="0"/>
    <x v="1"/>
    <x v="1"/>
    <x v="1"/>
    <n v="0.14000000000000001"/>
    <x v="0"/>
    <n v="0.21210000000000001"/>
    <n v="0.86"/>
    <x v="0"/>
    <x v="0"/>
    <x v="5"/>
    <x v="48"/>
    <n v="12"/>
  </r>
  <r>
    <n v="650"/>
    <d v="2011-01-30T00:00:00"/>
    <n v="1"/>
    <n v="9"/>
    <b v="0"/>
    <n v="0"/>
    <x v="0"/>
    <x v="1"/>
    <x v="1"/>
    <x v="1"/>
    <n v="0.16"/>
    <x v="0"/>
    <n v="0.2273"/>
    <n v="0.8"/>
    <x v="0"/>
    <x v="0"/>
    <x v="17"/>
    <x v="60"/>
    <n v="38"/>
  </r>
  <r>
    <n v="651"/>
    <d v="2011-01-30T00:00:00"/>
    <n v="1"/>
    <n v="10"/>
    <b v="0"/>
    <n v="0"/>
    <x v="0"/>
    <x v="1"/>
    <x v="1"/>
    <x v="1"/>
    <n v="0.18"/>
    <x v="0"/>
    <n v="0.2424"/>
    <n v="0.8"/>
    <x v="0"/>
    <x v="0"/>
    <x v="18"/>
    <x v="77"/>
    <n v="64"/>
  </r>
  <r>
    <n v="652"/>
    <d v="2011-01-30T00:00:00"/>
    <n v="1"/>
    <n v="11"/>
    <b v="0"/>
    <n v="0"/>
    <x v="0"/>
    <x v="1"/>
    <x v="0"/>
    <x v="0"/>
    <n v="0.22"/>
    <x v="0"/>
    <n v="0.2727"/>
    <n v="0.75"/>
    <x v="0"/>
    <x v="0"/>
    <x v="14"/>
    <x v="54"/>
    <n v="59"/>
  </r>
  <r>
    <n v="653"/>
    <d v="2011-01-30T00:00:00"/>
    <n v="1"/>
    <n v="12"/>
    <b v="0"/>
    <n v="0"/>
    <x v="0"/>
    <x v="1"/>
    <x v="0"/>
    <x v="0"/>
    <n v="0.3"/>
    <x v="0"/>
    <n v="0.31819999999999998"/>
    <n v="0.52"/>
    <x v="1"/>
    <x v="14"/>
    <x v="22"/>
    <x v="61"/>
    <n v="97"/>
  </r>
  <r>
    <n v="654"/>
    <d v="2011-01-30T00:00:00"/>
    <n v="1"/>
    <n v="13"/>
    <b v="0"/>
    <n v="0"/>
    <x v="0"/>
    <x v="1"/>
    <x v="0"/>
    <x v="0"/>
    <n v="0.28000000000000003"/>
    <x v="0"/>
    <n v="0.28789999999999999"/>
    <n v="0.61"/>
    <x v="1"/>
    <x v="14"/>
    <x v="23"/>
    <x v="13"/>
    <n v="84"/>
  </r>
  <r>
    <n v="655"/>
    <d v="2011-01-30T00:00:00"/>
    <n v="1"/>
    <n v="14"/>
    <b v="0"/>
    <n v="0"/>
    <x v="0"/>
    <x v="1"/>
    <x v="0"/>
    <x v="0"/>
    <n v="0.28000000000000003"/>
    <x v="0"/>
    <n v="0.30299999999999999"/>
    <n v="0.61"/>
    <x v="1"/>
    <x v="1"/>
    <x v="25"/>
    <x v="153"/>
    <n v="122"/>
  </r>
  <r>
    <n v="656"/>
    <d v="2011-01-30T00:00:00"/>
    <n v="1"/>
    <n v="15"/>
    <b v="0"/>
    <n v="0"/>
    <x v="0"/>
    <x v="1"/>
    <x v="0"/>
    <x v="0"/>
    <n v="0.3"/>
    <x v="0"/>
    <n v="0.33329999999999999"/>
    <n v="0.56000000000000005"/>
    <x v="1"/>
    <x v="0"/>
    <x v="24"/>
    <x v="73"/>
    <n v="109"/>
  </r>
  <r>
    <n v="657"/>
    <d v="2011-01-30T00:00:00"/>
    <n v="1"/>
    <n v="16"/>
    <b v="0"/>
    <n v="0"/>
    <x v="0"/>
    <x v="1"/>
    <x v="0"/>
    <x v="0"/>
    <n v="0.3"/>
    <x v="0"/>
    <n v="0.33329999999999999"/>
    <n v="0.56000000000000005"/>
    <x v="1"/>
    <x v="0"/>
    <x v="21"/>
    <x v="153"/>
    <n v="123"/>
  </r>
  <r>
    <n v="658"/>
    <d v="2011-01-30T00:00:00"/>
    <n v="1"/>
    <n v="17"/>
    <b v="0"/>
    <n v="0"/>
    <x v="0"/>
    <x v="1"/>
    <x v="0"/>
    <x v="0"/>
    <n v="0.3"/>
    <x v="0"/>
    <n v="0.28789999999999999"/>
    <n v="0.56000000000000005"/>
    <x v="1"/>
    <x v="5"/>
    <x v="15"/>
    <x v="13"/>
    <n v="77"/>
  </r>
  <r>
    <n v="659"/>
    <d v="2011-01-30T00:00:00"/>
    <n v="1"/>
    <n v="18"/>
    <b v="0"/>
    <n v="0"/>
    <x v="0"/>
    <x v="1"/>
    <x v="0"/>
    <x v="0"/>
    <n v="0.26"/>
    <x v="0"/>
    <n v="0.2576"/>
    <n v="0.65"/>
    <x v="1"/>
    <x v="8"/>
    <x v="1"/>
    <x v="77"/>
    <n v="65"/>
  </r>
  <r>
    <n v="660"/>
    <d v="2011-01-30T00:00:00"/>
    <n v="1"/>
    <n v="19"/>
    <b v="0"/>
    <n v="0"/>
    <x v="0"/>
    <x v="1"/>
    <x v="0"/>
    <x v="0"/>
    <n v="0.26"/>
    <x v="0"/>
    <n v="0.2576"/>
    <n v="0.65"/>
    <x v="1"/>
    <x v="5"/>
    <x v="14"/>
    <x v="24"/>
    <n v="55"/>
  </r>
  <r>
    <n v="661"/>
    <d v="2011-01-30T00:00:00"/>
    <n v="1"/>
    <n v="20"/>
    <b v="0"/>
    <n v="0"/>
    <x v="0"/>
    <x v="1"/>
    <x v="1"/>
    <x v="1"/>
    <n v="0.26"/>
    <x v="0"/>
    <n v="0.2727"/>
    <n v="0.65"/>
    <x v="1"/>
    <x v="14"/>
    <x v="0"/>
    <x v="10"/>
    <n v="33"/>
  </r>
  <r>
    <n v="662"/>
    <d v="2011-01-30T00:00:00"/>
    <n v="1"/>
    <n v="21"/>
    <b v="0"/>
    <n v="0"/>
    <x v="0"/>
    <x v="1"/>
    <x v="1"/>
    <x v="1"/>
    <n v="0.24"/>
    <x v="0"/>
    <n v="0.2424"/>
    <n v="0.7"/>
    <x v="0"/>
    <x v="8"/>
    <x v="0"/>
    <x v="18"/>
    <n v="28"/>
  </r>
  <r>
    <n v="663"/>
    <d v="2011-01-30T00:00:00"/>
    <n v="1"/>
    <n v="22"/>
    <b v="0"/>
    <n v="0"/>
    <x v="0"/>
    <x v="1"/>
    <x v="1"/>
    <x v="1"/>
    <n v="0.24"/>
    <x v="0"/>
    <n v="0.2273"/>
    <n v="0.7"/>
    <x v="0"/>
    <x v="5"/>
    <x v="4"/>
    <x v="23"/>
    <n v="21"/>
  </r>
  <r>
    <n v="664"/>
    <d v="2011-01-30T00:00:00"/>
    <n v="1"/>
    <n v="23"/>
    <b v="0"/>
    <n v="0"/>
    <x v="0"/>
    <x v="1"/>
    <x v="1"/>
    <x v="1"/>
    <n v="0.24"/>
    <x v="0"/>
    <n v="0.21210000000000001"/>
    <n v="0.65"/>
    <x v="1"/>
    <x v="3"/>
    <x v="2"/>
    <x v="20"/>
    <n v="21"/>
  </r>
  <r>
    <n v="665"/>
    <d v="2011-01-31T00:00:00"/>
    <n v="1"/>
    <n v="0"/>
    <b v="0"/>
    <n v="1"/>
    <x v="1"/>
    <x v="2"/>
    <x v="1"/>
    <x v="1"/>
    <n v="0.24"/>
    <x v="0"/>
    <n v="0.2273"/>
    <n v="0.65"/>
    <x v="1"/>
    <x v="6"/>
    <x v="5"/>
    <x v="8"/>
    <n v="7"/>
  </r>
  <r>
    <n v="666"/>
    <d v="2011-01-31T00:00:00"/>
    <n v="1"/>
    <n v="1"/>
    <b v="0"/>
    <n v="1"/>
    <x v="1"/>
    <x v="2"/>
    <x v="0"/>
    <x v="0"/>
    <n v="0.22"/>
    <x v="0"/>
    <n v="0.21210000000000001"/>
    <n v="0.64"/>
    <x v="1"/>
    <x v="2"/>
    <x v="4"/>
    <x v="34"/>
    <n v="7"/>
  </r>
  <r>
    <n v="667"/>
    <d v="2011-01-31T00:00:00"/>
    <n v="1"/>
    <n v="2"/>
    <b v="0"/>
    <n v="1"/>
    <x v="1"/>
    <x v="2"/>
    <x v="0"/>
    <x v="0"/>
    <n v="0.22"/>
    <x v="0"/>
    <n v="0.2273"/>
    <n v="0.64"/>
    <x v="1"/>
    <x v="5"/>
    <x v="3"/>
    <x v="4"/>
    <n v="1"/>
  </r>
  <r>
    <n v="668"/>
    <d v="2011-01-31T00:00:00"/>
    <n v="1"/>
    <n v="3"/>
    <b v="0"/>
    <n v="1"/>
    <x v="1"/>
    <x v="2"/>
    <x v="0"/>
    <x v="0"/>
    <n v="0.22"/>
    <x v="0"/>
    <n v="0.2273"/>
    <n v="0.64"/>
    <x v="1"/>
    <x v="5"/>
    <x v="3"/>
    <x v="6"/>
    <n v="2"/>
  </r>
  <r>
    <n v="669"/>
    <d v="2011-01-31T00:00:00"/>
    <n v="1"/>
    <n v="4"/>
    <b v="0"/>
    <n v="1"/>
    <x v="1"/>
    <x v="2"/>
    <x v="0"/>
    <x v="0"/>
    <n v="0.2"/>
    <x v="0"/>
    <n v="0.19700000000000001"/>
    <n v="0.59"/>
    <x v="1"/>
    <x v="6"/>
    <x v="3"/>
    <x v="6"/>
    <n v="2"/>
  </r>
  <r>
    <n v="670"/>
    <d v="2011-01-31T00:00:00"/>
    <n v="1"/>
    <n v="5"/>
    <b v="0"/>
    <n v="1"/>
    <x v="1"/>
    <x v="2"/>
    <x v="0"/>
    <x v="0"/>
    <n v="0.18"/>
    <x v="0"/>
    <n v="0.16669999999999999"/>
    <n v="0.64"/>
    <x v="1"/>
    <x v="3"/>
    <x v="3"/>
    <x v="21"/>
    <n v="8"/>
  </r>
  <r>
    <n v="671"/>
    <d v="2011-01-31T00:00:00"/>
    <n v="1"/>
    <n v="6"/>
    <b v="0"/>
    <n v="1"/>
    <x v="1"/>
    <x v="2"/>
    <x v="0"/>
    <x v="0"/>
    <n v="0.16"/>
    <x v="0"/>
    <n v="0.13639999999999999"/>
    <n v="0.69"/>
    <x v="1"/>
    <x v="9"/>
    <x v="3"/>
    <x v="53"/>
    <n v="37"/>
  </r>
  <r>
    <n v="672"/>
    <d v="2011-01-31T00:00:00"/>
    <n v="1"/>
    <n v="7"/>
    <b v="0"/>
    <n v="1"/>
    <x v="1"/>
    <x v="2"/>
    <x v="1"/>
    <x v="1"/>
    <n v="0.16"/>
    <x v="0"/>
    <n v="0.13639999999999999"/>
    <n v="0.64"/>
    <x v="1"/>
    <x v="3"/>
    <x v="5"/>
    <x v="13"/>
    <n v="72"/>
  </r>
  <r>
    <n v="673"/>
    <d v="2011-01-31T00:00:00"/>
    <n v="1"/>
    <n v="8"/>
    <b v="0"/>
    <n v="1"/>
    <x v="1"/>
    <x v="2"/>
    <x v="1"/>
    <x v="1"/>
    <n v="0.16"/>
    <x v="0"/>
    <n v="0.13639999999999999"/>
    <n v="0.59"/>
    <x v="1"/>
    <x v="3"/>
    <x v="0"/>
    <x v="154"/>
    <n v="185"/>
  </r>
  <r>
    <n v="674"/>
    <d v="2011-01-31T00:00:00"/>
    <n v="1"/>
    <n v="9"/>
    <b v="0"/>
    <n v="1"/>
    <x v="1"/>
    <x v="2"/>
    <x v="1"/>
    <x v="1"/>
    <n v="0.16"/>
    <x v="0"/>
    <n v="0.13639999999999999"/>
    <n v="0.59"/>
    <x v="1"/>
    <x v="4"/>
    <x v="3"/>
    <x v="155"/>
    <n v="112"/>
  </r>
  <r>
    <n v="675"/>
    <d v="2011-01-31T00:00:00"/>
    <n v="1"/>
    <n v="10"/>
    <b v="0"/>
    <n v="1"/>
    <x v="1"/>
    <x v="2"/>
    <x v="1"/>
    <x v="1"/>
    <n v="0.16"/>
    <x v="0"/>
    <n v="0.1515"/>
    <n v="0.59"/>
    <x v="1"/>
    <x v="5"/>
    <x v="5"/>
    <x v="56"/>
    <n v="69"/>
  </r>
  <r>
    <n v="676"/>
    <d v="2011-01-31T00:00:00"/>
    <n v="1"/>
    <n v="11"/>
    <b v="0"/>
    <n v="1"/>
    <x v="1"/>
    <x v="2"/>
    <x v="1"/>
    <x v="1"/>
    <n v="0.16"/>
    <x v="0"/>
    <n v="0.1515"/>
    <n v="0.59"/>
    <x v="1"/>
    <x v="5"/>
    <x v="4"/>
    <x v="24"/>
    <n v="48"/>
  </r>
  <r>
    <n v="677"/>
    <d v="2011-01-31T00:00:00"/>
    <n v="1"/>
    <n v="12"/>
    <b v="0"/>
    <n v="1"/>
    <x v="1"/>
    <x v="2"/>
    <x v="1"/>
    <x v="1"/>
    <n v="0.18"/>
    <x v="0"/>
    <n v="0.21210000000000001"/>
    <n v="0.55000000000000004"/>
    <x v="1"/>
    <x v="14"/>
    <x v="15"/>
    <x v="133"/>
    <n v="68"/>
  </r>
  <r>
    <n v="678"/>
    <d v="2011-01-31T00:00:00"/>
    <n v="1"/>
    <n v="13"/>
    <b v="0"/>
    <n v="1"/>
    <x v="1"/>
    <x v="2"/>
    <x v="1"/>
    <x v="1"/>
    <n v="0.16"/>
    <x v="0"/>
    <n v="0.2273"/>
    <n v="0.59"/>
    <x v="1"/>
    <x v="0"/>
    <x v="4"/>
    <x v="15"/>
    <n v="54"/>
  </r>
  <r>
    <n v="679"/>
    <d v="2011-01-31T00:00:00"/>
    <n v="1"/>
    <n v="14"/>
    <b v="0"/>
    <n v="1"/>
    <x v="1"/>
    <x v="2"/>
    <x v="1"/>
    <x v="1"/>
    <n v="0.18"/>
    <x v="0"/>
    <n v="0.19700000000000001"/>
    <n v="0.55000000000000004"/>
    <x v="1"/>
    <x v="7"/>
    <x v="5"/>
    <x v="66"/>
    <n v="86"/>
  </r>
  <r>
    <n v="680"/>
    <d v="2011-01-31T00:00:00"/>
    <n v="1"/>
    <n v="15"/>
    <b v="0"/>
    <n v="1"/>
    <x v="1"/>
    <x v="2"/>
    <x v="1"/>
    <x v="1"/>
    <n v="0.16"/>
    <x v="0"/>
    <n v="0.18179999999999999"/>
    <n v="0.59"/>
    <x v="1"/>
    <x v="7"/>
    <x v="0"/>
    <x v="40"/>
    <n v="44"/>
  </r>
  <r>
    <n v="681"/>
    <d v="2011-01-31T00:00:00"/>
    <n v="1"/>
    <n v="16"/>
    <b v="0"/>
    <n v="1"/>
    <x v="1"/>
    <x v="2"/>
    <x v="1"/>
    <x v="1"/>
    <n v="0.16"/>
    <x v="0"/>
    <n v="0.18179999999999999"/>
    <n v="0.56000000000000005"/>
    <x v="1"/>
    <x v="5"/>
    <x v="0"/>
    <x v="93"/>
    <n v="86"/>
  </r>
  <r>
    <n v="682"/>
    <d v="2011-01-31T00:00:00"/>
    <n v="1"/>
    <n v="17"/>
    <b v="0"/>
    <n v="1"/>
    <x v="1"/>
    <x v="2"/>
    <x v="1"/>
    <x v="1"/>
    <n v="0.16"/>
    <x v="0"/>
    <n v="0.1515"/>
    <n v="0.59"/>
    <x v="1"/>
    <x v="5"/>
    <x v="15"/>
    <x v="119"/>
    <n v="161"/>
  </r>
  <r>
    <n v="683"/>
    <d v="2011-01-31T00:00:00"/>
    <n v="1"/>
    <n v="18"/>
    <b v="0"/>
    <n v="1"/>
    <x v="1"/>
    <x v="2"/>
    <x v="1"/>
    <x v="1"/>
    <n v="0.16"/>
    <x v="0"/>
    <n v="0.1515"/>
    <n v="0.55000000000000004"/>
    <x v="1"/>
    <x v="6"/>
    <x v="0"/>
    <x v="37"/>
    <n v="156"/>
  </r>
  <r>
    <n v="684"/>
    <d v="2011-01-31T00:00:00"/>
    <n v="1"/>
    <n v="19"/>
    <b v="0"/>
    <n v="1"/>
    <x v="1"/>
    <x v="2"/>
    <x v="0"/>
    <x v="0"/>
    <n v="0.3"/>
    <x v="0"/>
    <n v="0.31819999999999998"/>
    <n v="0.61"/>
    <x v="1"/>
    <x v="14"/>
    <x v="0"/>
    <x v="123"/>
    <n v="111"/>
  </r>
  <r>
    <n v="685"/>
    <d v="2011-01-31T00:00:00"/>
    <n v="1"/>
    <n v="20"/>
    <b v="0"/>
    <n v="1"/>
    <x v="1"/>
    <x v="2"/>
    <x v="2"/>
    <x v="2"/>
    <n v="0.16"/>
    <x v="0"/>
    <n v="0.16669999999999999"/>
    <n v="0.59"/>
    <x v="1"/>
    <x v="8"/>
    <x v="3"/>
    <x v="78"/>
    <n v="78"/>
  </r>
  <r>
    <n v="686"/>
    <d v="2011-01-31T00:00:00"/>
    <n v="1"/>
    <n v="21"/>
    <b v="0"/>
    <n v="1"/>
    <x v="1"/>
    <x v="2"/>
    <x v="2"/>
    <x v="2"/>
    <n v="0.16"/>
    <x v="0"/>
    <n v="0.19700000000000001"/>
    <n v="0.59"/>
    <x v="1"/>
    <x v="1"/>
    <x v="0"/>
    <x v="42"/>
    <n v="56"/>
  </r>
  <r>
    <n v="687"/>
    <d v="2011-01-31T00:00:00"/>
    <n v="1"/>
    <n v="22"/>
    <b v="0"/>
    <n v="1"/>
    <x v="1"/>
    <x v="2"/>
    <x v="1"/>
    <x v="1"/>
    <n v="0.16"/>
    <x v="0"/>
    <n v="0.18179999999999999"/>
    <n v="0.59"/>
    <x v="1"/>
    <x v="14"/>
    <x v="3"/>
    <x v="60"/>
    <n v="34"/>
  </r>
  <r>
    <n v="688"/>
    <d v="2011-01-31T00:00:00"/>
    <n v="1"/>
    <n v="23"/>
    <b v="0"/>
    <n v="1"/>
    <x v="1"/>
    <x v="2"/>
    <x v="1"/>
    <x v="1"/>
    <n v="0.16"/>
    <x v="0"/>
    <n v="0.19700000000000001"/>
    <n v="0.64"/>
    <x v="1"/>
    <x v="1"/>
    <x v="4"/>
    <x v="89"/>
    <n v="17"/>
  </r>
  <r>
    <n v="689"/>
    <d v="2011-02-01T00:00:00"/>
    <n v="2"/>
    <n v="0"/>
    <b v="0"/>
    <n v="2"/>
    <x v="1"/>
    <x v="3"/>
    <x v="1"/>
    <x v="1"/>
    <n v="0.16"/>
    <x v="0"/>
    <n v="0.18179999999999999"/>
    <n v="0.64"/>
    <x v="1"/>
    <x v="14"/>
    <x v="4"/>
    <x v="8"/>
    <n v="8"/>
  </r>
  <r>
    <n v="690"/>
    <d v="2011-02-01T00:00:00"/>
    <n v="2"/>
    <n v="1"/>
    <b v="0"/>
    <n v="2"/>
    <x v="1"/>
    <x v="3"/>
    <x v="1"/>
    <x v="1"/>
    <n v="0.16"/>
    <x v="0"/>
    <n v="0.18179999999999999"/>
    <n v="0.69"/>
    <x v="1"/>
    <x v="14"/>
    <x v="3"/>
    <x v="35"/>
    <n v="3"/>
  </r>
  <r>
    <n v="691"/>
    <d v="2011-02-01T00:00:00"/>
    <n v="2"/>
    <n v="2"/>
    <b v="0"/>
    <n v="2"/>
    <x v="1"/>
    <x v="3"/>
    <x v="1"/>
    <x v="1"/>
    <n v="0.16"/>
    <x v="0"/>
    <n v="0.2273"/>
    <n v="0.69"/>
    <x v="1"/>
    <x v="0"/>
    <x v="3"/>
    <x v="6"/>
    <n v="2"/>
  </r>
  <r>
    <n v="692"/>
    <d v="2011-02-01T00:00:00"/>
    <n v="2"/>
    <n v="3"/>
    <b v="0"/>
    <n v="2"/>
    <x v="1"/>
    <x v="3"/>
    <x v="1"/>
    <x v="1"/>
    <n v="0.16"/>
    <x v="0"/>
    <n v="0.2273"/>
    <n v="0.69"/>
    <x v="1"/>
    <x v="0"/>
    <x v="3"/>
    <x v="6"/>
    <n v="2"/>
  </r>
  <r>
    <n v="693"/>
    <d v="2011-02-01T00:00:00"/>
    <n v="2"/>
    <n v="5"/>
    <b v="0"/>
    <n v="2"/>
    <x v="1"/>
    <x v="3"/>
    <x v="2"/>
    <x v="2"/>
    <n v="0.14000000000000001"/>
    <x v="0"/>
    <n v="0.21210000000000001"/>
    <n v="0.93"/>
    <x v="0"/>
    <x v="0"/>
    <x v="3"/>
    <x v="35"/>
    <n v="3"/>
  </r>
  <r>
    <n v="694"/>
    <d v="2011-02-01T00:00:00"/>
    <n v="2"/>
    <n v="6"/>
    <b v="0"/>
    <n v="2"/>
    <x v="1"/>
    <x v="3"/>
    <x v="2"/>
    <x v="2"/>
    <n v="0.14000000000000001"/>
    <x v="0"/>
    <n v="0.21210000000000001"/>
    <n v="0.93"/>
    <x v="0"/>
    <x v="0"/>
    <x v="3"/>
    <x v="97"/>
    <n v="22"/>
  </r>
  <r>
    <n v="695"/>
    <d v="2011-02-01T00:00:00"/>
    <n v="2"/>
    <n v="7"/>
    <b v="0"/>
    <n v="2"/>
    <x v="1"/>
    <x v="3"/>
    <x v="2"/>
    <x v="2"/>
    <n v="0.16"/>
    <x v="0"/>
    <n v="0.2273"/>
    <n v="0.93"/>
    <x v="0"/>
    <x v="0"/>
    <x v="3"/>
    <x v="15"/>
    <n v="52"/>
  </r>
  <r>
    <n v="696"/>
    <d v="2011-02-01T00:00:00"/>
    <n v="2"/>
    <n v="8"/>
    <b v="0"/>
    <n v="2"/>
    <x v="1"/>
    <x v="3"/>
    <x v="2"/>
    <x v="2"/>
    <n v="0.16"/>
    <x v="0"/>
    <n v="0.2273"/>
    <n v="0.93"/>
    <x v="0"/>
    <x v="0"/>
    <x v="0"/>
    <x v="126"/>
    <n v="135"/>
  </r>
  <r>
    <n v="697"/>
    <d v="2011-02-01T00:00:00"/>
    <n v="2"/>
    <n v="9"/>
    <b v="0"/>
    <n v="2"/>
    <x v="1"/>
    <x v="3"/>
    <x v="1"/>
    <x v="1"/>
    <n v="0.16"/>
    <x v="0"/>
    <n v="0.2273"/>
    <n v="0.93"/>
    <x v="0"/>
    <x v="0"/>
    <x v="4"/>
    <x v="156"/>
    <n v="116"/>
  </r>
  <r>
    <n v="698"/>
    <d v="2011-02-01T00:00:00"/>
    <n v="2"/>
    <n v="10"/>
    <b v="0"/>
    <n v="2"/>
    <x v="1"/>
    <x v="3"/>
    <x v="1"/>
    <x v="1"/>
    <n v="0.16"/>
    <x v="0"/>
    <n v="0.2273"/>
    <n v="0.93"/>
    <x v="0"/>
    <x v="0"/>
    <x v="3"/>
    <x v="12"/>
    <n v="47"/>
  </r>
  <r>
    <n v="699"/>
    <d v="2011-02-01T00:00:00"/>
    <n v="2"/>
    <n v="11"/>
    <b v="0"/>
    <n v="2"/>
    <x v="1"/>
    <x v="3"/>
    <x v="1"/>
    <x v="1"/>
    <n v="0.18"/>
    <x v="0"/>
    <n v="0.2424"/>
    <n v="0.86"/>
    <x v="0"/>
    <x v="0"/>
    <x v="4"/>
    <x v="47"/>
    <n v="51"/>
  </r>
  <r>
    <n v="700"/>
    <d v="2011-02-01T00:00:00"/>
    <n v="2"/>
    <n v="12"/>
    <b v="0"/>
    <n v="2"/>
    <x v="1"/>
    <x v="3"/>
    <x v="1"/>
    <x v="1"/>
    <n v="0.2"/>
    <x v="0"/>
    <n v="0.2576"/>
    <n v="0.86"/>
    <x v="0"/>
    <x v="0"/>
    <x v="4"/>
    <x v="42"/>
    <n v="55"/>
  </r>
  <r>
    <n v="701"/>
    <d v="2011-02-01T00:00:00"/>
    <n v="2"/>
    <n v="13"/>
    <b v="0"/>
    <n v="2"/>
    <x v="1"/>
    <x v="3"/>
    <x v="1"/>
    <x v="1"/>
    <n v="0.2"/>
    <x v="0"/>
    <n v="0.2576"/>
    <n v="0.86"/>
    <x v="0"/>
    <x v="0"/>
    <x v="0"/>
    <x v="47"/>
    <n v="52"/>
  </r>
  <r>
    <n v="702"/>
    <d v="2011-02-01T00:00:00"/>
    <n v="2"/>
    <n v="14"/>
    <b v="0"/>
    <n v="2"/>
    <x v="1"/>
    <x v="3"/>
    <x v="1"/>
    <x v="1"/>
    <n v="0.22"/>
    <x v="0"/>
    <n v="0.2576"/>
    <n v="0.8"/>
    <x v="0"/>
    <x v="1"/>
    <x v="2"/>
    <x v="47"/>
    <n v="54"/>
  </r>
  <r>
    <n v="703"/>
    <d v="2011-02-01T00:00:00"/>
    <n v="2"/>
    <n v="15"/>
    <b v="0"/>
    <n v="2"/>
    <x v="1"/>
    <x v="3"/>
    <x v="1"/>
    <x v="1"/>
    <n v="0.24"/>
    <x v="0"/>
    <n v="0.28789999999999999"/>
    <n v="0.75"/>
    <x v="0"/>
    <x v="0"/>
    <x v="18"/>
    <x v="108"/>
    <n v="52"/>
  </r>
  <r>
    <n v="704"/>
    <d v="2011-02-01T00:00:00"/>
    <n v="2"/>
    <n v="16"/>
    <b v="0"/>
    <n v="2"/>
    <x v="1"/>
    <x v="3"/>
    <x v="1"/>
    <x v="1"/>
    <n v="0.24"/>
    <x v="0"/>
    <n v="0.2424"/>
    <n v="0.75"/>
    <x v="0"/>
    <x v="7"/>
    <x v="0"/>
    <x v="124"/>
    <n v="64"/>
  </r>
  <r>
    <n v="705"/>
    <d v="2011-02-01T00:00:00"/>
    <n v="2"/>
    <n v="17"/>
    <b v="0"/>
    <n v="2"/>
    <x v="1"/>
    <x v="3"/>
    <x v="1"/>
    <x v="1"/>
    <n v="0.24"/>
    <x v="0"/>
    <n v="0.28789999999999999"/>
    <n v="0.75"/>
    <x v="0"/>
    <x v="0"/>
    <x v="17"/>
    <x v="157"/>
    <n v="176"/>
  </r>
  <r>
    <n v="706"/>
    <d v="2011-02-01T00:00:00"/>
    <n v="2"/>
    <n v="18"/>
    <b v="0"/>
    <n v="2"/>
    <x v="1"/>
    <x v="3"/>
    <x v="1"/>
    <x v="1"/>
    <n v="0.24"/>
    <x v="0"/>
    <n v="0.2576"/>
    <n v="0.81"/>
    <x v="0"/>
    <x v="14"/>
    <x v="0"/>
    <x v="158"/>
    <n v="168"/>
  </r>
  <r>
    <n v="707"/>
    <d v="2011-02-01T00:00:00"/>
    <n v="2"/>
    <n v="19"/>
    <b v="0"/>
    <n v="2"/>
    <x v="1"/>
    <x v="3"/>
    <x v="1"/>
    <x v="1"/>
    <n v="0.24"/>
    <x v="0"/>
    <n v="0.2424"/>
    <n v="0.81"/>
    <x v="0"/>
    <x v="7"/>
    <x v="0"/>
    <x v="159"/>
    <n v="108"/>
  </r>
  <r>
    <n v="708"/>
    <d v="2011-02-01T00:00:00"/>
    <n v="2"/>
    <n v="20"/>
    <b v="0"/>
    <n v="2"/>
    <x v="1"/>
    <x v="3"/>
    <x v="1"/>
    <x v="1"/>
    <n v="0.22"/>
    <x v="0"/>
    <n v="0.2273"/>
    <n v="0.87"/>
    <x v="0"/>
    <x v="7"/>
    <x v="2"/>
    <x v="94"/>
    <n v="74"/>
  </r>
  <r>
    <n v="709"/>
    <d v="2011-02-01T00:00:00"/>
    <n v="2"/>
    <n v="21"/>
    <b v="0"/>
    <n v="2"/>
    <x v="1"/>
    <x v="3"/>
    <x v="1"/>
    <x v="1"/>
    <n v="0.22"/>
    <x v="0"/>
    <n v="0.2273"/>
    <n v="0.87"/>
    <x v="0"/>
    <x v="7"/>
    <x v="3"/>
    <x v="27"/>
    <n v="64"/>
  </r>
  <r>
    <n v="710"/>
    <d v="2011-02-01T00:00:00"/>
    <n v="2"/>
    <n v="22"/>
    <b v="0"/>
    <n v="2"/>
    <x v="1"/>
    <x v="3"/>
    <x v="1"/>
    <x v="1"/>
    <n v="0.22"/>
    <x v="0"/>
    <n v="0.2576"/>
    <n v="0.87"/>
    <x v="0"/>
    <x v="1"/>
    <x v="4"/>
    <x v="60"/>
    <n v="36"/>
  </r>
  <r>
    <n v="711"/>
    <d v="2011-02-01T00:00:00"/>
    <n v="2"/>
    <n v="23"/>
    <b v="0"/>
    <n v="2"/>
    <x v="1"/>
    <x v="3"/>
    <x v="2"/>
    <x v="2"/>
    <n v="0.2"/>
    <x v="0"/>
    <n v="0.19700000000000001"/>
    <n v="0.93"/>
    <x v="0"/>
    <x v="5"/>
    <x v="5"/>
    <x v="89"/>
    <n v="16"/>
  </r>
  <r>
    <n v="712"/>
    <d v="2011-02-02T00:00:00"/>
    <n v="2"/>
    <n v="0"/>
    <b v="0"/>
    <n v="3"/>
    <x v="1"/>
    <x v="4"/>
    <x v="2"/>
    <x v="2"/>
    <n v="0.22"/>
    <x v="0"/>
    <n v="0.2424"/>
    <n v="0.93"/>
    <x v="0"/>
    <x v="14"/>
    <x v="3"/>
    <x v="6"/>
    <n v="2"/>
  </r>
  <r>
    <n v="713"/>
    <d v="2011-02-02T00:00:00"/>
    <n v="2"/>
    <n v="1"/>
    <b v="0"/>
    <n v="3"/>
    <x v="1"/>
    <x v="4"/>
    <x v="2"/>
    <x v="2"/>
    <n v="0.22"/>
    <x v="0"/>
    <n v="0.2273"/>
    <n v="0.93"/>
    <x v="0"/>
    <x v="5"/>
    <x v="3"/>
    <x v="35"/>
    <n v="3"/>
  </r>
  <r>
    <n v="714"/>
    <d v="2011-02-02T00:00:00"/>
    <n v="2"/>
    <n v="2"/>
    <b v="0"/>
    <n v="3"/>
    <x v="1"/>
    <x v="4"/>
    <x v="2"/>
    <x v="2"/>
    <n v="0.22"/>
    <x v="0"/>
    <n v="0.2273"/>
    <n v="0.93"/>
    <x v="0"/>
    <x v="7"/>
    <x v="17"/>
    <x v="5"/>
    <n v="4"/>
  </r>
  <r>
    <n v="715"/>
    <d v="2011-02-02T00:00:00"/>
    <n v="2"/>
    <n v="3"/>
    <b v="0"/>
    <n v="3"/>
    <x v="1"/>
    <x v="4"/>
    <x v="2"/>
    <x v="2"/>
    <n v="0.22"/>
    <x v="0"/>
    <n v="0.2273"/>
    <n v="0.93"/>
    <x v="0"/>
    <x v="7"/>
    <x v="3"/>
    <x v="4"/>
    <n v="1"/>
  </r>
  <r>
    <n v="716"/>
    <d v="2011-02-02T00:00:00"/>
    <n v="2"/>
    <n v="4"/>
    <b v="0"/>
    <n v="3"/>
    <x v="1"/>
    <x v="4"/>
    <x v="2"/>
    <x v="2"/>
    <n v="0.22"/>
    <x v="0"/>
    <n v="0.21210000000000001"/>
    <n v="0.93"/>
    <x v="0"/>
    <x v="3"/>
    <x v="3"/>
    <x v="4"/>
    <n v="1"/>
  </r>
  <r>
    <n v="717"/>
    <d v="2011-02-02T00:00:00"/>
    <n v="2"/>
    <n v="5"/>
    <b v="0"/>
    <n v="3"/>
    <x v="1"/>
    <x v="4"/>
    <x v="2"/>
    <x v="2"/>
    <n v="0.22"/>
    <x v="0"/>
    <n v="0.2424"/>
    <n v="0.93"/>
    <x v="0"/>
    <x v="14"/>
    <x v="3"/>
    <x v="35"/>
    <n v="3"/>
  </r>
  <r>
    <n v="718"/>
    <d v="2011-02-02T00:00:00"/>
    <n v="2"/>
    <n v="6"/>
    <b v="0"/>
    <n v="3"/>
    <x v="1"/>
    <x v="4"/>
    <x v="2"/>
    <x v="2"/>
    <n v="0.22"/>
    <x v="0"/>
    <n v="0.2424"/>
    <n v="0.93"/>
    <x v="0"/>
    <x v="14"/>
    <x v="5"/>
    <x v="19"/>
    <n v="18"/>
  </r>
  <r>
    <n v="719"/>
    <d v="2011-02-02T00:00:00"/>
    <n v="2"/>
    <n v="7"/>
    <b v="0"/>
    <n v="3"/>
    <x v="1"/>
    <x v="4"/>
    <x v="2"/>
    <x v="2"/>
    <n v="0.22"/>
    <x v="0"/>
    <n v="0.21210000000000001"/>
    <n v="0.93"/>
    <x v="0"/>
    <x v="6"/>
    <x v="5"/>
    <x v="41"/>
    <n v="49"/>
  </r>
  <r>
    <n v="720"/>
    <d v="2011-02-02T00:00:00"/>
    <n v="2"/>
    <n v="8"/>
    <b v="0"/>
    <n v="3"/>
    <x v="1"/>
    <x v="4"/>
    <x v="2"/>
    <x v="2"/>
    <n v="0.22"/>
    <x v="0"/>
    <n v="0.21210000000000001"/>
    <n v="0.93"/>
    <x v="0"/>
    <x v="6"/>
    <x v="5"/>
    <x v="105"/>
    <n v="155"/>
  </r>
  <r>
    <n v="721"/>
    <d v="2011-02-02T00:00:00"/>
    <n v="2"/>
    <n v="9"/>
    <b v="0"/>
    <n v="3"/>
    <x v="1"/>
    <x v="4"/>
    <x v="1"/>
    <x v="1"/>
    <n v="0.24"/>
    <x v="0"/>
    <n v="0.2576"/>
    <n v="0.93"/>
    <x v="0"/>
    <x v="1"/>
    <x v="17"/>
    <x v="138"/>
    <n v="123"/>
  </r>
  <r>
    <n v="722"/>
    <d v="2011-02-02T00:00:00"/>
    <n v="2"/>
    <n v="10"/>
    <b v="0"/>
    <n v="3"/>
    <x v="1"/>
    <x v="4"/>
    <x v="1"/>
    <x v="1"/>
    <n v="0.22"/>
    <x v="0"/>
    <n v="0.2727"/>
    <n v="1"/>
    <x v="0"/>
    <x v="0"/>
    <x v="4"/>
    <x v="79"/>
    <n v="61"/>
  </r>
  <r>
    <n v="723"/>
    <d v="2011-02-02T00:00:00"/>
    <n v="2"/>
    <n v="11"/>
    <b v="0"/>
    <n v="3"/>
    <x v="1"/>
    <x v="4"/>
    <x v="1"/>
    <x v="1"/>
    <n v="0.24"/>
    <x v="0"/>
    <n v="0.2273"/>
    <n v="0.93"/>
    <x v="0"/>
    <x v="5"/>
    <x v="2"/>
    <x v="12"/>
    <n v="52"/>
  </r>
  <r>
    <n v="724"/>
    <d v="2011-02-02T00:00:00"/>
    <n v="2"/>
    <n v="12"/>
    <b v="0"/>
    <n v="3"/>
    <x v="1"/>
    <x v="4"/>
    <x v="1"/>
    <x v="1"/>
    <n v="0.24"/>
    <x v="0"/>
    <n v="0.2273"/>
    <n v="0.93"/>
    <x v="0"/>
    <x v="6"/>
    <x v="0"/>
    <x v="124"/>
    <n v="64"/>
  </r>
  <r>
    <n v="725"/>
    <d v="2011-02-02T00:00:00"/>
    <n v="2"/>
    <n v="13"/>
    <b v="0"/>
    <n v="3"/>
    <x v="1"/>
    <x v="4"/>
    <x v="0"/>
    <x v="0"/>
    <n v="0.34"/>
    <x v="0"/>
    <n v="0.33329999999999999"/>
    <n v="0.93"/>
    <x v="0"/>
    <x v="8"/>
    <x v="5"/>
    <x v="64"/>
    <n v="75"/>
  </r>
  <r>
    <n v="726"/>
    <d v="2011-02-02T00:00:00"/>
    <n v="2"/>
    <n v="14"/>
    <b v="0"/>
    <n v="3"/>
    <x v="1"/>
    <x v="4"/>
    <x v="0"/>
    <x v="0"/>
    <n v="0.38"/>
    <x v="1"/>
    <n v="0.39389999999999997"/>
    <n v="0.82"/>
    <x v="0"/>
    <x v="13"/>
    <x v="4"/>
    <x v="124"/>
    <n v="63"/>
  </r>
  <r>
    <n v="727"/>
    <d v="2011-02-02T00:00:00"/>
    <n v="2"/>
    <n v="15"/>
    <b v="0"/>
    <n v="3"/>
    <x v="1"/>
    <x v="4"/>
    <x v="0"/>
    <x v="0"/>
    <n v="0.38"/>
    <x v="1"/>
    <n v="0.39389999999999997"/>
    <n v="0.76"/>
    <x v="0"/>
    <x v="9"/>
    <x v="22"/>
    <x v="43"/>
    <n v="76"/>
  </r>
  <r>
    <n v="728"/>
    <d v="2011-02-02T00:00:00"/>
    <n v="2"/>
    <n v="16"/>
    <b v="0"/>
    <n v="3"/>
    <x v="1"/>
    <x v="4"/>
    <x v="0"/>
    <x v="0"/>
    <n v="0.36"/>
    <x v="1"/>
    <n v="0.33329999999999999"/>
    <n v="0.71"/>
    <x v="0"/>
    <x v="4"/>
    <x v="1"/>
    <x v="73"/>
    <n v="103"/>
  </r>
  <r>
    <n v="729"/>
    <d v="2011-02-02T00:00:00"/>
    <n v="2"/>
    <n v="17"/>
    <b v="0"/>
    <n v="3"/>
    <x v="1"/>
    <x v="4"/>
    <x v="0"/>
    <x v="0"/>
    <n v="0.36"/>
    <x v="1"/>
    <n v="0.31819999999999998"/>
    <n v="0.53"/>
    <x v="1"/>
    <x v="18"/>
    <x v="18"/>
    <x v="160"/>
    <n v="190"/>
  </r>
  <r>
    <n v="730"/>
    <d v="2011-02-02T00:00:00"/>
    <n v="2"/>
    <n v="18"/>
    <b v="0"/>
    <n v="3"/>
    <x v="1"/>
    <x v="4"/>
    <x v="0"/>
    <x v="0"/>
    <n v="0.34"/>
    <x v="0"/>
    <n v="0.28789999999999999"/>
    <n v="0.42"/>
    <x v="1"/>
    <x v="16"/>
    <x v="18"/>
    <x v="161"/>
    <n v="182"/>
  </r>
  <r>
    <n v="731"/>
    <d v="2011-02-02T00:00:00"/>
    <n v="2"/>
    <n v="19"/>
    <b v="0"/>
    <n v="3"/>
    <x v="1"/>
    <x v="4"/>
    <x v="0"/>
    <x v="0"/>
    <n v="0.28000000000000003"/>
    <x v="0"/>
    <n v="0.2424"/>
    <n v="0.45"/>
    <x v="1"/>
    <x v="15"/>
    <x v="0"/>
    <x v="152"/>
    <n v="91"/>
  </r>
  <r>
    <n v="732"/>
    <d v="2011-02-02T00:00:00"/>
    <n v="2"/>
    <n v="20"/>
    <b v="0"/>
    <n v="3"/>
    <x v="1"/>
    <x v="4"/>
    <x v="0"/>
    <x v="0"/>
    <n v="0.24"/>
    <x v="0"/>
    <n v="0.19700000000000001"/>
    <n v="0.48"/>
    <x v="1"/>
    <x v="16"/>
    <x v="17"/>
    <x v="13"/>
    <n v="75"/>
  </r>
  <r>
    <n v="733"/>
    <d v="2011-02-02T00:00:00"/>
    <n v="2"/>
    <n v="21"/>
    <b v="0"/>
    <n v="3"/>
    <x v="1"/>
    <x v="4"/>
    <x v="0"/>
    <x v="0"/>
    <n v="0.22"/>
    <x v="0"/>
    <n v="0.19700000000000001"/>
    <n v="0.47"/>
    <x v="1"/>
    <x v="9"/>
    <x v="5"/>
    <x v="133"/>
    <n v="63"/>
  </r>
  <r>
    <n v="734"/>
    <d v="2011-02-02T00:00:00"/>
    <n v="2"/>
    <n v="22"/>
    <b v="0"/>
    <n v="3"/>
    <x v="1"/>
    <x v="4"/>
    <x v="0"/>
    <x v="0"/>
    <n v="0.22"/>
    <x v="0"/>
    <n v="0.21210000000000001"/>
    <n v="0.44"/>
    <x v="1"/>
    <x v="2"/>
    <x v="2"/>
    <x v="96"/>
    <n v="40"/>
  </r>
  <r>
    <n v="735"/>
    <d v="2011-02-02T00:00:00"/>
    <n v="2"/>
    <n v="23"/>
    <b v="0"/>
    <n v="3"/>
    <x v="1"/>
    <x v="4"/>
    <x v="0"/>
    <x v="0"/>
    <n v="0.2"/>
    <x v="0"/>
    <n v="0.16669999999999999"/>
    <n v="0.44"/>
    <x v="1"/>
    <x v="10"/>
    <x v="0"/>
    <x v="31"/>
    <n v="32"/>
  </r>
  <r>
    <n v="736"/>
    <d v="2011-02-03T00:00:00"/>
    <n v="2"/>
    <n v="0"/>
    <b v="0"/>
    <n v="4"/>
    <x v="1"/>
    <x v="5"/>
    <x v="0"/>
    <x v="0"/>
    <n v="0.2"/>
    <x v="0"/>
    <n v="0.16669999999999999"/>
    <n v="0.4"/>
    <x v="1"/>
    <x v="10"/>
    <x v="5"/>
    <x v="48"/>
    <n v="12"/>
  </r>
  <r>
    <n v="737"/>
    <d v="2011-02-03T00:00:00"/>
    <n v="2"/>
    <n v="1"/>
    <b v="0"/>
    <n v="4"/>
    <x v="1"/>
    <x v="5"/>
    <x v="0"/>
    <x v="0"/>
    <n v="0.2"/>
    <x v="0"/>
    <n v="0.1515"/>
    <n v="0.44"/>
    <x v="1"/>
    <x v="18"/>
    <x v="3"/>
    <x v="34"/>
    <n v="5"/>
  </r>
  <r>
    <n v="738"/>
    <d v="2011-02-03T00:00:00"/>
    <n v="2"/>
    <n v="2"/>
    <b v="0"/>
    <n v="4"/>
    <x v="1"/>
    <x v="5"/>
    <x v="0"/>
    <x v="0"/>
    <n v="0.18"/>
    <x v="0"/>
    <n v="0.16669999999999999"/>
    <n v="0.43"/>
    <x v="1"/>
    <x v="2"/>
    <x v="3"/>
    <x v="6"/>
    <n v="2"/>
  </r>
  <r>
    <n v="739"/>
    <d v="2011-02-03T00:00:00"/>
    <n v="2"/>
    <n v="3"/>
    <b v="0"/>
    <n v="4"/>
    <x v="1"/>
    <x v="5"/>
    <x v="0"/>
    <x v="0"/>
    <n v="0.18"/>
    <x v="0"/>
    <n v="0.16669999999999999"/>
    <n v="0.43"/>
    <x v="1"/>
    <x v="2"/>
    <x v="3"/>
    <x v="4"/>
    <n v="1"/>
  </r>
  <r>
    <n v="740"/>
    <d v="2011-02-03T00:00:00"/>
    <n v="2"/>
    <n v="5"/>
    <b v="0"/>
    <n v="4"/>
    <x v="1"/>
    <x v="5"/>
    <x v="0"/>
    <x v="0"/>
    <n v="0.16"/>
    <x v="0"/>
    <n v="0.13639999999999999"/>
    <n v="0.5"/>
    <x v="1"/>
    <x v="4"/>
    <x v="3"/>
    <x v="6"/>
    <n v="2"/>
  </r>
  <r>
    <n v="741"/>
    <d v="2011-02-03T00:00:00"/>
    <n v="2"/>
    <n v="6"/>
    <b v="0"/>
    <n v="4"/>
    <x v="1"/>
    <x v="5"/>
    <x v="0"/>
    <x v="0"/>
    <n v="0.16"/>
    <x v="0"/>
    <n v="0.13639999999999999"/>
    <n v="0.43"/>
    <x v="1"/>
    <x v="11"/>
    <x v="3"/>
    <x v="87"/>
    <n v="39"/>
  </r>
  <r>
    <n v="742"/>
    <d v="2011-02-03T00:00:00"/>
    <n v="2"/>
    <n v="7"/>
    <b v="0"/>
    <n v="4"/>
    <x v="1"/>
    <x v="5"/>
    <x v="0"/>
    <x v="0"/>
    <n v="0.14000000000000001"/>
    <x v="0"/>
    <n v="0.1212"/>
    <n v="0.5"/>
    <x v="1"/>
    <x v="9"/>
    <x v="5"/>
    <x v="132"/>
    <n v="87"/>
  </r>
  <r>
    <n v="743"/>
    <d v="2011-02-03T00:00:00"/>
    <n v="2"/>
    <n v="8"/>
    <b v="0"/>
    <n v="4"/>
    <x v="1"/>
    <x v="5"/>
    <x v="0"/>
    <x v="0"/>
    <n v="0.14000000000000001"/>
    <x v="0"/>
    <n v="0.1212"/>
    <n v="0.5"/>
    <x v="1"/>
    <x v="11"/>
    <x v="17"/>
    <x v="103"/>
    <n v="188"/>
  </r>
  <r>
    <n v="744"/>
    <d v="2011-02-03T00:00:00"/>
    <n v="2"/>
    <n v="9"/>
    <b v="0"/>
    <n v="4"/>
    <x v="1"/>
    <x v="5"/>
    <x v="0"/>
    <x v="0"/>
    <n v="0.16"/>
    <x v="0"/>
    <n v="0.13639999999999999"/>
    <n v="0.47"/>
    <x v="1"/>
    <x v="4"/>
    <x v="15"/>
    <x v="69"/>
    <n v="133"/>
  </r>
  <r>
    <n v="745"/>
    <d v="2011-02-03T00:00:00"/>
    <n v="2"/>
    <n v="10"/>
    <b v="0"/>
    <n v="4"/>
    <x v="1"/>
    <x v="5"/>
    <x v="0"/>
    <x v="0"/>
    <n v="0.18"/>
    <x v="0"/>
    <n v="0.1515"/>
    <n v="0.43"/>
    <x v="1"/>
    <x v="9"/>
    <x v="4"/>
    <x v="54"/>
    <n v="52"/>
  </r>
  <r>
    <n v="746"/>
    <d v="2011-02-03T00:00:00"/>
    <n v="2"/>
    <n v="11"/>
    <b v="0"/>
    <n v="4"/>
    <x v="1"/>
    <x v="5"/>
    <x v="0"/>
    <x v="0"/>
    <n v="0.18"/>
    <x v="0"/>
    <n v="0.13639999999999999"/>
    <n v="0.43"/>
    <x v="1"/>
    <x v="10"/>
    <x v="14"/>
    <x v="11"/>
    <n v="64"/>
  </r>
  <r>
    <n v="747"/>
    <d v="2011-02-03T00:00:00"/>
    <n v="2"/>
    <n v="12"/>
    <b v="0"/>
    <n v="4"/>
    <x v="1"/>
    <x v="5"/>
    <x v="0"/>
    <x v="0"/>
    <n v="0.2"/>
    <x v="0"/>
    <n v="0.18179999999999999"/>
    <n v="0.4"/>
    <x v="1"/>
    <x v="11"/>
    <x v="4"/>
    <x v="28"/>
    <n v="69"/>
  </r>
  <r>
    <n v="748"/>
    <d v="2011-02-03T00:00:00"/>
    <n v="2"/>
    <n v="13"/>
    <b v="0"/>
    <n v="4"/>
    <x v="1"/>
    <x v="5"/>
    <x v="0"/>
    <x v="0"/>
    <n v="0.2"/>
    <x v="0"/>
    <n v="0.16669999999999999"/>
    <n v="0.4"/>
    <x v="1"/>
    <x v="12"/>
    <x v="17"/>
    <x v="12"/>
    <n v="51"/>
  </r>
  <r>
    <n v="749"/>
    <d v="2011-02-03T00:00:00"/>
    <n v="2"/>
    <n v="14"/>
    <b v="0"/>
    <n v="4"/>
    <x v="1"/>
    <x v="5"/>
    <x v="0"/>
    <x v="0"/>
    <n v="0.22"/>
    <x v="0"/>
    <n v="0.19700000000000001"/>
    <n v="0.37"/>
    <x v="1"/>
    <x v="13"/>
    <x v="17"/>
    <x v="30"/>
    <n v="47"/>
  </r>
  <r>
    <n v="750"/>
    <d v="2011-02-03T00:00:00"/>
    <n v="2"/>
    <n v="15"/>
    <b v="0"/>
    <n v="4"/>
    <x v="1"/>
    <x v="5"/>
    <x v="0"/>
    <x v="0"/>
    <n v="0.22"/>
    <x v="0"/>
    <n v="0.19700000000000001"/>
    <n v="0.37"/>
    <x v="1"/>
    <x v="9"/>
    <x v="17"/>
    <x v="90"/>
    <n v="60"/>
  </r>
  <r>
    <n v="751"/>
    <d v="2011-02-03T00:00:00"/>
    <n v="2"/>
    <n v="16"/>
    <b v="0"/>
    <n v="4"/>
    <x v="1"/>
    <x v="5"/>
    <x v="0"/>
    <x v="0"/>
    <n v="0.22"/>
    <x v="0"/>
    <n v="0.21210000000000001"/>
    <n v="0.37"/>
    <x v="1"/>
    <x v="2"/>
    <x v="2"/>
    <x v="26"/>
    <n v="78"/>
  </r>
  <r>
    <n v="752"/>
    <d v="2011-02-03T00:00:00"/>
    <n v="2"/>
    <n v="17"/>
    <b v="0"/>
    <n v="4"/>
    <x v="1"/>
    <x v="5"/>
    <x v="0"/>
    <x v="0"/>
    <n v="0.2"/>
    <x v="0"/>
    <n v="0.19700000000000001"/>
    <n v="0.4"/>
    <x v="1"/>
    <x v="5"/>
    <x v="2"/>
    <x v="162"/>
    <n v="175"/>
  </r>
  <r>
    <n v="753"/>
    <d v="2011-02-03T00:00:00"/>
    <n v="2"/>
    <n v="18"/>
    <b v="0"/>
    <n v="4"/>
    <x v="1"/>
    <x v="5"/>
    <x v="0"/>
    <x v="0"/>
    <n v="0.2"/>
    <x v="0"/>
    <n v="0.21210000000000001"/>
    <n v="0.4"/>
    <x v="1"/>
    <x v="8"/>
    <x v="4"/>
    <x v="142"/>
    <n v="147"/>
  </r>
  <r>
    <n v="754"/>
    <d v="2011-02-03T00:00:00"/>
    <n v="2"/>
    <n v="19"/>
    <b v="0"/>
    <n v="4"/>
    <x v="1"/>
    <x v="5"/>
    <x v="0"/>
    <x v="0"/>
    <n v="0.2"/>
    <x v="0"/>
    <n v="0.2576"/>
    <n v="0.4"/>
    <x v="1"/>
    <x v="0"/>
    <x v="17"/>
    <x v="50"/>
    <n v="96"/>
  </r>
  <r>
    <n v="755"/>
    <d v="2011-02-03T00:00:00"/>
    <n v="2"/>
    <n v="20"/>
    <b v="0"/>
    <n v="4"/>
    <x v="1"/>
    <x v="5"/>
    <x v="0"/>
    <x v="0"/>
    <n v="0.2"/>
    <x v="0"/>
    <n v="0.2273"/>
    <n v="0.47"/>
    <x v="1"/>
    <x v="1"/>
    <x v="5"/>
    <x v="123"/>
    <n v="109"/>
  </r>
  <r>
    <n v="756"/>
    <d v="2011-02-03T00:00:00"/>
    <n v="2"/>
    <n v="21"/>
    <b v="0"/>
    <n v="4"/>
    <x v="1"/>
    <x v="5"/>
    <x v="0"/>
    <x v="0"/>
    <n v="0.18"/>
    <x v="0"/>
    <n v="0.21210000000000001"/>
    <n v="0.55000000000000004"/>
    <x v="1"/>
    <x v="14"/>
    <x v="5"/>
    <x v="42"/>
    <n v="54"/>
  </r>
  <r>
    <n v="757"/>
    <d v="2011-02-03T00:00:00"/>
    <n v="2"/>
    <n v="22"/>
    <b v="0"/>
    <n v="4"/>
    <x v="1"/>
    <x v="5"/>
    <x v="0"/>
    <x v="0"/>
    <n v="0.18"/>
    <x v="0"/>
    <n v="0.21210000000000001"/>
    <n v="0.51"/>
    <x v="1"/>
    <x v="1"/>
    <x v="4"/>
    <x v="87"/>
    <n v="41"/>
  </r>
  <r>
    <n v="758"/>
    <d v="2011-02-03T00:00:00"/>
    <n v="2"/>
    <n v="23"/>
    <b v="0"/>
    <n v="4"/>
    <x v="1"/>
    <x v="5"/>
    <x v="0"/>
    <x v="0"/>
    <n v="0.2"/>
    <x v="0"/>
    <n v="0.2273"/>
    <n v="0.47"/>
    <x v="1"/>
    <x v="14"/>
    <x v="17"/>
    <x v="60"/>
    <n v="38"/>
  </r>
  <r>
    <n v="759"/>
    <d v="2011-02-04T00:00:00"/>
    <n v="2"/>
    <n v="0"/>
    <b v="0"/>
    <n v="5"/>
    <x v="1"/>
    <x v="6"/>
    <x v="1"/>
    <x v="1"/>
    <n v="0.2"/>
    <x v="0"/>
    <n v="0.2576"/>
    <n v="0.44"/>
    <x v="1"/>
    <x v="0"/>
    <x v="0"/>
    <x v="3"/>
    <n v="13"/>
  </r>
  <r>
    <n v="760"/>
    <d v="2011-02-04T00:00:00"/>
    <n v="2"/>
    <n v="1"/>
    <b v="0"/>
    <n v="5"/>
    <x v="1"/>
    <x v="6"/>
    <x v="1"/>
    <x v="1"/>
    <n v="0.16"/>
    <x v="0"/>
    <n v="0.2273"/>
    <n v="0.59"/>
    <x v="1"/>
    <x v="0"/>
    <x v="3"/>
    <x v="7"/>
    <n v="7"/>
  </r>
  <r>
    <n v="761"/>
    <d v="2011-02-04T00:00:00"/>
    <n v="2"/>
    <n v="2"/>
    <b v="0"/>
    <n v="5"/>
    <x v="1"/>
    <x v="6"/>
    <x v="1"/>
    <x v="1"/>
    <n v="0.14000000000000001"/>
    <x v="0"/>
    <n v="0.16669999999999999"/>
    <n v="0.63"/>
    <x v="1"/>
    <x v="14"/>
    <x v="3"/>
    <x v="4"/>
    <n v="1"/>
  </r>
  <r>
    <n v="762"/>
    <d v="2011-02-04T00:00:00"/>
    <n v="2"/>
    <n v="3"/>
    <b v="0"/>
    <n v="5"/>
    <x v="1"/>
    <x v="6"/>
    <x v="1"/>
    <x v="1"/>
    <n v="0.14000000000000001"/>
    <x v="0"/>
    <n v="0.16669999999999999"/>
    <n v="0.63"/>
    <x v="1"/>
    <x v="14"/>
    <x v="3"/>
    <x v="4"/>
    <n v="1"/>
  </r>
  <r>
    <n v="763"/>
    <d v="2011-02-04T00:00:00"/>
    <n v="2"/>
    <n v="5"/>
    <b v="0"/>
    <n v="5"/>
    <x v="1"/>
    <x v="6"/>
    <x v="1"/>
    <x v="1"/>
    <n v="0.14000000000000001"/>
    <x v="0"/>
    <n v="0.1515"/>
    <n v="0.63"/>
    <x v="1"/>
    <x v="7"/>
    <x v="3"/>
    <x v="7"/>
    <n v="7"/>
  </r>
  <r>
    <n v="764"/>
    <d v="2011-02-04T00:00:00"/>
    <n v="2"/>
    <n v="6"/>
    <b v="0"/>
    <n v="5"/>
    <x v="1"/>
    <x v="6"/>
    <x v="1"/>
    <x v="1"/>
    <n v="0.16"/>
    <x v="0"/>
    <n v="0.2273"/>
    <n v="0.55000000000000004"/>
    <x v="1"/>
    <x v="0"/>
    <x v="4"/>
    <x v="16"/>
    <n v="28"/>
  </r>
  <r>
    <n v="765"/>
    <d v="2011-02-04T00:00:00"/>
    <n v="2"/>
    <n v="7"/>
    <b v="0"/>
    <n v="5"/>
    <x v="1"/>
    <x v="6"/>
    <x v="0"/>
    <x v="0"/>
    <n v="0.14000000000000001"/>
    <x v="0"/>
    <n v="0.21210000000000001"/>
    <n v="0.59"/>
    <x v="1"/>
    <x v="0"/>
    <x v="3"/>
    <x v="61"/>
    <n v="87"/>
  </r>
  <r>
    <n v="766"/>
    <d v="2011-02-04T00:00:00"/>
    <n v="2"/>
    <n v="8"/>
    <b v="0"/>
    <n v="5"/>
    <x v="1"/>
    <x v="6"/>
    <x v="0"/>
    <x v="0"/>
    <n v="0.14000000000000001"/>
    <x v="0"/>
    <n v="0.1515"/>
    <n v="0.74"/>
    <x v="0"/>
    <x v="7"/>
    <x v="0"/>
    <x v="163"/>
    <n v="220"/>
  </r>
  <r>
    <n v="767"/>
    <d v="2011-02-04T00:00:00"/>
    <n v="2"/>
    <n v="9"/>
    <b v="0"/>
    <n v="5"/>
    <x v="1"/>
    <x v="6"/>
    <x v="1"/>
    <x v="1"/>
    <n v="0.16"/>
    <x v="0"/>
    <n v="0.18179999999999999"/>
    <n v="0.8"/>
    <x v="0"/>
    <x v="7"/>
    <x v="0"/>
    <x v="125"/>
    <n v="127"/>
  </r>
  <r>
    <n v="768"/>
    <d v="2011-02-04T00:00:00"/>
    <n v="2"/>
    <n v="10"/>
    <b v="0"/>
    <n v="5"/>
    <x v="1"/>
    <x v="6"/>
    <x v="1"/>
    <x v="1"/>
    <n v="0.2"/>
    <x v="0"/>
    <n v="0.21210000000000001"/>
    <n v="0.51"/>
    <x v="1"/>
    <x v="7"/>
    <x v="2"/>
    <x v="24"/>
    <n v="51"/>
  </r>
  <r>
    <n v="769"/>
    <d v="2011-02-04T00:00:00"/>
    <n v="2"/>
    <n v="11"/>
    <b v="0"/>
    <n v="5"/>
    <x v="1"/>
    <x v="6"/>
    <x v="0"/>
    <x v="0"/>
    <n v="0.22"/>
    <x v="0"/>
    <n v="0.2273"/>
    <n v="0.51"/>
    <x v="1"/>
    <x v="8"/>
    <x v="0"/>
    <x v="124"/>
    <n v="64"/>
  </r>
  <r>
    <n v="770"/>
    <d v="2011-02-04T00:00:00"/>
    <n v="2"/>
    <n v="12"/>
    <b v="0"/>
    <n v="5"/>
    <x v="1"/>
    <x v="6"/>
    <x v="1"/>
    <x v="1"/>
    <n v="0.24"/>
    <x v="0"/>
    <n v="0.2424"/>
    <n v="0.48"/>
    <x v="1"/>
    <x v="8"/>
    <x v="1"/>
    <x v="78"/>
    <n v="86"/>
  </r>
  <r>
    <n v="771"/>
    <d v="2011-02-04T00:00:00"/>
    <n v="2"/>
    <n v="13"/>
    <b v="0"/>
    <n v="5"/>
    <x v="1"/>
    <x v="6"/>
    <x v="1"/>
    <x v="1"/>
    <n v="0.26"/>
    <x v="0"/>
    <n v="0.2576"/>
    <n v="0.5"/>
    <x v="1"/>
    <x v="6"/>
    <x v="14"/>
    <x v="26"/>
    <n v="82"/>
  </r>
  <r>
    <n v="772"/>
    <d v="2011-02-04T00:00:00"/>
    <n v="2"/>
    <n v="14"/>
    <b v="0"/>
    <n v="5"/>
    <x v="1"/>
    <x v="6"/>
    <x v="1"/>
    <x v="1"/>
    <n v="0.28000000000000003"/>
    <x v="0"/>
    <n v="0.2727"/>
    <n v="0.45"/>
    <x v="1"/>
    <x v="8"/>
    <x v="13"/>
    <x v="83"/>
    <n v="91"/>
  </r>
  <r>
    <n v="773"/>
    <d v="2011-02-04T00:00:00"/>
    <n v="2"/>
    <n v="15"/>
    <b v="0"/>
    <n v="5"/>
    <x v="1"/>
    <x v="6"/>
    <x v="1"/>
    <x v="1"/>
    <n v="0.28000000000000003"/>
    <x v="0"/>
    <n v="0.2727"/>
    <n v="0.48"/>
    <x v="1"/>
    <x v="2"/>
    <x v="14"/>
    <x v="38"/>
    <n v="90"/>
  </r>
  <r>
    <n v="774"/>
    <d v="2011-02-04T00:00:00"/>
    <n v="2"/>
    <n v="16"/>
    <b v="0"/>
    <n v="5"/>
    <x v="1"/>
    <x v="6"/>
    <x v="1"/>
    <x v="1"/>
    <n v="0.3"/>
    <x v="0"/>
    <n v="0.28789999999999999"/>
    <n v="0.42"/>
    <x v="1"/>
    <x v="6"/>
    <x v="1"/>
    <x v="164"/>
    <n v="99"/>
  </r>
  <r>
    <n v="775"/>
    <d v="2011-02-04T00:00:00"/>
    <n v="2"/>
    <n v="17"/>
    <b v="0"/>
    <n v="5"/>
    <x v="1"/>
    <x v="6"/>
    <x v="1"/>
    <x v="1"/>
    <n v="0.26"/>
    <x v="0"/>
    <n v="0.2727"/>
    <n v="0.56000000000000005"/>
    <x v="1"/>
    <x v="7"/>
    <x v="22"/>
    <x v="165"/>
    <n v="205"/>
  </r>
  <r>
    <n v="776"/>
    <d v="2011-02-04T00:00:00"/>
    <n v="2"/>
    <n v="18"/>
    <b v="0"/>
    <n v="5"/>
    <x v="1"/>
    <x v="6"/>
    <x v="1"/>
    <x v="1"/>
    <n v="0.24"/>
    <x v="0"/>
    <n v="0.2576"/>
    <n v="0.6"/>
    <x v="1"/>
    <x v="14"/>
    <x v="0"/>
    <x v="166"/>
    <n v="155"/>
  </r>
  <r>
    <n v="777"/>
    <d v="2011-02-04T00:00:00"/>
    <n v="2"/>
    <n v="19"/>
    <b v="0"/>
    <n v="5"/>
    <x v="1"/>
    <x v="6"/>
    <x v="1"/>
    <x v="1"/>
    <n v="0.24"/>
    <x v="0"/>
    <n v="0.2424"/>
    <n v="0.65"/>
    <x v="1"/>
    <x v="7"/>
    <x v="5"/>
    <x v="46"/>
    <n v="103"/>
  </r>
  <r>
    <n v="778"/>
    <d v="2011-02-04T00:00:00"/>
    <n v="2"/>
    <n v="20"/>
    <b v="0"/>
    <n v="5"/>
    <x v="1"/>
    <x v="6"/>
    <x v="1"/>
    <x v="1"/>
    <n v="0.24"/>
    <x v="0"/>
    <n v="0.2424"/>
    <n v="0.65"/>
    <x v="1"/>
    <x v="8"/>
    <x v="4"/>
    <x v="94"/>
    <n v="71"/>
  </r>
  <r>
    <n v="779"/>
    <d v="2011-02-04T00:00:00"/>
    <n v="2"/>
    <n v="21"/>
    <b v="0"/>
    <n v="5"/>
    <x v="1"/>
    <x v="6"/>
    <x v="1"/>
    <x v="1"/>
    <n v="0.24"/>
    <x v="0"/>
    <n v="0.2424"/>
    <n v="0.7"/>
    <x v="0"/>
    <x v="8"/>
    <x v="4"/>
    <x v="40"/>
    <n v="43"/>
  </r>
  <r>
    <n v="780"/>
    <d v="2011-02-04T00:00:00"/>
    <n v="2"/>
    <n v="22"/>
    <b v="0"/>
    <n v="5"/>
    <x v="1"/>
    <x v="6"/>
    <x v="1"/>
    <x v="1"/>
    <n v="0.24"/>
    <x v="0"/>
    <n v="0.2424"/>
    <n v="0.65"/>
    <x v="1"/>
    <x v="8"/>
    <x v="5"/>
    <x v="108"/>
    <n v="46"/>
  </r>
  <r>
    <n v="781"/>
    <d v="2011-02-04T00:00:00"/>
    <n v="2"/>
    <n v="23"/>
    <b v="0"/>
    <n v="5"/>
    <x v="1"/>
    <x v="6"/>
    <x v="1"/>
    <x v="1"/>
    <n v="0.24"/>
    <x v="0"/>
    <n v="0.2424"/>
    <n v="0.7"/>
    <x v="0"/>
    <x v="7"/>
    <x v="5"/>
    <x v="10"/>
    <n v="31"/>
  </r>
  <r>
    <n v="782"/>
    <d v="2011-02-05T00:00:00"/>
    <n v="2"/>
    <n v="0"/>
    <b v="0"/>
    <n v="6"/>
    <x v="0"/>
    <x v="0"/>
    <x v="1"/>
    <x v="1"/>
    <n v="0.24"/>
    <x v="0"/>
    <n v="0.2424"/>
    <n v="0.7"/>
    <x v="0"/>
    <x v="8"/>
    <x v="0"/>
    <x v="49"/>
    <n v="39"/>
  </r>
  <r>
    <n v="783"/>
    <d v="2011-02-05T00:00:00"/>
    <n v="2"/>
    <n v="1"/>
    <b v="0"/>
    <n v="6"/>
    <x v="0"/>
    <x v="0"/>
    <x v="1"/>
    <x v="1"/>
    <n v="0.24"/>
    <x v="0"/>
    <n v="0.2424"/>
    <n v="0.65"/>
    <x v="1"/>
    <x v="8"/>
    <x v="5"/>
    <x v="19"/>
    <n v="18"/>
  </r>
  <r>
    <n v="784"/>
    <d v="2011-02-05T00:00:00"/>
    <n v="2"/>
    <n v="2"/>
    <b v="0"/>
    <n v="6"/>
    <x v="0"/>
    <x v="0"/>
    <x v="1"/>
    <x v="1"/>
    <n v="0.24"/>
    <x v="0"/>
    <n v="0.2424"/>
    <n v="0.75"/>
    <x v="0"/>
    <x v="8"/>
    <x v="2"/>
    <x v="98"/>
    <n v="17"/>
  </r>
  <r>
    <n v="785"/>
    <d v="2011-02-05T00:00:00"/>
    <n v="2"/>
    <n v="3"/>
    <b v="0"/>
    <n v="6"/>
    <x v="0"/>
    <x v="0"/>
    <x v="1"/>
    <x v="1"/>
    <n v="0.24"/>
    <x v="0"/>
    <n v="0.2424"/>
    <n v="0.75"/>
    <x v="0"/>
    <x v="8"/>
    <x v="5"/>
    <x v="3"/>
    <n v="11"/>
  </r>
  <r>
    <n v="786"/>
    <d v="2011-02-05T00:00:00"/>
    <n v="2"/>
    <n v="4"/>
    <b v="0"/>
    <n v="6"/>
    <x v="0"/>
    <x v="0"/>
    <x v="2"/>
    <x v="2"/>
    <n v="0.22"/>
    <x v="0"/>
    <n v="0.2273"/>
    <n v="0.93"/>
    <x v="0"/>
    <x v="7"/>
    <x v="3"/>
    <x v="21"/>
    <n v="8"/>
  </r>
  <r>
    <n v="787"/>
    <d v="2011-02-05T00:00:00"/>
    <n v="2"/>
    <n v="5"/>
    <b v="0"/>
    <n v="6"/>
    <x v="0"/>
    <x v="0"/>
    <x v="2"/>
    <x v="2"/>
    <n v="0.2"/>
    <x v="0"/>
    <n v="0.2273"/>
    <n v="1"/>
    <x v="0"/>
    <x v="1"/>
    <x v="3"/>
    <x v="33"/>
    <n v="9"/>
  </r>
  <r>
    <n v="788"/>
    <d v="2011-02-05T00:00:00"/>
    <n v="2"/>
    <n v="6"/>
    <b v="0"/>
    <n v="6"/>
    <x v="0"/>
    <x v="0"/>
    <x v="2"/>
    <x v="2"/>
    <n v="0.2"/>
    <x v="0"/>
    <n v="0.2576"/>
    <n v="1"/>
    <x v="0"/>
    <x v="0"/>
    <x v="3"/>
    <x v="22"/>
    <n v="4"/>
  </r>
  <r>
    <n v="789"/>
    <d v="2011-02-05T00:00:00"/>
    <n v="2"/>
    <n v="7"/>
    <b v="0"/>
    <n v="6"/>
    <x v="0"/>
    <x v="0"/>
    <x v="2"/>
    <x v="2"/>
    <n v="0.22"/>
    <x v="0"/>
    <n v="0.2576"/>
    <n v="0.93"/>
    <x v="0"/>
    <x v="1"/>
    <x v="3"/>
    <x v="22"/>
    <n v="4"/>
  </r>
  <r>
    <n v="790"/>
    <d v="2011-02-05T00:00:00"/>
    <n v="2"/>
    <n v="8"/>
    <b v="0"/>
    <n v="6"/>
    <x v="0"/>
    <x v="0"/>
    <x v="2"/>
    <x v="2"/>
    <n v="0.2"/>
    <x v="0"/>
    <n v="0.2273"/>
    <n v="1"/>
    <x v="0"/>
    <x v="1"/>
    <x v="3"/>
    <x v="3"/>
    <n v="10"/>
  </r>
  <r>
    <n v="791"/>
    <d v="2011-02-05T00:00:00"/>
    <n v="2"/>
    <n v="9"/>
    <b v="0"/>
    <n v="6"/>
    <x v="0"/>
    <x v="0"/>
    <x v="2"/>
    <x v="2"/>
    <n v="0.2"/>
    <x v="0"/>
    <n v="0.2273"/>
    <n v="1"/>
    <x v="0"/>
    <x v="1"/>
    <x v="0"/>
    <x v="19"/>
    <n v="20"/>
  </r>
  <r>
    <n v="792"/>
    <d v="2011-02-05T00:00:00"/>
    <n v="2"/>
    <n v="10"/>
    <b v="0"/>
    <n v="6"/>
    <x v="0"/>
    <x v="0"/>
    <x v="2"/>
    <x v="2"/>
    <n v="0.2"/>
    <x v="0"/>
    <n v="0.21210000000000001"/>
    <n v="1"/>
    <x v="0"/>
    <x v="7"/>
    <x v="0"/>
    <x v="17"/>
    <n v="34"/>
  </r>
  <r>
    <n v="793"/>
    <d v="2011-02-05T00:00:00"/>
    <n v="2"/>
    <n v="11"/>
    <b v="0"/>
    <n v="6"/>
    <x v="0"/>
    <x v="0"/>
    <x v="2"/>
    <x v="2"/>
    <n v="0.22"/>
    <x v="0"/>
    <n v="0.2273"/>
    <n v="1"/>
    <x v="0"/>
    <x v="7"/>
    <x v="5"/>
    <x v="24"/>
    <n v="47"/>
  </r>
  <r>
    <n v="794"/>
    <d v="2011-02-05T00:00:00"/>
    <n v="2"/>
    <n v="12"/>
    <b v="0"/>
    <n v="6"/>
    <x v="0"/>
    <x v="0"/>
    <x v="2"/>
    <x v="2"/>
    <n v="0.22"/>
    <x v="0"/>
    <n v="0.2273"/>
    <n v="1"/>
    <x v="0"/>
    <x v="8"/>
    <x v="22"/>
    <x v="76"/>
    <n v="52"/>
  </r>
  <r>
    <n v="795"/>
    <d v="2011-02-05T00:00:00"/>
    <n v="2"/>
    <n v="13"/>
    <b v="0"/>
    <n v="6"/>
    <x v="0"/>
    <x v="0"/>
    <x v="2"/>
    <x v="2"/>
    <n v="0.22"/>
    <x v="0"/>
    <n v="0.2273"/>
    <n v="1"/>
    <x v="0"/>
    <x v="8"/>
    <x v="22"/>
    <x v="133"/>
    <n v="72"/>
  </r>
  <r>
    <n v="796"/>
    <d v="2011-02-05T00:00:00"/>
    <n v="2"/>
    <n v="14"/>
    <b v="0"/>
    <n v="6"/>
    <x v="0"/>
    <x v="0"/>
    <x v="2"/>
    <x v="2"/>
    <n v="0.22"/>
    <x v="0"/>
    <n v="0.2727"/>
    <n v="1"/>
    <x v="0"/>
    <x v="0"/>
    <x v="2"/>
    <x v="54"/>
    <n v="55"/>
  </r>
  <r>
    <n v="797"/>
    <d v="2011-02-05T00:00:00"/>
    <n v="2"/>
    <n v="15"/>
    <b v="0"/>
    <n v="6"/>
    <x v="0"/>
    <x v="0"/>
    <x v="2"/>
    <x v="2"/>
    <n v="0.22"/>
    <x v="0"/>
    <n v="0.2727"/>
    <n v="1"/>
    <x v="0"/>
    <x v="0"/>
    <x v="16"/>
    <x v="47"/>
    <n v="60"/>
  </r>
  <r>
    <n v="798"/>
    <d v="2011-02-05T00:00:00"/>
    <n v="2"/>
    <n v="16"/>
    <b v="0"/>
    <n v="6"/>
    <x v="0"/>
    <x v="0"/>
    <x v="2"/>
    <x v="2"/>
    <n v="0.22"/>
    <x v="0"/>
    <n v="0.2273"/>
    <n v="1"/>
    <x v="0"/>
    <x v="7"/>
    <x v="1"/>
    <x v="36"/>
    <n v="71"/>
  </r>
  <r>
    <n v="799"/>
    <d v="2011-02-05T00:00:00"/>
    <n v="2"/>
    <n v="17"/>
    <b v="0"/>
    <n v="6"/>
    <x v="0"/>
    <x v="0"/>
    <x v="1"/>
    <x v="1"/>
    <n v="0.24"/>
    <x v="0"/>
    <n v="0.21210000000000001"/>
    <n v="1"/>
    <x v="0"/>
    <x v="3"/>
    <x v="24"/>
    <x v="27"/>
    <n v="78"/>
  </r>
  <r>
    <n v="800"/>
    <d v="2011-02-05T00:00:00"/>
    <n v="2"/>
    <n v="18"/>
    <b v="0"/>
    <n v="6"/>
    <x v="0"/>
    <x v="0"/>
    <x v="1"/>
    <x v="1"/>
    <n v="0.28000000000000003"/>
    <x v="0"/>
    <n v="0.2424"/>
    <n v="0.93"/>
    <x v="0"/>
    <x v="10"/>
    <x v="4"/>
    <x v="38"/>
    <n v="83"/>
  </r>
  <r>
    <n v="801"/>
    <d v="2011-02-05T00:00:00"/>
    <n v="2"/>
    <n v="19"/>
    <b v="0"/>
    <n v="6"/>
    <x v="0"/>
    <x v="0"/>
    <x v="1"/>
    <x v="1"/>
    <n v="0.28000000000000003"/>
    <x v="0"/>
    <n v="0.2424"/>
    <n v="0.93"/>
    <x v="0"/>
    <x v="10"/>
    <x v="15"/>
    <x v="78"/>
    <n v="84"/>
  </r>
  <r>
    <n v="802"/>
    <d v="2011-02-05T00:00:00"/>
    <n v="2"/>
    <n v="20"/>
    <b v="0"/>
    <n v="6"/>
    <x v="0"/>
    <x v="0"/>
    <x v="0"/>
    <x v="0"/>
    <n v="0.3"/>
    <x v="0"/>
    <n v="0.28789999999999999"/>
    <n v="0.87"/>
    <x v="0"/>
    <x v="2"/>
    <x v="2"/>
    <x v="27"/>
    <n v="69"/>
  </r>
  <r>
    <n v="803"/>
    <d v="2011-02-05T00:00:00"/>
    <n v="2"/>
    <n v="21"/>
    <b v="0"/>
    <n v="6"/>
    <x v="0"/>
    <x v="0"/>
    <x v="0"/>
    <x v="0"/>
    <n v="0.26"/>
    <x v="0"/>
    <n v="0.2576"/>
    <n v="1"/>
    <x v="0"/>
    <x v="5"/>
    <x v="0"/>
    <x v="42"/>
    <n v="56"/>
  </r>
  <r>
    <n v="804"/>
    <d v="2011-02-05T00:00:00"/>
    <n v="2"/>
    <n v="22"/>
    <b v="0"/>
    <n v="6"/>
    <x v="0"/>
    <x v="0"/>
    <x v="0"/>
    <x v="0"/>
    <n v="0.26"/>
    <x v="0"/>
    <n v="0.2727"/>
    <n v="0.93"/>
    <x v="0"/>
    <x v="7"/>
    <x v="4"/>
    <x v="30"/>
    <n v="45"/>
  </r>
  <r>
    <n v="805"/>
    <d v="2011-02-05T00:00:00"/>
    <n v="2"/>
    <n v="23"/>
    <b v="0"/>
    <n v="6"/>
    <x v="0"/>
    <x v="0"/>
    <x v="0"/>
    <x v="0"/>
    <n v="0.26"/>
    <x v="0"/>
    <n v="0.2576"/>
    <n v="0.93"/>
    <x v="0"/>
    <x v="6"/>
    <x v="18"/>
    <x v="15"/>
    <n v="59"/>
  </r>
  <r>
    <n v="806"/>
    <d v="2011-02-06T00:00:00"/>
    <n v="2"/>
    <n v="0"/>
    <b v="0"/>
    <n v="0"/>
    <x v="0"/>
    <x v="1"/>
    <x v="0"/>
    <x v="0"/>
    <n v="0.26"/>
    <x v="0"/>
    <n v="0.2576"/>
    <n v="0.7"/>
    <x v="0"/>
    <x v="5"/>
    <x v="4"/>
    <x v="53"/>
    <n v="39"/>
  </r>
  <r>
    <n v="807"/>
    <d v="2011-02-06T00:00:00"/>
    <n v="2"/>
    <n v="1"/>
    <b v="0"/>
    <n v="0"/>
    <x v="0"/>
    <x v="1"/>
    <x v="0"/>
    <x v="0"/>
    <n v="0.26"/>
    <x v="0"/>
    <n v="0.2273"/>
    <n v="0.65"/>
    <x v="1"/>
    <x v="12"/>
    <x v="17"/>
    <x v="71"/>
    <n v="44"/>
  </r>
  <r>
    <n v="808"/>
    <d v="2011-02-06T00:00:00"/>
    <n v="2"/>
    <n v="2"/>
    <b v="0"/>
    <n v="0"/>
    <x v="0"/>
    <x v="1"/>
    <x v="0"/>
    <x v="0"/>
    <n v="0.26"/>
    <x v="0"/>
    <n v="0.2273"/>
    <n v="0.6"/>
    <x v="1"/>
    <x v="9"/>
    <x v="3"/>
    <x v="32"/>
    <n v="20"/>
  </r>
  <r>
    <n v="809"/>
    <d v="2011-02-06T00:00:00"/>
    <n v="2"/>
    <n v="3"/>
    <b v="0"/>
    <n v="0"/>
    <x v="0"/>
    <x v="1"/>
    <x v="0"/>
    <x v="0"/>
    <n v="0.26"/>
    <x v="0"/>
    <n v="0.28789999999999999"/>
    <n v="0.6"/>
    <x v="1"/>
    <x v="1"/>
    <x v="0"/>
    <x v="3"/>
    <n v="13"/>
  </r>
  <r>
    <n v="810"/>
    <d v="2011-02-06T00:00:00"/>
    <n v="2"/>
    <n v="4"/>
    <b v="0"/>
    <n v="0"/>
    <x v="0"/>
    <x v="1"/>
    <x v="0"/>
    <x v="0"/>
    <n v="0.26"/>
    <x v="0"/>
    <n v="0.2273"/>
    <n v="0.6"/>
    <x v="1"/>
    <x v="11"/>
    <x v="3"/>
    <x v="6"/>
    <n v="2"/>
  </r>
  <r>
    <n v="811"/>
    <d v="2011-02-06T00:00:00"/>
    <n v="2"/>
    <n v="5"/>
    <b v="0"/>
    <n v="0"/>
    <x v="0"/>
    <x v="1"/>
    <x v="0"/>
    <x v="0"/>
    <n v="0.26"/>
    <x v="0"/>
    <n v="0.2576"/>
    <n v="0.6"/>
    <x v="1"/>
    <x v="6"/>
    <x v="3"/>
    <x v="4"/>
    <n v="1"/>
  </r>
  <r>
    <n v="812"/>
    <d v="2011-02-06T00:00:00"/>
    <n v="2"/>
    <n v="6"/>
    <b v="0"/>
    <n v="0"/>
    <x v="0"/>
    <x v="1"/>
    <x v="0"/>
    <x v="0"/>
    <n v="0.26"/>
    <x v="0"/>
    <n v="0.2576"/>
    <n v="0.6"/>
    <x v="1"/>
    <x v="6"/>
    <x v="3"/>
    <x v="4"/>
    <n v="1"/>
  </r>
  <r>
    <n v="813"/>
    <d v="2011-02-06T00:00:00"/>
    <n v="2"/>
    <n v="7"/>
    <b v="0"/>
    <n v="0"/>
    <x v="0"/>
    <x v="1"/>
    <x v="0"/>
    <x v="0"/>
    <n v="0.24"/>
    <x v="0"/>
    <n v="0.2424"/>
    <n v="0.65"/>
    <x v="1"/>
    <x v="8"/>
    <x v="3"/>
    <x v="21"/>
    <n v="8"/>
  </r>
  <r>
    <n v="814"/>
    <d v="2011-02-06T00:00:00"/>
    <n v="2"/>
    <n v="8"/>
    <b v="0"/>
    <n v="0"/>
    <x v="0"/>
    <x v="1"/>
    <x v="0"/>
    <x v="0"/>
    <n v="0.24"/>
    <x v="0"/>
    <n v="0.2576"/>
    <n v="0.65"/>
    <x v="1"/>
    <x v="14"/>
    <x v="4"/>
    <x v="144"/>
    <n v="23"/>
  </r>
  <r>
    <n v="815"/>
    <d v="2011-02-06T00:00:00"/>
    <n v="2"/>
    <n v="9"/>
    <b v="0"/>
    <n v="0"/>
    <x v="0"/>
    <x v="1"/>
    <x v="0"/>
    <x v="0"/>
    <n v="0.28000000000000003"/>
    <x v="0"/>
    <n v="0.28789999999999999"/>
    <n v="0.56000000000000005"/>
    <x v="1"/>
    <x v="14"/>
    <x v="18"/>
    <x v="101"/>
    <n v="45"/>
  </r>
  <r>
    <n v="816"/>
    <d v="2011-02-06T00:00:00"/>
    <n v="2"/>
    <n v="10"/>
    <b v="0"/>
    <n v="0"/>
    <x v="0"/>
    <x v="1"/>
    <x v="0"/>
    <x v="0"/>
    <n v="0.3"/>
    <x v="0"/>
    <n v="0.28789999999999999"/>
    <n v="0.52"/>
    <x v="1"/>
    <x v="2"/>
    <x v="13"/>
    <x v="64"/>
    <n v="89"/>
  </r>
  <r>
    <n v="817"/>
    <d v="2011-02-06T00:00:00"/>
    <n v="2"/>
    <n v="11"/>
    <b v="0"/>
    <n v="0"/>
    <x v="0"/>
    <x v="1"/>
    <x v="0"/>
    <x v="0"/>
    <n v="0.32"/>
    <x v="0"/>
    <n v="0.30299999999999999"/>
    <n v="0.49"/>
    <x v="1"/>
    <x v="2"/>
    <x v="32"/>
    <x v="121"/>
    <n v="117"/>
  </r>
  <r>
    <n v="818"/>
    <d v="2011-02-06T00:00:00"/>
    <n v="2"/>
    <n v="12"/>
    <b v="0"/>
    <n v="0"/>
    <x v="0"/>
    <x v="1"/>
    <x v="0"/>
    <x v="0"/>
    <n v="0.34"/>
    <x v="0"/>
    <n v="0.33329999999999999"/>
    <n v="0.46"/>
    <x v="1"/>
    <x v="0"/>
    <x v="33"/>
    <x v="167"/>
    <n v="174"/>
  </r>
  <r>
    <n v="819"/>
    <d v="2011-02-06T00:00:00"/>
    <n v="2"/>
    <n v="13"/>
    <b v="0"/>
    <n v="0"/>
    <x v="0"/>
    <x v="1"/>
    <x v="0"/>
    <x v="0"/>
    <n v="0.34"/>
    <x v="0"/>
    <n v="0.36359999999999998"/>
    <n v="0.46"/>
    <x v="1"/>
    <x v="0"/>
    <x v="9"/>
    <x v="113"/>
    <n v="182"/>
  </r>
  <r>
    <n v="820"/>
    <d v="2011-02-06T00:00:00"/>
    <n v="2"/>
    <n v="14"/>
    <b v="0"/>
    <n v="0"/>
    <x v="0"/>
    <x v="1"/>
    <x v="0"/>
    <x v="0"/>
    <n v="0.34"/>
    <x v="0"/>
    <n v="0.34849999999999998"/>
    <n v="0.46"/>
    <x v="1"/>
    <x v="1"/>
    <x v="9"/>
    <x v="156"/>
    <n v="161"/>
  </r>
  <r>
    <n v="821"/>
    <d v="2011-02-06T00:00:00"/>
    <n v="2"/>
    <n v="15"/>
    <b v="0"/>
    <n v="0"/>
    <x v="0"/>
    <x v="1"/>
    <x v="0"/>
    <x v="0"/>
    <n v="0.34"/>
    <x v="0"/>
    <n v="0.34849999999999998"/>
    <n v="0.46"/>
    <x v="1"/>
    <x v="1"/>
    <x v="34"/>
    <x v="110"/>
    <n v="182"/>
  </r>
  <r>
    <n v="822"/>
    <d v="2011-02-06T00:00:00"/>
    <n v="2"/>
    <n v="16"/>
    <b v="0"/>
    <n v="0"/>
    <x v="0"/>
    <x v="1"/>
    <x v="0"/>
    <x v="0"/>
    <n v="0.34"/>
    <x v="0"/>
    <n v="0.34849999999999998"/>
    <n v="0.49"/>
    <x v="1"/>
    <x v="14"/>
    <x v="35"/>
    <x v="168"/>
    <n v="157"/>
  </r>
  <r>
    <n v="823"/>
    <d v="2011-02-06T00:00:00"/>
    <n v="2"/>
    <n v="17"/>
    <b v="0"/>
    <n v="0"/>
    <x v="0"/>
    <x v="1"/>
    <x v="0"/>
    <x v="0"/>
    <n v="0.34"/>
    <x v="0"/>
    <n v="0.36359999999999998"/>
    <n v="0.46"/>
    <x v="1"/>
    <x v="0"/>
    <x v="31"/>
    <x v="106"/>
    <n v="121"/>
  </r>
  <r>
    <n v="824"/>
    <d v="2011-02-06T00:00:00"/>
    <n v="2"/>
    <n v="18"/>
    <b v="0"/>
    <n v="0"/>
    <x v="0"/>
    <x v="1"/>
    <x v="0"/>
    <x v="0"/>
    <n v="0.3"/>
    <x v="0"/>
    <n v="0.30299999999999999"/>
    <n v="0.56000000000000005"/>
    <x v="1"/>
    <x v="8"/>
    <x v="23"/>
    <x v="65"/>
    <n v="78"/>
  </r>
  <r>
    <n v="825"/>
    <d v="2011-02-06T00:00:00"/>
    <n v="2"/>
    <n v="19"/>
    <b v="0"/>
    <n v="0"/>
    <x v="0"/>
    <x v="1"/>
    <x v="0"/>
    <x v="0"/>
    <n v="0.28000000000000003"/>
    <x v="0"/>
    <n v="0.28789999999999999"/>
    <n v="0.61"/>
    <x v="1"/>
    <x v="7"/>
    <x v="5"/>
    <x v="32"/>
    <n v="21"/>
  </r>
  <r>
    <n v="826"/>
    <d v="2011-02-06T00:00:00"/>
    <n v="2"/>
    <n v="20"/>
    <b v="0"/>
    <n v="0"/>
    <x v="0"/>
    <x v="1"/>
    <x v="0"/>
    <x v="0"/>
    <n v="0.28000000000000003"/>
    <x v="0"/>
    <n v="0.28789999999999999"/>
    <n v="0.61"/>
    <x v="1"/>
    <x v="14"/>
    <x v="2"/>
    <x v="144"/>
    <n v="26"/>
  </r>
  <r>
    <n v="827"/>
    <d v="2011-02-06T00:00:00"/>
    <n v="2"/>
    <n v="21"/>
    <b v="0"/>
    <n v="0"/>
    <x v="0"/>
    <x v="1"/>
    <x v="0"/>
    <x v="0"/>
    <n v="0.26"/>
    <x v="0"/>
    <n v="0.30299999999999999"/>
    <n v="0.6"/>
    <x v="1"/>
    <x v="0"/>
    <x v="2"/>
    <x v="97"/>
    <n v="27"/>
  </r>
  <r>
    <n v="828"/>
    <d v="2011-02-06T00:00:00"/>
    <n v="2"/>
    <n v="22"/>
    <b v="0"/>
    <n v="0"/>
    <x v="0"/>
    <x v="1"/>
    <x v="0"/>
    <x v="0"/>
    <n v="0.26"/>
    <x v="0"/>
    <n v="0.30299999999999999"/>
    <n v="0.6"/>
    <x v="1"/>
    <x v="0"/>
    <x v="2"/>
    <x v="77"/>
    <n v="62"/>
  </r>
  <r>
    <n v="829"/>
    <d v="2011-02-06T00:00:00"/>
    <n v="2"/>
    <n v="23"/>
    <b v="0"/>
    <n v="0"/>
    <x v="0"/>
    <x v="1"/>
    <x v="0"/>
    <x v="0"/>
    <n v="0.24"/>
    <x v="0"/>
    <n v="0.28789999999999999"/>
    <n v="0.65"/>
    <x v="1"/>
    <x v="0"/>
    <x v="17"/>
    <x v="16"/>
    <n v="30"/>
  </r>
  <r>
    <n v="830"/>
    <d v="2011-02-07T00:00:00"/>
    <n v="2"/>
    <n v="0"/>
    <b v="0"/>
    <n v="1"/>
    <x v="1"/>
    <x v="2"/>
    <x v="0"/>
    <x v="0"/>
    <n v="0.24"/>
    <x v="0"/>
    <n v="0.28789999999999999"/>
    <n v="0.65"/>
    <x v="1"/>
    <x v="0"/>
    <x v="5"/>
    <x v="88"/>
    <n v="15"/>
  </r>
  <r>
    <n v="831"/>
    <d v="2011-02-07T00:00:00"/>
    <n v="2"/>
    <n v="1"/>
    <b v="0"/>
    <n v="1"/>
    <x v="1"/>
    <x v="2"/>
    <x v="0"/>
    <x v="0"/>
    <n v="0.22"/>
    <x v="0"/>
    <n v="0.2727"/>
    <n v="0.75"/>
    <x v="0"/>
    <x v="0"/>
    <x v="5"/>
    <x v="22"/>
    <n v="5"/>
  </r>
  <r>
    <n v="832"/>
    <d v="2011-02-07T00:00:00"/>
    <n v="2"/>
    <n v="2"/>
    <b v="0"/>
    <n v="1"/>
    <x v="1"/>
    <x v="2"/>
    <x v="0"/>
    <x v="0"/>
    <n v="0.2"/>
    <x v="0"/>
    <n v="0.2576"/>
    <n v="0.8"/>
    <x v="0"/>
    <x v="0"/>
    <x v="3"/>
    <x v="35"/>
    <n v="3"/>
  </r>
  <r>
    <n v="833"/>
    <d v="2011-02-07T00:00:00"/>
    <n v="2"/>
    <n v="3"/>
    <b v="0"/>
    <n v="1"/>
    <x v="1"/>
    <x v="2"/>
    <x v="0"/>
    <x v="0"/>
    <n v="0.2"/>
    <x v="0"/>
    <n v="0.2576"/>
    <n v="0.86"/>
    <x v="0"/>
    <x v="0"/>
    <x v="3"/>
    <x v="4"/>
    <n v="1"/>
  </r>
  <r>
    <n v="834"/>
    <d v="2011-02-07T00:00:00"/>
    <n v="2"/>
    <n v="4"/>
    <b v="0"/>
    <n v="1"/>
    <x v="1"/>
    <x v="2"/>
    <x v="0"/>
    <x v="0"/>
    <n v="0.2"/>
    <x v="0"/>
    <n v="0.2576"/>
    <n v="0.86"/>
    <x v="0"/>
    <x v="0"/>
    <x v="5"/>
    <x v="4"/>
    <n v="2"/>
  </r>
  <r>
    <n v="835"/>
    <d v="2011-02-07T00:00:00"/>
    <n v="2"/>
    <n v="5"/>
    <b v="0"/>
    <n v="1"/>
    <x v="1"/>
    <x v="2"/>
    <x v="0"/>
    <x v="0"/>
    <n v="0.2"/>
    <x v="0"/>
    <n v="0.2576"/>
    <n v="0.86"/>
    <x v="0"/>
    <x v="0"/>
    <x v="5"/>
    <x v="33"/>
    <n v="10"/>
  </r>
  <r>
    <n v="836"/>
    <d v="2011-02-07T00:00:00"/>
    <n v="2"/>
    <n v="6"/>
    <b v="0"/>
    <n v="1"/>
    <x v="1"/>
    <x v="2"/>
    <x v="0"/>
    <x v="0"/>
    <n v="0.18"/>
    <x v="0"/>
    <n v="0.2424"/>
    <n v="0.93"/>
    <x v="0"/>
    <x v="0"/>
    <x v="5"/>
    <x v="31"/>
    <n v="30"/>
  </r>
  <r>
    <n v="837"/>
    <d v="2011-02-07T00:00:00"/>
    <n v="2"/>
    <n v="7"/>
    <b v="0"/>
    <n v="1"/>
    <x v="1"/>
    <x v="2"/>
    <x v="0"/>
    <x v="0"/>
    <n v="0.18"/>
    <x v="0"/>
    <n v="0.2424"/>
    <n v="0.86"/>
    <x v="0"/>
    <x v="0"/>
    <x v="15"/>
    <x v="121"/>
    <n v="95"/>
  </r>
  <r>
    <n v="838"/>
    <d v="2011-02-07T00:00:00"/>
    <n v="2"/>
    <n v="8"/>
    <b v="0"/>
    <n v="1"/>
    <x v="1"/>
    <x v="2"/>
    <x v="1"/>
    <x v="1"/>
    <n v="0.16"/>
    <x v="0"/>
    <n v="0.2273"/>
    <n v="1"/>
    <x v="0"/>
    <x v="0"/>
    <x v="18"/>
    <x v="169"/>
    <n v="230"/>
  </r>
  <r>
    <n v="839"/>
    <d v="2011-02-07T00:00:00"/>
    <n v="2"/>
    <n v="9"/>
    <b v="0"/>
    <n v="1"/>
    <x v="1"/>
    <x v="2"/>
    <x v="0"/>
    <x v="0"/>
    <n v="0.22"/>
    <x v="0"/>
    <n v="0.2727"/>
    <n v="0.8"/>
    <x v="0"/>
    <x v="0"/>
    <x v="0"/>
    <x v="168"/>
    <n v="118"/>
  </r>
  <r>
    <n v="840"/>
    <d v="2011-02-07T00:00:00"/>
    <n v="2"/>
    <n v="10"/>
    <b v="0"/>
    <n v="1"/>
    <x v="1"/>
    <x v="2"/>
    <x v="0"/>
    <x v="0"/>
    <n v="0.24"/>
    <x v="0"/>
    <n v="0.2576"/>
    <n v="0.75"/>
    <x v="0"/>
    <x v="14"/>
    <x v="15"/>
    <x v="47"/>
    <n v="55"/>
  </r>
  <r>
    <n v="841"/>
    <d v="2011-02-07T00:00:00"/>
    <n v="2"/>
    <n v="11"/>
    <b v="0"/>
    <n v="1"/>
    <x v="1"/>
    <x v="2"/>
    <x v="0"/>
    <x v="0"/>
    <n v="0.3"/>
    <x v="0"/>
    <n v="0.31819999999999998"/>
    <n v="0.65"/>
    <x v="1"/>
    <x v="1"/>
    <x v="16"/>
    <x v="49"/>
    <n v="47"/>
  </r>
  <r>
    <n v="842"/>
    <d v="2011-02-07T00:00:00"/>
    <n v="2"/>
    <n v="12"/>
    <b v="0"/>
    <n v="1"/>
    <x v="1"/>
    <x v="2"/>
    <x v="1"/>
    <x v="1"/>
    <n v="0.32"/>
    <x v="0"/>
    <n v="0.34849999999999998"/>
    <n v="0.62"/>
    <x v="1"/>
    <x v="0"/>
    <x v="18"/>
    <x v="79"/>
    <n v="66"/>
  </r>
  <r>
    <n v="843"/>
    <d v="2011-02-07T00:00:00"/>
    <n v="2"/>
    <n v="13"/>
    <b v="0"/>
    <n v="1"/>
    <x v="1"/>
    <x v="2"/>
    <x v="1"/>
    <x v="1"/>
    <n v="0.36"/>
    <x v="1"/>
    <n v="0.36359999999999998"/>
    <n v="0.56999999999999995"/>
    <x v="1"/>
    <x v="1"/>
    <x v="22"/>
    <x v="25"/>
    <n v="64"/>
  </r>
  <r>
    <n v="844"/>
    <d v="2011-02-07T00:00:00"/>
    <n v="2"/>
    <n v="14"/>
    <b v="0"/>
    <n v="1"/>
    <x v="1"/>
    <x v="2"/>
    <x v="1"/>
    <x v="1"/>
    <n v="0.36"/>
    <x v="1"/>
    <n v="0.36359999999999998"/>
    <n v="0.56999999999999995"/>
    <x v="1"/>
    <x v="1"/>
    <x v="1"/>
    <x v="15"/>
    <n v="60"/>
  </r>
  <r>
    <n v="845"/>
    <d v="2011-02-07T00:00:00"/>
    <n v="2"/>
    <n v="15"/>
    <b v="0"/>
    <n v="1"/>
    <x v="1"/>
    <x v="2"/>
    <x v="1"/>
    <x v="1"/>
    <n v="0.38"/>
    <x v="1"/>
    <n v="0.39389999999999997"/>
    <n v="0.54"/>
    <x v="1"/>
    <x v="1"/>
    <x v="17"/>
    <x v="24"/>
    <n v="50"/>
  </r>
  <r>
    <n v="846"/>
    <d v="2011-02-07T00:00:00"/>
    <n v="2"/>
    <n v="16"/>
    <b v="0"/>
    <n v="1"/>
    <x v="1"/>
    <x v="2"/>
    <x v="1"/>
    <x v="1"/>
    <n v="0.36"/>
    <x v="1"/>
    <n v="0.34849999999999998"/>
    <n v="0.56999999999999995"/>
    <x v="1"/>
    <x v="7"/>
    <x v="19"/>
    <x v="52"/>
    <n v="114"/>
  </r>
  <r>
    <n v="847"/>
    <d v="2011-02-07T00:00:00"/>
    <n v="2"/>
    <n v="17"/>
    <b v="0"/>
    <n v="1"/>
    <x v="1"/>
    <x v="2"/>
    <x v="1"/>
    <x v="1"/>
    <n v="0.32"/>
    <x v="0"/>
    <n v="0.31819999999999998"/>
    <n v="0.7"/>
    <x v="0"/>
    <x v="8"/>
    <x v="14"/>
    <x v="134"/>
    <n v="216"/>
  </r>
  <r>
    <n v="848"/>
    <d v="2011-02-07T00:00:00"/>
    <n v="2"/>
    <n v="18"/>
    <b v="0"/>
    <n v="1"/>
    <x v="1"/>
    <x v="2"/>
    <x v="1"/>
    <x v="1"/>
    <n v="0.34"/>
    <x v="0"/>
    <n v="0.33329999999999999"/>
    <n v="0.66"/>
    <x v="1"/>
    <x v="7"/>
    <x v="2"/>
    <x v="162"/>
    <n v="175"/>
  </r>
  <r>
    <n v="849"/>
    <d v="2011-02-07T00:00:00"/>
    <n v="2"/>
    <n v="19"/>
    <b v="0"/>
    <n v="1"/>
    <x v="1"/>
    <x v="2"/>
    <x v="1"/>
    <x v="1"/>
    <n v="0.32"/>
    <x v="0"/>
    <n v="0.34849999999999998"/>
    <n v="0.7"/>
    <x v="0"/>
    <x v="0"/>
    <x v="2"/>
    <x v="170"/>
    <n v="128"/>
  </r>
  <r>
    <n v="850"/>
    <d v="2011-02-07T00:00:00"/>
    <n v="2"/>
    <n v="20"/>
    <b v="0"/>
    <n v="1"/>
    <x v="1"/>
    <x v="2"/>
    <x v="1"/>
    <x v="1"/>
    <n v="0.32"/>
    <x v="0"/>
    <n v="0.33329999999999999"/>
    <n v="0.7"/>
    <x v="0"/>
    <x v="14"/>
    <x v="15"/>
    <x v="70"/>
    <n v="88"/>
  </r>
  <r>
    <n v="851"/>
    <d v="2011-02-07T00:00:00"/>
    <n v="2"/>
    <n v="21"/>
    <b v="0"/>
    <n v="1"/>
    <x v="1"/>
    <x v="2"/>
    <x v="0"/>
    <x v="0"/>
    <n v="0.32"/>
    <x v="0"/>
    <n v="0.34849999999999998"/>
    <n v="0.7"/>
    <x v="0"/>
    <x v="0"/>
    <x v="0"/>
    <x v="102"/>
    <n v="78"/>
  </r>
  <r>
    <n v="852"/>
    <d v="2011-02-07T00:00:00"/>
    <n v="2"/>
    <n v="22"/>
    <b v="0"/>
    <n v="1"/>
    <x v="1"/>
    <x v="2"/>
    <x v="0"/>
    <x v="0"/>
    <n v="0.28000000000000003"/>
    <x v="0"/>
    <n v="0.30299999999999999"/>
    <n v="0.81"/>
    <x v="0"/>
    <x v="1"/>
    <x v="0"/>
    <x v="60"/>
    <n v="37"/>
  </r>
  <r>
    <n v="853"/>
    <d v="2011-02-07T00:00:00"/>
    <n v="2"/>
    <n v="23"/>
    <b v="0"/>
    <n v="1"/>
    <x v="1"/>
    <x v="2"/>
    <x v="1"/>
    <x v="1"/>
    <n v="0.3"/>
    <x v="0"/>
    <n v="0.33329999999999999"/>
    <n v="0.81"/>
    <x v="0"/>
    <x v="0"/>
    <x v="15"/>
    <x v="23"/>
    <n v="25"/>
  </r>
  <r>
    <n v="854"/>
    <d v="2011-02-08T00:00:00"/>
    <n v="2"/>
    <n v="0"/>
    <b v="0"/>
    <n v="2"/>
    <x v="1"/>
    <x v="3"/>
    <x v="1"/>
    <x v="1"/>
    <n v="0.28000000000000003"/>
    <x v="0"/>
    <n v="0.31819999999999998"/>
    <n v="0.87"/>
    <x v="0"/>
    <x v="0"/>
    <x v="17"/>
    <x v="8"/>
    <n v="10"/>
  </r>
  <r>
    <n v="855"/>
    <d v="2011-02-08T00:00:00"/>
    <n v="2"/>
    <n v="1"/>
    <b v="0"/>
    <n v="2"/>
    <x v="1"/>
    <x v="3"/>
    <x v="1"/>
    <x v="1"/>
    <n v="0.28000000000000003"/>
    <x v="0"/>
    <n v="0.31819999999999998"/>
    <n v="0.87"/>
    <x v="0"/>
    <x v="0"/>
    <x v="3"/>
    <x v="22"/>
    <n v="4"/>
  </r>
  <r>
    <n v="856"/>
    <d v="2011-02-08T00:00:00"/>
    <n v="2"/>
    <n v="2"/>
    <b v="0"/>
    <n v="2"/>
    <x v="1"/>
    <x v="3"/>
    <x v="1"/>
    <x v="1"/>
    <n v="0.26"/>
    <x v="0"/>
    <n v="0.2727"/>
    <n v="0.93"/>
    <x v="0"/>
    <x v="14"/>
    <x v="5"/>
    <x v="4"/>
    <n v="2"/>
  </r>
  <r>
    <n v="857"/>
    <d v="2011-02-08T00:00:00"/>
    <n v="2"/>
    <n v="3"/>
    <b v="0"/>
    <n v="2"/>
    <x v="1"/>
    <x v="3"/>
    <x v="2"/>
    <x v="2"/>
    <n v="0.28000000000000003"/>
    <x v="0"/>
    <n v="0.2727"/>
    <n v="0.93"/>
    <x v="0"/>
    <x v="8"/>
    <x v="3"/>
    <x v="4"/>
    <n v="1"/>
  </r>
  <r>
    <n v="858"/>
    <d v="2011-02-08T00:00:00"/>
    <n v="2"/>
    <n v="4"/>
    <b v="0"/>
    <n v="2"/>
    <x v="1"/>
    <x v="3"/>
    <x v="0"/>
    <x v="0"/>
    <n v="0.26"/>
    <x v="0"/>
    <n v="0.2576"/>
    <n v="0.93"/>
    <x v="0"/>
    <x v="8"/>
    <x v="3"/>
    <x v="35"/>
    <n v="3"/>
  </r>
  <r>
    <n v="859"/>
    <d v="2011-02-08T00:00:00"/>
    <n v="2"/>
    <n v="5"/>
    <b v="0"/>
    <n v="2"/>
    <x v="1"/>
    <x v="3"/>
    <x v="0"/>
    <x v="0"/>
    <n v="0.26"/>
    <x v="0"/>
    <n v="0.2273"/>
    <n v="0.81"/>
    <x v="0"/>
    <x v="9"/>
    <x v="3"/>
    <x v="6"/>
    <n v="2"/>
  </r>
  <r>
    <n v="860"/>
    <d v="2011-02-08T00:00:00"/>
    <n v="2"/>
    <n v="6"/>
    <b v="0"/>
    <n v="2"/>
    <x v="1"/>
    <x v="3"/>
    <x v="0"/>
    <x v="0"/>
    <n v="0.26"/>
    <x v="0"/>
    <n v="0.2273"/>
    <n v="0.7"/>
    <x v="0"/>
    <x v="9"/>
    <x v="3"/>
    <x v="87"/>
    <n v="39"/>
  </r>
  <r>
    <n v="861"/>
    <d v="2011-02-08T00:00:00"/>
    <n v="2"/>
    <n v="7"/>
    <b v="0"/>
    <n v="2"/>
    <x v="1"/>
    <x v="3"/>
    <x v="0"/>
    <x v="0"/>
    <n v="0.24"/>
    <x v="0"/>
    <n v="0.19700000000000001"/>
    <n v="0.65"/>
    <x v="1"/>
    <x v="12"/>
    <x v="0"/>
    <x v="106"/>
    <n v="100"/>
  </r>
  <r>
    <n v="862"/>
    <d v="2011-02-08T00:00:00"/>
    <n v="2"/>
    <n v="8"/>
    <b v="0"/>
    <n v="2"/>
    <x v="1"/>
    <x v="3"/>
    <x v="0"/>
    <x v="0"/>
    <n v="0.24"/>
    <x v="0"/>
    <n v="0.19700000000000001"/>
    <n v="0.56000000000000005"/>
    <x v="1"/>
    <x v="15"/>
    <x v="18"/>
    <x v="171"/>
    <n v="243"/>
  </r>
  <r>
    <n v="863"/>
    <d v="2011-02-08T00:00:00"/>
    <n v="2"/>
    <n v="9"/>
    <b v="0"/>
    <n v="2"/>
    <x v="1"/>
    <x v="3"/>
    <x v="0"/>
    <x v="0"/>
    <n v="0.24"/>
    <x v="0"/>
    <n v="0.19700000000000001"/>
    <n v="0.52"/>
    <x v="1"/>
    <x v="15"/>
    <x v="18"/>
    <x v="172"/>
    <n v="135"/>
  </r>
  <r>
    <n v="864"/>
    <d v="2011-02-08T00:00:00"/>
    <n v="2"/>
    <n v="10"/>
    <b v="0"/>
    <n v="2"/>
    <x v="1"/>
    <x v="3"/>
    <x v="0"/>
    <x v="0"/>
    <n v="0.22"/>
    <x v="0"/>
    <n v="0.18179999999999999"/>
    <n v="0.47"/>
    <x v="1"/>
    <x v="16"/>
    <x v="17"/>
    <x v="100"/>
    <n v="48"/>
  </r>
  <r>
    <n v="865"/>
    <d v="2011-02-08T00:00:00"/>
    <n v="2"/>
    <n v="11"/>
    <b v="0"/>
    <n v="2"/>
    <x v="1"/>
    <x v="3"/>
    <x v="0"/>
    <x v="0"/>
    <n v="0.22"/>
    <x v="0"/>
    <n v="0.18179999999999999"/>
    <n v="0.47"/>
    <x v="1"/>
    <x v="17"/>
    <x v="5"/>
    <x v="47"/>
    <n v="50"/>
  </r>
  <r>
    <n v="866"/>
    <d v="2011-02-08T00:00:00"/>
    <n v="2"/>
    <n v="12"/>
    <b v="0"/>
    <n v="2"/>
    <x v="1"/>
    <x v="3"/>
    <x v="0"/>
    <x v="0"/>
    <n v="0.24"/>
    <x v="0"/>
    <n v="0.19700000000000001"/>
    <n v="0.38"/>
    <x v="1"/>
    <x v="15"/>
    <x v="4"/>
    <x v="36"/>
    <n v="65"/>
  </r>
  <r>
    <n v="867"/>
    <d v="2011-02-08T00:00:00"/>
    <n v="2"/>
    <n v="13"/>
    <b v="0"/>
    <n v="2"/>
    <x v="1"/>
    <x v="3"/>
    <x v="1"/>
    <x v="1"/>
    <n v="0.24"/>
    <x v="0"/>
    <n v="0.19700000000000001"/>
    <n v="0.32"/>
    <x v="1"/>
    <x v="10"/>
    <x v="4"/>
    <x v="41"/>
    <n v="50"/>
  </r>
  <r>
    <n v="868"/>
    <d v="2011-02-08T00:00:00"/>
    <n v="2"/>
    <n v="14"/>
    <b v="0"/>
    <n v="2"/>
    <x v="1"/>
    <x v="3"/>
    <x v="0"/>
    <x v="0"/>
    <n v="0.22"/>
    <x v="0"/>
    <n v="0.19700000000000001"/>
    <n v="0.37"/>
    <x v="1"/>
    <x v="12"/>
    <x v="0"/>
    <x v="124"/>
    <n v="64"/>
  </r>
  <r>
    <n v="869"/>
    <d v="2011-02-08T00:00:00"/>
    <n v="2"/>
    <n v="15"/>
    <b v="0"/>
    <n v="2"/>
    <x v="1"/>
    <x v="3"/>
    <x v="0"/>
    <x v="0"/>
    <n v="0.22"/>
    <x v="0"/>
    <n v="0.19700000000000001"/>
    <n v="0.35"/>
    <x v="1"/>
    <x v="13"/>
    <x v="15"/>
    <x v="108"/>
    <n v="51"/>
  </r>
  <r>
    <n v="870"/>
    <d v="2011-02-08T00:00:00"/>
    <n v="2"/>
    <n v="16"/>
    <b v="0"/>
    <n v="2"/>
    <x v="1"/>
    <x v="3"/>
    <x v="0"/>
    <x v="0"/>
    <n v="0.22"/>
    <x v="0"/>
    <n v="0.18179999999999999"/>
    <n v="0.35"/>
    <x v="1"/>
    <x v="18"/>
    <x v="17"/>
    <x v="55"/>
    <n v="83"/>
  </r>
  <r>
    <n v="871"/>
    <d v="2011-02-08T00:00:00"/>
    <n v="2"/>
    <n v="17"/>
    <b v="0"/>
    <n v="2"/>
    <x v="1"/>
    <x v="3"/>
    <x v="0"/>
    <x v="0"/>
    <n v="0.22"/>
    <x v="0"/>
    <n v="0.18179999999999999"/>
    <n v="0.32"/>
    <x v="1"/>
    <x v="19"/>
    <x v="17"/>
    <x v="157"/>
    <n v="176"/>
  </r>
  <r>
    <n v="872"/>
    <d v="2011-02-08T00:00:00"/>
    <n v="2"/>
    <n v="18"/>
    <b v="0"/>
    <n v="2"/>
    <x v="1"/>
    <x v="3"/>
    <x v="0"/>
    <x v="0"/>
    <n v="0.2"/>
    <x v="0"/>
    <n v="0.18179999999999999"/>
    <n v="0.32"/>
    <x v="1"/>
    <x v="13"/>
    <x v="5"/>
    <x v="137"/>
    <n v="152"/>
  </r>
  <r>
    <n v="873"/>
    <d v="2011-02-08T00:00:00"/>
    <n v="2"/>
    <n v="19"/>
    <b v="0"/>
    <n v="2"/>
    <x v="1"/>
    <x v="3"/>
    <x v="0"/>
    <x v="0"/>
    <n v="0.16"/>
    <x v="0"/>
    <n v="0.1212"/>
    <n v="0.4"/>
    <x v="1"/>
    <x v="17"/>
    <x v="5"/>
    <x v="129"/>
    <n v="101"/>
  </r>
  <r>
    <n v="874"/>
    <d v="2011-02-08T00:00:00"/>
    <n v="2"/>
    <n v="20"/>
    <b v="0"/>
    <n v="2"/>
    <x v="1"/>
    <x v="3"/>
    <x v="0"/>
    <x v="0"/>
    <n v="0.16"/>
    <x v="0"/>
    <n v="0.13639999999999999"/>
    <n v="0.4"/>
    <x v="1"/>
    <x v="9"/>
    <x v="0"/>
    <x v="42"/>
    <n v="56"/>
  </r>
  <r>
    <n v="875"/>
    <d v="2011-02-08T00:00:00"/>
    <n v="2"/>
    <n v="21"/>
    <b v="0"/>
    <n v="2"/>
    <x v="1"/>
    <x v="3"/>
    <x v="0"/>
    <x v="0"/>
    <n v="0.14000000000000001"/>
    <x v="0"/>
    <n v="0.1061"/>
    <n v="0.33"/>
    <x v="1"/>
    <x v="17"/>
    <x v="1"/>
    <x v="24"/>
    <n v="54"/>
  </r>
  <r>
    <n v="876"/>
    <d v="2011-02-08T00:00:00"/>
    <n v="2"/>
    <n v="22"/>
    <b v="0"/>
    <n v="2"/>
    <x v="1"/>
    <x v="3"/>
    <x v="0"/>
    <x v="0"/>
    <n v="0.12"/>
    <x v="0"/>
    <n v="0.1061"/>
    <n v="0.33"/>
    <x v="1"/>
    <x v="11"/>
    <x v="3"/>
    <x v="31"/>
    <n v="29"/>
  </r>
  <r>
    <n v="877"/>
    <d v="2011-02-08T00:00:00"/>
    <n v="2"/>
    <n v="23"/>
    <b v="0"/>
    <n v="2"/>
    <x v="1"/>
    <x v="3"/>
    <x v="0"/>
    <x v="0"/>
    <n v="0.12"/>
    <x v="0"/>
    <n v="0.1061"/>
    <n v="0.33"/>
    <x v="1"/>
    <x v="9"/>
    <x v="0"/>
    <x v="33"/>
    <n v="12"/>
  </r>
  <r>
    <n v="878"/>
    <d v="2011-02-09T00:00:00"/>
    <n v="2"/>
    <n v="0"/>
    <b v="0"/>
    <n v="3"/>
    <x v="1"/>
    <x v="4"/>
    <x v="0"/>
    <x v="0"/>
    <n v="0.1"/>
    <x v="0"/>
    <n v="7.5800000000000006E-2"/>
    <n v="0.36"/>
    <x v="1"/>
    <x v="11"/>
    <x v="3"/>
    <x v="19"/>
    <n v="17"/>
  </r>
  <r>
    <n v="879"/>
    <d v="2011-02-09T00:00:00"/>
    <n v="2"/>
    <n v="1"/>
    <b v="0"/>
    <n v="3"/>
    <x v="1"/>
    <x v="4"/>
    <x v="0"/>
    <x v="0"/>
    <n v="0.1"/>
    <x v="0"/>
    <n v="0.1061"/>
    <n v="0.36"/>
    <x v="1"/>
    <x v="6"/>
    <x v="3"/>
    <x v="7"/>
    <n v="7"/>
  </r>
  <r>
    <n v="880"/>
    <d v="2011-02-09T00:00:00"/>
    <n v="2"/>
    <n v="2"/>
    <b v="0"/>
    <n v="3"/>
    <x v="1"/>
    <x v="4"/>
    <x v="0"/>
    <x v="0"/>
    <n v="0.08"/>
    <x v="1"/>
    <n v="7.5800000000000006E-2"/>
    <n v="0.38"/>
    <x v="1"/>
    <x v="3"/>
    <x v="5"/>
    <x v="6"/>
    <n v="3"/>
  </r>
  <r>
    <n v="881"/>
    <d v="2011-02-09T00:00:00"/>
    <n v="2"/>
    <n v="3"/>
    <b v="0"/>
    <n v="3"/>
    <x v="1"/>
    <x v="4"/>
    <x v="0"/>
    <x v="0"/>
    <n v="0.06"/>
    <x v="1"/>
    <n v="7.5800000000000006E-2"/>
    <n v="0.45"/>
    <x v="1"/>
    <x v="7"/>
    <x v="3"/>
    <x v="6"/>
    <n v="2"/>
  </r>
  <r>
    <n v="882"/>
    <d v="2011-02-09T00:00:00"/>
    <n v="2"/>
    <n v="5"/>
    <b v="0"/>
    <n v="3"/>
    <x v="1"/>
    <x v="4"/>
    <x v="0"/>
    <x v="0"/>
    <n v="0.06"/>
    <x v="1"/>
    <n v="0.1061"/>
    <n v="0.45"/>
    <x v="1"/>
    <x v="14"/>
    <x v="3"/>
    <x v="7"/>
    <n v="7"/>
  </r>
  <r>
    <n v="883"/>
    <d v="2011-02-09T00:00:00"/>
    <n v="2"/>
    <n v="6"/>
    <b v="0"/>
    <n v="3"/>
    <x v="1"/>
    <x v="4"/>
    <x v="0"/>
    <x v="0"/>
    <n v="0.06"/>
    <x v="1"/>
    <n v="0.1515"/>
    <n v="0.45"/>
    <x v="1"/>
    <x v="0"/>
    <x v="3"/>
    <x v="30"/>
    <n v="43"/>
  </r>
  <r>
    <n v="884"/>
    <d v="2011-02-09T00:00:00"/>
    <n v="2"/>
    <n v="7"/>
    <b v="0"/>
    <n v="3"/>
    <x v="1"/>
    <x v="4"/>
    <x v="0"/>
    <x v="0"/>
    <n v="0.06"/>
    <x v="1"/>
    <n v="0.1061"/>
    <n v="0.49"/>
    <x v="1"/>
    <x v="14"/>
    <x v="17"/>
    <x v="73"/>
    <n v="99"/>
  </r>
  <r>
    <n v="885"/>
    <d v="2011-02-09T00:00:00"/>
    <n v="2"/>
    <n v="8"/>
    <b v="0"/>
    <n v="3"/>
    <x v="1"/>
    <x v="4"/>
    <x v="0"/>
    <x v="0"/>
    <n v="0.1"/>
    <x v="0"/>
    <n v="0.13639999999999999"/>
    <n v="0.42"/>
    <x v="1"/>
    <x v="0"/>
    <x v="5"/>
    <x v="173"/>
    <n v="199"/>
  </r>
  <r>
    <n v="886"/>
    <d v="2011-02-09T00:00:00"/>
    <n v="2"/>
    <n v="9"/>
    <b v="0"/>
    <n v="3"/>
    <x v="1"/>
    <x v="4"/>
    <x v="0"/>
    <x v="0"/>
    <n v="0.12"/>
    <x v="0"/>
    <n v="0.13639999999999999"/>
    <n v="0.39"/>
    <x v="1"/>
    <x v="8"/>
    <x v="17"/>
    <x v="138"/>
    <n v="123"/>
  </r>
  <r>
    <n v="887"/>
    <d v="2011-02-09T00:00:00"/>
    <n v="2"/>
    <n v="10"/>
    <b v="0"/>
    <n v="3"/>
    <x v="1"/>
    <x v="4"/>
    <x v="0"/>
    <x v="0"/>
    <n v="0.14000000000000001"/>
    <x v="0"/>
    <n v="0.18179999999999999"/>
    <n v="0.36"/>
    <x v="1"/>
    <x v="0"/>
    <x v="1"/>
    <x v="82"/>
    <n v="59"/>
  </r>
  <r>
    <n v="888"/>
    <d v="2011-02-09T00:00:00"/>
    <n v="2"/>
    <n v="11"/>
    <b v="0"/>
    <n v="3"/>
    <x v="1"/>
    <x v="4"/>
    <x v="1"/>
    <x v="1"/>
    <n v="0.14000000000000001"/>
    <x v="0"/>
    <n v="0.1515"/>
    <n v="0.43"/>
    <x v="1"/>
    <x v="8"/>
    <x v="5"/>
    <x v="71"/>
    <n v="41"/>
  </r>
  <r>
    <n v="889"/>
    <d v="2011-02-09T00:00:00"/>
    <n v="2"/>
    <n v="12"/>
    <b v="0"/>
    <n v="3"/>
    <x v="1"/>
    <x v="4"/>
    <x v="1"/>
    <x v="1"/>
    <n v="0.18"/>
    <x v="0"/>
    <n v="0.18179999999999999"/>
    <n v="0.4"/>
    <x v="1"/>
    <x v="6"/>
    <x v="17"/>
    <x v="77"/>
    <n v="61"/>
  </r>
  <r>
    <n v="890"/>
    <d v="2011-02-09T00:00:00"/>
    <n v="2"/>
    <n v="13"/>
    <b v="0"/>
    <n v="3"/>
    <x v="1"/>
    <x v="4"/>
    <x v="0"/>
    <x v="0"/>
    <n v="0.18"/>
    <x v="0"/>
    <n v="0.16669999999999999"/>
    <n v="0.4"/>
    <x v="1"/>
    <x v="2"/>
    <x v="4"/>
    <x v="28"/>
    <n v="69"/>
  </r>
  <r>
    <n v="891"/>
    <d v="2011-02-09T00:00:00"/>
    <n v="2"/>
    <n v="14"/>
    <b v="0"/>
    <n v="3"/>
    <x v="1"/>
    <x v="4"/>
    <x v="0"/>
    <x v="0"/>
    <n v="0.2"/>
    <x v="0"/>
    <n v="0.18179999999999999"/>
    <n v="0.34"/>
    <x v="1"/>
    <x v="4"/>
    <x v="4"/>
    <x v="90"/>
    <n v="58"/>
  </r>
  <r>
    <n v="892"/>
    <d v="2011-02-09T00:00:00"/>
    <n v="2"/>
    <n v="15"/>
    <b v="0"/>
    <n v="3"/>
    <x v="1"/>
    <x v="4"/>
    <x v="1"/>
    <x v="1"/>
    <n v="0.2"/>
    <x v="0"/>
    <n v="0.18179999999999999"/>
    <n v="0.34"/>
    <x v="1"/>
    <x v="3"/>
    <x v="0"/>
    <x v="124"/>
    <n v="64"/>
  </r>
  <r>
    <n v="893"/>
    <d v="2011-02-09T00:00:00"/>
    <n v="2"/>
    <n v="16"/>
    <b v="0"/>
    <n v="3"/>
    <x v="1"/>
    <x v="4"/>
    <x v="1"/>
    <x v="1"/>
    <n v="0.2"/>
    <x v="0"/>
    <n v="0.19700000000000001"/>
    <n v="0.37"/>
    <x v="1"/>
    <x v="2"/>
    <x v="18"/>
    <x v="109"/>
    <n v="79"/>
  </r>
  <r>
    <n v="894"/>
    <d v="2011-02-09T00:00:00"/>
    <n v="2"/>
    <n v="17"/>
    <b v="0"/>
    <n v="3"/>
    <x v="1"/>
    <x v="4"/>
    <x v="1"/>
    <x v="1"/>
    <n v="0.2"/>
    <x v="0"/>
    <n v="0.19700000000000001"/>
    <n v="0.34"/>
    <x v="1"/>
    <x v="2"/>
    <x v="14"/>
    <x v="174"/>
    <n v="166"/>
  </r>
  <r>
    <n v="895"/>
    <d v="2011-02-09T00:00:00"/>
    <n v="2"/>
    <n v="18"/>
    <b v="0"/>
    <n v="3"/>
    <x v="1"/>
    <x v="4"/>
    <x v="1"/>
    <x v="1"/>
    <n v="0.18"/>
    <x v="0"/>
    <n v="0.16669999999999999"/>
    <n v="0.47"/>
    <x v="1"/>
    <x v="4"/>
    <x v="4"/>
    <x v="175"/>
    <n v="170"/>
  </r>
  <r>
    <n v="896"/>
    <d v="2011-02-09T00:00:00"/>
    <n v="2"/>
    <n v="19"/>
    <b v="0"/>
    <n v="3"/>
    <x v="1"/>
    <x v="4"/>
    <x v="2"/>
    <x v="2"/>
    <n v="0.14000000000000001"/>
    <x v="0"/>
    <n v="0.1212"/>
    <n v="0.86"/>
    <x v="0"/>
    <x v="2"/>
    <x v="5"/>
    <x v="61"/>
    <n v="88"/>
  </r>
  <r>
    <n v="897"/>
    <d v="2011-02-09T00:00:00"/>
    <n v="2"/>
    <n v="20"/>
    <b v="0"/>
    <n v="3"/>
    <x v="1"/>
    <x v="4"/>
    <x v="2"/>
    <x v="2"/>
    <n v="0.14000000000000001"/>
    <x v="0"/>
    <n v="0.1515"/>
    <n v="0.86"/>
    <x v="0"/>
    <x v="8"/>
    <x v="3"/>
    <x v="151"/>
    <n v="84"/>
  </r>
  <r>
    <n v="898"/>
    <d v="2011-02-09T00:00:00"/>
    <n v="2"/>
    <n v="21"/>
    <b v="0"/>
    <n v="3"/>
    <x v="1"/>
    <x v="4"/>
    <x v="1"/>
    <x v="1"/>
    <n v="0.14000000000000001"/>
    <x v="0"/>
    <n v="0.1515"/>
    <n v="0.86"/>
    <x v="0"/>
    <x v="8"/>
    <x v="3"/>
    <x v="93"/>
    <n v="83"/>
  </r>
  <r>
    <n v="899"/>
    <d v="2011-02-09T00:00:00"/>
    <n v="2"/>
    <n v="22"/>
    <b v="0"/>
    <n v="3"/>
    <x v="1"/>
    <x v="4"/>
    <x v="2"/>
    <x v="2"/>
    <n v="0.16"/>
    <x v="0"/>
    <n v="0.16669999999999999"/>
    <n v="0.8"/>
    <x v="0"/>
    <x v="8"/>
    <x v="17"/>
    <x v="76"/>
    <n v="46"/>
  </r>
  <r>
    <n v="900"/>
    <d v="2011-02-09T00:00:00"/>
    <n v="2"/>
    <n v="23"/>
    <b v="0"/>
    <n v="3"/>
    <x v="1"/>
    <x v="4"/>
    <x v="2"/>
    <x v="2"/>
    <n v="0.16"/>
    <x v="0"/>
    <n v="0.1515"/>
    <n v="0.8"/>
    <x v="0"/>
    <x v="5"/>
    <x v="3"/>
    <x v="53"/>
    <n v="37"/>
  </r>
  <r>
    <n v="901"/>
    <d v="2011-02-10T00:00:00"/>
    <n v="2"/>
    <n v="0"/>
    <b v="0"/>
    <n v="4"/>
    <x v="1"/>
    <x v="5"/>
    <x v="2"/>
    <x v="2"/>
    <n v="0.14000000000000001"/>
    <x v="0"/>
    <n v="0.13639999999999999"/>
    <n v="0.86"/>
    <x v="0"/>
    <x v="5"/>
    <x v="3"/>
    <x v="20"/>
    <n v="16"/>
  </r>
  <r>
    <n v="902"/>
    <d v="2011-02-10T00:00:00"/>
    <n v="2"/>
    <n v="1"/>
    <b v="0"/>
    <n v="4"/>
    <x v="1"/>
    <x v="5"/>
    <x v="2"/>
    <x v="2"/>
    <n v="0.14000000000000001"/>
    <x v="0"/>
    <n v="0.1515"/>
    <n v="0.8"/>
    <x v="0"/>
    <x v="7"/>
    <x v="3"/>
    <x v="7"/>
    <n v="7"/>
  </r>
  <r>
    <n v="903"/>
    <d v="2011-02-10T00:00:00"/>
    <n v="2"/>
    <n v="2"/>
    <b v="0"/>
    <n v="4"/>
    <x v="1"/>
    <x v="5"/>
    <x v="2"/>
    <x v="2"/>
    <n v="0.14000000000000001"/>
    <x v="0"/>
    <n v="0.1515"/>
    <n v="0.8"/>
    <x v="0"/>
    <x v="7"/>
    <x v="3"/>
    <x v="35"/>
    <n v="3"/>
  </r>
  <r>
    <n v="904"/>
    <d v="2011-02-10T00:00:00"/>
    <n v="2"/>
    <n v="4"/>
    <b v="0"/>
    <n v="4"/>
    <x v="1"/>
    <x v="5"/>
    <x v="1"/>
    <x v="1"/>
    <n v="0.14000000000000001"/>
    <x v="0"/>
    <n v="0.13639999999999999"/>
    <n v="0.59"/>
    <x v="1"/>
    <x v="6"/>
    <x v="3"/>
    <x v="4"/>
    <n v="1"/>
  </r>
  <r>
    <n v="905"/>
    <d v="2011-02-10T00:00:00"/>
    <n v="2"/>
    <n v="5"/>
    <b v="0"/>
    <n v="4"/>
    <x v="1"/>
    <x v="5"/>
    <x v="1"/>
    <x v="1"/>
    <n v="0.12"/>
    <x v="0"/>
    <n v="0.1212"/>
    <n v="0.5"/>
    <x v="1"/>
    <x v="6"/>
    <x v="3"/>
    <x v="8"/>
    <n v="6"/>
  </r>
  <r>
    <n v="906"/>
    <d v="2011-02-10T00:00:00"/>
    <n v="2"/>
    <n v="6"/>
    <b v="0"/>
    <n v="4"/>
    <x v="1"/>
    <x v="5"/>
    <x v="1"/>
    <x v="1"/>
    <n v="0.12"/>
    <x v="0"/>
    <n v="0.1212"/>
    <n v="0.54"/>
    <x v="1"/>
    <x v="3"/>
    <x v="3"/>
    <x v="16"/>
    <n v="26"/>
  </r>
  <r>
    <n v="907"/>
    <d v="2011-02-10T00:00:00"/>
    <n v="2"/>
    <n v="7"/>
    <b v="0"/>
    <n v="4"/>
    <x v="1"/>
    <x v="5"/>
    <x v="0"/>
    <x v="0"/>
    <n v="0.1"/>
    <x v="0"/>
    <n v="7.5800000000000006E-2"/>
    <n v="0.5"/>
    <x v="1"/>
    <x v="12"/>
    <x v="3"/>
    <x v="176"/>
    <n v="99"/>
  </r>
  <r>
    <n v="908"/>
    <d v="2011-02-10T00:00:00"/>
    <n v="2"/>
    <n v="8"/>
    <b v="0"/>
    <n v="4"/>
    <x v="1"/>
    <x v="5"/>
    <x v="0"/>
    <x v="0"/>
    <n v="0.1"/>
    <x v="0"/>
    <n v="7.5800000000000006E-2"/>
    <n v="0.49"/>
    <x v="1"/>
    <x v="9"/>
    <x v="2"/>
    <x v="177"/>
    <n v="178"/>
  </r>
  <r>
    <n v="909"/>
    <d v="2011-02-10T00:00:00"/>
    <n v="2"/>
    <n v="9"/>
    <b v="0"/>
    <n v="4"/>
    <x v="1"/>
    <x v="5"/>
    <x v="0"/>
    <x v="0"/>
    <n v="0.12"/>
    <x v="0"/>
    <n v="0.1061"/>
    <n v="0.42"/>
    <x v="1"/>
    <x v="11"/>
    <x v="5"/>
    <x v="178"/>
    <n v="122"/>
  </r>
  <r>
    <n v="910"/>
    <d v="2011-02-10T00:00:00"/>
    <n v="2"/>
    <n v="10"/>
    <b v="0"/>
    <n v="4"/>
    <x v="1"/>
    <x v="5"/>
    <x v="0"/>
    <x v="0"/>
    <n v="0.12"/>
    <x v="0"/>
    <n v="0.1061"/>
    <n v="0.42"/>
    <x v="1"/>
    <x v="4"/>
    <x v="5"/>
    <x v="60"/>
    <n v="35"/>
  </r>
  <r>
    <n v="911"/>
    <d v="2011-02-10T00:00:00"/>
    <n v="2"/>
    <n v="11"/>
    <b v="0"/>
    <n v="4"/>
    <x v="1"/>
    <x v="5"/>
    <x v="0"/>
    <x v="0"/>
    <n v="0.14000000000000001"/>
    <x v="0"/>
    <n v="0.1212"/>
    <n v="0.39"/>
    <x v="1"/>
    <x v="11"/>
    <x v="5"/>
    <x v="100"/>
    <n v="45"/>
  </r>
  <r>
    <n v="912"/>
    <d v="2011-02-10T00:00:00"/>
    <n v="2"/>
    <n v="12"/>
    <b v="0"/>
    <n v="4"/>
    <x v="1"/>
    <x v="5"/>
    <x v="0"/>
    <x v="0"/>
    <n v="0.16"/>
    <x v="0"/>
    <n v="0.13639999999999999"/>
    <n v="0.34"/>
    <x v="1"/>
    <x v="13"/>
    <x v="17"/>
    <x v="65"/>
    <n v="69"/>
  </r>
  <r>
    <n v="913"/>
    <d v="2011-02-10T00:00:00"/>
    <n v="2"/>
    <n v="13"/>
    <b v="0"/>
    <n v="4"/>
    <x v="1"/>
    <x v="5"/>
    <x v="0"/>
    <x v="0"/>
    <n v="0.18"/>
    <x v="0"/>
    <n v="0.16669999999999999"/>
    <n v="0.28999999999999998"/>
    <x v="1"/>
    <x v="4"/>
    <x v="0"/>
    <x v="79"/>
    <n v="62"/>
  </r>
  <r>
    <n v="914"/>
    <d v="2011-02-10T00:00:00"/>
    <n v="2"/>
    <n v="14"/>
    <b v="0"/>
    <n v="4"/>
    <x v="1"/>
    <x v="5"/>
    <x v="0"/>
    <x v="0"/>
    <n v="0.2"/>
    <x v="0"/>
    <n v="0.18179999999999999"/>
    <n v="0.27"/>
    <x v="1"/>
    <x v="3"/>
    <x v="15"/>
    <x v="76"/>
    <n v="48"/>
  </r>
  <r>
    <n v="915"/>
    <d v="2011-02-10T00:00:00"/>
    <n v="2"/>
    <n v="15"/>
    <b v="0"/>
    <n v="4"/>
    <x v="1"/>
    <x v="5"/>
    <x v="0"/>
    <x v="0"/>
    <n v="0.2"/>
    <x v="0"/>
    <n v="0.19700000000000001"/>
    <n v="0.25"/>
    <x v="1"/>
    <x v="2"/>
    <x v="3"/>
    <x v="54"/>
    <n v="50"/>
  </r>
  <r>
    <n v="916"/>
    <d v="2011-02-10T00:00:00"/>
    <n v="2"/>
    <n v="16"/>
    <b v="0"/>
    <n v="4"/>
    <x v="1"/>
    <x v="5"/>
    <x v="0"/>
    <x v="0"/>
    <n v="0.2"/>
    <x v="0"/>
    <n v="0.18179999999999999"/>
    <n v="0.27"/>
    <x v="1"/>
    <x v="4"/>
    <x v="17"/>
    <x v="83"/>
    <n v="80"/>
  </r>
  <r>
    <n v="917"/>
    <d v="2011-02-10T00:00:00"/>
    <n v="2"/>
    <n v="17"/>
    <b v="0"/>
    <n v="4"/>
    <x v="1"/>
    <x v="5"/>
    <x v="0"/>
    <x v="0"/>
    <n v="0.18"/>
    <x v="0"/>
    <n v="0.18179999999999999"/>
    <n v="0.26"/>
    <x v="1"/>
    <x v="5"/>
    <x v="15"/>
    <x v="136"/>
    <n v="165"/>
  </r>
  <r>
    <n v="918"/>
    <d v="2011-02-10T00:00:00"/>
    <n v="2"/>
    <n v="18"/>
    <b v="0"/>
    <n v="4"/>
    <x v="1"/>
    <x v="5"/>
    <x v="0"/>
    <x v="0"/>
    <n v="0.16"/>
    <x v="0"/>
    <n v="0.18179999999999999"/>
    <n v="0.28000000000000003"/>
    <x v="1"/>
    <x v="7"/>
    <x v="0"/>
    <x v="174"/>
    <n v="160"/>
  </r>
  <r>
    <n v="919"/>
    <d v="2011-02-10T00:00:00"/>
    <n v="2"/>
    <n v="19"/>
    <b v="0"/>
    <n v="4"/>
    <x v="1"/>
    <x v="5"/>
    <x v="0"/>
    <x v="0"/>
    <n v="0.14000000000000001"/>
    <x v="0"/>
    <n v="0.16669999999999999"/>
    <n v="0.28000000000000003"/>
    <x v="1"/>
    <x v="14"/>
    <x v="4"/>
    <x v="59"/>
    <n v="112"/>
  </r>
  <r>
    <n v="920"/>
    <d v="2011-02-10T00:00:00"/>
    <n v="2"/>
    <n v="20"/>
    <b v="0"/>
    <n v="4"/>
    <x v="1"/>
    <x v="5"/>
    <x v="0"/>
    <x v="0"/>
    <n v="0.14000000000000001"/>
    <x v="0"/>
    <n v="0.18179999999999999"/>
    <n v="0.31"/>
    <x v="1"/>
    <x v="1"/>
    <x v="17"/>
    <x v="139"/>
    <n v="97"/>
  </r>
  <r>
    <n v="921"/>
    <d v="2011-02-10T00:00:00"/>
    <n v="2"/>
    <n v="21"/>
    <b v="0"/>
    <n v="4"/>
    <x v="1"/>
    <x v="5"/>
    <x v="0"/>
    <x v="0"/>
    <n v="0.14000000000000001"/>
    <x v="0"/>
    <n v="0.21210000000000001"/>
    <n v="0.39"/>
    <x v="1"/>
    <x v="0"/>
    <x v="4"/>
    <x v="14"/>
    <n v="72"/>
  </r>
  <r>
    <n v="922"/>
    <d v="2011-02-10T00:00:00"/>
    <n v="2"/>
    <n v="22"/>
    <b v="0"/>
    <n v="4"/>
    <x v="1"/>
    <x v="5"/>
    <x v="0"/>
    <x v="0"/>
    <n v="0.12"/>
    <x v="0"/>
    <n v="0.19700000000000001"/>
    <n v="0.39"/>
    <x v="1"/>
    <x v="0"/>
    <x v="17"/>
    <x v="12"/>
    <n v="51"/>
  </r>
  <r>
    <n v="923"/>
    <d v="2011-02-10T00:00:00"/>
    <n v="2"/>
    <n v="23"/>
    <b v="0"/>
    <n v="4"/>
    <x v="1"/>
    <x v="5"/>
    <x v="0"/>
    <x v="0"/>
    <n v="0.12"/>
    <x v="0"/>
    <n v="0.1515"/>
    <n v="0.42"/>
    <x v="1"/>
    <x v="14"/>
    <x v="5"/>
    <x v="39"/>
    <n v="34"/>
  </r>
  <r>
    <n v="924"/>
    <d v="2011-02-11T00:00:00"/>
    <n v="2"/>
    <n v="0"/>
    <b v="0"/>
    <n v="5"/>
    <x v="1"/>
    <x v="6"/>
    <x v="0"/>
    <x v="0"/>
    <n v="0.1"/>
    <x v="0"/>
    <n v="0.13639999999999999"/>
    <n v="0.49"/>
    <x v="1"/>
    <x v="14"/>
    <x v="4"/>
    <x v="98"/>
    <n v="14"/>
  </r>
  <r>
    <n v="925"/>
    <d v="2011-02-11T00:00:00"/>
    <n v="2"/>
    <n v="1"/>
    <b v="0"/>
    <n v="5"/>
    <x v="1"/>
    <x v="6"/>
    <x v="0"/>
    <x v="0"/>
    <n v="0.1"/>
    <x v="0"/>
    <n v="0.13639999999999999"/>
    <n v="0.54"/>
    <x v="1"/>
    <x v="1"/>
    <x v="5"/>
    <x v="8"/>
    <n v="7"/>
  </r>
  <r>
    <n v="926"/>
    <d v="2011-02-11T00:00:00"/>
    <n v="2"/>
    <n v="2"/>
    <b v="0"/>
    <n v="5"/>
    <x v="1"/>
    <x v="6"/>
    <x v="0"/>
    <x v="0"/>
    <n v="0.1"/>
    <x v="0"/>
    <n v="0.13639999999999999"/>
    <n v="0.54"/>
    <x v="1"/>
    <x v="1"/>
    <x v="3"/>
    <x v="35"/>
    <n v="3"/>
  </r>
  <r>
    <n v="927"/>
    <d v="2011-02-11T00:00:00"/>
    <n v="2"/>
    <n v="5"/>
    <b v="0"/>
    <n v="5"/>
    <x v="1"/>
    <x v="6"/>
    <x v="0"/>
    <x v="0"/>
    <n v="0.08"/>
    <x v="1"/>
    <n v="0.1212"/>
    <n v="0.63"/>
    <x v="1"/>
    <x v="1"/>
    <x v="3"/>
    <x v="22"/>
    <n v="4"/>
  </r>
  <r>
    <n v="928"/>
    <d v="2011-02-11T00:00:00"/>
    <n v="2"/>
    <n v="6"/>
    <b v="0"/>
    <n v="5"/>
    <x v="1"/>
    <x v="6"/>
    <x v="0"/>
    <x v="0"/>
    <n v="0.1"/>
    <x v="0"/>
    <n v="0.18179999999999999"/>
    <n v="0.68"/>
    <x v="1"/>
    <x v="0"/>
    <x v="5"/>
    <x v="140"/>
    <n v="24"/>
  </r>
  <r>
    <n v="929"/>
    <d v="2011-02-11T00:00:00"/>
    <n v="2"/>
    <n v="7"/>
    <b v="0"/>
    <n v="5"/>
    <x v="1"/>
    <x v="6"/>
    <x v="0"/>
    <x v="0"/>
    <n v="0.08"/>
    <x v="1"/>
    <n v="0.16669999999999999"/>
    <n v="0.73"/>
    <x v="0"/>
    <x v="0"/>
    <x v="5"/>
    <x v="26"/>
    <n v="74"/>
  </r>
  <r>
    <n v="930"/>
    <d v="2011-02-11T00:00:00"/>
    <n v="2"/>
    <n v="8"/>
    <b v="0"/>
    <n v="5"/>
    <x v="1"/>
    <x v="6"/>
    <x v="0"/>
    <x v="0"/>
    <n v="0.1"/>
    <x v="0"/>
    <n v="0.1212"/>
    <n v="0.74"/>
    <x v="0"/>
    <x v="8"/>
    <x v="17"/>
    <x v="179"/>
    <n v="216"/>
  </r>
  <r>
    <n v="931"/>
    <d v="2011-02-11T00:00:00"/>
    <n v="2"/>
    <n v="9"/>
    <b v="0"/>
    <n v="5"/>
    <x v="1"/>
    <x v="6"/>
    <x v="0"/>
    <x v="0"/>
    <n v="0.12"/>
    <x v="0"/>
    <n v="0.1212"/>
    <n v="0.74"/>
    <x v="0"/>
    <x v="6"/>
    <x v="1"/>
    <x v="126"/>
    <n v="140"/>
  </r>
  <r>
    <n v="932"/>
    <d v="2011-02-11T00:00:00"/>
    <n v="2"/>
    <n v="10"/>
    <b v="0"/>
    <n v="5"/>
    <x v="1"/>
    <x v="6"/>
    <x v="0"/>
    <x v="0"/>
    <n v="0.14000000000000001"/>
    <x v="0"/>
    <n v="0.13639999999999999"/>
    <n v="0.69"/>
    <x v="1"/>
    <x v="5"/>
    <x v="2"/>
    <x v="87"/>
    <n v="44"/>
  </r>
  <r>
    <n v="933"/>
    <d v="2011-02-11T00:00:00"/>
    <n v="2"/>
    <n v="11"/>
    <b v="0"/>
    <n v="5"/>
    <x v="1"/>
    <x v="6"/>
    <x v="0"/>
    <x v="0"/>
    <n v="0.22"/>
    <x v="0"/>
    <n v="0.2273"/>
    <n v="0.47"/>
    <x v="1"/>
    <x v="7"/>
    <x v="6"/>
    <x v="15"/>
    <n v="64"/>
  </r>
  <r>
    <n v="934"/>
    <d v="2011-02-11T00:00:00"/>
    <n v="2"/>
    <n v="12"/>
    <b v="0"/>
    <n v="5"/>
    <x v="1"/>
    <x v="6"/>
    <x v="0"/>
    <x v="0"/>
    <n v="0.22"/>
    <x v="0"/>
    <n v="0.2273"/>
    <n v="0.47"/>
    <x v="1"/>
    <x v="7"/>
    <x v="18"/>
    <x v="27"/>
    <n v="71"/>
  </r>
  <r>
    <n v="935"/>
    <d v="2011-02-11T00:00:00"/>
    <n v="2"/>
    <n v="13"/>
    <b v="0"/>
    <n v="5"/>
    <x v="1"/>
    <x v="6"/>
    <x v="0"/>
    <x v="0"/>
    <n v="0.24"/>
    <x v="0"/>
    <n v="0.2273"/>
    <n v="0.35"/>
    <x v="1"/>
    <x v="5"/>
    <x v="27"/>
    <x v="121"/>
    <n v="110"/>
  </r>
  <r>
    <n v="936"/>
    <d v="2011-02-11T00:00:00"/>
    <n v="2"/>
    <n v="14"/>
    <b v="0"/>
    <n v="5"/>
    <x v="1"/>
    <x v="6"/>
    <x v="0"/>
    <x v="0"/>
    <n v="0.3"/>
    <x v="0"/>
    <n v="0.28789999999999999"/>
    <n v="0.26"/>
    <x v="1"/>
    <x v="2"/>
    <x v="26"/>
    <x v="28"/>
    <n v="84"/>
  </r>
  <r>
    <n v="937"/>
    <d v="2011-02-11T00:00:00"/>
    <n v="2"/>
    <n v="15"/>
    <b v="0"/>
    <n v="5"/>
    <x v="1"/>
    <x v="6"/>
    <x v="0"/>
    <x v="0"/>
    <n v="0.32"/>
    <x v="0"/>
    <n v="0.31819999999999998"/>
    <n v="0.21"/>
    <x v="1"/>
    <x v="8"/>
    <x v="6"/>
    <x v="133"/>
    <n v="74"/>
  </r>
  <r>
    <n v="938"/>
    <d v="2011-02-11T00:00:00"/>
    <n v="2"/>
    <n v="16"/>
    <b v="0"/>
    <n v="5"/>
    <x v="1"/>
    <x v="6"/>
    <x v="0"/>
    <x v="0"/>
    <n v="0.3"/>
    <x v="0"/>
    <n v="0.28789999999999999"/>
    <n v="0.28000000000000003"/>
    <x v="1"/>
    <x v="5"/>
    <x v="24"/>
    <x v="180"/>
    <n v="125"/>
  </r>
  <r>
    <n v="939"/>
    <d v="2011-02-11T00:00:00"/>
    <n v="2"/>
    <n v="17"/>
    <b v="0"/>
    <n v="5"/>
    <x v="1"/>
    <x v="6"/>
    <x v="0"/>
    <x v="0"/>
    <n v="0.3"/>
    <x v="0"/>
    <n v="0.33329999999999999"/>
    <n v="0.24"/>
    <x v="1"/>
    <x v="0"/>
    <x v="25"/>
    <x v="181"/>
    <n v="211"/>
  </r>
  <r>
    <n v="940"/>
    <d v="2011-02-11T00:00:00"/>
    <n v="2"/>
    <n v="18"/>
    <b v="0"/>
    <n v="5"/>
    <x v="1"/>
    <x v="6"/>
    <x v="0"/>
    <x v="0"/>
    <n v="0.28000000000000003"/>
    <x v="0"/>
    <n v="0.31819999999999998"/>
    <n v="0.28000000000000003"/>
    <x v="1"/>
    <x v="0"/>
    <x v="14"/>
    <x v="158"/>
    <n v="174"/>
  </r>
  <r>
    <n v="941"/>
    <d v="2011-02-11T00:00:00"/>
    <n v="2"/>
    <n v="19"/>
    <b v="0"/>
    <n v="5"/>
    <x v="1"/>
    <x v="6"/>
    <x v="0"/>
    <x v="0"/>
    <n v="0.26"/>
    <x v="0"/>
    <n v="0.30299999999999999"/>
    <n v="0.33"/>
    <x v="1"/>
    <x v="0"/>
    <x v="18"/>
    <x v="111"/>
    <n v="101"/>
  </r>
  <r>
    <n v="942"/>
    <d v="2011-02-11T00:00:00"/>
    <n v="2"/>
    <n v="20"/>
    <b v="0"/>
    <n v="5"/>
    <x v="1"/>
    <x v="6"/>
    <x v="0"/>
    <x v="0"/>
    <n v="0.22"/>
    <x v="0"/>
    <n v="0.2273"/>
    <n v="0.55000000000000004"/>
    <x v="1"/>
    <x v="7"/>
    <x v="4"/>
    <x v="124"/>
    <n v="63"/>
  </r>
  <r>
    <n v="943"/>
    <d v="2011-02-11T00:00:00"/>
    <n v="2"/>
    <n v="21"/>
    <b v="0"/>
    <n v="5"/>
    <x v="1"/>
    <x v="6"/>
    <x v="0"/>
    <x v="0"/>
    <n v="0.2"/>
    <x v="0"/>
    <n v="0.21210000000000001"/>
    <n v="0.59"/>
    <x v="1"/>
    <x v="7"/>
    <x v="5"/>
    <x v="24"/>
    <n v="47"/>
  </r>
  <r>
    <n v="944"/>
    <d v="2011-02-11T00:00:00"/>
    <n v="2"/>
    <n v="22"/>
    <b v="0"/>
    <n v="5"/>
    <x v="1"/>
    <x v="6"/>
    <x v="0"/>
    <x v="0"/>
    <n v="0.2"/>
    <x v="0"/>
    <n v="0.2273"/>
    <n v="0.64"/>
    <x v="1"/>
    <x v="1"/>
    <x v="4"/>
    <x v="40"/>
    <n v="43"/>
  </r>
  <r>
    <n v="945"/>
    <d v="2011-02-11T00:00:00"/>
    <n v="2"/>
    <n v="23"/>
    <b v="0"/>
    <n v="5"/>
    <x v="1"/>
    <x v="6"/>
    <x v="0"/>
    <x v="0"/>
    <n v="0.18"/>
    <x v="0"/>
    <n v="0.2424"/>
    <n v="0.69"/>
    <x v="1"/>
    <x v="0"/>
    <x v="2"/>
    <x v="41"/>
    <n v="53"/>
  </r>
  <r>
    <n v="946"/>
    <d v="2011-02-12T00:00:00"/>
    <n v="2"/>
    <n v="0"/>
    <b v="0"/>
    <n v="6"/>
    <x v="0"/>
    <x v="0"/>
    <x v="0"/>
    <x v="0"/>
    <n v="0.16"/>
    <x v="0"/>
    <n v="0.19700000000000001"/>
    <n v="0.69"/>
    <x v="1"/>
    <x v="1"/>
    <x v="0"/>
    <x v="2"/>
    <n v="30"/>
  </r>
  <r>
    <n v="947"/>
    <d v="2011-02-12T00:00:00"/>
    <n v="2"/>
    <n v="1"/>
    <b v="0"/>
    <n v="6"/>
    <x v="0"/>
    <x v="0"/>
    <x v="0"/>
    <x v="0"/>
    <n v="0.14000000000000001"/>
    <x v="0"/>
    <n v="0.21210000000000001"/>
    <n v="0.86"/>
    <x v="0"/>
    <x v="0"/>
    <x v="4"/>
    <x v="97"/>
    <n v="24"/>
  </r>
  <r>
    <n v="948"/>
    <d v="2011-02-12T00:00:00"/>
    <n v="2"/>
    <n v="2"/>
    <b v="0"/>
    <n v="6"/>
    <x v="0"/>
    <x v="0"/>
    <x v="0"/>
    <x v="0"/>
    <n v="0.14000000000000001"/>
    <x v="0"/>
    <n v="0.21210000000000001"/>
    <n v="0.8"/>
    <x v="0"/>
    <x v="0"/>
    <x v="4"/>
    <x v="0"/>
    <n v="15"/>
  </r>
  <r>
    <n v="949"/>
    <d v="2011-02-12T00:00:00"/>
    <n v="2"/>
    <n v="3"/>
    <b v="0"/>
    <n v="6"/>
    <x v="0"/>
    <x v="0"/>
    <x v="0"/>
    <x v="0"/>
    <n v="0.12"/>
    <x v="0"/>
    <n v="0.19700000000000001"/>
    <n v="0.8"/>
    <x v="0"/>
    <x v="0"/>
    <x v="0"/>
    <x v="7"/>
    <n v="10"/>
  </r>
  <r>
    <n v="950"/>
    <d v="2011-02-12T00:00:00"/>
    <n v="2"/>
    <n v="4"/>
    <b v="0"/>
    <n v="6"/>
    <x v="0"/>
    <x v="0"/>
    <x v="0"/>
    <x v="0"/>
    <n v="0.12"/>
    <x v="0"/>
    <n v="0.16669999999999999"/>
    <n v="0.74"/>
    <x v="0"/>
    <x v="1"/>
    <x v="3"/>
    <x v="22"/>
    <n v="4"/>
  </r>
  <r>
    <n v="951"/>
    <d v="2011-02-12T00:00:00"/>
    <n v="2"/>
    <n v="5"/>
    <b v="0"/>
    <n v="6"/>
    <x v="0"/>
    <x v="0"/>
    <x v="0"/>
    <x v="0"/>
    <n v="0.12"/>
    <x v="0"/>
    <n v="0.16669999999999999"/>
    <n v="0.74"/>
    <x v="0"/>
    <x v="1"/>
    <x v="3"/>
    <x v="4"/>
    <n v="1"/>
  </r>
  <r>
    <n v="952"/>
    <d v="2011-02-12T00:00:00"/>
    <n v="2"/>
    <n v="6"/>
    <b v="0"/>
    <n v="6"/>
    <x v="0"/>
    <x v="0"/>
    <x v="0"/>
    <x v="0"/>
    <n v="0.12"/>
    <x v="0"/>
    <n v="0.13639999999999999"/>
    <n v="0.93"/>
    <x v="0"/>
    <x v="5"/>
    <x v="5"/>
    <x v="4"/>
    <n v="2"/>
  </r>
  <r>
    <n v="953"/>
    <d v="2011-02-12T00:00:00"/>
    <n v="2"/>
    <n v="7"/>
    <b v="0"/>
    <n v="6"/>
    <x v="0"/>
    <x v="0"/>
    <x v="0"/>
    <x v="0"/>
    <n v="0.12"/>
    <x v="0"/>
    <n v="0.1515"/>
    <n v="0.8"/>
    <x v="0"/>
    <x v="14"/>
    <x v="4"/>
    <x v="33"/>
    <n v="11"/>
  </r>
  <r>
    <n v="954"/>
    <d v="2011-02-12T00:00:00"/>
    <n v="2"/>
    <n v="8"/>
    <b v="0"/>
    <n v="6"/>
    <x v="0"/>
    <x v="0"/>
    <x v="0"/>
    <x v="0"/>
    <n v="0.14000000000000001"/>
    <x v="0"/>
    <n v="0.1515"/>
    <n v="0.86"/>
    <x v="0"/>
    <x v="7"/>
    <x v="4"/>
    <x v="95"/>
    <n v="30"/>
  </r>
  <r>
    <n v="955"/>
    <d v="2011-02-12T00:00:00"/>
    <n v="2"/>
    <n v="9"/>
    <b v="0"/>
    <n v="6"/>
    <x v="0"/>
    <x v="0"/>
    <x v="0"/>
    <x v="0"/>
    <n v="0.16"/>
    <x v="0"/>
    <n v="0.18179999999999999"/>
    <n v="0.64"/>
    <x v="1"/>
    <x v="7"/>
    <x v="2"/>
    <x v="101"/>
    <n v="43"/>
  </r>
  <r>
    <n v="956"/>
    <d v="2011-02-12T00:00:00"/>
    <n v="2"/>
    <n v="10"/>
    <b v="0"/>
    <n v="6"/>
    <x v="0"/>
    <x v="0"/>
    <x v="0"/>
    <x v="0"/>
    <n v="0.22"/>
    <x v="0"/>
    <n v="0.21210000000000001"/>
    <n v="0.41"/>
    <x v="1"/>
    <x v="2"/>
    <x v="23"/>
    <x v="13"/>
    <n v="84"/>
  </r>
  <r>
    <n v="957"/>
    <d v="2011-02-12T00:00:00"/>
    <n v="2"/>
    <n v="11"/>
    <b v="0"/>
    <n v="6"/>
    <x v="0"/>
    <x v="0"/>
    <x v="0"/>
    <x v="0"/>
    <n v="0.3"/>
    <x v="0"/>
    <n v="0.2727"/>
    <n v="0.28000000000000003"/>
    <x v="1"/>
    <x v="9"/>
    <x v="36"/>
    <x v="151"/>
    <n v="114"/>
  </r>
  <r>
    <n v="958"/>
    <d v="2011-02-12T00:00:00"/>
    <n v="2"/>
    <n v="12"/>
    <b v="0"/>
    <n v="6"/>
    <x v="0"/>
    <x v="0"/>
    <x v="0"/>
    <x v="0"/>
    <n v="0.3"/>
    <x v="0"/>
    <n v="0.2727"/>
    <n v="0.39"/>
    <x v="1"/>
    <x v="17"/>
    <x v="37"/>
    <x v="139"/>
    <n v="120"/>
  </r>
  <r>
    <n v="959"/>
    <d v="2011-02-12T00:00:00"/>
    <n v="2"/>
    <n v="13"/>
    <b v="0"/>
    <n v="6"/>
    <x v="0"/>
    <x v="0"/>
    <x v="0"/>
    <x v="0"/>
    <n v="0.3"/>
    <x v="0"/>
    <n v="0.2727"/>
    <n v="0.39"/>
    <x v="1"/>
    <x v="12"/>
    <x v="38"/>
    <x v="145"/>
    <n v="135"/>
  </r>
  <r>
    <n v="960"/>
    <d v="2011-02-12T00:00:00"/>
    <n v="2"/>
    <n v="14"/>
    <b v="0"/>
    <n v="6"/>
    <x v="0"/>
    <x v="0"/>
    <x v="0"/>
    <x v="0"/>
    <n v="0.34"/>
    <x v="0"/>
    <n v="0.31819999999999998"/>
    <n v="0.31"/>
    <x v="1"/>
    <x v="3"/>
    <x v="36"/>
    <x v="92"/>
    <n v="120"/>
  </r>
  <r>
    <n v="961"/>
    <d v="2011-02-12T00:00:00"/>
    <n v="2"/>
    <n v="15"/>
    <b v="0"/>
    <n v="6"/>
    <x v="0"/>
    <x v="0"/>
    <x v="0"/>
    <x v="0"/>
    <n v="0.34"/>
    <x v="0"/>
    <n v="0.30299999999999999"/>
    <n v="0.28999999999999998"/>
    <x v="1"/>
    <x v="12"/>
    <x v="9"/>
    <x v="69"/>
    <n v="174"/>
  </r>
  <r>
    <n v="962"/>
    <d v="2011-02-12T00:00:00"/>
    <n v="2"/>
    <n v="16"/>
    <b v="0"/>
    <n v="6"/>
    <x v="0"/>
    <x v="0"/>
    <x v="0"/>
    <x v="0"/>
    <n v="0.34"/>
    <x v="0"/>
    <n v="0.30299999999999999"/>
    <n v="0.28999999999999998"/>
    <x v="1"/>
    <x v="12"/>
    <x v="35"/>
    <x v="145"/>
    <n v="145"/>
  </r>
  <r>
    <n v="963"/>
    <d v="2011-02-12T00:00:00"/>
    <n v="2"/>
    <n v="17"/>
    <b v="0"/>
    <n v="6"/>
    <x v="0"/>
    <x v="0"/>
    <x v="0"/>
    <x v="0"/>
    <n v="0.32"/>
    <x v="0"/>
    <n v="0.28789999999999999"/>
    <n v="0.31"/>
    <x v="1"/>
    <x v="18"/>
    <x v="31"/>
    <x v="182"/>
    <n v="137"/>
  </r>
  <r>
    <n v="964"/>
    <d v="2011-02-12T00:00:00"/>
    <n v="2"/>
    <n v="18"/>
    <b v="0"/>
    <n v="6"/>
    <x v="0"/>
    <x v="0"/>
    <x v="0"/>
    <x v="0"/>
    <n v="0.28000000000000003"/>
    <x v="0"/>
    <n v="0.2576"/>
    <n v="0.38"/>
    <x v="1"/>
    <x v="9"/>
    <x v="17"/>
    <x v="91"/>
    <n v="64"/>
  </r>
  <r>
    <n v="965"/>
    <d v="2011-02-12T00:00:00"/>
    <n v="2"/>
    <n v="19"/>
    <b v="0"/>
    <n v="6"/>
    <x v="0"/>
    <x v="0"/>
    <x v="0"/>
    <x v="0"/>
    <n v="0.28000000000000003"/>
    <x v="0"/>
    <n v="0.2727"/>
    <n v="0.38"/>
    <x v="1"/>
    <x v="8"/>
    <x v="4"/>
    <x v="87"/>
    <n v="41"/>
  </r>
  <r>
    <n v="966"/>
    <d v="2011-02-12T00:00:00"/>
    <n v="2"/>
    <n v="20"/>
    <b v="0"/>
    <n v="6"/>
    <x v="0"/>
    <x v="0"/>
    <x v="0"/>
    <x v="0"/>
    <n v="0.26"/>
    <x v="0"/>
    <n v="0.2576"/>
    <n v="0.41"/>
    <x v="1"/>
    <x v="6"/>
    <x v="5"/>
    <x v="87"/>
    <n v="40"/>
  </r>
  <r>
    <n v="967"/>
    <d v="2011-02-12T00:00:00"/>
    <n v="2"/>
    <n v="21"/>
    <b v="0"/>
    <n v="6"/>
    <x v="0"/>
    <x v="0"/>
    <x v="0"/>
    <x v="0"/>
    <n v="0.26"/>
    <x v="0"/>
    <n v="0.30299999999999999"/>
    <n v="0.41"/>
    <x v="1"/>
    <x v="0"/>
    <x v="14"/>
    <x v="76"/>
    <n v="51"/>
  </r>
  <r>
    <n v="968"/>
    <d v="2011-02-12T00:00:00"/>
    <n v="2"/>
    <n v="22"/>
    <b v="0"/>
    <n v="6"/>
    <x v="0"/>
    <x v="0"/>
    <x v="0"/>
    <x v="0"/>
    <n v="0.24"/>
    <x v="0"/>
    <n v="0.2576"/>
    <n v="0.44"/>
    <x v="1"/>
    <x v="1"/>
    <x v="15"/>
    <x v="87"/>
    <n v="45"/>
  </r>
  <r>
    <n v="969"/>
    <d v="2011-02-12T00:00:00"/>
    <n v="2"/>
    <n v="23"/>
    <b v="0"/>
    <n v="6"/>
    <x v="0"/>
    <x v="0"/>
    <x v="0"/>
    <x v="0"/>
    <n v="0.22"/>
    <x v="0"/>
    <n v="0.2273"/>
    <n v="0.51"/>
    <x v="1"/>
    <x v="7"/>
    <x v="5"/>
    <x v="17"/>
    <n v="32"/>
  </r>
  <r>
    <n v="970"/>
    <d v="2011-02-13T00:00:00"/>
    <n v="2"/>
    <n v="0"/>
    <b v="0"/>
    <n v="0"/>
    <x v="0"/>
    <x v="1"/>
    <x v="0"/>
    <x v="0"/>
    <n v="0.2"/>
    <x v="0"/>
    <n v="0.2273"/>
    <n v="0.64"/>
    <x v="1"/>
    <x v="14"/>
    <x v="2"/>
    <x v="60"/>
    <n v="39"/>
  </r>
  <r>
    <n v="971"/>
    <d v="2011-02-13T00:00:00"/>
    <n v="2"/>
    <n v="1"/>
    <b v="0"/>
    <n v="0"/>
    <x v="0"/>
    <x v="1"/>
    <x v="0"/>
    <x v="0"/>
    <n v="0.2"/>
    <x v="0"/>
    <n v="0.2273"/>
    <n v="0.59"/>
    <x v="1"/>
    <x v="1"/>
    <x v="5"/>
    <x v="140"/>
    <n v="24"/>
  </r>
  <r>
    <n v="972"/>
    <d v="2011-02-13T00:00:00"/>
    <n v="2"/>
    <n v="2"/>
    <b v="0"/>
    <n v="0"/>
    <x v="0"/>
    <x v="1"/>
    <x v="1"/>
    <x v="1"/>
    <n v="0.2"/>
    <x v="0"/>
    <n v="0.2273"/>
    <n v="0.75"/>
    <x v="0"/>
    <x v="1"/>
    <x v="5"/>
    <x v="23"/>
    <n v="20"/>
  </r>
  <r>
    <n v="973"/>
    <d v="2011-02-13T00:00:00"/>
    <n v="2"/>
    <n v="3"/>
    <b v="0"/>
    <n v="0"/>
    <x v="0"/>
    <x v="1"/>
    <x v="1"/>
    <x v="1"/>
    <n v="0.2"/>
    <x v="0"/>
    <n v="0.2273"/>
    <n v="0.69"/>
    <x v="1"/>
    <x v="14"/>
    <x v="17"/>
    <x v="21"/>
    <n v="12"/>
  </r>
  <r>
    <n v="974"/>
    <d v="2011-02-13T00:00:00"/>
    <n v="2"/>
    <n v="4"/>
    <b v="0"/>
    <n v="0"/>
    <x v="0"/>
    <x v="1"/>
    <x v="1"/>
    <x v="1"/>
    <n v="0.2"/>
    <x v="0"/>
    <n v="0.21210000000000001"/>
    <n v="0.69"/>
    <x v="1"/>
    <x v="8"/>
    <x v="3"/>
    <x v="6"/>
    <n v="2"/>
  </r>
  <r>
    <n v="975"/>
    <d v="2011-02-13T00:00:00"/>
    <n v="2"/>
    <n v="6"/>
    <b v="0"/>
    <n v="0"/>
    <x v="0"/>
    <x v="1"/>
    <x v="1"/>
    <x v="1"/>
    <n v="0.2"/>
    <x v="0"/>
    <n v="0.21210000000000001"/>
    <n v="0.69"/>
    <x v="1"/>
    <x v="7"/>
    <x v="4"/>
    <x v="35"/>
    <n v="5"/>
  </r>
  <r>
    <n v="976"/>
    <d v="2011-02-13T00:00:00"/>
    <n v="2"/>
    <n v="7"/>
    <b v="0"/>
    <n v="0"/>
    <x v="0"/>
    <x v="1"/>
    <x v="1"/>
    <x v="1"/>
    <n v="0.22"/>
    <x v="0"/>
    <n v="0.2727"/>
    <n v="0.55000000000000004"/>
    <x v="1"/>
    <x v="0"/>
    <x v="3"/>
    <x v="35"/>
    <n v="3"/>
  </r>
  <r>
    <n v="977"/>
    <d v="2011-02-13T00:00:00"/>
    <n v="2"/>
    <n v="8"/>
    <b v="0"/>
    <n v="0"/>
    <x v="0"/>
    <x v="1"/>
    <x v="1"/>
    <x v="1"/>
    <n v="0.22"/>
    <x v="0"/>
    <n v="0.2273"/>
    <n v="0.64"/>
    <x v="1"/>
    <x v="5"/>
    <x v="5"/>
    <x v="48"/>
    <n v="12"/>
  </r>
  <r>
    <n v="978"/>
    <d v="2011-02-13T00:00:00"/>
    <n v="2"/>
    <n v="9"/>
    <b v="0"/>
    <n v="0"/>
    <x v="0"/>
    <x v="1"/>
    <x v="1"/>
    <x v="1"/>
    <n v="0.24"/>
    <x v="0"/>
    <n v="0.2273"/>
    <n v="0.6"/>
    <x v="1"/>
    <x v="6"/>
    <x v="6"/>
    <x v="96"/>
    <n v="47"/>
  </r>
  <r>
    <n v="979"/>
    <d v="2011-02-13T00:00:00"/>
    <n v="2"/>
    <n v="10"/>
    <b v="0"/>
    <n v="0"/>
    <x v="0"/>
    <x v="1"/>
    <x v="0"/>
    <x v="0"/>
    <n v="0.3"/>
    <x v="0"/>
    <n v="0.2727"/>
    <n v="0.45"/>
    <x v="1"/>
    <x v="9"/>
    <x v="21"/>
    <x v="132"/>
    <n v="105"/>
  </r>
  <r>
    <n v="980"/>
    <d v="2011-02-13T00:00:00"/>
    <n v="2"/>
    <n v="11"/>
    <b v="0"/>
    <n v="0"/>
    <x v="0"/>
    <x v="1"/>
    <x v="0"/>
    <x v="0"/>
    <n v="0.32"/>
    <x v="0"/>
    <n v="0.28789999999999999"/>
    <n v="0.39"/>
    <x v="1"/>
    <x v="10"/>
    <x v="7"/>
    <x v="132"/>
    <n v="112"/>
  </r>
  <r>
    <n v="981"/>
    <d v="2011-02-13T00:00:00"/>
    <n v="2"/>
    <n v="12"/>
    <b v="0"/>
    <n v="0"/>
    <x v="0"/>
    <x v="1"/>
    <x v="0"/>
    <x v="0"/>
    <n v="0.36"/>
    <x v="1"/>
    <n v="0.31819999999999998"/>
    <n v="0.32"/>
    <x v="1"/>
    <x v="17"/>
    <x v="39"/>
    <x v="111"/>
    <n v="152"/>
  </r>
  <r>
    <n v="982"/>
    <d v="2011-02-13T00:00:00"/>
    <n v="2"/>
    <n v="13"/>
    <b v="0"/>
    <n v="0"/>
    <x v="0"/>
    <x v="1"/>
    <x v="0"/>
    <x v="0"/>
    <n v="0.38"/>
    <x v="1"/>
    <n v="0.39389999999999997"/>
    <n v="0.28999999999999998"/>
    <x v="1"/>
    <x v="11"/>
    <x v="40"/>
    <x v="50"/>
    <n v="154"/>
  </r>
  <r>
    <n v="983"/>
    <d v="2011-02-13T00:00:00"/>
    <n v="2"/>
    <n v="14"/>
    <b v="0"/>
    <n v="0"/>
    <x v="0"/>
    <x v="1"/>
    <x v="1"/>
    <x v="1"/>
    <n v="0.4"/>
    <x v="1"/>
    <n v="0.40910000000000002"/>
    <n v="0.3"/>
    <x v="1"/>
    <x v="12"/>
    <x v="41"/>
    <x v="59"/>
    <n v="161"/>
  </r>
  <r>
    <n v="984"/>
    <d v="2011-02-13T00:00:00"/>
    <n v="2"/>
    <n v="15"/>
    <b v="0"/>
    <n v="0"/>
    <x v="0"/>
    <x v="1"/>
    <x v="1"/>
    <x v="1"/>
    <n v="0.4"/>
    <x v="1"/>
    <n v="0.40910000000000002"/>
    <n v="0.3"/>
    <x v="1"/>
    <x v="4"/>
    <x v="11"/>
    <x v="183"/>
    <n v="162"/>
  </r>
  <r>
    <n v="985"/>
    <d v="2011-02-13T00:00:00"/>
    <n v="2"/>
    <n v="16"/>
    <b v="0"/>
    <n v="0"/>
    <x v="0"/>
    <x v="1"/>
    <x v="1"/>
    <x v="1"/>
    <n v="0.42"/>
    <x v="1"/>
    <n v="0.42420000000000002"/>
    <n v="0.28000000000000003"/>
    <x v="1"/>
    <x v="9"/>
    <x v="32"/>
    <x v="184"/>
    <n v="134"/>
  </r>
  <r>
    <n v="986"/>
    <d v="2011-02-13T00:00:00"/>
    <n v="2"/>
    <n v="17"/>
    <b v="0"/>
    <n v="0"/>
    <x v="0"/>
    <x v="1"/>
    <x v="0"/>
    <x v="0"/>
    <n v="0.42"/>
    <x v="1"/>
    <n v="0.42420000000000002"/>
    <n v="0.28000000000000003"/>
    <x v="1"/>
    <x v="9"/>
    <x v="36"/>
    <x v="73"/>
    <n v="125"/>
  </r>
  <r>
    <n v="987"/>
    <d v="2011-02-13T00:00:00"/>
    <n v="2"/>
    <n v="18"/>
    <b v="0"/>
    <n v="0"/>
    <x v="0"/>
    <x v="1"/>
    <x v="0"/>
    <x v="0"/>
    <n v="0.4"/>
    <x v="1"/>
    <n v="0.40910000000000002"/>
    <n v="0.32"/>
    <x v="1"/>
    <x v="4"/>
    <x v="26"/>
    <x v="78"/>
    <n v="95"/>
  </r>
  <r>
    <n v="988"/>
    <d v="2011-02-13T00:00:00"/>
    <n v="2"/>
    <n v="19"/>
    <b v="0"/>
    <n v="0"/>
    <x v="0"/>
    <x v="1"/>
    <x v="0"/>
    <x v="0"/>
    <n v="0.4"/>
    <x v="1"/>
    <n v="0.40910000000000002"/>
    <n v="0.35"/>
    <x v="1"/>
    <x v="3"/>
    <x v="16"/>
    <x v="54"/>
    <n v="61"/>
  </r>
  <r>
    <n v="989"/>
    <d v="2011-02-13T00:00:00"/>
    <n v="2"/>
    <n v="20"/>
    <b v="0"/>
    <n v="0"/>
    <x v="0"/>
    <x v="1"/>
    <x v="0"/>
    <x v="0"/>
    <n v="0.4"/>
    <x v="1"/>
    <n v="0.40910000000000002"/>
    <n v="0.35"/>
    <x v="1"/>
    <x v="9"/>
    <x v="13"/>
    <x v="1"/>
    <n v="47"/>
  </r>
  <r>
    <n v="990"/>
    <d v="2011-02-13T00:00:00"/>
    <n v="2"/>
    <n v="21"/>
    <b v="0"/>
    <n v="0"/>
    <x v="0"/>
    <x v="1"/>
    <x v="0"/>
    <x v="0"/>
    <n v="0.4"/>
    <x v="1"/>
    <n v="0.40910000000000002"/>
    <n v="0.35"/>
    <x v="1"/>
    <x v="11"/>
    <x v="15"/>
    <x v="108"/>
    <n v="51"/>
  </r>
  <r>
    <n v="991"/>
    <d v="2011-02-13T00:00:00"/>
    <n v="2"/>
    <n v="22"/>
    <b v="0"/>
    <n v="0"/>
    <x v="0"/>
    <x v="1"/>
    <x v="0"/>
    <x v="0"/>
    <n v="0.4"/>
    <x v="1"/>
    <n v="0.40910000000000002"/>
    <n v="0.35"/>
    <x v="1"/>
    <x v="4"/>
    <x v="2"/>
    <x v="17"/>
    <n v="36"/>
  </r>
  <r>
    <n v="992"/>
    <d v="2011-02-13T00:00:00"/>
    <n v="2"/>
    <n v="23"/>
    <b v="0"/>
    <n v="0"/>
    <x v="0"/>
    <x v="1"/>
    <x v="0"/>
    <x v="0"/>
    <n v="0.4"/>
    <x v="1"/>
    <n v="0.40910000000000002"/>
    <n v="0.35"/>
    <x v="1"/>
    <x v="11"/>
    <x v="0"/>
    <x v="2"/>
    <n v="30"/>
  </r>
  <r>
    <n v="993"/>
    <d v="2011-02-14T00:00:00"/>
    <n v="2"/>
    <n v="0"/>
    <b v="0"/>
    <n v="1"/>
    <x v="1"/>
    <x v="2"/>
    <x v="0"/>
    <x v="0"/>
    <n v="0.38"/>
    <x v="1"/>
    <n v="0.39389999999999997"/>
    <n v="0.37"/>
    <x v="1"/>
    <x v="11"/>
    <x v="0"/>
    <x v="21"/>
    <n v="11"/>
  </r>
  <r>
    <n v="994"/>
    <d v="2011-02-14T00:00:00"/>
    <n v="2"/>
    <n v="1"/>
    <b v="0"/>
    <n v="1"/>
    <x v="1"/>
    <x v="2"/>
    <x v="0"/>
    <x v="0"/>
    <n v="0.38"/>
    <x v="1"/>
    <n v="0.39389999999999997"/>
    <n v="0.37"/>
    <x v="1"/>
    <x v="11"/>
    <x v="5"/>
    <x v="8"/>
    <n v="7"/>
  </r>
  <r>
    <n v="995"/>
    <d v="2011-02-14T00:00:00"/>
    <n v="2"/>
    <n v="2"/>
    <b v="0"/>
    <n v="1"/>
    <x v="1"/>
    <x v="2"/>
    <x v="0"/>
    <x v="0"/>
    <n v="0.36"/>
    <x v="1"/>
    <n v="0.33329999999999999"/>
    <n v="0.4"/>
    <x v="1"/>
    <x v="4"/>
    <x v="3"/>
    <x v="6"/>
    <n v="2"/>
  </r>
  <r>
    <n v="996"/>
    <d v="2011-02-14T00:00:00"/>
    <n v="2"/>
    <n v="3"/>
    <b v="0"/>
    <n v="1"/>
    <x v="1"/>
    <x v="2"/>
    <x v="0"/>
    <x v="0"/>
    <n v="0.34"/>
    <x v="0"/>
    <n v="0.31819999999999998"/>
    <n v="0.46"/>
    <x v="1"/>
    <x v="6"/>
    <x v="5"/>
    <x v="4"/>
    <n v="2"/>
  </r>
  <r>
    <n v="997"/>
    <d v="2011-02-14T00:00:00"/>
    <n v="2"/>
    <n v="4"/>
    <b v="0"/>
    <n v="1"/>
    <x v="1"/>
    <x v="2"/>
    <x v="0"/>
    <x v="0"/>
    <n v="0.32"/>
    <x v="0"/>
    <n v="0.30299999999999999"/>
    <n v="0.53"/>
    <x v="1"/>
    <x v="3"/>
    <x v="3"/>
    <x v="6"/>
    <n v="2"/>
  </r>
  <r>
    <n v="998"/>
    <d v="2011-02-14T00:00:00"/>
    <n v="2"/>
    <n v="5"/>
    <b v="0"/>
    <n v="1"/>
    <x v="1"/>
    <x v="2"/>
    <x v="0"/>
    <x v="0"/>
    <n v="0.32"/>
    <x v="0"/>
    <n v="0.30299999999999999"/>
    <n v="0.53"/>
    <x v="1"/>
    <x v="3"/>
    <x v="3"/>
    <x v="35"/>
    <n v="3"/>
  </r>
  <r>
    <n v="999"/>
    <d v="2011-02-14T00:00:00"/>
    <n v="2"/>
    <n v="6"/>
    <b v="0"/>
    <n v="1"/>
    <x v="1"/>
    <x v="2"/>
    <x v="0"/>
    <x v="0"/>
    <n v="0.34"/>
    <x v="0"/>
    <n v="0.30299999999999999"/>
    <n v="0.46"/>
    <x v="1"/>
    <x v="4"/>
    <x v="5"/>
    <x v="18"/>
    <n v="26"/>
  </r>
  <r>
    <n v="1000"/>
    <d v="2011-02-14T00:00:00"/>
    <n v="2"/>
    <n v="7"/>
    <b v="0"/>
    <n v="1"/>
    <x v="1"/>
    <x v="2"/>
    <x v="0"/>
    <x v="0"/>
    <n v="0.34"/>
    <x v="0"/>
    <n v="0.30299999999999999"/>
    <n v="0.46"/>
    <x v="1"/>
    <x v="4"/>
    <x v="4"/>
    <x v="185"/>
    <n v="9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n v="1"/>
    <x v="0"/>
    <x v="0"/>
    <n v="0"/>
    <b v="0"/>
    <n v="6"/>
    <s v="Yes"/>
    <s v="Saturday"/>
    <n v="1"/>
    <s v="Clean"/>
    <n v="0.24"/>
    <s v="Safe"/>
    <n v="0.28789999999999999"/>
    <n v="0.81"/>
    <s v="Risky"/>
    <n v="0"/>
    <n v="3"/>
    <x v="0"/>
    <n v="16"/>
  </r>
  <r>
    <n v="2"/>
    <x v="0"/>
    <x v="0"/>
    <n v="1"/>
    <b v="0"/>
    <n v="6"/>
    <s v="Yes"/>
    <s v="Saturday"/>
    <n v="1"/>
    <s v="Clean"/>
    <n v="0.22"/>
    <s v="Safe"/>
    <n v="0.2727"/>
    <n v="0.8"/>
    <s v="Risky"/>
    <n v="0"/>
    <n v="8"/>
    <x v="1"/>
    <n v="40"/>
  </r>
  <r>
    <n v="3"/>
    <x v="0"/>
    <x v="0"/>
    <n v="2"/>
    <b v="0"/>
    <n v="6"/>
    <s v="Yes"/>
    <s v="Saturday"/>
    <n v="1"/>
    <s v="Clean"/>
    <n v="0.22"/>
    <s v="Safe"/>
    <n v="0.2727"/>
    <n v="0.8"/>
    <s v="Risky"/>
    <n v="0"/>
    <n v="5"/>
    <x v="2"/>
    <n v="32"/>
  </r>
  <r>
    <n v="4"/>
    <x v="0"/>
    <x v="0"/>
    <n v="3"/>
    <b v="0"/>
    <n v="6"/>
    <s v="Yes"/>
    <s v="Saturday"/>
    <n v="1"/>
    <s v="Clean"/>
    <n v="0.24"/>
    <s v="Safe"/>
    <n v="0.28789999999999999"/>
    <n v="0.75"/>
    <s v="Risky"/>
    <n v="0"/>
    <n v="3"/>
    <x v="3"/>
    <n v="13"/>
  </r>
  <r>
    <n v="5"/>
    <x v="0"/>
    <x v="0"/>
    <n v="4"/>
    <b v="0"/>
    <n v="6"/>
    <s v="Yes"/>
    <s v="Saturday"/>
    <n v="1"/>
    <s v="Clean"/>
    <n v="0.24"/>
    <s v="Safe"/>
    <n v="0.28789999999999999"/>
    <n v="0.75"/>
    <s v="Risky"/>
    <n v="0"/>
    <n v="0"/>
    <x v="4"/>
    <n v="1"/>
  </r>
  <r>
    <n v="6"/>
    <x v="0"/>
    <x v="0"/>
    <n v="5"/>
    <b v="0"/>
    <n v="6"/>
    <s v="Yes"/>
    <s v="Saturday"/>
    <n v="2"/>
    <s v="Misty"/>
    <n v="0.24"/>
    <s v="Safe"/>
    <n v="0.2576"/>
    <n v="0.75"/>
    <s v="Risky"/>
    <n v="8.9599999999999999E-2"/>
    <n v="0"/>
    <x v="4"/>
    <n v="1"/>
  </r>
  <r>
    <n v="7"/>
    <x v="0"/>
    <x v="0"/>
    <n v="6"/>
    <b v="0"/>
    <n v="6"/>
    <s v="Yes"/>
    <s v="Saturday"/>
    <n v="1"/>
    <s v="Clean"/>
    <n v="0.22"/>
    <s v="Safe"/>
    <n v="0.2727"/>
    <n v="0.8"/>
    <s v="Risky"/>
    <n v="0"/>
    <n v="2"/>
    <x v="5"/>
    <n v="2"/>
  </r>
  <r>
    <n v="8"/>
    <x v="0"/>
    <x v="0"/>
    <n v="7"/>
    <b v="0"/>
    <n v="6"/>
    <s v="Yes"/>
    <s v="Saturday"/>
    <n v="1"/>
    <s v="Clean"/>
    <n v="0.2"/>
    <s v="Safe"/>
    <n v="0.2576"/>
    <n v="0.86"/>
    <s v="Risky"/>
    <n v="0"/>
    <n v="1"/>
    <x v="6"/>
    <n v="3"/>
  </r>
  <r>
    <n v="9"/>
    <x v="0"/>
    <x v="0"/>
    <n v="8"/>
    <b v="0"/>
    <n v="6"/>
    <s v="Yes"/>
    <s v="Saturday"/>
    <n v="1"/>
    <s v="Clean"/>
    <n v="0.24"/>
    <s v="Safe"/>
    <n v="0.19892385786802047"/>
    <n v="0.75"/>
    <s v="Risky"/>
    <n v="0"/>
    <n v="1"/>
    <x v="7"/>
    <n v="8"/>
  </r>
  <r>
    <n v="10"/>
    <x v="0"/>
    <x v="0"/>
    <n v="9"/>
    <b v="0"/>
    <n v="6"/>
    <s v="Yes"/>
    <s v="Saturday"/>
    <n v="1"/>
    <s v="Clean"/>
    <n v="0.32"/>
    <s v="Safe"/>
    <n v="0.34849999999999998"/>
    <n v="0.76"/>
    <s v="Risky"/>
    <n v="0"/>
    <n v="8"/>
    <x v="8"/>
    <n v="14"/>
  </r>
  <r>
    <n v="11"/>
    <x v="0"/>
    <x v="0"/>
    <n v="10"/>
    <b v="0"/>
    <n v="6"/>
    <s v="Yes"/>
    <s v="Saturday"/>
    <n v="1"/>
    <s v="Clean"/>
    <n v="0.38"/>
    <s v="Risky"/>
    <n v="0.39389999999999997"/>
    <n v="0.76"/>
    <s v="Risky"/>
    <n v="0.25369999999999998"/>
    <n v="12"/>
    <x v="9"/>
    <n v="36"/>
  </r>
  <r>
    <n v="12"/>
    <x v="0"/>
    <x v="0"/>
    <n v="11"/>
    <b v="0"/>
    <n v="6"/>
    <s v="Yes"/>
    <s v="Saturday"/>
    <n v="1"/>
    <s v="Clean"/>
    <n v="0.36"/>
    <s v="Risky"/>
    <n v="0.33329999999999999"/>
    <n v="0.81"/>
    <s v="Risky"/>
    <n v="0.28360000000000002"/>
    <n v="26"/>
    <x v="10"/>
    <n v="56"/>
  </r>
  <r>
    <n v="13"/>
    <x v="0"/>
    <x v="0"/>
    <n v="12"/>
    <b v="0"/>
    <n v="6"/>
    <s v="Yes"/>
    <s v="Saturday"/>
    <n v="1"/>
    <s v="Clean"/>
    <n v="0.42"/>
    <s v="Risky"/>
    <n v="0.42420000000000002"/>
    <n v="0.77"/>
    <s v="Risky"/>
    <n v="0.28360000000000002"/>
    <n v="29"/>
    <x v="11"/>
    <n v="84"/>
  </r>
  <r>
    <n v="14"/>
    <x v="0"/>
    <x v="0"/>
    <n v="13"/>
    <b v="0"/>
    <n v="6"/>
    <s v="Yes"/>
    <s v="Saturday"/>
    <n v="2"/>
    <s v="Misty"/>
    <n v="0.46"/>
    <s v="Risky"/>
    <n v="0.45450000000000002"/>
    <n v="0.72"/>
    <s v="Risky"/>
    <n v="0.29849999999999999"/>
    <n v="47"/>
    <x v="12"/>
    <n v="94"/>
  </r>
  <r>
    <n v="15"/>
    <x v="0"/>
    <x v="0"/>
    <n v="14"/>
    <b v="0"/>
    <n v="6"/>
    <s v="Yes"/>
    <s v="Saturday"/>
    <n v="2"/>
    <s v="Misty"/>
    <n v="0.46"/>
    <s v="Risky"/>
    <n v="0.45450000000000002"/>
    <n v="0.72"/>
    <s v="Risky"/>
    <n v="0.28360000000000002"/>
    <n v="35"/>
    <x v="13"/>
    <n v="106"/>
  </r>
  <r>
    <n v="16"/>
    <x v="0"/>
    <x v="0"/>
    <n v="15"/>
    <b v="0"/>
    <n v="6"/>
    <s v="Yes"/>
    <s v="Saturday"/>
    <n v="2"/>
    <s v="Misty"/>
    <n v="0.44"/>
    <s v="Risky"/>
    <n v="0.43940000000000001"/>
    <n v="0.77"/>
    <s v="Risky"/>
    <n v="0.29849999999999999"/>
    <n v="40"/>
    <x v="14"/>
    <n v="110"/>
  </r>
  <r>
    <n v="17"/>
    <x v="0"/>
    <x v="0"/>
    <n v="16"/>
    <b v="0"/>
    <n v="6"/>
    <s v="Yes"/>
    <s v="Saturday"/>
    <n v="2"/>
    <s v="Misty"/>
    <n v="0.42"/>
    <s v="Risky"/>
    <n v="0.42420000000000002"/>
    <n v="0.82"/>
    <s v="Risky"/>
    <n v="0.29849999999999999"/>
    <n v="41"/>
    <x v="15"/>
    <n v="93"/>
  </r>
  <r>
    <n v="18"/>
    <x v="0"/>
    <x v="0"/>
    <n v="17"/>
    <b v="0"/>
    <n v="6"/>
    <s v="Yes"/>
    <s v="Saturday"/>
    <n v="2"/>
    <s v="Misty"/>
    <n v="0.44"/>
    <s v="Risky"/>
    <n v="0.19604030874785608"/>
    <n v="0.82"/>
    <s v="Risky"/>
    <n v="0.28360000000000002"/>
    <n v="15"/>
    <x v="15"/>
    <n v="67"/>
  </r>
  <r>
    <n v="19"/>
    <x v="0"/>
    <x v="0"/>
    <n v="18"/>
    <b v="0"/>
    <n v="6"/>
    <s v="Yes"/>
    <s v="Saturday"/>
    <n v="3"/>
    <s v="Light Rain"/>
    <n v="0.42"/>
    <s v="Risky"/>
    <n v="0.42420000000000002"/>
    <n v="0.88"/>
    <s v="Risky"/>
    <n v="0.25369999999999998"/>
    <n v="9"/>
    <x v="16"/>
    <n v="35"/>
  </r>
  <r>
    <n v="20"/>
    <x v="0"/>
    <x v="0"/>
    <n v="19"/>
    <b v="0"/>
    <n v="6"/>
    <s v="Yes"/>
    <s v="Saturday"/>
    <n v="3"/>
    <s v="Light Rain"/>
    <n v="0.42"/>
    <s v="Risky"/>
    <n v="0.42420000000000002"/>
    <n v="0.88"/>
    <s v="Risky"/>
    <n v="0.25369999999999998"/>
    <n v="6"/>
    <x v="17"/>
    <n v="37"/>
  </r>
  <r>
    <n v="21"/>
    <x v="0"/>
    <x v="0"/>
    <n v="20"/>
    <b v="0"/>
    <n v="6"/>
    <s v="Yes"/>
    <s v="Saturday"/>
    <n v="2"/>
    <s v="Misty"/>
    <n v="0.4"/>
    <s v="Risky"/>
    <n v="0.40910000000000002"/>
    <n v="0.87"/>
    <s v="Risky"/>
    <n v="0.25369999999999998"/>
    <n v="11"/>
    <x v="18"/>
    <n v="36"/>
  </r>
  <r>
    <n v="22"/>
    <x v="0"/>
    <x v="0"/>
    <n v="21"/>
    <b v="0"/>
    <n v="6"/>
    <s v="Yes"/>
    <s v="Saturday"/>
    <n v="2"/>
    <s v="Misty"/>
    <n v="0.4"/>
    <s v="Risky"/>
    <n v="0.40910000000000002"/>
    <n v="0.87"/>
    <s v="Risky"/>
    <n v="0.19400000000000001"/>
    <n v="3"/>
    <x v="17"/>
    <n v="34"/>
  </r>
  <r>
    <n v="23"/>
    <x v="0"/>
    <x v="0"/>
    <n v="22"/>
    <b v="0"/>
    <n v="6"/>
    <s v="Yes"/>
    <s v="Saturday"/>
    <n v="2"/>
    <s v="Misty"/>
    <n v="0.4"/>
    <s v="Risky"/>
    <n v="0.40910000000000002"/>
    <n v="0.94"/>
    <s v="Risky"/>
    <n v="0.22389999999999999"/>
    <n v="11"/>
    <x v="19"/>
    <n v="28"/>
  </r>
  <r>
    <n v="24"/>
    <x v="0"/>
    <x v="0"/>
    <n v="23"/>
    <b v="0"/>
    <n v="6"/>
    <s v="Yes"/>
    <s v="Saturday"/>
    <n v="2"/>
    <s v="Misty"/>
    <n v="0.46"/>
    <s v="Risky"/>
    <n v="0.19414498269896208"/>
    <n v="0.88"/>
    <s v="Risky"/>
    <n v="0.29849999999999999"/>
    <n v="15"/>
    <x v="9"/>
    <n v="39"/>
  </r>
  <r>
    <n v="25"/>
    <x v="1"/>
    <x v="0"/>
    <n v="0"/>
    <b v="0"/>
    <n v="0"/>
    <s v="Yes"/>
    <s v="Sunday"/>
    <n v="2"/>
    <s v="Misty"/>
    <n v="0.46"/>
    <s v="Risky"/>
    <n v="0.45450000000000002"/>
    <n v="0.88"/>
    <s v="Risky"/>
    <n v="0.29849999999999999"/>
    <n v="4"/>
    <x v="0"/>
    <n v="17"/>
  </r>
  <r>
    <n v="26"/>
    <x v="1"/>
    <x v="0"/>
    <n v="1"/>
    <b v="0"/>
    <n v="0"/>
    <s v="Yes"/>
    <s v="Sunday"/>
    <n v="2"/>
    <s v="Misty"/>
    <n v="0.44"/>
    <s v="Risky"/>
    <n v="0.43940000000000001"/>
    <n v="0.94"/>
    <s v="Risky"/>
    <n v="0.25369999999999998"/>
    <n v="1"/>
    <x v="20"/>
    <n v="17"/>
  </r>
  <r>
    <n v="27"/>
    <x v="1"/>
    <x v="0"/>
    <n v="2"/>
    <b v="0"/>
    <n v="0"/>
    <s v="Yes"/>
    <s v="Sunday"/>
    <n v="2"/>
    <s v="Misty"/>
    <n v="0.42"/>
    <s v="Risky"/>
    <n v="0.42420000000000002"/>
    <n v="1"/>
    <s v="Risky"/>
    <n v="0.28360000000000002"/>
    <n v="1"/>
    <x v="21"/>
    <n v="9"/>
  </r>
  <r>
    <n v="28"/>
    <x v="1"/>
    <x v="0"/>
    <n v="3"/>
    <b v="0"/>
    <n v="0"/>
    <s v="Yes"/>
    <s v="Sunday"/>
    <n v="2"/>
    <s v="Misty"/>
    <n v="0.46"/>
    <s v="Risky"/>
    <n v="0.45450000000000002"/>
    <n v="0.94"/>
    <s v="Risky"/>
    <n v="0.19400000000000001"/>
    <n v="2"/>
    <x v="22"/>
    <n v="6"/>
  </r>
  <r>
    <n v="29"/>
    <x v="1"/>
    <x v="0"/>
    <n v="4"/>
    <b v="0"/>
    <n v="0"/>
    <s v="Yes"/>
    <s v="Sunday"/>
    <n v="2"/>
    <s v="Misty"/>
    <n v="0.46"/>
    <s v="Risky"/>
    <n v="0.192409756097561"/>
    <n v="0.94"/>
    <s v="Risky"/>
    <n v="0.19400000000000001"/>
    <n v="2"/>
    <x v="4"/>
    <n v="3"/>
  </r>
  <r>
    <n v="30"/>
    <x v="1"/>
    <x v="0"/>
    <n v="6"/>
    <b v="0"/>
    <n v="0"/>
    <s v="Yes"/>
    <s v="Sunday"/>
    <n v="3"/>
    <s v="Light Rain"/>
    <n v="0.42"/>
    <s v="Risky"/>
    <n v="0.42420000000000002"/>
    <n v="0.77"/>
    <s v="Risky"/>
    <n v="0.29849999999999999"/>
    <n v="0"/>
    <x v="6"/>
    <n v="2"/>
  </r>
  <r>
    <n v="31"/>
    <x v="1"/>
    <x v="0"/>
    <n v="7"/>
    <b v="0"/>
    <n v="0"/>
    <s v="Yes"/>
    <s v="Sunday"/>
    <n v="2"/>
    <s v="Misty"/>
    <n v="0.4"/>
    <s v="Risky"/>
    <n v="0.40910000000000002"/>
    <n v="0.76"/>
    <s v="Risky"/>
    <n v="0.19400000000000001"/>
    <n v="0"/>
    <x v="4"/>
    <n v="1"/>
  </r>
  <r>
    <n v="32"/>
    <x v="1"/>
    <x v="0"/>
    <n v="8"/>
    <b v="0"/>
    <n v="0"/>
    <s v="Yes"/>
    <s v="Sunday"/>
    <n v="3"/>
    <s v="Light Rain"/>
    <n v="0.4"/>
    <s v="Risky"/>
    <n v="0.40910000000000002"/>
    <n v="0.71"/>
    <s v="Risky"/>
    <n v="0.22389999999999999"/>
    <n v="0"/>
    <x v="21"/>
    <n v="8"/>
  </r>
  <r>
    <n v="33"/>
    <x v="1"/>
    <x v="0"/>
    <n v="9"/>
    <b v="0"/>
    <n v="0"/>
    <s v="Yes"/>
    <s v="Sunday"/>
    <n v="2"/>
    <s v="Misty"/>
    <n v="0.38"/>
    <s v="Risky"/>
    <n v="0.19124483362521896"/>
    <n v="0.76"/>
    <s v="Risky"/>
    <n v="0.22389999999999999"/>
    <n v="1"/>
    <x v="23"/>
    <n v="20"/>
  </r>
  <r>
    <n v="34"/>
    <x v="1"/>
    <x v="0"/>
    <n v="10"/>
    <b v="0"/>
    <n v="0"/>
    <s v="Yes"/>
    <s v="Sunday"/>
    <n v="2"/>
    <s v="Misty"/>
    <n v="0.36"/>
    <s v="Risky"/>
    <n v="0.34849999999999998"/>
    <n v="0.81"/>
    <s v="Risky"/>
    <n v="0.22389999999999999"/>
    <n v="7"/>
    <x v="24"/>
    <n v="53"/>
  </r>
  <r>
    <n v="35"/>
    <x v="1"/>
    <x v="0"/>
    <n v="11"/>
    <b v="0"/>
    <n v="0"/>
    <s v="Yes"/>
    <s v="Sunday"/>
    <n v="2"/>
    <s v="Misty"/>
    <n v="0.36"/>
    <s v="Risky"/>
    <n v="0.33329999999999999"/>
    <n v="0.71"/>
    <s v="Risky"/>
    <n v="0.25369999999999998"/>
    <n v="16"/>
    <x v="25"/>
    <n v="70"/>
  </r>
  <r>
    <n v="36"/>
    <x v="1"/>
    <x v="0"/>
    <n v="12"/>
    <b v="0"/>
    <n v="0"/>
    <s v="Yes"/>
    <s v="Sunday"/>
    <n v="2"/>
    <s v="Misty"/>
    <n v="0.36"/>
    <s v="Risky"/>
    <n v="0.33329999999999999"/>
    <n v="0.66"/>
    <s v="Acceptable"/>
    <n v="0.29849999999999999"/>
    <n v="20"/>
    <x v="26"/>
    <n v="93"/>
  </r>
  <r>
    <n v="37"/>
    <x v="1"/>
    <x v="0"/>
    <n v="13"/>
    <b v="0"/>
    <n v="0"/>
    <s v="Yes"/>
    <s v="Sunday"/>
    <n v="2"/>
    <s v="Misty"/>
    <n v="0.36"/>
    <s v="Risky"/>
    <n v="0.34849999999999998"/>
    <n v="0.66"/>
    <s v="Acceptable"/>
    <n v="0.1343"/>
    <n v="11"/>
    <x v="27"/>
    <n v="75"/>
  </r>
  <r>
    <n v="38"/>
    <x v="1"/>
    <x v="0"/>
    <n v="14"/>
    <b v="0"/>
    <n v="0"/>
    <s v="Yes"/>
    <s v="Sunday"/>
    <n v="3"/>
    <s v="Light Rain"/>
    <n v="0.36"/>
    <s v="Risky"/>
    <n v="0.19018906525573195"/>
    <n v="0.76"/>
    <s v="Risky"/>
    <n v="0.19400000000000001"/>
    <n v="4"/>
    <x v="11"/>
    <n v="59"/>
  </r>
  <r>
    <n v="39"/>
    <x v="1"/>
    <x v="0"/>
    <n v="15"/>
    <b v="0"/>
    <n v="0"/>
    <s v="Yes"/>
    <s v="Sunday"/>
    <n v="3"/>
    <s v="Light Rain"/>
    <n v="0.34"/>
    <s v="Safe"/>
    <n v="0.33329999999999999"/>
    <n v="0.81"/>
    <s v="Risky"/>
    <n v="0.16420000000000001"/>
    <n v="19"/>
    <x v="11"/>
    <n v="74"/>
  </r>
  <r>
    <n v="40"/>
    <x v="1"/>
    <x v="0"/>
    <n v="16"/>
    <b v="0"/>
    <n v="0"/>
    <s v="Yes"/>
    <s v="Sunday"/>
    <n v="3"/>
    <s v="Light Rain"/>
    <n v="0.34"/>
    <s v="Safe"/>
    <n v="0.33329999999999999"/>
    <n v="0.71"/>
    <s v="Risky"/>
    <n v="0.16420000000000001"/>
    <n v="9"/>
    <x v="28"/>
    <n v="76"/>
  </r>
  <r>
    <n v="41"/>
    <x v="1"/>
    <x v="0"/>
    <n v="17"/>
    <b v="0"/>
    <n v="0"/>
    <s v="Yes"/>
    <s v="Sunday"/>
    <n v="1"/>
    <s v="Clean"/>
    <n v="0.34"/>
    <s v="Safe"/>
    <n v="0.33329999999999999"/>
    <n v="0.56999999999999995"/>
    <s v="Acceptable"/>
    <n v="0.19400000000000001"/>
    <n v="7"/>
    <x v="29"/>
    <n v="65"/>
  </r>
  <r>
    <n v="42"/>
    <x v="1"/>
    <x v="0"/>
    <n v="18"/>
    <b v="0"/>
    <n v="0"/>
    <s v="Yes"/>
    <s v="Sunday"/>
    <n v="2"/>
    <s v="Misty"/>
    <n v="0.36"/>
    <s v="Risky"/>
    <n v="0.33329999999999999"/>
    <n v="0.46"/>
    <s v="Acceptable"/>
    <n v="0.32840000000000003"/>
    <n v="10"/>
    <x v="30"/>
    <n v="53"/>
  </r>
  <r>
    <n v="43"/>
    <x v="1"/>
    <x v="0"/>
    <n v="19"/>
    <b v="0"/>
    <n v="0"/>
    <s v="Yes"/>
    <s v="Sunday"/>
    <n v="1"/>
    <s v="Clean"/>
    <n v="0.32"/>
    <s v="Safe"/>
    <n v="0.28789999999999999"/>
    <n v="0.42"/>
    <s v="Acceptable"/>
    <n v="0.44779999999999998"/>
    <n v="1"/>
    <x v="31"/>
    <n v="30"/>
  </r>
  <r>
    <n v="44"/>
    <x v="1"/>
    <x v="0"/>
    <n v="20"/>
    <b v="0"/>
    <n v="0"/>
    <s v="Yes"/>
    <s v="Sunday"/>
    <n v="1"/>
    <s v="Clean"/>
    <n v="0.3"/>
    <s v="Safe"/>
    <n v="0.18899661921708191"/>
    <n v="0.39"/>
    <s v="Acceptable"/>
    <n v="0.35820000000000002"/>
    <n v="5"/>
    <x v="19"/>
    <n v="22"/>
  </r>
  <r>
    <n v="45"/>
    <x v="1"/>
    <x v="0"/>
    <n v="21"/>
    <b v="0"/>
    <n v="0"/>
    <s v="Yes"/>
    <s v="Sunday"/>
    <n v="1"/>
    <s v="Clean"/>
    <n v="0.26"/>
    <s v="Safe"/>
    <n v="0.2273"/>
    <n v="0.44"/>
    <s v="Acceptable"/>
    <n v="0.32840000000000003"/>
    <n v="11"/>
    <x v="32"/>
    <n v="31"/>
  </r>
  <r>
    <n v="46"/>
    <x v="1"/>
    <x v="0"/>
    <n v="22"/>
    <b v="0"/>
    <n v="0"/>
    <s v="Yes"/>
    <s v="Sunday"/>
    <n v="1"/>
    <s v="Clean"/>
    <n v="0.24"/>
    <s v="Safe"/>
    <n v="0.21210000000000001"/>
    <n v="0.44"/>
    <s v="Acceptable"/>
    <n v="0.29849999999999999"/>
    <n v="0"/>
    <x v="33"/>
    <n v="9"/>
  </r>
  <r>
    <n v="47"/>
    <x v="1"/>
    <x v="0"/>
    <n v="23"/>
    <b v="0"/>
    <n v="0"/>
    <s v="Yes"/>
    <s v="Sunday"/>
    <n v="1"/>
    <s v="Clean"/>
    <n v="0.22"/>
    <s v="Safe"/>
    <n v="0.2273"/>
    <n v="0.47"/>
    <s v="Acceptable"/>
    <n v="0.16420000000000001"/>
    <n v="0"/>
    <x v="21"/>
    <n v="8"/>
  </r>
  <r>
    <n v="48"/>
    <x v="2"/>
    <x v="0"/>
    <n v="0"/>
    <b v="0"/>
    <n v="1"/>
    <s v="No"/>
    <s v="Monday"/>
    <n v="1"/>
    <s v="Clean"/>
    <n v="0.22"/>
    <s v="Safe"/>
    <n v="0.19700000000000001"/>
    <n v="0.44"/>
    <s v="Acceptable"/>
    <n v="0.35820000000000002"/>
    <n v="0"/>
    <x v="34"/>
    <n v="5"/>
  </r>
  <r>
    <n v="49"/>
    <x v="2"/>
    <x v="0"/>
    <n v="1"/>
    <b v="0"/>
    <n v="1"/>
    <s v="No"/>
    <s v="Monday"/>
    <n v="1"/>
    <s v="Clean"/>
    <n v="0.2"/>
    <s v="Safe"/>
    <n v="0.18880358422939073"/>
    <n v="0.44"/>
    <s v="Acceptable"/>
    <n v="0.41789999999999999"/>
    <n v="0"/>
    <x v="6"/>
    <n v="2"/>
  </r>
  <r>
    <n v="50"/>
    <x v="2"/>
    <x v="0"/>
    <n v="4"/>
    <b v="0"/>
    <n v="1"/>
    <s v="No"/>
    <s v="Monday"/>
    <n v="1"/>
    <s v="Clean"/>
    <n v="0.16"/>
    <s v="Safe"/>
    <n v="0.13639999999999999"/>
    <n v="0.47"/>
    <s v="Acceptable"/>
    <n v="0.3881"/>
    <n v="0"/>
    <x v="4"/>
    <n v="1"/>
  </r>
  <r>
    <n v="51"/>
    <x v="2"/>
    <x v="0"/>
    <n v="5"/>
    <b v="0"/>
    <n v="1"/>
    <s v="No"/>
    <s v="Monday"/>
    <n v="1"/>
    <s v="Clean"/>
    <n v="0.16"/>
    <s v="Safe"/>
    <n v="0.13639999999999999"/>
    <n v="0.47"/>
    <s v="Acceptable"/>
    <n v="0.28360000000000002"/>
    <n v="0"/>
    <x v="35"/>
    <n v="3"/>
  </r>
  <r>
    <n v="52"/>
    <x v="2"/>
    <x v="0"/>
    <n v="6"/>
    <b v="0"/>
    <n v="1"/>
    <s v="No"/>
    <s v="Monday"/>
    <n v="1"/>
    <s v="Clean"/>
    <n v="0.14000000000000001"/>
    <s v="Safe"/>
    <n v="0.1061"/>
    <n v="0.5"/>
    <s v="Acceptable"/>
    <n v="0.3881"/>
    <n v="0"/>
    <x v="10"/>
    <n v="30"/>
  </r>
  <r>
    <n v="53"/>
    <x v="2"/>
    <x v="0"/>
    <n v="7"/>
    <b v="0"/>
    <n v="1"/>
    <s v="No"/>
    <s v="Monday"/>
    <n v="1"/>
    <s v="Clean"/>
    <n v="0.14000000000000001"/>
    <s v="Safe"/>
    <n v="0.13639999999999999"/>
    <n v="0.5"/>
    <s v="Acceptable"/>
    <n v="0.19400000000000001"/>
    <n v="1"/>
    <x v="36"/>
    <n v="64"/>
  </r>
  <r>
    <n v="54"/>
    <x v="2"/>
    <x v="0"/>
    <n v="8"/>
    <b v="0"/>
    <n v="1"/>
    <s v="No"/>
    <s v="Monday"/>
    <n v="1"/>
    <s v="Clean"/>
    <n v="0.14000000000000001"/>
    <s v="Safe"/>
    <n v="0.1212"/>
    <n v="0.5"/>
    <s v="Acceptable"/>
    <n v="0.28360000000000002"/>
    <n v="1"/>
    <x v="37"/>
    <n v="154"/>
  </r>
  <r>
    <n v="55"/>
    <x v="2"/>
    <x v="0"/>
    <n v="9"/>
    <b v="0"/>
    <n v="1"/>
    <s v="No"/>
    <s v="Monday"/>
    <n v="1"/>
    <s v="Clean"/>
    <n v="0.16"/>
    <s v="Safe"/>
    <n v="0.13639999999999999"/>
    <n v="0.43"/>
    <s v="Acceptable"/>
    <n v="0.3881"/>
    <n v="7"/>
    <x v="38"/>
    <n v="88"/>
  </r>
  <r>
    <n v="56"/>
    <x v="2"/>
    <x v="0"/>
    <n v="10"/>
    <b v="0"/>
    <n v="1"/>
    <s v="No"/>
    <s v="Monday"/>
    <n v="1"/>
    <s v="Clean"/>
    <n v="0.18"/>
    <s v="Safe"/>
    <n v="0.16669999999999999"/>
    <n v="0.43"/>
    <s v="Acceptable"/>
    <n v="0.25369999999999998"/>
    <n v="11"/>
    <x v="39"/>
    <n v="44"/>
  </r>
  <r>
    <n v="57"/>
    <x v="2"/>
    <x v="0"/>
    <n v="11"/>
    <b v="0"/>
    <n v="1"/>
    <s v="No"/>
    <s v="Monday"/>
    <n v="1"/>
    <s v="Clean"/>
    <n v="0.2"/>
    <s v="Safe"/>
    <n v="0.18179999999999999"/>
    <n v="0.4"/>
    <s v="Acceptable"/>
    <n v="0.32840000000000003"/>
    <n v="10"/>
    <x v="40"/>
    <n v="51"/>
  </r>
  <r>
    <n v="58"/>
    <x v="2"/>
    <x v="0"/>
    <n v="12"/>
    <b v="0"/>
    <n v="1"/>
    <s v="No"/>
    <s v="Monday"/>
    <n v="1"/>
    <s v="Clean"/>
    <n v="0.22"/>
    <s v="Safe"/>
    <n v="0.21210000000000001"/>
    <n v="0.35"/>
    <s v="Acceptable"/>
    <n v="0.29849999999999999"/>
    <n v="13"/>
    <x v="41"/>
    <n v="61"/>
  </r>
  <r>
    <n v="59"/>
    <x v="2"/>
    <x v="0"/>
    <n v="13"/>
    <b v="0"/>
    <n v="1"/>
    <s v="No"/>
    <s v="Monday"/>
    <n v="1"/>
    <s v="Clean"/>
    <n v="0.24"/>
    <s v="Safe"/>
    <n v="0.18946976320582881"/>
    <n v="0.35"/>
    <s v="Acceptable"/>
    <n v="0.28360000000000002"/>
    <n v="8"/>
    <x v="42"/>
    <n v="61"/>
  </r>
  <r>
    <n v="60"/>
    <x v="2"/>
    <x v="0"/>
    <n v="14"/>
    <b v="0"/>
    <n v="1"/>
    <s v="No"/>
    <s v="Monday"/>
    <n v="1"/>
    <s v="Clean"/>
    <n v="0.26"/>
    <s v="Safe"/>
    <n v="0.2424"/>
    <n v="0.3"/>
    <s v="Acceptable"/>
    <n v="0.28360000000000002"/>
    <n v="11"/>
    <x v="43"/>
    <n v="77"/>
  </r>
  <r>
    <n v="61"/>
    <x v="2"/>
    <x v="0"/>
    <n v="15"/>
    <b v="0"/>
    <n v="1"/>
    <s v="No"/>
    <s v="Monday"/>
    <n v="1"/>
    <s v="Clean"/>
    <n v="0.26"/>
    <s v="Safe"/>
    <n v="0.2424"/>
    <n v="0.3"/>
    <s v="Acceptable"/>
    <n v="0.25369999999999998"/>
    <n v="14"/>
    <x v="29"/>
    <n v="72"/>
  </r>
  <r>
    <n v="62"/>
    <x v="2"/>
    <x v="0"/>
    <n v="16"/>
    <b v="0"/>
    <n v="1"/>
    <s v="No"/>
    <s v="Monday"/>
    <n v="1"/>
    <s v="Clean"/>
    <n v="0.26"/>
    <s v="Safe"/>
    <n v="0.2424"/>
    <n v="0.3"/>
    <s v="Acceptable"/>
    <n v="0.25369999999999998"/>
    <n v="9"/>
    <x v="28"/>
    <n v="76"/>
  </r>
  <r>
    <n v="63"/>
    <x v="2"/>
    <x v="0"/>
    <n v="17"/>
    <b v="0"/>
    <n v="1"/>
    <s v="No"/>
    <s v="Monday"/>
    <n v="1"/>
    <s v="Clean"/>
    <n v="0.24"/>
    <s v="Safe"/>
    <n v="0.2273"/>
    <n v="0.3"/>
    <s v="Acceptable"/>
    <n v="0.22389999999999999"/>
    <n v="11"/>
    <x v="44"/>
    <n v="157"/>
  </r>
  <r>
    <n v="64"/>
    <x v="2"/>
    <x v="0"/>
    <n v="18"/>
    <b v="0"/>
    <n v="1"/>
    <s v="No"/>
    <s v="Monday"/>
    <n v="1"/>
    <s v="Clean"/>
    <n v="0.24"/>
    <s v="Safe"/>
    <n v="0.2576"/>
    <n v="0.32"/>
    <s v="Acceptable"/>
    <n v="0.1045"/>
    <n v="9"/>
    <x v="45"/>
    <n v="157"/>
  </r>
  <r>
    <n v="65"/>
    <x v="2"/>
    <x v="0"/>
    <n v="19"/>
    <b v="0"/>
    <n v="1"/>
    <s v="No"/>
    <s v="Monday"/>
    <n v="1"/>
    <s v="Clean"/>
    <n v="0.2"/>
    <s v="Safe"/>
    <n v="0.2576"/>
    <n v="0.47"/>
    <s v="Acceptable"/>
    <n v="0"/>
    <n v="8"/>
    <x v="46"/>
    <n v="110"/>
  </r>
  <r>
    <n v="66"/>
    <x v="2"/>
    <x v="0"/>
    <n v="20"/>
    <b v="0"/>
    <n v="1"/>
    <s v="No"/>
    <s v="Monday"/>
    <n v="1"/>
    <s v="Clean"/>
    <n v="0.2"/>
    <s v="Safe"/>
    <n v="0.18885672191528544"/>
    <n v="0.47"/>
    <s v="Acceptable"/>
    <n v="0.1045"/>
    <n v="3"/>
    <x v="47"/>
    <n v="52"/>
  </r>
  <r>
    <n v="67"/>
    <x v="2"/>
    <x v="0"/>
    <n v="21"/>
    <b v="0"/>
    <n v="1"/>
    <s v="No"/>
    <s v="Monday"/>
    <n v="1"/>
    <s v="Clean"/>
    <n v="0.18"/>
    <s v="Safe"/>
    <n v="0.19700000000000001"/>
    <n v="0.64"/>
    <s v="Acceptable"/>
    <n v="0.1343"/>
    <n v="3"/>
    <x v="47"/>
    <n v="52"/>
  </r>
  <r>
    <n v="68"/>
    <x v="2"/>
    <x v="0"/>
    <n v="22"/>
    <b v="0"/>
    <n v="1"/>
    <s v="No"/>
    <s v="Monday"/>
    <n v="1"/>
    <s v="Clean"/>
    <n v="0.14000000000000001"/>
    <s v="Safe"/>
    <n v="0.1515"/>
    <n v="0.69"/>
    <s v="Acceptable"/>
    <n v="0.1343"/>
    <n v="0"/>
    <x v="32"/>
    <n v="20"/>
  </r>
  <r>
    <n v="69"/>
    <x v="2"/>
    <x v="0"/>
    <n v="23"/>
    <b v="0"/>
    <n v="1"/>
    <s v="No"/>
    <s v="Monday"/>
    <n v="1"/>
    <s v="Clean"/>
    <n v="0.18"/>
    <s v="Safe"/>
    <n v="0.21210000000000001"/>
    <n v="0.55000000000000004"/>
    <s v="Acceptable"/>
    <n v="0.1045"/>
    <n v="1"/>
    <x v="48"/>
    <n v="12"/>
  </r>
  <r>
    <n v="70"/>
    <x v="3"/>
    <x v="0"/>
    <n v="0"/>
    <b v="0"/>
    <n v="2"/>
    <s v="No"/>
    <s v="Tuesday"/>
    <n v="1"/>
    <s v="Clean"/>
    <n v="0.16"/>
    <s v="Safe"/>
    <n v="0.18886777777777777"/>
    <n v="0.55000000000000004"/>
    <s v="Acceptable"/>
    <n v="0.1045"/>
    <n v="0"/>
    <x v="34"/>
    <n v="5"/>
  </r>
  <r>
    <n v="71"/>
    <x v="3"/>
    <x v="0"/>
    <n v="1"/>
    <b v="0"/>
    <n v="2"/>
    <s v="No"/>
    <s v="Tuesday"/>
    <n v="1"/>
    <s v="Clean"/>
    <n v="0.16"/>
    <s v="Safe"/>
    <n v="0.18179999999999999"/>
    <n v="0.59"/>
    <s v="Acceptable"/>
    <n v="0.1045"/>
    <n v="0"/>
    <x v="6"/>
    <n v="2"/>
  </r>
  <r>
    <n v="72"/>
    <x v="3"/>
    <x v="0"/>
    <n v="2"/>
    <b v="0"/>
    <n v="2"/>
    <s v="No"/>
    <s v="Tuesday"/>
    <n v="1"/>
    <s v="Clean"/>
    <n v="0.14000000000000001"/>
    <s v="Safe"/>
    <n v="0.1515"/>
    <n v="0.63"/>
    <s v="Acceptable"/>
    <n v="0.1343"/>
    <n v="0"/>
    <x v="4"/>
    <n v="1"/>
  </r>
  <r>
    <n v="73"/>
    <x v="3"/>
    <x v="0"/>
    <n v="4"/>
    <b v="0"/>
    <n v="2"/>
    <s v="No"/>
    <s v="Tuesday"/>
    <n v="1"/>
    <s v="Clean"/>
    <n v="0.14000000000000001"/>
    <s v="Safe"/>
    <n v="0.18179999999999999"/>
    <n v="0.63"/>
    <s v="Acceptable"/>
    <n v="8.9599999999999999E-2"/>
    <n v="0"/>
    <x v="6"/>
    <n v="2"/>
  </r>
  <r>
    <n v="74"/>
    <x v="3"/>
    <x v="0"/>
    <n v="5"/>
    <b v="0"/>
    <n v="2"/>
    <s v="No"/>
    <s v="Tuesday"/>
    <n v="1"/>
    <s v="Clean"/>
    <n v="0.12"/>
    <s v="Safe"/>
    <n v="0.1515"/>
    <n v="0.68"/>
    <s v="Acceptable"/>
    <n v="0.1045"/>
    <n v="0"/>
    <x v="22"/>
    <n v="4"/>
  </r>
  <r>
    <n v="75"/>
    <x v="3"/>
    <x v="0"/>
    <n v="6"/>
    <b v="0"/>
    <n v="2"/>
    <s v="No"/>
    <s v="Tuesday"/>
    <n v="1"/>
    <s v="Clean"/>
    <n v="0.12"/>
    <s v="Safe"/>
    <n v="0.1515"/>
    <n v="0.74"/>
    <s v="Risky"/>
    <n v="0.1045"/>
    <n v="0"/>
    <x v="49"/>
    <n v="36"/>
  </r>
  <r>
    <n v="76"/>
    <x v="3"/>
    <x v="0"/>
    <n v="7"/>
    <b v="0"/>
    <n v="2"/>
    <s v="No"/>
    <s v="Tuesday"/>
    <n v="1"/>
    <s v="Clean"/>
    <n v="0.12"/>
    <s v="Safe"/>
    <n v="0.1515"/>
    <n v="0.74"/>
    <s v="Risky"/>
    <n v="0.1343"/>
    <n v="2"/>
    <x v="50"/>
    <n v="94"/>
  </r>
  <r>
    <n v="77"/>
    <x v="3"/>
    <x v="0"/>
    <n v="8"/>
    <b v="0"/>
    <n v="2"/>
    <s v="No"/>
    <s v="Tuesday"/>
    <n v="1"/>
    <s v="Clean"/>
    <n v="0.14000000000000001"/>
    <s v="Safe"/>
    <n v="0.1515"/>
    <n v="0.69"/>
    <s v="Acceptable"/>
    <n v="0.16420000000000001"/>
    <n v="2"/>
    <x v="51"/>
    <n v="179"/>
  </r>
  <r>
    <n v="78"/>
    <x v="3"/>
    <x v="0"/>
    <n v="9"/>
    <b v="0"/>
    <n v="2"/>
    <s v="No"/>
    <s v="Tuesday"/>
    <n v="1"/>
    <s v="Clean"/>
    <n v="0.16"/>
    <s v="Safe"/>
    <n v="0.1515"/>
    <n v="0.64"/>
    <s v="Acceptable"/>
    <n v="0.22389999999999999"/>
    <n v="2"/>
    <x v="52"/>
    <n v="100"/>
  </r>
  <r>
    <n v="79"/>
    <x v="3"/>
    <x v="0"/>
    <n v="10"/>
    <b v="0"/>
    <n v="2"/>
    <s v="No"/>
    <s v="Tuesday"/>
    <n v="2"/>
    <s v="Misty"/>
    <n v="0.16"/>
    <s v="Safe"/>
    <n v="0.13639999999999999"/>
    <n v="0.69"/>
    <s v="Acceptable"/>
    <n v="0.32840000000000003"/>
    <n v="5"/>
    <x v="53"/>
    <n v="42"/>
  </r>
  <r>
    <n v="80"/>
    <x v="3"/>
    <x v="0"/>
    <n v="11"/>
    <b v="0"/>
    <n v="2"/>
    <s v="No"/>
    <s v="Tuesday"/>
    <n v="1"/>
    <s v="Clean"/>
    <n v="0.22"/>
    <s v="Safe"/>
    <n v="0.21210000000000001"/>
    <n v="0.51"/>
    <s v="Acceptable"/>
    <n v="0.29849999999999999"/>
    <n v="7"/>
    <x v="54"/>
    <n v="57"/>
  </r>
  <r>
    <n v="81"/>
    <x v="3"/>
    <x v="0"/>
    <n v="12"/>
    <b v="0"/>
    <n v="2"/>
    <s v="No"/>
    <s v="Tuesday"/>
    <n v="1"/>
    <s v="Clean"/>
    <n v="0.22"/>
    <s v="Safe"/>
    <n v="0.2273"/>
    <n v="0.51"/>
    <s v="Acceptable"/>
    <n v="0.16420000000000001"/>
    <n v="12"/>
    <x v="43"/>
    <n v="78"/>
  </r>
  <r>
    <n v="82"/>
    <x v="3"/>
    <x v="0"/>
    <n v="13"/>
    <b v="0"/>
    <n v="2"/>
    <s v="No"/>
    <s v="Tuesday"/>
    <n v="1"/>
    <s v="Clean"/>
    <n v="0.24"/>
    <s v="Safe"/>
    <n v="0.2273"/>
    <n v="0.56000000000000005"/>
    <s v="Acceptable"/>
    <n v="0.19400000000000001"/>
    <n v="18"/>
    <x v="55"/>
    <n v="97"/>
  </r>
  <r>
    <n v="83"/>
    <x v="3"/>
    <x v="0"/>
    <n v="14"/>
    <b v="0"/>
    <n v="2"/>
    <s v="No"/>
    <s v="Tuesday"/>
    <n v="1"/>
    <s v="Clean"/>
    <n v="0.26"/>
    <s v="Safe"/>
    <n v="0.2576"/>
    <n v="0.52"/>
    <s v="Acceptable"/>
    <n v="0.22389999999999999"/>
    <n v="9"/>
    <x v="25"/>
    <n v="63"/>
  </r>
  <r>
    <n v="84"/>
    <x v="3"/>
    <x v="0"/>
    <n v="15"/>
    <b v="0"/>
    <n v="2"/>
    <s v="No"/>
    <s v="Tuesday"/>
    <n v="1"/>
    <s v="Clean"/>
    <n v="0.28000000000000003"/>
    <s v="Safe"/>
    <n v="0.2727"/>
    <n v="0.52"/>
    <s v="Acceptable"/>
    <n v="0.25369999999999998"/>
    <n v="17"/>
    <x v="41"/>
    <n v="65"/>
  </r>
  <r>
    <n v="85"/>
    <x v="3"/>
    <x v="0"/>
    <n v="16"/>
    <b v="0"/>
    <n v="2"/>
    <s v="No"/>
    <s v="Tuesday"/>
    <n v="1"/>
    <s v="Clean"/>
    <n v="0.3"/>
    <s v="Safe"/>
    <n v="0.28789999999999999"/>
    <n v="0.49"/>
    <s v="Acceptable"/>
    <n v="0.25369999999999998"/>
    <n v="15"/>
    <x v="56"/>
    <n v="83"/>
  </r>
  <r>
    <n v="86"/>
    <x v="3"/>
    <x v="0"/>
    <n v="17"/>
    <b v="0"/>
    <n v="2"/>
    <s v="No"/>
    <s v="Tuesday"/>
    <n v="1"/>
    <s v="Clean"/>
    <n v="0.28000000000000003"/>
    <s v="Safe"/>
    <n v="0.2727"/>
    <n v="0.48"/>
    <s v="Acceptable"/>
    <n v="0.22389999999999999"/>
    <n v="10"/>
    <x v="57"/>
    <n v="212"/>
  </r>
  <r>
    <n v="87"/>
    <x v="3"/>
    <x v="0"/>
    <n v="18"/>
    <b v="0"/>
    <n v="2"/>
    <s v="No"/>
    <s v="Tuesday"/>
    <n v="1"/>
    <s v="Clean"/>
    <n v="0.26"/>
    <s v="Safe"/>
    <n v="0.2576"/>
    <n v="0.48"/>
    <s v="Acceptable"/>
    <n v="0.19400000000000001"/>
    <n v="3"/>
    <x v="58"/>
    <n v="182"/>
  </r>
  <r>
    <n v="88"/>
    <x v="3"/>
    <x v="0"/>
    <n v="19"/>
    <b v="0"/>
    <n v="2"/>
    <s v="No"/>
    <s v="Tuesday"/>
    <n v="1"/>
    <s v="Clean"/>
    <n v="0.24"/>
    <s v="Safe"/>
    <n v="0.2576"/>
    <n v="0.48"/>
    <s v="Acceptable"/>
    <n v="0.1045"/>
    <n v="2"/>
    <x v="59"/>
    <n v="112"/>
  </r>
  <r>
    <n v="89"/>
    <x v="3"/>
    <x v="0"/>
    <n v="20"/>
    <b v="0"/>
    <n v="2"/>
    <s v="No"/>
    <s v="Tuesday"/>
    <n v="1"/>
    <s v="Clean"/>
    <n v="0.24"/>
    <s v="Safe"/>
    <n v="0.2576"/>
    <n v="0.48"/>
    <s v="Acceptable"/>
    <n v="0.1045"/>
    <n v="1"/>
    <x v="42"/>
    <n v="54"/>
  </r>
  <r>
    <n v="90"/>
    <x v="3"/>
    <x v="0"/>
    <n v="21"/>
    <b v="0"/>
    <n v="2"/>
    <s v="No"/>
    <s v="Tuesday"/>
    <n v="1"/>
    <s v="Clean"/>
    <n v="0.22"/>
    <s v="Safe"/>
    <n v="0.2727"/>
    <n v="0.64"/>
    <s v="Acceptable"/>
    <n v="0"/>
    <n v="0"/>
    <x v="41"/>
    <n v="48"/>
  </r>
  <r>
    <n v="91"/>
    <x v="3"/>
    <x v="0"/>
    <n v="22"/>
    <b v="0"/>
    <n v="2"/>
    <s v="No"/>
    <s v="Tuesday"/>
    <n v="1"/>
    <s v="Clean"/>
    <n v="0.22"/>
    <s v="Safe"/>
    <n v="0.2576"/>
    <n v="0.64"/>
    <s v="Acceptable"/>
    <n v="8.9599999999999999E-2"/>
    <n v="1"/>
    <x v="60"/>
    <n v="35"/>
  </r>
  <r>
    <n v="92"/>
    <x v="3"/>
    <x v="0"/>
    <n v="23"/>
    <b v="0"/>
    <n v="2"/>
    <s v="No"/>
    <s v="Tuesday"/>
    <n v="1"/>
    <s v="Clean"/>
    <n v="0.2"/>
    <s v="Safe"/>
    <n v="0.2273"/>
    <n v="0.69"/>
    <s v="Acceptable"/>
    <n v="8.9599999999999999E-2"/>
    <n v="2"/>
    <x v="33"/>
    <n v="11"/>
  </r>
  <r>
    <n v="93"/>
    <x v="4"/>
    <x v="0"/>
    <n v="0"/>
    <b v="0"/>
    <n v="3"/>
    <s v="No"/>
    <s v="Wednesday"/>
    <n v="1"/>
    <s v="Clean"/>
    <n v="0.2"/>
    <s v="Safe"/>
    <n v="0.2576"/>
    <n v="0.64"/>
    <s v="Acceptable"/>
    <n v="0"/>
    <n v="0"/>
    <x v="8"/>
    <n v="6"/>
  </r>
  <r>
    <n v="94"/>
    <x v="4"/>
    <x v="0"/>
    <n v="1"/>
    <b v="0"/>
    <n v="3"/>
    <s v="No"/>
    <s v="Wednesday"/>
    <n v="1"/>
    <s v="Clean"/>
    <n v="0.16"/>
    <s v="Safe"/>
    <n v="0.19700000000000001"/>
    <n v="0.74"/>
    <s v="Risky"/>
    <n v="8.9599999999999999E-2"/>
    <n v="0"/>
    <x v="8"/>
    <n v="6"/>
  </r>
  <r>
    <n v="95"/>
    <x v="4"/>
    <x v="0"/>
    <n v="2"/>
    <b v="0"/>
    <n v="3"/>
    <s v="No"/>
    <s v="Wednesday"/>
    <n v="1"/>
    <s v="Clean"/>
    <n v="0.16"/>
    <s v="Safe"/>
    <n v="0.19700000000000001"/>
    <n v="0.74"/>
    <s v="Risky"/>
    <n v="8.9599999999999999E-2"/>
    <n v="0"/>
    <x v="6"/>
    <n v="2"/>
  </r>
  <r>
    <n v="96"/>
    <x v="4"/>
    <x v="0"/>
    <n v="4"/>
    <b v="0"/>
    <n v="3"/>
    <s v="No"/>
    <s v="Wednesday"/>
    <n v="1"/>
    <s v="Clean"/>
    <n v="0.24"/>
    <s v="Safe"/>
    <n v="0.2273"/>
    <n v="0.48"/>
    <s v="Acceptable"/>
    <n v="0.22389999999999999"/>
    <n v="0"/>
    <x v="6"/>
    <n v="2"/>
  </r>
  <r>
    <n v="97"/>
    <x v="4"/>
    <x v="0"/>
    <n v="5"/>
    <b v="0"/>
    <n v="3"/>
    <s v="No"/>
    <s v="Wednesday"/>
    <n v="1"/>
    <s v="Clean"/>
    <n v="0.22"/>
    <s v="Safe"/>
    <n v="0.2273"/>
    <n v="0.47"/>
    <s v="Acceptable"/>
    <n v="0.16420000000000001"/>
    <n v="0"/>
    <x v="35"/>
    <n v="3"/>
  </r>
  <r>
    <n v="98"/>
    <x v="4"/>
    <x v="0"/>
    <n v="6"/>
    <b v="0"/>
    <n v="3"/>
    <s v="No"/>
    <s v="Wednesday"/>
    <n v="1"/>
    <s v="Clean"/>
    <n v="0.2"/>
    <s v="Safe"/>
    <n v="0.19700000000000001"/>
    <n v="0.47"/>
    <s v="Acceptable"/>
    <n v="0.22389999999999999"/>
    <n v="0"/>
    <x v="39"/>
    <n v="33"/>
  </r>
  <r>
    <n v="99"/>
    <x v="4"/>
    <x v="0"/>
    <n v="7"/>
    <b v="0"/>
    <n v="3"/>
    <s v="No"/>
    <s v="Wednesday"/>
    <n v="1"/>
    <s v="Clean"/>
    <n v="0.18"/>
    <s v="Safe"/>
    <n v="0.18179999999999999"/>
    <n v="0.43"/>
    <s v="Acceptable"/>
    <n v="0.19400000000000001"/>
    <n v="1"/>
    <x v="61"/>
    <n v="88"/>
  </r>
  <r>
    <n v="100"/>
    <x v="4"/>
    <x v="0"/>
    <n v="8"/>
    <b v="0"/>
    <n v="3"/>
    <s v="No"/>
    <s v="Wednesday"/>
    <n v="1"/>
    <s v="Clean"/>
    <n v="0.2"/>
    <s v="Safe"/>
    <n v="0.18179999999999999"/>
    <n v="0.4"/>
    <s v="Acceptable"/>
    <n v="0.29849999999999999"/>
    <n v="3"/>
    <x v="62"/>
    <n v="195"/>
  </r>
  <r>
    <n v="101"/>
    <x v="4"/>
    <x v="0"/>
    <n v="9"/>
    <b v="0"/>
    <n v="3"/>
    <s v="No"/>
    <s v="Wednesday"/>
    <n v="1"/>
    <s v="Clean"/>
    <n v="0.22"/>
    <s v="Safe"/>
    <n v="0.19700000000000001"/>
    <n v="0.37"/>
    <s v="Acceptable"/>
    <n v="0.32840000000000003"/>
    <n v="6"/>
    <x v="63"/>
    <n v="115"/>
  </r>
  <r>
    <n v="102"/>
    <x v="4"/>
    <x v="0"/>
    <n v="10"/>
    <b v="0"/>
    <n v="3"/>
    <s v="No"/>
    <s v="Wednesday"/>
    <n v="1"/>
    <s v="Clean"/>
    <n v="0.22"/>
    <s v="Safe"/>
    <n v="0.19700000000000001"/>
    <n v="0.37"/>
    <s v="Acceptable"/>
    <n v="0.32840000000000003"/>
    <n v="4"/>
    <x v="42"/>
    <n v="57"/>
  </r>
  <r>
    <n v="103"/>
    <x v="4"/>
    <x v="0"/>
    <n v="11"/>
    <b v="0"/>
    <n v="3"/>
    <s v="No"/>
    <s v="Wednesday"/>
    <n v="1"/>
    <s v="Clean"/>
    <n v="0.26"/>
    <s v="Safe"/>
    <n v="0.2273"/>
    <n v="0.33"/>
    <s v="Acceptable"/>
    <n v="0.32840000000000003"/>
    <n v="12"/>
    <x v="60"/>
    <n v="46"/>
  </r>
  <r>
    <n v="104"/>
    <x v="4"/>
    <x v="0"/>
    <n v="12"/>
    <b v="0"/>
    <n v="3"/>
    <s v="No"/>
    <s v="Wednesday"/>
    <n v="1"/>
    <s v="Clean"/>
    <n v="0.26"/>
    <s v="Safe"/>
    <n v="0.2273"/>
    <n v="0.33"/>
    <s v="Acceptable"/>
    <n v="0.32840000000000003"/>
    <n v="5"/>
    <x v="64"/>
    <n v="79"/>
  </r>
  <r>
    <n v="105"/>
    <x v="4"/>
    <x v="0"/>
    <n v="13"/>
    <b v="0"/>
    <n v="3"/>
    <s v="No"/>
    <s v="Wednesday"/>
    <n v="1"/>
    <s v="Clean"/>
    <n v="0.28000000000000003"/>
    <s v="Safe"/>
    <n v="0.2576"/>
    <n v="0.3"/>
    <s v="Acceptable"/>
    <n v="0.29849999999999999"/>
    <n v="6"/>
    <x v="65"/>
    <n v="71"/>
  </r>
  <r>
    <n v="106"/>
    <x v="4"/>
    <x v="0"/>
    <n v="14"/>
    <b v="0"/>
    <n v="3"/>
    <s v="No"/>
    <s v="Wednesday"/>
    <n v="1"/>
    <s v="Clean"/>
    <n v="0.3"/>
    <s v="Safe"/>
    <n v="0.28789999999999999"/>
    <n v="0.28000000000000003"/>
    <s v="Acceptable"/>
    <n v="0.19400000000000001"/>
    <n v="10"/>
    <x v="15"/>
    <n v="62"/>
  </r>
  <r>
    <n v="107"/>
    <x v="4"/>
    <x v="0"/>
    <n v="15"/>
    <b v="0"/>
    <n v="3"/>
    <s v="No"/>
    <s v="Wednesday"/>
    <n v="1"/>
    <s v="Clean"/>
    <n v="0.3"/>
    <s v="Safe"/>
    <n v="0.28789999999999999"/>
    <n v="0.28000000000000003"/>
    <s v="Acceptable"/>
    <n v="0.19400000000000001"/>
    <n v="7"/>
    <x v="11"/>
    <n v="62"/>
  </r>
  <r>
    <n v="108"/>
    <x v="4"/>
    <x v="0"/>
    <n v="16"/>
    <b v="0"/>
    <n v="3"/>
    <s v="No"/>
    <s v="Wednesday"/>
    <n v="1"/>
    <s v="Clean"/>
    <n v="0.3"/>
    <s v="Safe"/>
    <n v="0.31819999999999998"/>
    <n v="0.28000000000000003"/>
    <s v="Acceptable"/>
    <n v="8.9599999999999999E-2"/>
    <n v="4"/>
    <x v="66"/>
    <n v="89"/>
  </r>
  <r>
    <n v="109"/>
    <x v="4"/>
    <x v="0"/>
    <n v="17"/>
    <b v="0"/>
    <n v="3"/>
    <s v="No"/>
    <s v="Wednesday"/>
    <n v="1"/>
    <s v="Clean"/>
    <n v="0.24"/>
    <s v="Safe"/>
    <n v="0.2273"/>
    <n v="0.38"/>
    <s v="Acceptable"/>
    <n v="0.19400000000000001"/>
    <n v="4"/>
    <x v="67"/>
    <n v="190"/>
  </r>
  <r>
    <n v="110"/>
    <x v="4"/>
    <x v="0"/>
    <n v="18"/>
    <b v="0"/>
    <n v="3"/>
    <s v="No"/>
    <s v="Wednesday"/>
    <n v="1"/>
    <s v="Clean"/>
    <n v="0.24"/>
    <s v="Safe"/>
    <n v="0.2424"/>
    <n v="0.38"/>
    <s v="Acceptable"/>
    <n v="0.1343"/>
    <n v="3"/>
    <x v="68"/>
    <n v="169"/>
  </r>
  <r>
    <n v="111"/>
    <x v="4"/>
    <x v="0"/>
    <n v="19"/>
    <b v="0"/>
    <n v="3"/>
    <s v="No"/>
    <s v="Wednesday"/>
    <n v="1"/>
    <s v="Clean"/>
    <n v="0.24"/>
    <s v="Safe"/>
    <n v="0.2576"/>
    <n v="0.38"/>
    <s v="Acceptable"/>
    <n v="0.1045"/>
    <n v="5"/>
    <x v="69"/>
    <n v="132"/>
  </r>
  <r>
    <n v="112"/>
    <x v="4"/>
    <x v="0"/>
    <n v="20"/>
    <b v="0"/>
    <n v="3"/>
    <s v="No"/>
    <s v="Wednesday"/>
    <n v="1"/>
    <s v="Clean"/>
    <n v="0.22"/>
    <s v="Safe"/>
    <n v="0.2273"/>
    <n v="0.47"/>
    <s v="Acceptable"/>
    <n v="0.16420000000000001"/>
    <n v="7"/>
    <x v="70"/>
    <n v="89"/>
  </r>
  <r>
    <n v="113"/>
    <x v="4"/>
    <x v="0"/>
    <n v="21"/>
    <b v="0"/>
    <n v="3"/>
    <s v="No"/>
    <s v="Wednesday"/>
    <n v="1"/>
    <s v="Clean"/>
    <n v="0.2"/>
    <s v="Safe"/>
    <n v="0.19700000000000001"/>
    <n v="0.51"/>
    <s v="Acceptable"/>
    <n v="0.19400000000000001"/>
    <n v="3"/>
    <x v="71"/>
    <n v="43"/>
  </r>
  <r>
    <n v="114"/>
    <x v="4"/>
    <x v="0"/>
    <n v="22"/>
    <b v="0"/>
    <n v="3"/>
    <s v="No"/>
    <s v="Wednesday"/>
    <n v="1"/>
    <s v="Clean"/>
    <n v="0.18"/>
    <s v="Safe"/>
    <n v="0.19700000000000001"/>
    <n v="0.55000000000000004"/>
    <s v="Acceptable"/>
    <n v="0.1343"/>
    <n v="1"/>
    <x v="40"/>
    <n v="42"/>
  </r>
  <r>
    <n v="115"/>
    <x v="4"/>
    <x v="0"/>
    <n v="23"/>
    <b v="0"/>
    <n v="3"/>
    <s v="No"/>
    <s v="Wednesday"/>
    <n v="1"/>
    <s v="Clean"/>
    <n v="0.2"/>
    <s v="Safe"/>
    <n v="0.2576"/>
    <n v="0.47"/>
    <s v="Acceptable"/>
    <n v="0"/>
    <n v="1"/>
    <x v="72"/>
    <n v="19"/>
  </r>
  <r>
    <n v="116"/>
    <x v="5"/>
    <x v="0"/>
    <n v="0"/>
    <b v="0"/>
    <n v="4"/>
    <s v="No"/>
    <s v="Thursday"/>
    <n v="1"/>
    <s v="Clean"/>
    <n v="0.18"/>
    <s v="Safe"/>
    <n v="0.2424"/>
    <n v="0.55000000000000004"/>
    <s v="Acceptable"/>
    <n v="0"/>
    <n v="0"/>
    <x v="48"/>
    <n v="11"/>
  </r>
  <r>
    <n v="117"/>
    <x v="5"/>
    <x v="0"/>
    <n v="1"/>
    <b v="0"/>
    <n v="4"/>
    <s v="No"/>
    <s v="Thursday"/>
    <n v="1"/>
    <s v="Clean"/>
    <n v="0.16"/>
    <s v="Safe"/>
    <n v="0.2273"/>
    <n v="0.64"/>
    <s v="Acceptable"/>
    <n v="0"/>
    <n v="0"/>
    <x v="22"/>
    <n v="4"/>
  </r>
  <r>
    <n v="118"/>
    <x v="5"/>
    <x v="0"/>
    <n v="2"/>
    <b v="0"/>
    <n v="4"/>
    <s v="No"/>
    <s v="Thursday"/>
    <n v="1"/>
    <s v="Clean"/>
    <n v="0.16"/>
    <s v="Safe"/>
    <n v="0.2273"/>
    <n v="0.64"/>
    <s v="Acceptable"/>
    <n v="0"/>
    <n v="0"/>
    <x v="6"/>
    <n v="2"/>
  </r>
  <r>
    <n v="119"/>
    <x v="5"/>
    <x v="0"/>
    <n v="4"/>
    <b v="0"/>
    <n v="4"/>
    <s v="No"/>
    <s v="Thursday"/>
    <n v="2"/>
    <s v="Misty"/>
    <n v="0.16"/>
    <s v="Safe"/>
    <n v="0.19700000000000001"/>
    <n v="0.64"/>
    <s v="Acceptable"/>
    <n v="8.9599999999999999E-2"/>
    <n v="0"/>
    <x v="4"/>
    <n v="1"/>
  </r>
  <r>
    <n v="120"/>
    <x v="5"/>
    <x v="0"/>
    <n v="5"/>
    <b v="0"/>
    <n v="4"/>
    <s v="No"/>
    <s v="Thursday"/>
    <n v="2"/>
    <s v="Misty"/>
    <n v="0.14000000000000001"/>
    <s v="Safe"/>
    <n v="0.18179999999999999"/>
    <n v="0.69"/>
    <s v="Acceptable"/>
    <n v="8.9599999999999999E-2"/>
    <n v="0"/>
    <x v="22"/>
    <n v="4"/>
  </r>
  <r>
    <n v="121"/>
    <x v="5"/>
    <x v="0"/>
    <n v="6"/>
    <b v="0"/>
    <n v="4"/>
    <s v="No"/>
    <s v="Thursday"/>
    <n v="2"/>
    <s v="Misty"/>
    <n v="0.14000000000000001"/>
    <s v="Safe"/>
    <n v="0.16669999999999999"/>
    <n v="0.63"/>
    <s v="Acceptable"/>
    <n v="0.1045"/>
    <n v="0"/>
    <x v="49"/>
    <n v="36"/>
  </r>
  <r>
    <n v="122"/>
    <x v="5"/>
    <x v="0"/>
    <n v="7"/>
    <b v="0"/>
    <n v="4"/>
    <s v="No"/>
    <s v="Thursday"/>
    <n v="2"/>
    <s v="Misty"/>
    <n v="0.16"/>
    <s v="Safe"/>
    <n v="0.2273"/>
    <n v="0.59"/>
    <s v="Acceptable"/>
    <n v="0"/>
    <n v="0"/>
    <x v="73"/>
    <n v="95"/>
  </r>
  <r>
    <n v="123"/>
    <x v="5"/>
    <x v="0"/>
    <n v="8"/>
    <b v="0"/>
    <n v="4"/>
    <s v="No"/>
    <s v="Thursday"/>
    <n v="1"/>
    <s v="Clean"/>
    <n v="0.16"/>
    <s v="Safe"/>
    <n v="0.2273"/>
    <n v="0.59"/>
    <s v="Acceptable"/>
    <n v="0"/>
    <n v="3"/>
    <x v="74"/>
    <n v="219"/>
  </r>
  <r>
    <n v="124"/>
    <x v="5"/>
    <x v="0"/>
    <n v="9"/>
    <b v="0"/>
    <n v="4"/>
    <s v="No"/>
    <s v="Thursday"/>
    <n v="2"/>
    <s v="Misty"/>
    <n v="0.18"/>
    <s v="Safe"/>
    <n v="0.2424"/>
    <n v="0.51"/>
    <s v="Acceptable"/>
    <n v="0"/>
    <n v="6"/>
    <x v="75"/>
    <n v="122"/>
  </r>
  <r>
    <n v="125"/>
    <x v="5"/>
    <x v="0"/>
    <n v="10"/>
    <b v="0"/>
    <n v="4"/>
    <s v="No"/>
    <s v="Thursday"/>
    <n v="1"/>
    <s v="Clean"/>
    <n v="0.2"/>
    <s v="Safe"/>
    <n v="0.2576"/>
    <n v="0.47"/>
    <s v="Acceptable"/>
    <n v="0"/>
    <n v="3"/>
    <x v="76"/>
    <n v="45"/>
  </r>
  <r>
    <n v="126"/>
    <x v="5"/>
    <x v="0"/>
    <n v="11"/>
    <b v="0"/>
    <n v="4"/>
    <s v="No"/>
    <s v="Thursday"/>
    <n v="1"/>
    <s v="Clean"/>
    <n v="0.22"/>
    <s v="Safe"/>
    <n v="0.2576"/>
    <n v="0.44"/>
    <s v="Acceptable"/>
    <n v="8.9599999999999999E-2"/>
    <n v="2"/>
    <x v="77"/>
    <n v="59"/>
  </r>
  <r>
    <n v="127"/>
    <x v="5"/>
    <x v="0"/>
    <n v="12"/>
    <b v="0"/>
    <n v="4"/>
    <s v="No"/>
    <s v="Thursday"/>
    <n v="1"/>
    <s v="Clean"/>
    <n v="0.26"/>
    <s v="Safe"/>
    <n v="0.28789999999999999"/>
    <n v="0.35"/>
    <s v="Acceptable"/>
    <n v="0"/>
    <n v="6"/>
    <x v="78"/>
    <n v="84"/>
  </r>
  <r>
    <n v="128"/>
    <x v="5"/>
    <x v="0"/>
    <n v="13"/>
    <b v="0"/>
    <n v="4"/>
    <s v="No"/>
    <s v="Thursday"/>
    <n v="1"/>
    <s v="Clean"/>
    <n v="0.26"/>
    <s v="Safe"/>
    <n v="0.2727"/>
    <n v="0.35"/>
    <s v="Acceptable"/>
    <n v="0.1045"/>
    <n v="12"/>
    <x v="11"/>
    <n v="67"/>
  </r>
  <r>
    <n v="129"/>
    <x v="5"/>
    <x v="0"/>
    <n v="14"/>
    <b v="0"/>
    <n v="4"/>
    <s v="No"/>
    <s v="Thursday"/>
    <n v="1"/>
    <s v="Clean"/>
    <n v="0.28000000000000003"/>
    <s v="Safe"/>
    <n v="0.2727"/>
    <n v="0.36"/>
    <s v="Acceptable"/>
    <n v="0.16420000000000001"/>
    <n v="11"/>
    <x v="79"/>
    <n v="70"/>
  </r>
  <r>
    <n v="130"/>
    <x v="5"/>
    <x v="0"/>
    <n v="15"/>
    <b v="0"/>
    <n v="4"/>
    <s v="No"/>
    <s v="Thursday"/>
    <n v="1"/>
    <s v="Clean"/>
    <n v="0.28000000000000003"/>
    <s v="Safe"/>
    <n v="0.2727"/>
    <n v="0.36"/>
    <s v="Acceptable"/>
    <n v="0"/>
    <n v="8"/>
    <x v="25"/>
    <n v="62"/>
  </r>
  <r>
    <n v="131"/>
    <x v="5"/>
    <x v="0"/>
    <n v="16"/>
    <b v="0"/>
    <n v="4"/>
    <s v="No"/>
    <s v="Thursday"/>
    <n v="1"/>
    <s v="Clean"/>
    <n v="0.26"/>
    <s v="Safe"/>
    <n v="0.2576"/>
    <n v="0.38"/>
    <s v="Acceptable"/>
    <n v="0.16420000000000001"/>
    <n v="12"/>
    <x v="64"/>
    <n v="86"/>
  </r>
  <r>
    <n v="132"/>
    <x v="5"/>
    <x v="0"/>
    <n v="17"/>
    <b v="0"/>
    <n v="4"/>
    <s v="No"/>
    <s v="Thursday"/>
    <n v="1"/>
    <s v="Clean"/>
    <n v="0.22"/>
    <s v="Safe"/>
    <n v="0.2273"/>
    <n v="0.51"/>
    <s v="Acceptable"/>
    <n v="0.16420000000000001"/>
    <n v="9"/>
    <x v="80"/>
    <n v="172"/>
  </r>
  <r>
    <n v="133"/>
    <x v="5"/>
    <x v="0"/>
    <n v="18"/>
    <b v="0"/>
    <n v="4"/>
    <s v="No"/>
    <s v="Thursday"/>
    <n v="1"/>
    <s v="Clean"/>
    <n v="0.22"/>
    <s v="Safe"/>
    <n v="0.2273"/>
    <n v="0.51"/>
    <s v="Acceptable"/>
    <n v="0.1343"/>
    <n v="5"/>
    <x v="81"/>
    <n v="163"/>
  </r>
  <r>
    <n v="134"/>
    <x v="5"/>
    <x v="0"/>
    <n v="19"/>
    <b v="0"/>
    <n v="4"/>
    <s v="No"/>
    <s v="Thursday"/>
    <n v="1"/>
    <s v="Clean"/>
    <n v="0.22"/>
    <s v="Safe"/>
    <n v="0.2576"/>
    <n v="0.55000000000000004"/>
    <s v="Acceptable"/>
    <n v="8.9599999999999999E-2"/>
    <n v="3"/>
    <x v="63"/>
    <n v="112"/>
  </r>
  <r>
    <n v="135"/>
    <x v="5"/>
    <x v="0"/>
    <n v="20"/>
    <b v="0"/>
    <n v="4"/>
    <s v="No"/>
    <s v="Thursday"/>
    <n v="1"/>
    <s v="Clean"/>
    <n v="0.2"/>
    <s v="Safe"/>
    <n v="0.21210000000000001"/>
    <n v="0.51"/>
    <s v="Acceptable"/>
    <n v="0.16420000000000001"/>
    <n v="3"/>
    <x v="43"/>
    <n v="69"/>
  </r>
  <r>
    <n v="136"/>
    <x v="5"/>
    <x v="0"/>
    <n v="21"/>
    <b v="0"/>
    <n v="4"/>
    <s v="No"/>
    <s v="Thursday"/>
    <n v="2"/>
    <s v="Misty"/>
    <n v="0.22"/>
    <s v="Safe"/>
    <n v="0.21210000000000001"/>
    <n v="0.55000000000000004"/>
    <s v="Acceptable"/>
    <n v="0.22389999999999999"/>
    <n v="0"/>
    <x v="41"/>
    <n v="48"/>
  </r>
  <r>
    <n v="137"/>
    <x v="5"/>
    <x v="0"/>
    <n v="22"/>
    <b v="0"/>
    <n v="4"/>
    <s v="No"/>
    <s v="Thursday"/>
    <n v="2"/>
    <s v="Misty"/>
    <n v="0.22"/>
    <s v="Safe"/>
    <n v="0.21210000000000001"/>
    <n v="0.51"/>
    <s v="Acceptable"/>
    <n v="0.28360000000000002"/>
    <n v="1"/>
    <x v="82"/>
    <n v="52"/>
  </r>
  <r>
    <n v="138"/>
    <x v="5"/>
    <x v="0"/>
    <n v="23"/>
    <b v="0"/>
    <n v="4"/>
    <s v="No"/>
    <s v="Thursday"/>
    <n v="2"/>
    <s v="Misty"/>
    <n v="0.2"/>
    <s v="Safe"/>
    <n v="0.19700000000000001"/>
    <n v="0.59"/>
    <s v="Acceptable"/>
    <n v="0.19400000000000001"/>
    <n v="4"/>
    <x v="23"/>
    <n v="23"/>
  </r>
  <r>
    <n v="139"/>
    <x v="6"/>
    <x v="0"/>
    <n v="0"/>
    <b v="0"/>
    <n v="5"/>
    <s v="No"/>
    <s v="Friday"/>
    <n v="2"/>
    <s v="Misty"/>
    <n v="0.2"/>
    <s v="Safe"/>
    <n v="0.19700000000000001"/>
    <n v="0.64"/>
    <s v="Acceptable"/>
    <n v="0.19400000000000001"/>
    <n v="4"/>
    <x v="0"/>
    <n v="17"/>
  </r>
  <r>
    <n v="140"/>
    <x v="6"/>
    <x v="0"/>
    <n v="1"/>
    <b v="0"/>
    <n v="5"/>
    <s v="No"/>
    <s v="Friday"/>
    <n v="2"/>
    <s v="Misty"/>
    <n v="0.2"/>
    <s v="Safe"/>
    <n v="0.19700000000000001"/>
    <n v="0.69"/>
    <s v="Acceptable"/>
    <n v="0.22389999999999999"/>
    <n v="2"/>
    <x v="34"/>
    <n v="7"/>
  </r>
  <r>
    <n v="141"/>
    <x v="6"/>
    <x v="0"/>
    <n v="2"/>
    <b v="0"/>
    <n v="5"/>
    <s v="No"/>
    <s v="Friday"/>
    <n v="2"/>
    <s v="Misty"/>
    <n v="0.2"/>
    <s v="Safe"/>
    <n v="0.19700000000000001"/>
    <n v="0.69"/>
    <s v="Acceptable"/>
    <n v="0.22389999999999999"/>
    <n v="0"/>
    <x v="4"/>
    <n v="1"/>
  </r>
  <r>
    <n v="142"/>
    <x v="6"/>
    <x v="0"/>
    <n v="4"/>
    <b v="0"/>
    <n v="5"/>
    <s v="No"/>
    <s v="Friday"/>
    <n v="2"/>
    <s v="Misty"/>
    <n v="0.2"/>
    <s v="Safe"/>
    <n v="0.21210000000000001"/>
    <n v="0.69"/>
    <s v="Acceptable"/>
    <n v="0.1343"/>
    <n v="0"/>
    <x v="4"/>
    <n v="1"/>
  </r>
  <r>
    <n v="143"/>
    <x v="6"/>
    <x v="0"/>
    <n v="5"/>
    <b v="0"/>
    <n v="5"/>
    <s v="No"/>
    <s v="Friday"/>
    <n v="3"/>
    <s v="Light Rain"/>
    <n v="0.22"/>
    <s v="Safe"/>
    <n v="0.2727"/>
    <n v="0.55000000000000004"/>
    <s v="Acceptable"/>
    <n v="0"/>
    <n v="0"/>
    <x v="34"/>
    <n v="5"/>
  </r>
  <r>
    <n v="144"/>
    <x v="6"/>
    <x v="0"/>
    <n v="6"/>
    <b v="0"/>
    <n v="5"/>
    <s v="No"/>
    <s v="Friday"/>
    <n v="2"/>
    <s v="Misty"/>
    <n v="0.2"/>
    <s v="Safe"/>
    <n v="0.2576"/>
    <n v="0.69"/>
    <s v="Acceptable"/>
    <n v="0"/>
    <n v="8"/>
    <x v="16"/>
    <n v="34"/>
  </r>
  <r>
    <n v="145"/>
    <x v="6"/>
    <x v="0"/>
    <n v="7"/>
    <b v="0"/>
    <n v="5"/>
    <s v="No"/>
    <s v="Friday"/>
    <n v="1"/>
    <s v="Clean"/>
    <n v="0.2"/>
    <s v="Safe"/>
    <n v="0.21210000000000001"/>
    <n v="0.69"/>
    <s v="Acceptable"/>
    <n v="0.1343"/>
    <n v="8"/>
    <x v="83"/>
    <n v="84"/>
  </r>
  <r>
    <n v="146"/>
    <x v="6"/>
    <x v="0"/>
    <n v="8"/>
    <b v="0"/>
    <n v="5"/>
    <s v="No"/>
    <s v="Friday"/>
    <n v="1"/>
    <s v="Clean"/>
    <n v="0.2"/>
    <s v="Safe"/>
    <n v="0.19700000000000001"/>
    <n v="0.51"/>
    <s v="Acceptable"/>
    <n v="0.25369999999999998"/>
    <n v="20"/>
    <x v="84"/>
    <n v="210"/>
  </r>
  <r>
    <n v="147"/>
    <x v="6"/>
    <x v="0"/>
    <n v="9"/>
    <b v="0"/>
    <n v="5"/>
    <s v="No"/>
    <s v="Friday"/>
    <n v="1"/>
    <s v="Clean"/>
    <n v="0.2"/>
    <s v="Safe"/>
    <n v="0.18179999999999999"/>
    <n v="0.47"/>
    <s v="Acceptable"/>
    <n v="0.29849999999999999"/>
    <n v="9"/>
    <x v="85"/>
    <n v="134"/>
  </r>
  <r>
    <n v="148"/>
    <x v="6"/>
    <x v="0"/>
    <n v="10"/>
    <b v="0"/>
    <n v="5"/>
    <s v="No"/>
    <s v="Friday"/>
    <n v="1"/>
    <s v="Clean"/>
    <n v="0.22"/>
    <s v="Safe"/>
    <n v="0.19700000000000001"/>
    <n v="0.37"/>
    <s v="Acceptable"/>
    <n v="0.32840000000000003"/>
    <n v="16"/>
    <x v="12"/>
    <n v="63"/>
  </r>
  <r>
    <n v="149"/>
    <x v="6"/>
    <x v="0"/>
    <n v="11"/>
    <b v="0"/>
    <n v="5"/>
    <s v="No"/>
    <s v="Friday"/>
    <n v="2"/>
    <s v="Misty"/>
    <n v="0.2"/>
    <s v="Safe"/>
    <n v="0.19700000000000001"/>
    <n v="0.4"/>
    <s v="Acceptable"/>
    <n v="0.22389999999999999"/>
    <n v="19"/>
    <x v="41"/>
    <n v="67"/>
  </r>
  <r>
    <n v="150"/>
    <x v="6"/>
    <x v="0"/>
    <n v="12"/>
    <b v="0"/>
    <n v="5"/>
    <s v="No"/>
    <s v="Friday"/>
    <n v="2"/>
    <s v="Misty"/>
    <n v="0.2"/>
    <s v="Safe"/>
    <n v="0.19700000000000001"/>
    <n v="0.37"/>
    <s v="Acceptable"/>
    <n v="0.25369999999999998"/>
    <n v="9"/>
    <x v="54"/>
    <n v="59"/>
  </r>
  <r>
    <n v="151"/>
    <x v="6"/>
    <x v="0"/>
    <n v="13"/>
    <b v="0"/>
    <n v="5"/>
    <s v="No"/>
    <s v="Friday"/>
    <n v="2"/>
    <s v="Misty"/>
    <n v="0.2"/>
    <s v="Safe"/>
    <n v="0.18179999999999999"/>
    <n v="0.37"/>
    <s v="Acceptable"/>
    <n v="0.28360000000000002"/>
    <n v="9"/>
    <x v="27"/>
    <n v="73"/>
  </r>
  <r>
    <n v="152"/>
    <x v="6"/>
    <x v="0"/>
    <n v="14"/>
    <b v="0"/>
    <n v="5"/>
    <s v="No"/>
    <s v="Friday"/>
    <n v="2"/>
    <s v="Misty"/>
    <n v="0.2"/>
    <s v="Safe"/>
    <n v="0.19700000000000001"/>
    <n v="0.4"/>
    <s v="Acceptable"/>
    <n v="0.25369999999999998"/>
    <n v="7"/>
    <x v="30"/>
    <n v="50"/>
  </r>
  <r>
    <n v="153"/>
    <x v="6"/>
    <x v="0"/>
    <n v="15"/>
    <b v="0"/>
    <n v="5"/>
    <s v="No"/>
    <s v="Friday"/>
    <n v="2"/>
    <s v="Misty"/>
    <n v="0.2"/>
    <s v="Safe"/>
    <n v="0.21210000000000001"/>
    <n v="0.37"/>
    <s v="Acceptable"/>
    <n v="0.16420000000000001"/>
    <n v="9"/>
    <x v="36"/>
    <n v="72"/>
  </r>
  <r>
    <n v="154"/>
    <x v="6"/>
    <x v="0"/>
    <n v="16"/>
    <b v="0"/>
    <n v="5"/>
    <s v="No"/>
    <s v="Friday"/>
    <n v="2"/>
    <s v="Misty"/>
    <n v="0.2"/>
    <s v="Safe"/>
    <n v="0.21210000000000001"/>
    <n v="0.37"/>
    <s v="Acceptable"/>
    <n v="0.16420000000000001"/>
    <n v="5"/>
    <x v="70"/>
    <n v="87"/>
  </r>
  <r>
    <n v="155"/>
    <x v="6"/>
    <x v="0"/>
    <n v="17"/>
    <b v="0"/>
    <n v="5"/>
    <s v="No"/>
    <s v="Friday"/>
    <n v="2"/>
    <s v="Misty"/>
    <n v="0.2"/>
    <s v="Safe"/>
    <n v="0.2576"/>
    <n v="0.37"/>
    <s v="Acceptable"/>
    <n v="0"/>
    <n v="9"/>
    <x v="86"/>
    <n v="187"/>
  </r>
  <r>
    <n v="156"/>
    <x v="6"/>
    <x v="0"/>
    <n v="18"/>
    <b v="0"/>
    <n v="5"/>
    <s v="No"/>
    <s v="Friday"/>
    <n v="1"/>
    <s v="Clean"/>
    <n v="0.2"/>
    <s v="Safe"/>
    <n v="0.2273"/>
    <n v="0.4"/>
    <s v="Acceptable"/>
    <n v="8.9599999999999999E-2"/>
    <n v="7"/>
    <x v="75"/>
    <n v="123"/>
  </r>
  <r>
    <n v="157"/>
    <x v="6"/>
    <x v="0"/>
    <n v="19"/>
    <b v="0"/>
    <n v="5"/>
    <s v="No"/>
    <s v="Friday"/>
    <n v="1"/>
    <s v="Clean"/>
    <n v="0.16"/>
    <s v="Safe"/>
    <n v="0.19700000000000001"/>
    <n v="0.55000000000000004"/>
    <s v="Acceptable"/>
    <n v="8.9599999999999999E-2"/>
    <n v="3"/>
    <x v="50"/>
    <n v="95"/>
  </r>
  <r>
    <n v="158"/>
    <x v="6"/>
    <x v="0"/>
    <n v="20"/>
    <b v="0"/>
    <n v="5"/>
    <s v="No"/>
    <s v="Friday"/>
    <n v="1"/>
    <s v="Clean"/>
    <n v="0.18"/>
    <s v="Safe"/>
    <n v="0.21210000000000001"/>
    <n v="0.47"/>
    <s v="Acceptable"/>
    <n v="0.1045"/>
    <n v="1"/>
    <x v="54"/>
    <n v="51"/>
  </r>
  <r>
    <n v="159"/>
    <x v="6"/>
    <x v="0"/>
    <n v="21"/>
    <b v="0"/>
    <n v="5"/>
    <s v="No"/>
    <s v="Friday"/>
    <n v="1"/>
    <s v="Clean"/>
    <n v="0.18"/>
    <s v="Safe"/>
    <n v="0.19700000000000001"/>
    <n v="0.47"/>
    <s v="Acceptable"/>
    <n v="0.1343"/>
    <n v="0"/>
    <x v="87"/>
    <n v="39"/>
  </r>
  <r>
    <n v="160"/>
    <x v="6"/>
    <x v="0"/>
    <n v="22"/>
    <b v="0"/>
    <n v="5"/>
    <s v="No"/>
    <s v="Friday"/>
    <n v="2"/>
    <s v="Misty"/>
    <n v="0.18"/>
    <s v="Safe"/>
    <n v="0.19700000000000001"/>
    <n v="0.43"/>
    <s v="Acceptable"/>
    <n v="0.16420000000000001"/>
    <n v="2"/>
    <x v="60"/>
    <n v="36"/>
  </r>
  <r>
    <n v="161"/>
    <x v="6"/>
    <x v="0"/>
    <n v="23"/>
    <b v="0"/>
    <n v="5"/>
    <s v="No"/>
    <s v="Friday"/>
    <n v="2"/>
    <s v="Misty"/>
    <n v="0.18"/>
    <s v="Safe"/>
    <n v="0.19700000000000001"/>
    <n v="0.51"/>
    <s v="Acceptable"/>
    <n v="0.16420000000000001"/>
    <n v="1"/>
    <x v="88"/>
    <n v="15"/>
  </r>
  <r>
    <n v="162"/>
    <x v="7"/>
    <x v="0"/>
    <n v="0"/>
    <b v="0"/>
    <n v="6"/>
    <s v="Yes"/>
    <s v="Saturday"/>
    <n v="2"/>
    <s v="Misty"/>
    <n v="0.18"/>
    <s v="Safe"/>
    <n v="0.19700000000000001"/>
    <n v="0.51"/>
    <s v="Acceptable"/>
    <n v="0.16420000000000001"/>
    <n v="1"/>
    <x v="9"/>
    <n v="25"/>
  </r>
  <r>
    <n v="163"/>
    <x v="7"/>
    <x v="0"/>
    <n v="1"/>
    <b v="0"/>
    <n v="6"/>
    <s v="Yes"/>
    <s v="Saturday"/>
    <n v="2"/>
    <s v="Misty"/>
    <n v="0.18"/>
    <s v="Safe"/>
    <n v="0.21210000000000001"/>
    <n v="0.55000000000000004"/>
    <s v="Acceptable"/>
    <n v="8.9599999999999999E-2"/>
    <n v="1"/>
    <x v="89"/>
    <n v="16"/>
  </r>
  <r>
    <n v="164"/>
    <x v="7"/>
    <x v="0"/>
    <n v="2"/>
    <b v="0"/>
    <n v="6"/>
    <s v="Yes"/>
    <s v="Saturday"/>
    <n v="2"/>
    <s v="Misty"/>
    <n v="0.18"/>
    <s v="Safe"/>
    <n v="0.2424"/>
    <n v="0.55000000000000004"/>
    <s v="Acceptable"/>
    <n v="0"/>
    <n v="3"/>
    <x v="0"/>
    <n v="16"/>
  </r>
  <r>
    <n v="165"/>
    <x v="7"/>
    <x v="0"/>
    <n v="3"/>
    <b v="0"/>
    <n v="6"/>
    <s v="Yes"/>
    <s v="Saturday"/>
    <n v="3"/>
    <s v="Light Rain"/>
    <n v="0.18"/>
    <s v="Safe"/>
    <n v="0.19700000000000001"/>
    <n v="0.55000000000000004"/>
    <s v="Acceptable"/>
    <n v="0.16420000000000001"/>
    <n v="0"/>
    <x v="7"/>
    <n v="7"/>
  </r>
  <r>
    <n v="166"/>
    <x v="7"/>
    <x v="0"/>
    <n v="4"/>
    <b v="0"/>
    <n v="6"/>
    <s v="Yes"/>
    <s v="Saturday"/>
    <n v="3"/>
    <s v="Light Rain"/>
    <n v="0.18"/>
    <s v="Safe"/>
    <n v="0.19700000000000001"/>
    <n v="0.55000000000000004"/>
    <s v="Acceptable"/>
    <n v="0.16420000000000001"/>
    <n v="0"/>
    <x v="4"/>
    <n v="1"/>
  </r>
  <r>
    <n v="167"/>
    <x v="7"/>
    <x v="0"/>
    <n v="5"/>
    <b v="0"/>
    <n v="6"/>
    <s v="Yes"/>
    <s v="Saturday"/>
    <n v="2"/>
    <s v="Misty"/>
    <n v="0.16"/>
    <s v="Safe"/>
    <n v="0.16669999999999999"/>
    <n v="0.74"/>
    <s v="Risky"/>
    <n v="0.16420000000000001"/>
    <n v="0"/>
    <x v="34"/>
    <n v="5"/>
  </r>
  <r>
    <n v="168"/>
    <x v="7"/>
    <x v="0"/>
    <n v="6"/>
    <b v="0"/>
    <n v="6"/>
    <s v="Yes"/>
    <s v="Saturday"/>
    <n v="2"/>
    <s v="Misty"/>
    <n v="0.16"/>
    <s v="Safe"/>
    <n v="0.16669999999999999"/>
    <n v="0.74"/>
    <s v="Risky"/>
    <n v="0.16420000000000001"/>
    <n v="0"/>
    <x v="6"/>
    <n v="2"/>
  </r>
  <r>
    <n v="169"/>
    <x v="7"/>
    <x v="0"/>
    <n v="7"/>
    <b v="0"/>
    <n v="6"/>
    <s v="Yes"/>
    <s v="Saturday"/>
    <n v="2"/>
    <s v="Misty"/>
    <n v="0.16"/>
    <s v="Safe"/>
    <n v="0.18179999999999999"/>
    <n v="0.74"/>
    <s v="Risky"/>
    <n v="0.1045"/>
    <n v="1"/>
    <x v="21"/>
    <n v="9"/>
  </r>
  <r>
    <n v="170"/>
    <x v="7"/>
    <x v="0"/>
    <n v="8"/>
    <b v="0"/>
    <n v="6"/>
    <s v="Yes"/>
    <s v="Saturday"/>
    <n v="3"/>
    <s v="Light Rain"/>
    <n v="0.16"/>
    <s v="Safe"/>
    <n v="0.18179999999999999"/>
    <n v="0.93"/>
    <s v="Risky"/>
    <n v="0.1045"/>
    <n v="0"/>
    <x v="89"/>
    <n v="15"/>
  </r>
  <r>
    <n v="171"/>
    <x v="7"/>
    <x v="0"/>
    <n v="9"/>
    <b v="0"/>
    <n v="6"/>
    <s v="Yes"/>
    <s v="Saturday"/>
    <n v="3"/>
    <s v="Light Rain"/>
    <n v="0.16"/>
    <s v="Safe"/>
    <n v="0.18179999999999999"/>
    <n v="0.93"/>
    <s v="Risky"/>
    <n v="0.1045"/>
    <n v="0"/>
    <x v="32"/>
    <n v="20"/>
  </r>
  <r>
    <n v="172"/>
    <x v="7"/>
    <x v="0"/>
    <n v="10"/>
    <b v="0"/>
    <n v="6"/>
    <s v="Yes"/>
    <s v="Saturday"/>
    <n v="2"/>
    <s v="Misty"/>
    <n v="0.18"/>
    <s v="Safe"/>
    <n v="0.19700000000000001"/>
    <n v="0.8"/>
    <s v="Risky"/>
    <n v="0.16420000000000001"/>
    <n v="5"/>
    <x v="90"/>
    <n v="61"/>
  </r>
  <r>
    <n v="173"/>
    <x v="7"/>
    <x v="0"/>
    <n v="11"/>
    <b v="0"/>
    <n v="6"/>
    <s v="Yes"/>
    <s v="Saturday"/>
    <n v="2"/>
    <s v="Misty"/>
    <n v="0.2"/>
    <s v="Safe"/>
    <n v="0.18179999999999999"/>
    <n v="0.69"/>
    <s v="Acceptable"/>
    <n v="0.3881"/>
    <n v="2"/>
    <x v="91"/>
    <n v="62"/>
  </r>
  <r>
    <n v="174"/>
    <x v="7"/>
    <x v="0"/>
    <n v="12"/>
    <b v="0"/>
    <n v="6"/>
    <s v="Yes"/>
    <s v="Saturday"/>
    <n v="2"/>
    <s v="Misty"/>
    <n v="0.2"/>
    <s v="Safe"/>
    <n v="0.18179999999999999"/>
    <n v="0.59"/>
    <s v="Acceptable"/>
    <n v="0.35820000000000002"/>
    <n v="8"/>
    <x v="92"/>
    <n v="98"/>
  </r>
  <r>
    <n v="175"/>
    <x v="7"/>
    <x v="0"/>
    <n v="13"/>
    <b v="0"/>
    <n v="6"/>
    <s v="Yes"/>
    <s v="Saturday"/>
    <n v="1"/>
    <s v="Clean"/>
    <n v="0.2"/>
    <s v="Safe"/>
    <n v="0.18179999999999999"/>
    <n v="0.44"/>
    <s v="Acceptable"/>
    <n v="0.32840000000000003"/>
    <n v="7"/>
    <x v="73"/>
    <n v="102"/>
  </r>
  <r>
    <n v="176"/>
    <x v="7"/>
    <x v="0"/>
    <n v="14"/>
    <b v="0"/>
    <n v="6"/>
    <s v="Yes"/>
    <s v="Saturday"/>
    <n v="1"/>
    <s v="Clean"/>
    <n v="0.2"/>
    <s v="Safe"/>
    <n v="0.16669999999999999"/>
    <n v="0.32"/>
    <s v="Acceptable"/>
    <n v="0.49249999999999999"/>
    <n v="12"/>
    <x v="93"/>
    <n v="95"/>
  </r>
  <r>
    <n v="177"/>
    <x v="7"/>
    <x v="0"/>
    <n v="15"/>
    <b v="0"/>
    <n v="6"/>
    <s v="Yes"/>
    <s v="Saturday"/>
    <n v="1"/>
    <s v="Clean"/>
    <n v="0.2"/>
    <s v="Safe"/>
    <n v="0.16669999999999999"/>
    <n v="0.32"/>
    <s v="Acceptable"/>
    <n v="0.44779999999999998"/>
    <n v="5"/>
    <x v="94"/>
    <n v="74"/>
  </r>
  <r>
    <n v="178"/>
    <x v="7"/>
    <x v="0"/>
    <n v="16"/>
    <b v="0"/>
    <n v="6"/>
    <s v="Yes"/>
    <s v="Saturday"/>
    <n v="1"/>
    <s v="Clean"/>
    <n v="0.18"/>
    <s v="Safe"/>
    <n v="0.13639999999999999"/>
    <n v="0.28999999999999998"/>
    <s v="Acceptable"/>
    <n v="0.44779999999999998"/>
    <n v="8"/>
    <x v="56"/>
    <n v="76"/>
  </r>
  <r>
    <n v="179"/>
    <x v="7"/>
    <x v="0"/>
    <n v="17"/>
    <b v="0"/>
    <n v="6"/>
    <s v="Yes"/>
    <s v="Saturday"/>
    <n v="1"/>
    <s v="Clean"/>
    <n v="0.16"/>
    <s v="Safe"/>
    <n v="0.1212"/>
    <n v="0.37"/>
    <s v="Acceptable"/>
    <n v="0.55220000000000002"/>
    <n v="5"/>
    <x v="27"/>
    <n v="69"/>
  </r>
  <r>
    <n v="180"/>
    <x v="7"/>
    <x v="0"/>
    <n v="18"/>
    <b v="0"/>
    <n v="6"/>
    <s v="Yes"/>
    <s v="Saturday"/>
    <n v="1"/>
    <s v="Clean"/>
    <n v="0.14000000000000001"/>
    <s v="Safe"/>
    <n v="0.1212"/>
    <n v="0.39"/>
    <s v="Acceptable"/>
    <n v="0.29849999999999999"/>
    <n v="3"/>
    <x v="15"/>
    <n v="55"/>
  </r>
  <r>
    <n v="181"/>
    <x v="7"/>
    <x v="0"/>
    <n v="19"/>
    <b v="0"/>
    <n v="6"/>
    <s v="Yes"/>
    <s v="Saturday"/>
    <n v="1"/>
    <s v="Clean"/>
    <n v="0.14000000000000001"/>
    <s v="Safe"/>
    <n v="0.1212"/>
    <n v="0.36"/>
    <s v="Acceptable"/>
    <n v="0.25369999999999998"/>
    <n v="4"/>
    <x v="16"/>
    <n v="30"/>
  </r>
  <r>
    <n v="182"/>
    <x v="7"/>
    <x v="0"/>
    <n v="20"/>
    <b v="0"/>
    <n v="6"/>
    <s v="Yes"/>
    <s v="Saturday"/>
    <n v="1"/>
    <s v="Clean"/>
    <n v="0.12"/>
    <s v="Safe"/>
    <n v="0.1212"/>
    <n v="0.36"/>
    <s v="Acceptable"/>
    <n v="0.25369999999999998"/>
    <n v="0"/>
    <x v="95"/>
    <n v="28"/>
  </r>
  <r>
    <n v="183"/>
    <x v="7"/>
    <x v="0"/>
    <n v="21"/>
    <b v="0"/>
    <n v="6"/>
    <s v="Yes"/>
    <s v="Saturday"/>
    <n v="1"/>
    <s v="Clean"/>
    <n v="0.12"/>
    <s v="Safe"/>
    <n v="0.1061"/>
    <n v="0.39"/>
    <s v="Acceptable"/>
    <n v="0.35820000000000002"/>
    <n v="2"/>
    <x v="96"/>
    <n v="37"/>
  </r>
  <r>
    <n v="184"/>
    <x v="7"/>
    <x v="0"/>
    <n v="22"/>
    <b v="0"/>
    <n v="6"/>
    <s v="Yes"/>
    <s v="Saturday"/>
    <n v="1"/>
    <s v="Clean"/>
    <n v="0.12"/>
    <s v="Safe"/>
    <n v="0.1061"/>
    <n v="0.36"/>
    <s v="Acceptable"/>
    <n v="0.3881"/>
    <n v="1"/>
    <x v="39"/>
    <n v="34"/>
  </r>
  <r>
    <n v="185"/>
    <x v="7"/>
    <x v="0"/>
    <n v="23"/>
    <b v="0"/>
    <n v="6"/>
    <s v="Yes"/>
    <s v="Saturday"/>
    <n v="1"/>
    <s v="Clean"/>
    <n v="0.1"/>
    <s v="Safe"/>
    <n v="6.0600000000000001E-2"/>
    <n v="0.39"/>
    <s v="Acceptable"/>
    <n v="0.44779999999999998"/>
    <n v="0"/>
    <x v="97"/>
    <n v="22"/>
  </r>
  <r>
    <n v="186"/>
    <x v="8"/>
    <x v="0"/>
    <n v="0"/>
    <b v="0"/>
    <n v="0"/>
    <s v="Yes"/>
    <s v="Sunday"/>
    <n v="1"/>
    <s v="Clean"/>
    <n v="0.1"/>
    <s v="Safe"/>
    <n v="7.5800000000000006E-2"/>
    <n v="0.42"/>
    <s v="Acceptable"/>
    <n v="0.3881"/>
    <n v="1"/>
    <x v="9"/>
    <n v="25"/>
  </r>
  <r>
    <n v="187"/>
    <x v="8"/>
    <x v="0"/>
    <n v="1"/>
    <b v="0"/>
    <n v="0"/>
    <s v="Yes"/>
    <s v="Sunday"/>
    <n v="1"/>
    <s v="Clean"/>
    <n v="0.1"/>
    <s v="Safe"/>
    <n v="6.0600000000000001E-2"/>
    <n v="0.42"/>
    <s v="Acceptable"/>
    <n v="0.4627"/>
    <n v="0"/>
    <x v="98"/>
    <n v="12"/>
  </r>
  <r>
    <n v="188"/>
    <x v="8"/>
    <x v="0"/>
    <n v="2"/>
    <b v="0"/>
    <n v="0"/>
    <s v="Yes"/>
    <s v="Sunday"/>
    <n v="1"/>
    <s v="Clean"/>
    <n v="0.1"/>
    <s v="Safe"/>
    <n v="6.0600000000000001E-2"/>
    <n v="0.46"/>
    <s v="Acceptable"/>
    <n v="0.4627"/>
    <n v="0"/>
    <x v="48"/>
    <n v="11"/>
  </r>
  <r>
    <n v="189"/>
    <x v="8"/>
    <x v="0"/>
    <n v="3"/>
    <b v="0"/>
    <n v="0"/>
    <s v="Yes"/>
    <s v="Sunday"/>
    <n v="1"/>
    <s v="Clean"/>
    <n v="0.1"/>
    <s v="Safe"/>
    <n v="7.5800000000000006E-2"/>
    <n v="0.46"/>
    <s v="Acceptable"/>
    <n v="0.41789999999999999"/>
    <n v="0"/>
    <x v="22"/>
    <n v="4"/>
  </r>
  <r>
    <n v="190"/>
    <x v="8"/>
    <x v="0"/>
    <n v="4"/>
    <b v="0"/>
    <n v="0"/>
    <s v="Yes"/>
    <s v="Sunday"/>
    <n v="1"/>
    <s v="Clean"/>
    <n v="0.08"/>
    <s v="Risky"/>
    <n v="9.0899999999999995E-2"/>
    <n v="0.53"/>
    <s v="Acceptable"/>
    <n v="0.19400000000000001"/>
    <n v="0"/>
    <x v="4"/>
    <n v="1"/>
  </r>
  <r>
    <n v="191"/>
    <x v="8"/>
    <x v="0"/>
    <n v="5"/>
    <b v="0"/>
    <n v="0"/>
    <s v="Yes"/>
    <s v="Sunday"/>
    <n v="1"/>
    <s v="Clean"/>
    <n v="0.08"/>
    <s v="Risky"/>
    <n v="9.0899999999999995E-2"/>
    <n v="0.53"/>
    <s v="Acceptable"/>
    <n v="0.19400000000000001"/>
    <n v="0"/>
    <x v="4"/>
    <n v="1"/>
  </r>
  <r>
    <n v="192"/>
    <x v="8"/>
    <x v="0"/>
    <n v="6"/>
    <b v="0"/>
    <n v="0"/>
    <s v="Yes"/>
    <s v="Sunday"/>
    <n v="1"/>
    <s v="Clean"/>
    <n v="0.1"/>
    <s v="Safe"/>
    <n v="9.0899999999999995E-2"/>
    <n v="0.49"/>
    <s v="Acceptable"/>
    <n v="0.28360000000000002"/>
    <n v="0"/>
    <x v="4"/>
    <n v="1"/>
  </r>
  <r>
    <n v="193"/>
    <x v="8"/>
    <x v="0"/>
    <n v="7"/>
    <b v="0"/>
    <n v="0"/>
    <s v="Yes"/>
    <s v="Sunday"/>
    <n v="1"/>
    <s v="Clean"/>
    <n v="0.08"/>
    <s v="Risky"/>
    <n v="9.0899999999999995E-2"/>
    <n v="0.53"/>
    <s v="Acceptable"/>
    <n v="0.19400000000000001"/>
    <n v="1"/>
    <x v="34"/>
    <n v="6"/>
  </r>
  <r>
    <n v="194"/>
    <x v="8"/>
    <x v="0"/>
    <n v="8"/>
    <b v="0"/>
    <n v="0"/>
    <s v="Yes"/>
    <s v="Sunday"/>
    <n v="1"/>
    <s v="Clean"/>
    <n v="0.1"/>
    <s v="Safe"/>
    <n v="9.0899999999999995E-2"/>
    <n v="0.49"/>
    <s v="Acceptable"/>
    <n v="0.28360000000000002"/>
    <n v="0"/>
    <x v="3"/>
    <n v="10"/>
  </r>
  <r>
    <n v="195"/>
    <x v="8"/>
    <x v="0"/>
    <n v="9"/>
    <b v="0"/>
    <n v="0"/>
    <s v="Yes"/>
    <s v="Sunday"/>
    <n v="1"/>
    <s v="Clean"/>
    <n v="0.12"/>
    <s v="Safe"/>
    <n v="7.5800000000000006E-2"/>
    <n v="0.46"/>
    <s v="Acceptable"/>
    <n v="0.52239999999999998"/>
    <n v="0"/>
    <x v="23"/>
    <n v="19"/>
  </r>
  <r>
    <n v="196"/>
    <x v="8"/>
    <x v="0"/>
    <n v="10"/>
    <b v="0"/>
    <n v="0"/>
    <s v="Yes"/>
    <s v="Sunday"/>
    <n v="1"/>
    <s v="Clean"/>
    <n v="0.14000000000000001"/>
    <s v="Safe"/>
    <n v="0.1061"/>
    <n v="0.43"/>
    <s v="Acceptable"/>
    <n v="0.3881"/>
    <n v="0"/>
    <x v="47"/>
    <n v="49"/>
  </r>
  <r>
    <n v="197"/>
    <x v="8"/>
    <x v="0"/>
    <n v="11"/>
    <b v="0"/>
    <n v="0"/>
    <s v="Yes"/>
    <s v="Sunday"/>
    <n v="1"/>
    <s v="Clean"/>
    <n v="0.16"/>
    <s v="Safe"/>
    <n v="0.1212"/>
    <n v="0.4"/>
    <s v="Acceptable"/>
    <n v="0.52239999999999998"/>
    <n v="2"/>
    <x v="12"/>
    <n v="49"/>
  </r>
  <r>
    <n v="198"/>
    <x v="8"/>
    <x v="0"/>
    <n v="12"/>
    <b v="0"/>
    <n v="0"/>
    <s v="Yes"/>
    <s v="Sunday"/>
    <n v="1"/>
    <s v="Clean"/>
    <n v="0.18"/>
    <s v="Safe"/>
    <n v="0.13639999999999999"/>
    <n v="0.37"/>
    <s v="Acceptable"/>
    <n v="0.44779999999999998"/>
    <n v="4"/>
    <x v="55"/>
    <n v="83"/>
  </r>
  <r>
    <n v="199"/>
    <x v="8"/>
    <x v="0"/>
    <n v="13"/>
    <b v="0"/>
    <n v="0"/>
    <s v="Yes"/>
    <s v="Sunday"/>
    <n v="1"/>
    <s v="Clean"/>
    <n v="0.2"/>
    <s v="Safe"/>
    <n v="0.16669999999999999"/>
    <n v="0.34"/>
    <s v="Acceptable"/>
    <n v="0.44779999999999998"/>
    <n v="6"/>
    <x v="94"/>
    <n v="75"/>
  </r>
  <r>
    <n v="200"/>
    <x v="8"/>
    <x v="0"/>
    <n v="14"/>
    <b v="0"/>
    <n v="0"/>
    <s v="Yes"/>
    <s v="Sunday"/>
    <n v="1"/>
    <s v="Clean"/>
    <n v="0.22"/>
    <s v="Safe"/>
    <n v="0.18179999999999999"/>
    <n v="0.32"/>
    <s v="Acceptable"/>
    <n v="0.4627"/>
    <n v="8"/>
    <x v="27"/>
    <n v="72"/>
  </r>
  <r>
    <n v="201"/>
    <x v="8"/>
    <x v="0"/>
    <n v="15"/>
    <b v="0"/>
    <n v="0"/>
    <s v="Yes"/>
    <s v="Sunday"/>
    <n v="1"/>
    <s v="Clean"/>
    <n v="0.22"/>
    <s v="Safe"/>
    <n v="0.19700000000000001"/>
    <n v="0.35"/>
    <s v="Acceptable"/>
    <n v="0.35820000000000002"/>
    <n v="5"/>
    <x v="99"/>
    <n v="82"/>
  </r>
  <r>
    <n v="202"/>
    <x v="8"/>
    <x v="0"/>
    <n v="16"/>
    <b v="0"/>
    <n v="0"/>
    <s v="Yes"/>
    <s v="Sunday"/>
    <n v="1"/>
    <s v="Clean"/>
    <n v="0.2"/>
    <s v="Safe"/>
    <n v="0.16669999999999999"/>
    <n v="0.34"/>
    <s v="Acceptable"/>
    <n v="0.44779999999999998"/>
    <n v="13"/>
    <x v="55"/>
    <n v="92"/>
  </r>
  <r>
    <n v="203"/>
    <x v="8"/>
    <x v="0"/>
    <n v="17"/>
    <b v="0"/>
    <n v="0"/>
    <s v="Yes"/>
    <s v="Sunday"/>
    <n v="1"/>
    <s v="Clean"/>
    <n v="0.18"/>
    <s v="Safe"/>
    <n v="0.1515"/>
    <n v="0.37"/>
    <s v="Acceptable"/>
    <n v="0.3881"/>
    <n v="3"/>
    <x v="79"/>
    <n v="62"/>
  </r>
  <r>
    <n v="204"/>
    <x v="8"/>
    <x v="0"/>
    <n v="18"/>
    <b v="0"/>
    <n v="0"/>
    <s v="Yes"/>
    <s v="Sunday"/>
    <n v="1"/>
    <s v="Clean"/>
    <n v="0.16"/>
    <s v="Safe"/>
    <n v="0.13639999999999999"/>
    <n v="0.4"/>
    <s v="Acceptable"/>
    <n v="0.32840000000000003"/>
    <n v="4"/>
    <x v="100"/>
    <n v="48"/>
  </r>
  <r>
    <n v="205"/>
    <x v="8"/>
    <x v="0"/>
    <n v="19"/>
    <b v="0"/>
    <n v="0"/>
    <s v="Yes"/>
    <s v="Sunday"/>
    <n v="1"/>
    <s v="Clean"/>
    <n v="0.16"/>
    <s v="Safe"/>
    <n v="0.13639999999999999"/>
    <n v="0.43"/>
    <s v="Acceptable"/>
    <n v="0.32840000000000003"/>
    <n v="1"/>
    <x v="71"/>
    <n v="41"/>
  </r>
  <r>
    <n v="206"/>
    <x v="8"/>
    <x v="0"/>
    <n v="20"/>
    <b v="0"/>
    <n v="0"/>
    <s v="Yes"/>
    <s v="Sunday"/>
    <n v="1"/>
    <s v="Clean"/>
    <n v="0.14000000000000001"/>
    <s v="Safe"/>
    <n v="0.1212"/>
    <n v="0.46"/>
    <s v="Acceptable"/>
    <n v="0.25369999999999998"/>
    <n v="0"/>
    <x v="101"/>
    <n v="38"/>
  </r>
  <r>
    <n v="207"/>
    <x v="8"/>
    <x v="0"/>
    <n v="21"/>
    <b v="0"/>
    <n v="0"/>
    <s v="Yes"/>
    <s v="Sunday"/>
    <n v="1"/>
    <s v="Clean"/>
    <n v="0.14000000000000001"/>
    <s v="Safe"/>
    <n v="0.1061"/>
    <n v="0.46"/>
    <s v="Acceptable"/>
    <n v="0.41789999999999999"/>
    <n v="1"/>
    <x v="23"/>
    <n v="20"/>
  </r>
  <r>
    <n v="208"/>
    <x v="8"/>
    <x v="0"/>
    <n v="22"/>
    <b v="0"/>
    <n v="0"/>
    <s v="Yes"/>
    <s v="Sunday"/>
    <n v="1"/>
    <s v="Clean"/>
    <n v="0.14000000000000001"/>
    <s v="Safe"/>
    <n v="0.1212"/>
    <n v="0.46"/>
    <s v="Acceptable"/>
    <n v="0.29849999999999999"/>
    <n v="5"/>
    <x v="3"/>
    <n v="15"/>
  </r>
  <r>
    <n v="209"/>
    <x v="8"/>
    <x v="0"/>
    <n v="23"/>
    <b v="0"/>
    <n v="0"/>
    <s v="Yes"/>
    <s v="Sunday"/>
    <n v="1"/>
    <s v="Clean"/>
    <n v="0.12"/>
    <s v="Safe"/>
    <n v="0.13639999999999999"/>
    <n v="0.5"/>
    <s v="Acceptable"/>
    <n v="0.19400000000000001"/>
    <n v="0"/>
    <x v="8"/>
    <n v="6"/>
  </r>
  <r>
    <n v="210"/>
    <x v="9"/>
    <x v="0"/>
    <n v="0"/>
    <b v="0"/>
    <n v="1"/>
    <s v="No"/>
    <s v="Monday"/>
    <n v="1"/>
    <s v="Clean"/>
    <n v="0.12"/>
    <s v="Safe"/>
    <n v="0.1212"/>
    <n v="0.5"/>
    <s v="Acceptable"/>
    <n v="0.28360000000000002"/>
    <n v="2"/>
    <x v="35"/>
    <n v="5"/>
  </r>
  <r>
    <n v="211"/>
    <x v="9"/>
    <x v="0"/>
    <n v="1"/>
    <b v="0"/>
    <n v="1"/>
    <s v="No"/>
    <s v="Monday"/>
    <n v="1"/>
    <s v="Clean"/>
    <n v="0.12"/>
    <s v="Safe"/>
    <n v="0.1212"/>
    <n v="0.5"/>
    <s v="Acceptable"/>
    <n v="0.28360000000000002"/>
    <n v="1"/>
    <x v="5"/>
    <n v="1"/>
  </r>
  <r>
    <n v="212"/>
    <x v="9"/>
    <x v="0"/>
    <n v="2"/>
    <b v="0"/>
    <n v="1"/>
    <s v="No"/>
    <s v="Monday"/>
    <n v="1"/>
    <s v="Clean"/>
    <n v="0.12"/>
    <s v="Safe"/>
    <n v="0.1212"/>
    <n v="0.5"/>
    <s v="Acceptable"/>
    <n v="0.22389999999999999"/>
    <n v="0"/>
    <x v="35"/>
    <n v="3"/>
  </r>
  <r>
    <n v="213"/>
    <x v="9"/>
    <x v="0"/>
    <n v="3"/>
    <b v="0"/>
    <n v="1"/>
    <s v="No"/>
    <s v="Monday"/>
    <n v="1"/>
    <s v="Clean"/>
    <n v="0.12"/>
    <s v="Safe"/>
    <n v="0.1212"/>
    <n v="0.5"/>
    <s v="Acceptable"/>
    <n v="0.22389999999999999"/>
    <n v="0"/>
    <x v="4"/>
    <n v="1"/>
  </r>
  <r>
    <n v="214"/>
    <x v="9"/>
    <x v="0"/>
    <n v="4"/>
    <b v="0"/>
    <n v="1"/>
    <s v="No"/>
    <s v="Monday"/>
    <n v="1"/>
    <s v="Clean"/>
    <n v="0.1"/>
    <s v="Safe"/>
    <n v="0.1212"/>
    <n v="0.54"/>
    <s v="Acceptable"/>
    <n v="0.1343"/>
    <n v="1"/>
    <x v="6"/>
    <n v="3"/>
  </r>
  <r>
    <n v="215"/>
    <x v="9"/>
    <x v="0"/>
    <n v="5"/>
    <b v="0"/>
    <n v="1"/>
    <s v="No"/>
    <s v="Monday"/>
    <n v="1"/>
    <s v="Clean"/>
    <n v="0.1"/>
    <s v="Safe"/>
    <n v="0.1061"/>
    <n v="0.54"/>
    <s v="Acceptable"/>
    <n v="0.25369999999999998"/>
    <n v="0"/>
    <x v="35"/>
    <n v="3"/>
  </r>
  <r>
    <n v="216"/>
    <x v="9"/>
    <x v="0"/>
    <n v="6"/>
    <b v="0"/>
    <n v="1"/>
    <s v="No"/>
    <s v="Monday"/>
    <n v="1"/>
    <s v="Clean"/>
    <n v="0.12"/>
    <s v="Safe"/>
    <n v="0.1212"/>
    <n v="0.5"/>
    <s v="Acceptable"/>
    <n v="0.28360000000000002"/>
    <n v="0"/>
    <x v="17"/>
    <n v="31"/>
  </r>
  <r>
    <n v="217"/>
    <x v="9"/>
    <x v="0"/>
    <n v="7"/>
    <b v="0"/>
    <n v="1"/>
    <s v="No"/>
    <s v="Monday"/>
    <n v="1"/>
    <s v="Clean"/>
    <n v="0.12"/>
    <s v="Safe"/>
    <n v="0.1212"/>
    <n v="0.5"/>
    <s v="Acceptable"/>
    <n v="0.22389999999999999"/>
    <n v="2"/>
    <x v="102"/>
    <n v="77"/>
  </r>
  <r>
    <n v="218"/>
    <x v="9"/>
    <x v="0"/>
    <n v="8"/>
    <b v="0"/>
    <n v="1"/>
    <s v="No"/>
    <s v="Monday"/>
    <n v="2"/>
    <s v="Misty"/>
    <n v="0.12"/>
    <s v="Safe"/>
    <n v="0.1212"/>
    <n v="0.5"/>
    <s v="Acceptable"/>
    <n v="0.28360000000000002"/>
    <n v="4"/>
    <x v="103"/>
    <n v="188"/>
  </r>
  <r>
    <n v="219"/>
    <x v="9"/>
    <x v="0"/>
    <n v="9"/>
    <b v="0"/>
    <n v="1"/>
    <s v="No"/>
    <s v="Monday"/>
    <n v="2"/>
    <s v="Misty"/>
    <n v="0.14000000000000001"/>
    <s v="Safe"/>
    <n v="0.1212"/>
    <n v="0.5"/>
    <s v="Acceptable"/>
    <n v="0.25369999999999998"/>
    <n v="2"/>
    <x v="50"/>
    <n v="94"/>
  </r>
  <r>
    <n v="220"/>
    <x v="9"/>
    <x v="0"/>
    <n v="10"/>
    <b v="0"/>
    <n v="1"/>
    <s v="No"/>
    <s v="Monday"/>
    <n v="2"/>
    <s v="Misty"/>
    <n v="0.14000000000000001"/>
    <s v="Safe"/>
    <n v="0.1212"/>
    <n v="0.5"/>
    <s v="Acceptable"/>
    <n v="0.29849999999999999"/>
    <n v="0"/>
    <x v="17"/>
    <n v="31"/>
  </r>
  <r>
    <n v="221"/>
    <x v="9"/>
    <x v="0"/>
    <n v="11"/>
    <b v="0"/>
    <n v="1"/>
    <s v="No"/>
    <s v="Monday"/>
    <n v="2"/>
    <s v="Misty"/>
    <n v="0.16"/>
    <s v="Safe"/>
    <n v="0.13639999999999999"/>
    <n v="0.47"/>
    <s v="Acceptable"/>
    <n v="0.28360000000000002"/>
    <n v="2"/>
    <x v="95"/>
    <n v="30"/>
  </r>
  <r>
    <n v="222"/>
    <x v="9"/>
    <x v="0"/>
    <n v="12"/>
    <b v="0"/>
    <n v="1"/>
    <s v="No"/>
    <s v="Monday"/>
    <n v="2"/>
    <s v="Misty"/>
    <n v="0.2"/>
    <s v="Safe"/>
    <n v="0.18179999999999999"/>
    <n v="0.4"/>
    <s v="Acceptable"/>
    <n v="0.28360000000000002"/>
    <n v="5"/>
    <x v="12"/>
    <n v="52"/>
  </r>
  <r>
    <n v="223"/>
    <x v="9"/>
    <x v="0"/>
    <n v="13"/>
    <b v="0"/>
    <n v="1"/>
    <s v="No"/>
    <s v="Monday"/>
    <n v="2"/>
    <s v="Misty"/>
    <n v="0.2"/>
    <s v="Safe"/>
    <n v="0.18179999999999999"/>
    <n v="0.4"/>
    <s v="Acceptable"/>
    <n v="0.28360000000000002"/>
    <n v="4"/>
    <x v="54"/>
    <n v="54"/>
  </r>
  <r>
    <n v="224"/>
    <x v="9"/>
    <x v="0"/>
    <n v="14"/>
    <b v="0"/>
    <n v="1"/>
    <s v="No"/>
    <s v="Monday"/>
    <n v="2"/>
    <s v="Misty"/>
    <n v="0.2"/>
    <s v="Safe"/>
    <n v="0.19700000000000001"/>
    <n v="0.4"/>
    <s v="Acceptable"/>
    <n v="0.22389999999999999"/>
    <n v="0"/>
    <x v="12"/>
    <n v="47"/>
  </r>
  <r>
    <n v="225"/>
    <x v="9"/>
    <x v="0"/>
    <n v="15"/>
    <b v="0"/>
    <n v="1"/>
    <s v="No"/>
    <s v="Monday"/>
    <n v="2"/>
    <s v="Misty"/>
    <n v="0.2"/>
    <s v="Safe"/>
    <n v="0.19700000000000001"/>
    <n v="0.4"/>
    <s v="Acceptable"/>
    <n v="0.22389999999999999"/>
    <n v="2"/>
    <x v="30"/>
    <n v="45"/>
  </r>
  <r>
    <n v="226"/>
    <x v="9"/>
    <x v="0"/>
    <n v="16"/>
    <b v="0"/>
    <n v="1"/>
    <s v="No"/>
    <s v="Monday"/>
    <n v="1"/>
    <s v="Clean"/>
    <n v="0.2"/>
    <s v="Safe"/>
    <n v="0.21210000000000001"/>
    <n v="0.4"/>
    <s v="Acceptable"/>
    <n v="0.1343"/>
    <n v="4"/>
    <x v="14"/>
    <n v="74"/>
  </r>
  <r>
    <n v="227"/>
    <x v="9"/>
    <x v="0"/>
    <n v="17"/>
    <b v="0"/>
    <n v="1"/>
    <s v="No"/>
    <s v="Monday"/>
    <n v="1"/>
    <s v="Clean"/>
    <n v="0.2"/>
    <s v="Safe"/>
    <n v="0.2273"/>
    <n v="0.4"/>
    <s v="Acceptable"/>
    <n v="0.1045"/>
    <n v="4"/>
    <x v="104"/>
    <n v="178"/>
  </r>
  <r>
    <n v="228"/>
    <x v="9"/>
    <x v="0"/>
    <n v="18"/>
    <b v="0"/>
    <n v="1"/>
    <s v="No"/>
    <s v="Monday"/>
    <n v="1"/>
    <s v="Clean"/>
    <n v="0.2"/>
    <s v="Safe"/>
    <n v="0.19700000000000001"/>
    <n v="0.4"/>
    <s v="Acceptable"/>
    <n v="0.22389999999999999"/>
    <n v="1"/>
    <x v="105"/>
    <n v="155"/>
  </r>
  <r>
    <n v="229"/>
    <x v="9"/>
    <x v="0"/>
    <n v="19"/>
    <b v="0"/>
    <n v="1"/>
    <s v="No"/>
    <s v="Monday"/>
    <n v="1"/>
    <s v="Clean"/>
    <n v="0.16"/>
    <s v="Safe"/>
    <n v="0.16669999999999999"/>
    <n v="0.47"/>
    <s v="Acceptable"/>
    <n v="0.16420000000000001"/>
    <n v="3"/>
    <x v="50"/>
    <n v="95"/>
  </r>
  <r>
    <n v="230"/>
    <x v="9"/>
    <x v="0"/>
    <n v="20"/>
    <b v="0"/>
    <n v="1"/>
    <s v="No"/>
    <s v="Monday"/>
    <n v="1"/>
    <s v="Clean"/>
    <n v="0.16"/>
    <s v="Safe"/>
    <n v="0.16669999999999999"/>
    <n v="0.5"/>
    <s v="Acceptable"/>
    <n v="0.16420000000000001"/>
    <n v="1"/>
    <x v="26"/>
    <n v="74"/>
  </r>
  <r>
    <n v="231"/>
    <x v="9"/>
    <x v="0"/>
    <n v="21"/>
    <b v="0"/>
    <n v="1"/>
    <s v="No"/>
    <s v="Monday"/>
    <n v="1"/>
    <s v="Clean"/>
    <n v="0.14000000000000001"/>
    <s v="Safe"/>
    <n v="0.13639999999999999"/>
    <n v="0.59"/>
    <s v="Acceptable"/>
    <n v="0.19400000000000001"/>
    <n v="1"/>
    <x v="53"/>
    <n v="38"/>
  </r>
  <r>
    <n v="232"/>
    <x v="9"/>
    <x v="0"/>
    <n v="22"/>
    <b v="0"/>
    <n v="1"/>
    <s v="No"/>
    <s v="Monday"/>
    <n v="1"/>
    <s v="Clean"/>
    <n v="0.14000000000000001"/>
    <s v="Safe"/>
    <n v="0.1515"/>
    <n v="0.59"/>
    <s v="Acceptable"/>
    <n v="0.16420000000000001"/>
    <n v="2"/>
    <x v="97"/>
    <n v="24"/>
  </r>
  <r>
    <n v="233"/>
    <x v="9"/>
    <x v="0"/>
    <n v="23"/>
    <b v="0"/>
    <n v="1"/>
    <s v="No"/>
    <s v="Monday"/>
    <n v="1"/>
    <s v="Clean"/>
    <n v="0.14000000000000001"/>
    <s v="Safe"/>
    <n v="0.1515"/>
    <n v="0.59"/>
    <s v="Acceptable"/>
    <n v="0.16420000000000001"/>
    <n v="0"/>
    <x v="72"/>
    <n v="18"/>
  </r>
  <r>
    <n v="234"/>
    <x v="10"/>
    <x v="0"/>
    <n v="0"/>
    <b v="0"/>
    <n v="2"/>
    <s v="No"/>
    <s v="Tuesday"/>
    <n v="1"/>
    <s v="Clean"/>
    <n v="0.14000000000000001"/>
    <s v="Safe"/>
    <n v="0.16669999999999999"/>
    <n v="0.59"/>
    <s v="Acceptable"/>
    <n v="0.1045"/>
    <n v="2"/>
    <x v="3"/>
    <n v="12"/>
  </r>
  <r>
    <n v="235"/>
    <x v="10"/>
    <x v="0"/>
    <n v="1"/>
    <b v="0"/>
    <n v="2"/>
    <s v="No"/>
    <s v="Tuesday"/>
    <n v="1"/>
    <s v="Clean"/>
    <n v="0.14000000000000001"/>
    <s v="Safe"/>
    <n v="0.1515"/>
    <n v="0.59"/>
    <s v="Acceptable"/>
    <n v="0.16420000000000001"/>
    <n v="0"/>
    <x v="35"/>
    <n v="3"/>
  </r>
  <r>
    <n v="236"/>
    <x v="10"/>
    <x v="0"/>
    <n v="2"/>
    <b v="0"/>
    <n v="2"/>
    <s v="No"/>
    <s v="Tuesday"/>
    <n v="2"/>
    <s v="Misty"/>
    <n v="0.16"/>
    <s v="Safe"/>
    <n v="0.1515"/>
    <n v="0.55000000000000004"/>
    <s v="Acceptable"/>
    <n v="0.19400000000000001"/>
    <n v="0"/>
    <x v="35"/>
    <n v="3"/>
  </r>
  <r>
    <n v="237"/>
    <x v="10"/>
    <x v="0"/>
    <n v="5"/>
    <b v="0"/>
    <n v="2"/>
    <s v="No"/>
    <s v="Tuesday"/>
    <n v="2"/>
    <s v="Misty"/>
    <n v="0.16"/>
    <s v="Safe"/>
    <n v="0.18179999999999999"/>
    <n v="0.55000000000000004"/>
    <s v="Acceptable"/>
    <n v="0.1343"/>
    <n v="0"/>
    <x v="8"/>
    <n v="6"/>
  </r>
  <r>
    <n v="238"/>
    <x v="10"/>
    <x v="0"/>
    <n v="6"/>
    <b v="0"/>
    <n v="2"/>
    <s v="No"/>
    <s v="Tuesday"/>
    <n v="2"/>
    <s v="Misty"/>
    <n v="0.16"/>
    <s v="Safe"/>
    <n v="0.18179999999999999"/>
    <n v="0.55000000000000004"/>
    <s v="Acceptable"/>
    <n v="0.1343"/>
    <n v="0"/>
    <x v="2"/>
    <n v="27"/>
  </r>
  <r>
    <n v="239"/>
    <x v="10"/>
    <x v="0"/>
    <n v="7"/>
    <b v="0"/>
    <n v="2"/>
    <s v="No"/>
    <s v="Tuesday"/>
    <n v="2"/>
    <s v="Misty"/>
    <n v="0.16"/>
    <s v="Safe"/>
    <n v="0.2273"/>
    <n v="0.55000000000000004"/>
    <s v="Acceptable"/>
    <n v="0"/>
    <n v="2"/>
    <x v="106"/>
    <n v="99"/>
  </r>
  <r>
    <n v="240"/>
    <x v="10"/>
    <x v="0"/>
    <n v="8"/>
    <b v="0"/>
    <n v="2"/>
    <s v="No"/>
    <s v="Tuesday"/>
    <n v="2"/>
    <s v="Misty"/>
    <n v="0.18"/>
    <s v="Safe"/>
    <n v="0.21210000000000001"/>
    <n v="0.51"/>
    <s v="Acceptable"/>
    <n v="8.9599999999999999E-2"/>
    <n v="3"/>
    <x v="107"/>
    <n v="217"/>
  </r>
  <r>
    <n v="241"/>
    <x v="10"/>
    <x v="0"/>
    <n v="9"/>
    <b v="0"/>
    <n v="2"/>
    <s v="No"/>
    <s v="Tuesday"/>
    <n v="2"/>
    <s v="Misty"/>
    <n v="0.18"/>
    <s v="Safe"/>
    <n v="0.19700000000000001"/>
    <n v="0.51"/>
    <s v="Acceptable"/>
    <n v="0.16420000000000001"/>
    <n v="3"/>
    <x v="69"/>
    <n v="130"/>
  </r>
  <r>
    <n v="242"/>
    <x v="10"/>
    <x v="0"/>
    <n v="10"/>
    <b v="0"/>
    <n v="2"/>
    <s v="No"/>
    <s v="Tuesday"/>
    <n v="2"/>
    <s v="Misty"/>
    <n v="0.2"/>
    <s v="Safe"/>
    <n v="0.21210000000000001"/>
    <n v="0.51"/>
    <s v="Acceptable"/>
    <n v="0.16420000000000001"/>
    <n v="3"/>
    <x v="82"/>
    <n v="54"/>
  </r>
  <r>
    <n v="243"/>
    <x v="10"/>
    <x v="0"/>
    <n v="11"/>
    <b v="0"/>
    <n v="2"/>
    <s v="No"/>
    <s v="Tuesday"/>
    <n v="2"/>
    <s v="Misty"/>
    <n v="0.2"/>
    <s v="Safe"/>
    <n v="0.21210000000000001"/>
    <n v="0.47"/>
    <s v="Acceptable"/>
    <n v="0.1343"/>
    <n v="4"/>
    <x v="17"/>
    <n v="35"/>
  </r>
  <r>
    <n v="244"/>
    <x v="10"/>
    <x v="0"/>
    <n v="12"/>
    <b v="0"/>
    <n v="2"/>
    <s v="No"/>
    <s v="Tuesday"/>
    <n v="2"/>
    <s v="Misty"/>
    <n v="0.2"/>
    <s v="Safe"/>
    <n v="0.2273"/>
    <n v="0.51"/>
    <s v="Acceptable"/>
    <n v="0.1045"/>
    <n v="2"/>
    <x v="11"/>
    <n v="57"/>
  </r>
  <r>
    <n v="245"/>
    <x v="10"/>
    <x v="0"/>
    <n v="13"/>
    <b v="0"/>
    <n v="2"/>
    <s v="No"/>
    <s v="Tuesday"/>
    <n v="2"/>
    <s v="Misty"/>
    <n v="0.2"/>
    <s v="Safe"/>
    <n v="0.2273"/>
    <n v="0.59"/>
    <s v="Acceptable"/>
    <n v="8.9599999999999999E-2"/>
    <n v="6"/>
    <x v="24"/>
    <n v="52"/>
  </r>
  <r>
    <n v="246"/>
    <x v="10"/>
    <x v="0"/>
    <n v="14"/>
    <b v="0"/>
    <n v="2"/>
    <s v="No"/>
    <s v="Tuesday"/>
    <n v="2"/>
    <s v="Misty"/>
    <n v="0.2"/>
    <s v="Safe"/>
    <n v="0.2273"/>
    <n v="0.59"/>
    <s v="Acceptable"/>
    <n v="8.9599999999999999E-2"/>
    <n v="3"/>
    <x v="91"/>
    <n v="63"/>
  </r>
  <r>
    <n v="247"/>
    <x v="10"/>
    <x v="0"/>
    <n v="15"/>
    <b v="0"/>
    <n v="2"/>
    <s v="No"/>
    <s v="Tuesday"/>
    <n v="2"/>
    <s v="Misty"/>
    <n v="0.16"/>
    <s v="Safe"/>
    <n v="0.19700000000000001"/>
    <n v="0.8"/>
    <s v="Risky"/>
    <n v="8.9599999999999999E-2"/>
    <n v="2"/>
    <x v="108"/>
    <n v="47"/>
  </r>
  <r>
    <n v="248"/>
    <x v="10"/>
    <x v="0"/>
    <n v="16"/>
    <b v="0"/>
    <n v="2"/>
    <s v="No"/>
    <s v="Tuesday"/>
    <n v="2"/>
    <s v="Misty"/>
    <n v="0.16"/>
    <s v="Safe"/>
    <n v="0.1515"/>
    <n v="0.86"/>
    <s v="Risky"/>
    <n v="0.22389999999999999"/>
    <n v="4"/>
    <x v="109"/>
    <n v="76"/>
  </r>
  <r>
    <n v="249"/>
    <x v="10"/>
    <x v="0"/>
    <n v="17"/>
    <b v="0"/>
    <n v="2"/>
    <s v="No"/>
    <s v="Tuesday"/>
    <n v="2"/>
    <s v="Misty"/>
    <n v="0.16"/>
    <s v="Safe"/>
    <n v="0.1515"/>
    <n v="0.86"/>
    <s v="Risky"/>
    <n v="0.22389999999999999"/>
    <n v="6"/>
    <x v="110"/>
    <n v="136"/>
  </r>
  <r>
    <n v="250"/>
    <x v="10"/>
    <x v="0"/>
    <n v="18"/>
    <b v="0"/>
    <n v="2"/>
    <s v="No"/>
    <s v="Tuesday"/>
    <n v="3"/>
    <s v="Light Rain"/>
    <n v="0.16"/>
    <s v="Safe"/>
    <n v="0.18179999999999999"/>
    <n v="0.93"/>
    <s v="Risky"/>
    <n v="0.1045"/>
    <n v="1"/>
    <x v="111"/>
    <n v="95"/>
  </r>
  <r>
    <n v="251"/>
    <x v="10"/>
    <x v="0"/>
    <n v="19"/>
    <b v="0"/>
    <n v="2"/>
    <s v="No"/>
    <s v="Tuesday"/>
    <n v="3"/>
    <s v="Light Rain"/>
    <n v="0.16"/>
    <s v="Safe"/>
    <n v="0.2273"/>
    <n v="0.93"/>
    <s v="Risky"/>
    <n v="0"/>
    <n v="0"/>
    <x v="82"/>
    <n v="51"/>
  </r>
  <r>
    <n v="252"/>
    <x v="10"/>
    <x v="0"/>
    <n v="20"/>
    <b v="0"/>
    <n v="2"/>
    <s v="No"/>
    <s v="Tuesday"/>
    <n v="3"/>
    <s v="Light Rain"/>
    <n v="0.16"/>
    <s v="Safe"/>
    <n v="0.1515"/>
    <n v="0.93"/>
    <s v="Risky"/>
    <n v="0.19400000000000001"/>
    <n v="0"/>
    <x v="1"/>
    <n v="32"/>
  </r>
  <r>
    <n v="253"/>
    <x v="10"/>
    <x v="0"/>
    <n v="21"/>
    <b v="0"/>
    <n v="2"/>
    <s v="No"/>
    <s v="Tuesday"/>
    <n v="3"/>
    <s v="Light Rain"/>
    <n v="0.16"/>
    <s v="Safe"/>
    <n v="0.19700000000000001"/>
    <n v="0.86"/>
    <s v="Risky"/>
    <n v="8.9599999999999999E-2"/>
    <n v="0"/>
    <x v="32"/>
    <n v="20"/>
  </r>
  <r>
    <n v="254"/>
    <x v="10"/>
    <x v="0"/>
    <n v="22"/>
    <b v="0"/>
    <n v="2"/>
    <s v="No"/>
    <s v="Tuesday"/>
    <n v="3"/>
    <s v="Light Rain"/>
    <n v="0.16"/>
    <s v="Safe"/>
    <n v="0.18179999999999999"/>
    <n v="0.93"/>
    <s v="Risky"/>
    <n v="0.1045"/>
    <n v="1"/>
    <x v="95"/>
    <n v="29"/>
  </r>
  <r>
    <n v="255"/>
    <x v="10"/>
    <x v="0"/>
    <n v="23"/>
    <b v="0"/>
    <n v="2"/>
    <s v="No"/>
    <s v="Tuesday"/>
    <n v="3"/>
    <s v="Light Rain"/>
    <n v="0.16"/>
    <s v="Safe"/>
    <n v="0.19700000000000001"/>
    <n v="0.93"/>
    <s v="Risky"/>
    <n v="8.9599999999999999E-2"/>
    <n v="1"/>
    <x v="72"/>
    <n v="19"/>
  </r>
  <r>
    <n v="256"/>
    <x v="11"/>
    <x v="0"/>
    <n v="0"/>
    <b v="0"/>
    <n v="3"/>
    <s v="No"/>
    <s v="Wednesday"/>
    <n v="2"/>
    <s v="Misty"/>
    <n v="0.16"/>
    <s v="Safe"/>
    <n v="0.19700000000000001"/>
    <n v="0.86"/>
    <s v="Risky"/>
    <n v="8.9599999999999999E-2"/>
    <n v="0"/>
    <x v="7"/>
    <n v="7"/>
  </r>
  <r>
    <n v="257"/>
    <x v="11"/>
    <x v="0"/>
    <n v="1"/>
    <b v="0"/>
    <n v="3"/>
    <s v="No"/>
    <s v="Wednesday"/>
    <n v="2"/>
    <s v="Misty"/>
    <n v="0.16"/>
    <s v="Safe"/>
    <n v="0.18179999999999999"/>
    <n v="0.86"/>
    <s v="Risky"/>
    <n v="0.1045"/>
    <n v="0"/>
    <x v="8"/>
    <n v="6"/>
  </r>
  <r>
    <n v="258"/>
    <x v="11"/>
    <x v="0"/>
    <n v="2"/>
    <b v="0"/>
    <n v="3"/>
    <s v="No"/>
    <s v="Wednesday"/>
    <n v="1"/>
    <s v="Clean"/>
    <n v="0.14000000000000001"/>
    <s v="Safe"/>
    <n v="0.1515"/>
    <n v="0.86"/>
    <s v="Risky"/>
    <n v="0.1343"/>
    <n v="0"/>
    <x v="4"/>
    <n v="1"/>
  </r>
  <r>
    <n v="259"/>
    <x v="11"/>
    <x v="0"/>
    <n v="5"/>
    <b v="0"/>
    <n v="3"/>
    <s v="No"/>
    <s v="Wednesday"/>
    <n v="1"/>
    <s v="Clean"/>
    <n v="0.14000000000000001"/>
    <s v="Safe"/>
    <n v="0.1515"/>
    <n v="0.86"/>
    <s v="Risky"/>
    <n v="0.16420000000000001"/>
    <n v="0"/>
    <x v="34"/>
    <n v="5"/>
  </r>
  <r>
    <n v="260"/>
    <x v="11"/>
    <x v="0"/>
    <n v="6"/>
    <b v="0"/>
    <n v="3"/>
    <s v="No"/>
    <s v="Wednesday"/>
    <n v="1"/>
    <s v="Clean"/>
    <n v="0.12"/>
    <s v="Safe"/>
    <n v="0.1515"/>
    <n v="0.93"/>
    <s v="Risky"/>
    <n v="0.1343"/>
    <n v="0"/>
    <x v="20"/>
    <n v="16"/>
  </r>
  <r>
    <n v="261"/>
    <x v="11"/>
    <x v="0"/>
    <n v="7"/>
    <b v="0"/>
    <n v="3"/>
    <s v="No"/>
    <s v="Wednesday"/>
    <n v="1"/>
    <s v="Clean"/>
    <n v="0.14000000000000001"/>
    <s v="Safe"/>
    <n v="0.1515"/>
    <n v="0.69"/>
    <s v="Acceptable"/>
    <n v="0.1343"/>
    <n v="0"/>
    <x v="25"/>
    <n v="54"/>
  </r>
  <r>
    <n v="262"/>
    <x v="11"/>
    <x v="0"/>
    <n v="8"/>
    <b v="0"/>
    <n v="3"/>
    <s v="No"/>
    <s v="Wednesday"/>
    <n v="1"/>
    <s v="Clean"/>
    <n v="0.16"/>
    <s v="Safe"/>
    <n v="0.16669999999999999"/>
    <n v="0.59"/>
    <s v="Acceptable"/>
    <n v="0.16420000000000001"/>
    <n v="3"/>
    <x v="85"/>
    <n v="128"/>
  </r>
  <r>
    <n v="263"/>
    <x v="11"/>
    <x v="0"/>
    <n v="9"/>
    <b v="0"/>
    <n v="3"/>
    <s v="No"/>
    <s v="Wednesday"/>
    <n v="1"/>
    <s v="Clean"/>
    <n v="0.16"/>
    <s v="Safe"/>
    <n v="0.13639999999999999"/>
    <n v="0.59"/>
    <s v="Acceptable"/>
    <n v="0.32840000000000003"/>
    <n v="3"/>
    <x v="78"/>
    <n v="81"/>
  </r>
  <r>
    <n v="264"/>
    <x v="11"/>
    <x v="0"/>
    <n v="10"/>
    <b v="0"/>
    <n v="3"/>
    <s v="No"/>
    <s v="Wednesday"/>
    <n v="1"/>
    <s v="Clean"/>
    <n v="0.18"/>
    <s v="Safe"/>
    <n v="0.18179999999999999"/>
    <n v="0.55000000000000004"/>
    <s v="Acceptable"/>
    <n v="0.22389999999999999"/>
    <n v="0"/>
    <x v="87"/>
    <n v="39"/>
  </r>
  <r>
    <n v="265"/>
    <x v="11"/>
    <x v="0"/>
    <n v="11"/>
    <b v="0"/>
    <n v="3"/>
    <s v="No"/>
    <s v="Wednesday"/>
    <n v="1"/>
    <s v="Clean"/>
    <n v="0.2"/>
    <s v="Safe"/>
    <n v="0.18179999999999999"/>
    <n v="0.51"/>
    <s v="Acceptable"/>
    <n v="0.3881"/>
    <n v="3"/>
    <x v="1"/>
    <n v="35"/>
  </r>
  <r>
    <n v="266"/>
    <x v="11"/>
    <x v="0"/>
    <n v="12"/>
    <b v="0"/>
    <n v="3"/>
    <s v="No"/>
    <s v="Wednesday"/>
    <n v="1"/>
    <s v="Clean"/>
    <n v="0.2"/>
    <s v="Safe"/>
    <n v="0.1515"/>
    <n v="0.47"/>
    <s v="Acceptable"/>
    <n v="0.58209999999999995"/>
    <n v="3"/>
    <x v="15"/>
    <n v="55"/>
  </r>
  <r>
    <n v="267"/>
    <x v="11"/>
    <x v="0"/>
    <n v="13"/>
    <b v="0"/>
    <n v="3"/>
    <s v="No"/>
    <s v="Wednesday"/>
    <n v="1"/>
    <s v="Clean"/>
    <n v="0.22"/>
    <s v="Safe"/>
    <n v="0.19700000000000001"/>
    <n v="0.44"/>
    <s v="Acceptable"/>
    <n v="0.35820000000000002"/>
    <n v="0"/>
    <x v="47"/>
    <n v="49"/>
  </r>
  <r>
    <n v="268"/>
    <x v="11"/>
    <x v="0"/>
    <n v="14"/>
    <b v="0"/>
    <n v="3"/>
    <s v="No"/>
    <s v="Wednesday"/>
    <n v="1"/>
    <s v="Clean"/>
    <n v="0.2"/>
    <s v="Safe"/>
    <n v="0.18179999999999999"/>
    <n v="0.47"/>
    <s v="Acceptable"/>
    <n v="0.32840000000000003"/>
    <n v="0"/>
    <x v="100"/>
    <n v="44"/>
  </r>
  <r>
    <n v="269"/>
    <x v="11"/>
    <x v="0"/>
    <n v="15"/>
    <b v="0"/>
    <n v="3"/>
    <s v="No"/>
    <s v="Wednesday"/>
    <n v="1"/>
    <s v="Clean"/>
    <n v="0.2"/>
    <s v="Safe"/>
    <n v="0.16669999999999999"/>
    <n v="0.47"/>
    <s v="Acceptable"/>
    <n v="0.41789999999999999"/>
    <n v="1"/>
    <x v="41"/>
    <n v="49"/>
  </r>
  <r>
    <n v="270"/>
    <x v="11"/>
    <x v="0"/>
    <n v="16"/>
    <b v="0"/>
    <n v="3"/>
    <s v="No"/>
    <s v="Wednesday"/>
    <n v="1"/>
    <s v="Clean"/>
    <n v="0.22"/>
    <s v="Safe"/>
    <n v="0.19700000000000001"/>
    <n v="0.44"/>
    <s v="Acceptable"/>
    <n v="0.32840000000000003"/>
    <n v="5"/>
    <x v="36"/>
    <n v="68"/>
  </r>
  <r>
    <n v="271"/>
    <x v="11"/>
    <x v="0"/>
    <n v="17"/>
    <b v="0"/>
    <n v="3"/>
    <s v="No"/>
    <s v="Wednesday"/>
    <n v="1"/>
    <s v="Clean"/>
    <n v="0.2"/>
    <s v="Safe"/>
    <n v="0.18179999999999999"/>
    <n v="0.47"/>
    <s v="Acceptable"/>
    <n v="0.35820000000000002"/>
    <n v="0"/>
    <x v="112"/>
    <n v="139"/>
  </r>
  <r>
    <n v="272"/>
    <x v="11"/>
    <x v="0"/>
    <n v="18"/>
    <b v="0"/>
    <n v="3"/>
    <s v="No"/>
    <s v="Wednesday"/>
    <n v="1"/>
    <s v="Clean"/>
    <n v="0.2"/>
    <s v="Safe"/>
    <n v="0.1515"/>
    <n v="0.47"/>
    <s v="Acceptable"/>
    <n v="0.52239999999999998"/>
    <n v="2"/>
    <x v="113"/>
    <n v="137"/>
  </r>
  <r>
    <n v="273"/>
    <x v="11"/>
    <x v="0"/>
    <n v="19"/>
    <b v="0"/>
    <n v="3"/>
    <s v="No"/>
    <s v="Wednesday"/>
    <n v="1"/>
    <s v="Clean"/>
    <n v="0.18"/>
    <s v="Safe"/>
    <n v="0.1515"/>
    <n v="0.47"/>
    <s v="Acceptable"/>
    <n v="0.41789999999999999"/>
    <n v="1"/>
    <x v="70"/>
    <n v="83"/>
  </r>
  <r>
    <n v="274"/>
    <x v="11"/>
    <x v="0"/>
    <n v="20"/>
    <b v="0"/>
    <n v="3"/>
    <s v="No"/>
    <s v="Wednesday"/>
    <n v="1"/>
    <s v="Clean"/>
    <n v="0.16"/>
    <s v="Safe"/>
    <n v="0.13639999999999999"/>
    <n v="0.5"/>
    <s v="Acceptable"/>
    <n v="0.32840000000000003"/>
    <n v="2"/>
    <x v="25"/>
    <n v="56"/>
  </r>
  <r>
    <n v="275"/>
    <x v="11"/>
    <x v="0"/>
    <n v="21"/>
    <b v="0"/>
    <n v="3"/>
    <s v="No"/>
    <s v="Wednesday"/>
    <n v="1"/>
    <s v="Clean"/>
    <n v="0.16"/>
    <s v="Safe"/>
    <n v="0.13639999999999999"/>
    <n v="0.55000000000000004"/>
    <s v="Acceptable"/>
    <n v="0.32840000000000003"/>
    <n v="0"/>
    <x v="77"/>
    <n v="57"/>
  </r>
  <r>
    <n v="276"/>
    <x v="11"/>
    <x v="0"/>
    <n v="22"/>
    <b v="0"/>
    <n v="3"/>
    <s v="No"/>
    <s v="Wednesday"/>
    <n v="1"/>
    <s v="Clean"/>
    <n v="0.16"/>
    <s v="Safe"/>
    <n v="0.1212"/>
    <n v="0.55000000000000004"/>
    <s v="Acceptable"/>
    <n v="0.44779999999999998"/>
    <n v="1"/>
    <x v="1"/>
    <n v="33"/>
  </r>
  <r>
    <n v="277"/>
    <x v="11"/>
    <x v="0"/>
    <n v="23"/>
    <b v="0"/>
    <n v="3"/>
    <s v="No"/>
    <s v="Wednesday"/>
    <n v="1"/>
    <s v="Clean"/>
    <n v="0.14000000000000001"/>
    <s v="Safe"/>
    <n v="0.1061"/>
    <n v="0.59"/>
    <s v="Acceptable"/>
    <n v="0.41789999999999999"/>
    <n v="1"/>
    <x v="23"/>
    <n v="20"/>
  </r>
  <r>
    <n v="278"/>
    <x v="12"/>
    <x v="0"/>
    <n v="0"/>
    <b v="0"/>
    <n v="4"/>
    <s v="No"/>
    <s v="Thursday"/>
    <n v="1"/>
    <s v="Clean"/>
    <n v="0.14000000000000001"/>
    <s v="Safe"/>
    <n v="0.1212"/>
    <n v="0.59"/>
    <s v="Acceptable"/>
    <n v="0.28360000000000002"/>
    <n v="1"/>
    <x v="8"/>
    <n v="7"/>
  </r>
  <r>
    <n v="279"/>
    <x v="12"/>
    <x v="0"/>
    <n v="1"/>
    <b v="0"/>
    <n v="4"/>
    <s v="No"/>
    <s v="Thursday"/>
    <n v="1"/>
    <s v="Clean"/>
    <n v="0.14000000000000001"/>
    <s v="Safe"/>
    <n v="0.1212"/>
    <n v="0.5"/>
    <s v="Acceptable"/>
    <n v="0.28360000000000002"/>
    <n v="0"/>
    <x v="6"/>
    <n v="2"/>
  </r>
  <r>
    <n v="280"/>
    <x v="12"/>
    <x v="0"/>
    <n v="2"/>
    <b v="0"/>
    <n v="4"/>
    <s v="No"/>
    <s v="Thursday"/>
    <n v="1"/>
    <s v="Clean"/>
    <n v="0.14000000000000001"/>
    <s v="Safe"/>
    <n v="0.1212"/>
    <n v="0.5"/>
    <s v="Acceptable"/>
    <n v="0.35820000000000002"/>
    <n v="0"/>
    <x v="6"/>
    <n v="2"/>
  </r>
  <r>
    <n v="281"/>
    <x v="12"/>
    <x v="0"/>
    <n v="3"/>
    <b v="0"/>
    <n v="4"/>
    <s v="No"/>
    <s v="Thursday"/>
    <n v="1"/>
    <s v="Clean"/>
    <n v="0.14000000000000001"/>
    <s v="Safe"/>
    <n v="0.1212"/>
    <n v="0.5"/>
    <s v="Acceptable"/>
    <n v="0.32840000000000003"/>
    <n v="0"/>
    <x v="35"/>
    <n v="3"/>
  </r>
  <r>
    <n v="282"/>
    <x v="12"/>
    <x v="0"/>
    <n v="4"/>
    <b v="0"/>
    <n v="4"/>
    <s v="No"/>
    <s v="Thursday"/>
    <n v="1"/>
    <s v="Clean"/>
    <n v="0.14000000000000001"/>
    <s v="Safe"/>
    <n v="0.1212"/>
    <n v="0.5"/>
    <s v="Acceptable"/>
    <n v="0.25369999999999998"/>
    <n v="0"/>
    <x v="22"/>
    <n v="4"/>
  </r>
  <r>
    <n v="283"/>
    <x v="12"/>
    <x v="0"/>
    <n v="5"/>
    <b v="0"/>
    <n v="4"/>
    <s v="No"/>
    <s v="Thursday"/>
    <n v="1"/>
    <s v="Clean"/>
    <n v="0.14000000000000001"/>
    <s v="Safe"/>
    <n v="0.1212"/>
    <n v="0.5"/>
    <s v="Acceptable"/>
    <n v="0.29849999999999999"/>
    <n v="0"/>
    <x v="35"/>
    <n v="3"/>
  </r>
  <r>
    <n v="284"/>
    <x v="12"/>
    <x v="0"/>
    <n v="6"/>
    <b v="0"/>
    <n v="4"/>
    <s v="No"/>
    <s v="Thursday"/>
    <n v="1"/>
    <s v="Clean"/>
    <n v="0.12"/>
    <s v="Safe"/>
    <n v="0.1515"/>
    <n v="0.54"/>
    <s v="Acceptable"/>
    <n v="0.1343"/>
    <n v="0"/>
    <x v="95"/>
    <n v="28"/>
  </r>
  <r>
    <n v="285"/>
    <x v="12"/>
    <x v="0"/>
    <n v="7"/>
    <b v="0"/>
    <n v="4"/>
    <s v="No"/>
    <s v="Thursday"/>
    <n v="1"/>
    <s v="Clean"/>
    <n v="0.12"/>
    <s v="Safe"/>
    <n v="0.1515"/>
    <n v="0.54"/>
    <s v="Acceptable"/>
    <n v="0.1343"/>
    <n v="0"/>
    <x v="109"/>
    <n v="72"/>
  </r>
  <r>
    <n v="286"/>
    <x v="12"/>
    <x v="0"/>
    <n v="8"/>
    <b v="0"/>
    <n v="4"/>
    <s v="No"/>
    <s v="Thursday"/>
    <n v="1"/>
    <s v="Clean"/>
    <n v="0.14000000000000001"/>
    <s v="Safe"/>
    <n v="0.13639999999999999"/>
    <n v="0.5"/>
    <s v="Acceptable"/>
    <n v="0.19400000000000001"/>
    <n v="5"/>
    <x v="114"/>
    <n v="202"/>
  </r>
  <r>
    <n v="287"/>
    <x v="12"/>
    <x v="0"/>
    <n v="9"/>
    <b v="0"/>
    <n v="4"/>
    <s v="No"/>
    <s v="Thursday"/>
    <n v="1"/>
    <s v="Clean"/>
    <n v="0.14000000000000001"/>
    <s v="Safe"/>
    <n v="0.1212"/>
    <n v="0.5"/>
    <s v="Acceptable"/>
    <n v="0.32840000000000003"/>
    <n v="2"/>
    <x v="115"/>
    <n v="139"/>
  </r>
  <r>
    <n v="288"/>
    <x v="12"/>
    <x v="0"/>
    <n v="10"/>
    <b v="0"/>
    <n v="4"/>
    <s v="No"/>
    <s v="Thursday"/>
    <n v="2"/>
    <s v="Misty"/>
    <n v="0.16"/>
    <s v="Safe"/>
    <n v="0.13639999999999999"/>
    <n v="0.5"/>
    <s v="Acceptable"/>
    <n v="0.35820000000000002"/>
    <n v="2"/>
    <x v="49"/>
    <n v="38"/>
  </r>
  <r>
    <n v="289"/>
    <x v="12"/>
    <x v="0"/>
    <n v="11"/>
    <b v="0"/>
    <n v="4"/>
    <s v="No"/>
    <s v="Thursday"/>
    <n v="2"/>
    <s v="Misty"/>
    <n v="0.2"/>
    <s v="Safe"/>
    <n v="0.16669999999999999"/>
    <n v="0.44"/>
    <s v="Acceptable"/>
    <n v="0.44779999999999998"/>
    <n v="4"/>
    <x v="39"/>
    <n v="37"/>
  </r>
  <r>
    <n v="290"/>
    <x v="12"/>
    <x v="0"/>
    <n v="12"/>
    <b v="0"/>
    <n v="4"/>
    <s v="No"/>
    <s v="Thursday"/>
    <n v="1"/>
    <s v="Clean"/>
    <n v="0.2"/>
    <s v="Safe"/>
    <n v="0.16669999999999999"/>
    <n v="0.44"/>
    <s v="Acceptable"/>
    <n v="0.41789999999999999"/>
    <n v="3"/>
    <x v="47"/>
    <n v="52"/>
  </r>
  <r>
    <n v="291"/>
    <x v="12"/>
    <x v="0"/>
    <n v="13"/>
    <b v="0"/>
    <n v="4"/>
    <s v="No"/>
    <s v="Thursday"/>
    <n v="1"/>
    <s v="Clean"/>
    <n v="0.22"/>
    <s v="Safe"/>
    <n v="0.19700000000000001"/>
    <n v="0.41"/>
    <s v="Acceptable"/>
    <n v="0.44779999999999998"/>
    <n v="2"/>
    <x v="38"/>
    <n v="83"/>
  </r>
  <r>
    <n v="292"/>
    <x v="12"/>
    <x v="0"/>
    <n v="14"/>
    <b v="0"/>
    <n v="4"/>
    <s v="No"/>
    <s v="Thursday"/>
    <n v="1"/>
    <s v="Clean"/>
    <n v="0.22"/>
    <s v="Safe"/>
    <n v="0.19700000000000001"/>
    <n v="0.41"/>
    <s v="Acceptable"/>
    <n v="0.3881"/>
    <n v="3"/>
    <x v="87"/>
    <n v="42"/>
  </r>
  <r>
    <n v="293"/>
    <x v="12"/>
    <x v="0"/>
    <n v="15"/>
    <b v="0"/>
    <n v="4"/>
    <s v="No"/>
    <s v="Thursday"/>
    <n v="1"/>
    <s v="Clean"/>
    <n v="0.24"/>
    <s v="Safe"/>
    <n v="0.21210000000000001"/>
    <n v="0.38"/>
    <s v="Acceptable"/>
    <n v="0.29849999999999999"/>
    <n v="5"/>
    <x v="11"/>
    <n v="60"/>
  </r>
  <r>
    <n v="294"/>
    <x v="12"/>
    <x v="0"/>
    <n v="16"/>
    <b v="0"/>
    <n v="4"/>
    <s v="No"/>
    <s v="Thursday"/>
    <n v="1"/>
    <s v="Clean"/>
    <n v="0.24"/>
    <s v="Safe"/>
    <n v="0.21210000000000001"/>
    <n v="0.38"/>
    <s v="Acceptable"/>
    <n v="0.35820000000000002"/>
    <n v="2"/>
    <x v="83"/>
    <n v="78"/>
  </r>
  <r>
    <n v="295"/>
    <x v="12"/>
    <x v="0"/>
    <n v="17"/>
    <b v="0"/>
    <n v="4"/>
    <s v="No"/>
    <s v="Thursday"/>
    <n v="1"/>
    <s v="Clean"/>
    <n v="0.2"/>
    <s v="Safe"/>
    <n v="0.18179999999999999"/>
    <n v="0.4"/>
    <s v="Acceptable"/>
    <n v="0.28360000000000002"/>
    <n v="4"/>
    <x v="81"/>
    <n v="162"/>
  </r>
  <r>
    <n v="296"/>
    <x v="12"/>
    <x v="0"/>
    <n v="18"/>
    <b v="0"/>
    <n v="4"/>
    <s v="No"/>
    <s v="Thursday"/>
    <n v="1"/>
    <s v="Clean"/>
    <n v="0.2"/>
    <s v="Safe"/>
    <n v="0.18179999999999999"/>
    <n v="0.4"/>
    <s v="Acceptable"/>
    <n v="0.32840000000000003"/>
    <n v="3"/>
    <x v="116"/>
    <n v="144"/>
  </r>
  <r>
    <n v="297"/>
    <x v="12"/>
    <x v="0"/>
    <n v="19"/>
    <b v="0"/>
    <n v="4"/>
    <s v="No"/>
    <s v="Thursday"/>
    <n v="1"/>
    <s v="Clean"/>
    <n v="0.16"/>
    <s v="Safe"/>
    <n v="0.1515"/>
    <n v="0.47"/>
    <s v="Acceptable"/>
    <n v="0.25369999999999998"/>
    <n v="1"/>
    <x v="52"/>
    <n v="99"/>
  </r>
  <r>
    <n v="298"/>
    <x v="12"/>
    <x v="0"/>
    <n v="20"/>
    <b v="0"/>
    <n v="4"/>
    <s v="No"/>
    <s v="Thursday"/>
    <n v="1"/>
    <s v="Clean"/>
    <n v="0.16"/>
    <s v="Safe"/>
    <n v="0.1515"/>
    <n v="0.47"/>
    <s v="Acceptable"/>
    <n v="0.22389999999999999"/>
    <n v="0"/>
    <x v="27"/>
    <n v="64"/>
  </r>
  <r>
    <n v="299"/>
    <x v="12"/>
    <x v="0"/>
    <n v="21"/>
    <b v="0"/>
    <n v="4"/>
    <s v="No"/>
    <s v="Thursday"/>
    <n v="1"/>
    <s v="Clean"/>
    <n v="0.14000000000000001"/>
    <s v="Safe"/>
    <n v="0.1212"/>
    <n v="0.46"/>
    <s v="Acceptable"/>
    <n v="0.29849999999999999"/>
    <n v="0"/>
    <x v="71"/>
    <n v="40"/>
  </r>
  <r>
    <n v="300"/>
    <x v="12"/>
    <x v="0"/>
    <n v="22"/>
    <b v="0"/>
    <n v="4"/>
    <s v="No"/>
    <s v="Thursday"/>
    <n v="1"/>
    <s v="Clean"/>
    <n v="0.14000000000000001"/>
    <s v="Safe"/>
    <n v="0.1212"/>
    <n v="0.46"/>
    <s v="Acceptable"/>
    <n v="0.32840000000000003"/>
    <n v="0"/>
    <x v="10"/>
    <n v="30"/>
  </r>
  <r>
    <n v="301"/>
    <x v="12"/>
    <x v="0"/>
    <n v="23"/>
    <b v="0"/>
    <n v="4"/>
    <s v="No"/>
    <s v="Thursday"/>
    <n v="1"/>
    <s v="Clean"/>
    <n v="0.12"/>
    <s v="Safe"/>
    <n v="0.13639999999999999"/>
    <n v="0.5"/>
    <s v="Acceptable"/>
    <n v="0.19400000000000001"/>
    <n v="1"/>
    <x v="88"/>
    <n v="15"/>
  </r>
  <r>
    <n v="302"/>
    <x v="13"/>
    <x v="0"/>
    <n v="0"/>
    <b v="0"/>
    <n v="5"/>
    <s v="No"/>
    <s v="Friday"/>
    <n v="1"/>
    <s v="Clean"/>
    <n v="0.12"/>
    <s v="Safe"/>
    <n v="0.13639999999999999"/>
    <n v="0.5"/>
    <s v="Acceptable"/>
    <n v="0.19400000000000001"/>
    <n v="0"/>
    <x v="88"/>
    <n v="14"/>
  </r>
  <r>
    <n v="303"/>
    <x v="13"/>
    <x v="0"/>
    <n v="1"/>
    <b v="0"/>
    <n v="5"/>
    <s v="No"/>
    <s v="Friday"/>
    <n v="1"/>
    <s v="Clean"/>
    <n v="0.1"/>
    <s v="Safe"/>
    <n v="0.1212"/>
    <n v="0.54"/>
    <s v="Acceptable"/>
    <n v="0.16420000000000001"/>
    <n v="0"/>
    <x v="34"/>
    <n v="5"/>
  </r>
  <r>
    <n v="304"/>
    <x v="13"/>
    <x v="0"/>
    <n v="2"/>
    <b v="0"/>
    <n v="5"/>
    <s v="No"/>
    <s v="Friday"/>
    <n v="1"/>
    <s v="Clean"/>
    <n v="0.1"/>
    <s v="Safe"/>
    <n v="0.1212"/>
    <n v="0.54"/>
    <s v="Acceptable"/>
    <n v="0.1343"/>
    <n v="0"/>
    <x v="4"/>
    <n v="1"/>
  </r>
  <r>
    <n v="305"/>
    <x v="13"/>
    <x v="0"/>
    <n v="3"/>
    <b v="0"/>
    <n v="5"/>
    <s v="No"/>
    <s v="Friday"/>
    <n v="1"/>
    <s v="Clean"/>
    <n v="0.1"/>
    <s v="Safe"/>
    <n v="0.13639999999999999"/>
    <n v="0.54"/>
    <s v="Acceptable"/>
    <n v="0.1045"/>
    <n v="0"/>
    <x v="4"/>
    <n v="1"/>
  </r>
  <r>
    <n v="306"/>
    <x v="13"/>
    <x v="0"/>
    <n v="5"/>
    <b v="0"/>
    <n v="5"/>
    <s v="No"/>
    <s v="Friday"/>
    <n v="1"/>
    <s v="Clean"/>
    <n v="0.1"/>
    <s v="Safe"/>
    <n v="0.13639999999999999"/>
    <n v="0.54"/>
    <s v="Acceptable"/>
    <n v="8.9599999999999999E-2"/>
    <n v="0"/>
    <x v="21"/>
    <n v="8"/>
  </r>
  <r>
    <n v="307"/>
    <x v="13"/>
    <x v="0"/>
    <n v="6"/>
    <b v="0"/>
    <n v="5"/>
    <s v="No"/>
    <s v="Friday"/>
    <n v="1"/>
    <s v="Clean"/>
    <n v="0.1"/>
    <s v="Safe"/>
    <n v="0.18179999999999999"/>
    <n v="0.54"/>
    <s v="Acceptable"/>
    <n v="0"/>
    <n v="0"/>
    <x v="19"/>
    <n v="17"/>
  </r>
  <r>
    <n v="308"/>
    <x v="13"/>
    <x v="0"/>
    <n v="7"/>
    <b v="0"/>
    <n v="5"/>
    <s v="No"/>
    <s v="Friday"/>
    <n v="1"/>
    <s v="Clean"/>
    <n v="0.1"/>
    <s v="Safe"/>
    <n v="0.1212"/>
    <n v="0.74"/>
    <s v="Risky"/>
    <n v="0.16420000000000001"/>
    <n v="0"/>
    <x v="14"/>
    <n v="70"/>
  </r>
  <r>
    <n v="309"/>
    <x v="13"/>
    <x v="0"/>
    <n v="8"/>
    <b v="0"/>
    <n v="5"/>
    <s v="No"/>
    <s v="Friday"/>
    <n v="1"/>
    <s v="Clean"/>
    <n v="0.12"/>
    <s v="Safe"/>
    <n v="0.16669999999999999"/>
    <n v="0.68"/>
    <s v="Acceptable"/>
    <n v="0"/>
    <n v="2"/>
    <x v="117"/>
    <n v="158"/>
  </r>
  <r>
    <n v="310"/>
    <x v="13"/>
    <x v="0"/>
    <n v="9"/>
    <b v="0"/>
    <n v="5"/>
    <s v="No"/>
    <s v="Friday"/>
    <n v="1"/>
    <s v="Clean"/>
    <n v="0.14000000000000001"/>
    <s v="Safe"/>
    <n v="0.1515"/>
    <n v="0.69"/>
    <s v="Acceptable"/>
    <n v="0.1343"/>
    <n v="0"/>
    <x v="118"/>
    <n v="117"/>
  </r>
  <r>
    <n v="311"/>
    <x v="13"/>
    <x v="0"/>
    <n v="10"/>
    <b v="0"/>
    <n v="5"/>
    <s v="No"/>
    <s v="Friday"/>
    <n v="1"/>
    <s v="Clean"/>
    <n v="0.18"/>
    <s v="Safe"/>
    <n v="0.18179999999999999"/>
    <n v="0.55000000000000004"/>
    <s v="Acceptable"/>
    <n v="0.19400000000000001"/>
    <n v="4"/>
    <x v="71"/>
    <n v="44"/>
  </r>
  <r>
    <n v="312"/>
    <x v="13"/>
    <x v="0"/>
    <n v="11"/>
    <b v="0"/>
    <n v="5"/>
    <s v="No"/>
    <s v="Friday"/>
    <n v="1"/>
    <s v="Clean"/>
    <n v="0.18"/>
    <s v="Safe"/>
    <n v="0.16669999999999999"/>
    <n v="0.51"/>
    <s v="Acceptable"/>
    <n v="0.28360000000000002"/>
    <n v="6"/>
    <x v="12"/>
    <n v="53"/>
  </r>
  <r>
    <n v="313"/>
    <x v="13"/>
    <x v="0"/>
    <n v="12"/>
    <b v="0"/>
    <n v="5"/>
    <s v="No"/>
    <s v="Friday"/>
    <n v="1"/>
    <s v="Clean"/>
    <n v="0.2"/>
    <s v="Safe"/>
    <n v="0.19700000000000001"/>
    <n v="0.44"/>
    <s v="Acceptable"/>
    <n v="0.25369999999999998"/>
    <n v="2"/>
    <x v="79"/>
    <n v="61"/>
  </r>
  <r>
    <n v="314"/>
    <x v="13"/>
    <x v="0"/>
    <n v="13"/>
    <b v="0"/>
    <n v="5"/>
    <s v="No"/>
    <s v="Friday"/>
    <n v="1"/>
    <s v="Clean"/>
    <n v="0.22"/>
    <s v="Safe"/>
    <n v="0.19700000000000001"/>
    <n v="0.37"/>
    <s v="Acceptable"/>
    <n v="0.3881"/>
    <n v="4"/>
    <x v="26"/>
    <n v="77"/>
  </r>
  <r>
    <n v="315"/>
    <x v="13"/>
    <x v="0"/>
    <n v="14"/>
    <b v="0"/>
    <n v="5"/>
    <s v="No"/>
    <s v="Friday"/>
    <n v="1"/>
    <s v="Clean"/>
    <n v="0.22"/>
    <s v="Safe"/>
    <n v="0.21210000000000001"/>
    <n v="0.41"/>
    <s v="Acceptable"/>
    <n v="0.28360000000000002"/>
    <n v="5"/>
    <x v="79"/>
    <n v="64"/>
  </r>
  <r>
    <n v="316"/>
    <x v="13"/>
    <x v="0"/>
    <n v="15"/>
    <b v="0"/>
    <n v="5"/>
    <s v="No"/>
    <s v="Friday"/>
    <n v="1"/>
    <s v="Clean"/>
    <n v="0.24"/>
    <s v="Safe"/>
    <n v="0.2424"/>
    <n v="0.38"/>
    <s v="Acceptable"/>
    <n v="0.16420000000000001"/>
    <n v="9"/>
    <x v="79"/>
    <n v="68"/>
  </r>
  <r>
    <n v="317"/>
    <x v="13"/>
    <x v="0"/>
    <n v="16"/>
    <b v="0"/>
    <n v="5"/>
    <s v="No"/>
    <s v="Friday"/>
    <n v="1"/>
    <s v="Clean"/>
    <n v="0.22"/>
    <s v="Safe"/>
    <n v="0.2424"/>
    <n v="0.41"/>
    <s v="Acceptable"/>
    <n v="0.1045"/>
    <n v="3"/>
    <x v="61"/>
    <n v="90"/>
  </r>
  <r>
    <n v="318"/>
    <x v="13"/>
    <x v="0"/>
    <n v="17"/>
    <b v="0"/>
    <n v="5"/>
    <s v="No"/>
    <s v="Friday"/>
    <n v="1"/>
    <s v="Clean"/>
    <n v="0.22"/>
    <s v="Safe"/>
    <n v="0.2273"/>
    <n v="0.41"/>
    <s v="Acceptable"/>
    <n v="0.16420000000000001"/>
    <n v="4"/>
    <x v="119"/>
    <n v="159"/>
  </r>
  <r>
    <n v="319"/>
    <x v="13"/>
    <x v="0"/>
    <n v="18"/>
    <b v="0"/>
    <n v="5"/>
    <s v="No"/>
    <s v="Friday"/>
    <n v="1"/>
    <s v="Clean"/>
    <n v="0.2"/>
    <s v="Safe"/>
    <n v="0.2576"/>
    <n v="0.47"/>
    <s v="Acceptable"/>
    <n v="0"/>
    <n v="5"/>
    <x v="120"/>
    <n v="139"/>
  </r>
  <r>
    <n v="320"/>
    <x v="13"/>
    <x v="0"/>
    <n v="19"/>
    <b v="0"/>
    <n v="5"/>
    <s v="No"/>
    <s v="Friday"/>
    <n v="1"/>
    <s v="Clean"/>
    <n v="0.16"/>
    <s v="Safe"/>
    <n v="0.19700000000000001"/>
    <n v="0.59"/>
    <s v="Acceptable"/>
    <n v="8.9599999999999999E-2"/>
    <n v="3"/>
    <x v="121"/>
    <n v="92"/>
  </r>
  <r>
    <n v="321"/>
    <x v="13"/>
    <x v="0"/>
    <n v="20"/>
    <b v="0"/>
    <n v="5"/>
    <s v="No"/>
    <s v="Friday"/>
    <n v="1"/>
    <s v="Clean"/>
    <n v="0.18"/>
    <s v="Safe"/>
    <n v="0.2424"/>
    <n v="0.59"/>
    <s v="Acceptable"/>
    <n v="0"/>
    <n v="0"/>
    <x v="56"/>
    <n v="68"/>
  </r>
  <r>
    <n v="322"/>
    <x v="13"/>
    <x v="0"/>
    <n v="21"/>
    <b v="0"/>
    <n v="5"/>
    <s v="No"/>
    <s v="Friday"/>
    <n v="1"/>
    <s v="Clean"/>
    <n v="0.16"/>
    <s v="Safe"/>
    <n v="0.2273"/>
    <n v="0.69"/>
    <s v="Acceptable"/>
    <n v="0"/>
    <n v="4"/>
    <x v="41"/>
    <n v="52"/>
  </r>
  <r>
    <n v="323"/>
    <x v="13"/>
    <x v="0"/>
    <n v="22"/>
    <b v="0"/>
    <n v="5"/>
    <s v="No"/>
    <s v="Friday"/>
    <n v="2"/>
    <s v="Misty"/>
    <n v="0.16"/>
    <s v="Safe"/>
    <n v="0.2273"/>
    <n v="0.69"/>
    <s v="Acceptable"/>
    <n v="0"/>
    <n v="2"/>
    <x v="60"/>
    <n v="36"/>
  </r>
  <r>
    <n v="324"/>
    <x v="13"/>
    <x v="0"/>
    <n v="23"/>
    <b v="0"/>
    <n v="5"/>
    <s v="No"/>
    <s v="Friday"/>
    <n v="2"/>
    <s v="Misty"/>
    <n v="0.18"/>
    <s v="Safe"/>
    <n v="0.2424"/>
    <n v="0.55000000000000004"/>
    <s v="Acceptable"/>
    <n v="0"/>
    <n v="1"/>
    <x v="16"/>
    <n v="27"/>
  </r>
  <r>
    <n v="325"/>
    <x v="14"/>
    <x v="0"/>
    <n v="0"/>
    <b v="0"/>
    <n v="6"/>
    <s v="Yes"/>
    <s v="Saturday"/>
    <n v="1"/>
    <s v="Clean"/>
    <n v="0.18"/>
    <s v="Safe"/>
    <n v="0.2424"/>
    <n v="0.55000000000000004"/>
    <s v="Acceptable"/>
    <n v="0"/>
    <n v="3"/>
    <x v="18"/>
    <n v="28"/>
  </r>
  <r>
    <n v="326"/>
    <x v="14"/>
    <x v="0"/>
    <n v="1"/>
    <b v="0"/>
    <n v="6"/>
    <s v="Yes"/>
    <s v="Saturday"/>
    <n v="2"/>
    <s v="Misty"/>
    <n v="0.16"/>
    <s v="Safe"/>
    <n v="0.19700000000000001"/>
    <n v="0.59"/>
    <s v="Acceptable"/>
    <n v="8.9599999999999999E-2"/>
    <n v="2"/>
    <x v="72"/>
    <n v="20"/>
  </r>
  <r>
    <n v="327"/>
    <x v="14"/>
    <x v="0"/>
    <n v="2"/>
    <b v="0"/>
    <n v="6"/>
    <s v="Yes"/>
    <s v="Saturday"/>
    <n v="2"/>
    <s v="Misty"/>
    <n v="0.16"/>
    <s v="Safe"/>
    <n v="0.19700000000000001"/>
    <n v="0.59"/>
    <s v="Acceptable"/>
    <n v="8.9599999999999999E-2"/>
    <n v="0"/>
    <x v="98"/>
    <n v="12"/>
  </r>
  <r>
    <n v="328"/>
    <x v="14"/>
    <x v="0"/>
    <n v="3"/>
    <b v="0"/>
    <n v="6"/>
    <s v="Yes"/>
    <s v="Saturday"/>
    <n v="2"/>
    <s v="Misty"/>
    <n v="0.16"/>
    <s v="Safe"/>
    <n v="0.2273"/>
    <n v="0.59"/>
    <s v="Acceptable"/>
    <n v="0"/>
    <n v="1"/>
    <x v="7"/>
    <n v="8"/>
  </r>
  <r>
    <n v="329"/>
    <x v="14"/>
    <x v="0"/>
    <n v="4"/>
    <b v="0"/>
    <n v="6"/>
    <s v="Yes"/>
    <s v="Saturday"/>
    <n v="2"/>
    <s v="Misty"/>
    <n v="0.16"/>
    <s v="Safe"/>
    <n v="0.2273"/>
    <n v="0.59"/>
    <s v="Acceptable"/>
    <n v="0"/>
    <n v="0"/>
    <x v="34"/>
    <n v="5"/>
  </r>
  <r>
    <n v="330"/>
    <x v="14"/>
    <x v="0"/>
    <n v="5"/>
    <b v="0"/>
    <n v="6"/>
    <s v="Yes"/>
    <s v="Saturday"/>
    <n v="1"/>
    <s v="Clean"/>
    <n v="0.16"/>
    <s v="Safe"/>
    <n v="0.2273"/>
    <n v="0.59"/>
    <s v="Acceptable"/>
    <n v="0"/>
    <n v="0"/>
    <x v="4"/>
    <n v="1"/>
  </r>
  <r>
    <n v="331"/>
    <x v="14"/>
    <x v="0"/>
    <n v="6"/>
    <b v="0"/>
    <n v="6"/>
    <s v="Yes"/>
    <s v="Saturday"/>
    <n v="1"/>
    <s v="Clean"/>
    <n v="0.14000000000000001"/>
    <s v="Safe"/>
    <n v="0.16669999999999999"/>
    <n v="0.63"/>
    <s v="Acceptable"/>
    <n v="0.1045"/>
    <n v="1"/>
    <x v="6"/>
    <n v="3"/>
  </r>
  <r>
    <n v="332"/>
    <x v="14"/>
    <x v="0"/>
    <n v="7"/>
    <b v="0"/>
    <n v="6"/>
    <s v="Yes"/>
    <s v="Saturday"/>
    <n v="1"/>
    <s v="Clean"/>
    <n v="0.14000000000000001"/>
    <s v="Safe"/>
    <n v="0.21210000000000001"/>
    <n v="0.63"/>
    <s v="Acceptable"/>
    <n v="0"/>
    <n v="1"/>
    <x v="33"/>
    <n v="10"/>
  </r>
  <r>
    <n v="333"/>
    <x v="14"/>
    <x v="0"/>
    <n v="8"/>
    <b v="0"/>
    <n v="6"/>
    <s v="Yes"/>
    <s v="Saturday"/>
    <n v="1"/>
    <s v="Clean"/>
    <n v="0.14000000000000001"/>
    <s v="Safe"/>
    <n v="0.1515"/>
    <n v="0.63"/>
    <s v="Acceptable"/>
    <n v="0.1343"/>
    <n v="1"/>
    <x v="97"/>
    <n v="23"/>
  </r>
  <r>
    <n v="334"/>
    <x v="14"/>
    <x v="0"/>
    <n v="9"/>
    <b v="0"/>
    <n v="6"/>
    <s v="Yes"/>
    <s v="Saturday"/>
    <n v="1"/>
    <s v="Clean"/>
    <n v="0.16"/>
    <s v="Safe"/>
    <n v="0.18179999999999999"/>
    <n v="0.64"/>
    <s v="Acceptable"/>
    <n v="0.1343"/>
    <n v="2"/>
    <x v="17"/>
    <n v="33"/>
  </r>
  <r>
    <n v="335"/>
    <x v="14"/>
    <x v="0"/>
    <n v="10"/>
    <b v="0"/>
    <n v="6"/>
    <s v="Yes"/>
    <s v="Saturday"/>
    <n v="1"/>
    <s v="Clean"/>
    <n v="0.18"/>
    <s v="Safe"/>
    <n v="0.19700000000000001"/>
    <n v="0.59"/>
    <s v="Acceptable"/>
    <n v="0.16420000000000001"/>
    <n v="2"/>
    <x v="77"/>
    <n v="59"/>
  </r>
  <r>
    <n v="336"/>
    <x v="14"/>
    <x v="0"/>
    <n v="11"/>
    <b v="0"/>
    <n v="6"/>
    <s v="Yes"/>
    <s v="Saturday"/>
    <n v="1"/>
    <s v="Clean"/>
    <n v="0.2"/>
    <s v="Safe"/>
    <n v="0.19700000000000001"/>
    <n v="0.55000000000000004"/>
    <s v="Acceptable"/>
    <n v="0.22389999999999999"/>
    <n v="18"/>
    <x v="25"/>
    <n v="72"/>
  </r>
  <r>
    <n v="337"/>
    <x v="14"/>
    <x v="0"/>
    <n v="12"/>
    <b v="0"/>
    <n v="6"/>
    <s v="Yes"/>
    <s v="Saturday"/>
    <n v="1"/>
    <s v="Clean"/>
    <n v="0.24"/>
    <s v="Safe"/>
    <n v="0.2273"/>
    <n v="0.48"/>
    <s v="Acceptable"/>
    <n v="0.22389999999999999"/>
    <n v="15"/>
    <x v="64"/>
    <n v="89"/>
  </r>
  <r>
    <n v="338"/>
    <x v="14"/>
    <x v="0"/>
    <n v="13"/>
    <b v="0"/>
    <n v="6"/>
    <s v="Yes"/>
    <s v="Saturday"/>
    <n v="1"/>
    <s v="Clean"/>
    <n v="0.28000000000000003"/>
    <s v="Safe"/>
    <n v="0.2576"/>
    <n v="0.38"/>
    <s v="Acceptable"/>
    <n v="0.29849999999999999"/>
    <n v="21"/>
    <x v="122"/>
    <n v="101"/>
  </r>
  <r>
    <n v="339"/>
    <x v="14"/>
    <x v="0"/>
    <n v="14"/>
    <b v="0"/>
    <n v="6"/>
    <s v="Yes"/>
    <s v="Saturday"/>
    <n v="1"/>
    <s v="Clean"/>
    <n v="0.3"/>
    <s v="Safe"/>
    <n v="0.28789999999999999"/>
    <n v="0.39"/>
    <s v="Acceptable"/>
    <n v="0.28360000000000002"/>
    <n v="26"/>
    <x v="50"/>
    <n v="118"/>
  </r>
  <r>
    <n v="340"/>
    <x v="14"/>
    <x v="0"/>
    <n v="15"/>
    <b v="0"/>
    <n v="6"/>
    <s v="Yes"/>
    <s v="Saturday"/>
    <n v="2"/>
    <s v="Misty"/>
    <n v="0.32"/>
    <s v="Safe"/>
    <n v="0.31819999999999998"/>
    <n v="0.36"/>
    <s v="Acceptable"/>
    <n v="0.19400000000000001"/>
    <n v="21"/>
    <x v="123"/>
    <n v="129"/>
  </r>
  <r>
    <n v="341"/>
    <x v="14"/>
    <x v="0"/>
    <n v="16"/>
    <b v="0"/>
    <n v="6"/>
    <s v="Yes"/>
    <s v="Saturday"/>
    <n v="2"/>
    <s v="Misty"/>
    <n v="0.34"/>
    <s v="Safe"/>
    <n v="0.33329999999999999"/>
    <n v="0.34"/>
    <s v="Acceptable"/>
    <n v="0.19400000000000001"/>
    <n v="33"/>
    <x v="73"/>
    <n v="128"/>
  </r>
  <r>
    <n v="342"/>
    <x v="14"/>
    <x v="0"/>
    <n v="17"/>
    <b v="0"/>
    <n v="6"/>
    <s v="Yes"/>
    <s v="Saturday"/>
    <n v="2"/>
    <s v="Misty"/>
    <n v="0.32"/>
    <s v="Safe"/>
    <n v="0.30299999999999999"/>
    <n v="0.36"/>
    <s v="Acceptable"/>
    <n v="0.28360000000000002"/>
    <n v="29"/>
    <x v="25"/>
    <n v="83"/>
  </r>
  <r>
    <n v="343"/>
    <x v="14"/>
    <x v="0"/>
    <n v="18"/>
    <b v="0"/>
    <n v="6"/>
    <s v="Yes"/>
    <s v="Saturday"/>
    <n v="2"/>
    <s v="Misty"/>
    <n v="0.3"/>
    <s v="Safe"/>
    <n v="0.28789999999999999"/>
    <n v="0.45"/>
    <s v="Acceptable"/>
    <n v="0.25369999999999998"/>
    <n v="15"/>
    <x v="94"/>
    <n v="84"/>
  </r>
  <r>
    <n v="344"/>
    <x v="14"/>
    <x v="0"/>
    <n v="19"/>
    <b v="0"/>
    <n v="6"/>
    <s v="Yes"/>
    <s v="Saturday"/>
    <n v="2"/>
    <s v="Misty"/>
    <n v="0.32"/>
    <s v="Safe"/>
    <n v="0.30299999999999999"/>
    <n v="0.39"/>
    <s v="Acceptable"/>
    <n v="0.25369999999999998"/>
    <n v="14"/>
    <x v="91"/>
    <n v="74"/>
  </r>
  <r>
    <n v="345"/>
    <x v="14"/>
    <x v="0"/>
    <n v="20"/>
    <b v="0"/>
    <n v="6"/>
    <s v="Yes"/>
    <s v="Saturday"/>
    <n v="2"/>
    <s v="Misty"/>
    <n v="0.32"/>
    <s v="Safe"/>
    <n v="0.30299999999999999"/>
    <n v="0.39"/>
    <s v="Acceptable"/>
    <n v="0.25369999999999998"/>
    <n v="6"/>
    <x v="96"/>
    <n v="41"/>
  </r>
  <r>
    <n v="346"/>
    <x v="14"/>
    <x v="0"/>
    <n v="21"/>
    <b v="0"/>
    <n v="6"/>
    <s v="Yes"/>
    <s v="Saturday"/>
    <n v="2"/>
    <s v="Misty"/>
    <n v="0.32"/>
    <s v="Safe"/>
    <n v="0.30299999999999999"/>
    <n v="0.39"/>
    <s v="Acceptable"/>
    <n v="0.22389999999999999"/>
    <n v="6"/>
    <x v="82"/>
    <n v="57"/>
  </r>
  <r>
    <n v="347"/>
    <x v="14"/>
    <x v="0"/>
    <n v="22"/>
    <b v="0"/>
    <n v="6"/>
    <s v="Yes"/>
    <s v="Saturday"/>
    <n v="2"/>
    <s v="Misty"/>
    <n v="0.3"/>
    <s v="Safe"/>
    <n v="0.31819999999999998"/>
    <n v="0.42"/>
    <s v="Acceptable"/>
    <n v="0.1045"/>
    <n v="0"/>
    <x v="16"/>
    <n v="26"/>
  </r>
  <r>
    <n v="348"/>
    <x v="14"/>
    <x v="0"/>
    <n v="23"/>
    <b v="0"/>
    <n v="6"/>
    <s v="Yes"/>
    <s v="Saturday"/>
    <n v="1"/>
    <s v="Clean"/>
    <n v="0.3"/>
    <s v="Safe"/>
    <n v="0.28789999999999999"/>
    <n v="0.45"/>
    <s v="Acceptable"/>
    <n v="0.28360000000000002"/>
    <n v="5"/>
    <x v="87"/>
    <n v="44"/>
  </r>
  <r>
    <n v="349"/>
    <x v="15"/>
    <x v="0"/>
    <n v="0"/>
    <b v="0"/>
    <n v="0"/>
    <s v="Yes"/>
    <s v="Sunday"/>
    <n v="1"/>
    <s v="Clean"/>
    <n v="0.26"/>
    <s v="Safe"/>
    <n v="0.30299999999999999"/>
    <n v="0.56000000000000005"/>
    <s v="Acceptable"/>
    <n v="0"/>
    <n v="6"/>
    <x v="39"/>
    <n v="39"/>
  </r>
  <r>
    <n v="350"/>
    <x v="15"/>
    <x v="0"/>
    <n v="1"/>
    <b v="0"/>
    <n v="0"/>
    <s v="Yes"/>
    <s v="Sunday"/>
    <n v="1"/>
    <s v="Clean"/>
    <n v="0.26"/>
    <s v="Safe"/>
    <n v="0.2727"/>
    <n v="0.56000000000000005"/>
    <s v="Acceptable"/>
    <n v="0.1343"/>
    <n v="4"/>
    <x v="23"/>
    <n v="23"/>
  </r>
  <r>
    <n v="351"/>
    <x v="15"/>
    <x v="0"/>
    <n v="2"/>
    <b v="0"/>
    <n v="0"/>
    <s v="Yes"/>
    <s v="Sunday"/>
    <n v="1"/>
    <s v="Clean"/>
    <n v="0.26"/>
    <s v="Safe"/>
    <n v="0.28789999999999999"/>
    <n v="0.56000000000000005"/>
    <s v="Acceptable"/>
    <n v="8.9599999999999999E-2"/>
    <n v="3"/>
    <x v="0"/>
    <n v="16"/>
  </r>
  <r>
    <n v="352"/>
    <x v="15"/>
    <x v="0"/>
    <n v="3"/>
    <b v="0"/>
    <n v="0"/>
    <s v="Yes"/>
    <s v="Sunday"/>
    <n v="1"/>
    <s v="Clean"/>
    <n v="0.22"/>
    <s v="Safe"/>
    <n v="0.2727"/>
    <n v="0.69"/>
    <s v="Acceptable"/>
    <n v="0"/>
    <n v="9"/>
    <x v="8"/>
    <n v="15"/>
  </r>
  <r>
    <n v="353"/>
    <x v="15"/>
    <x v="0"/>
    <n v="4"/>
    <b v="0"/>
    <n v="0"/>
    <s v="Yes"/>
    <s v="Sunday"/>
    <n v="1"/>
    <s v="Clean"/>
    <n v="0.26"/>
    <s v="Safe"/>
    <n v="0.2576"/>
    <n v="0.56000000000000005"/>
    <s v="Acceptable"/>
    <n v="0.16420000000000001"/>
    <n v="0"/>
    <x v="4"/>
    <n v="1"/>
  </r>
  <r>
    <n v="354"/>
    <x v="15"/>
    <x v="0"/>
    <n v="5"/>
    <b v="0"/>
    <n v="0"/>
    <s v="Yes"/>
    <s v="Sunday"/>
    <n v="2"/>
    <s v="Misty"/>
    <n v="0.26"/>
    <s v="Safe"/>
    <n v="0.2576"/>
    <n v="0.56000000000000005"/>
    <s v="Acceptable"/>
    <n v="0.16420000000000001"/>
    <n v="1"/>
    <x v="4"/>
    <n v="2"/>
  </r>
  <r>
    <n v="355"/>
    <x v="15"/>
    <x v="0"/>
    <n v="6"/>
    <b v="0"/>
    <n v="0"/>
    <s v="Yes"/>
    <s v="Sunday"/>
    <n v="2"/>
    <s v="Misty"/>
    <n v="0.26"/>
    <s v="Safe"/>
    <n v="0.2576"/>
    <n v="0.56000000000000005"/>
    <s v="Acceptable"/>
    <n v="0.16420000000000001"/>
    <n v="0"/>
    <x v="4"/>
    <n v="1"/>
  </r>
  <r>
    <n v="356"/>
    <x v="15"/>
    <x v="0"/>
    <n v="7"/>
    <b v="0"/>
    <n v="0"/>
    <s v="Yes"/>
    <s v="Sunday"/>
    <n v="2"/>
    <s v="Misty"/>
    <n v="0.24"/>
    <s v="Safe"/>
    <n v="0.21210000000000001"/>
    <n v="0.56000000000000005"/>
    <s v="Acceptable"/>
    <n v="0.29849999999999999"/>
    <n v="0"/>
    <x v="35"/>
    <n v="3"/>
  </r>
  <r>
    <n v="357"/>
    <x v="15"/>
    <x v="0"/>
    <n v="8"/>
    <b v="0"/>
    <n v="0"/>
    <s v="Yes"/>
    <s v="Sunday"/>
    <n v="1"/>
    <s v="Clean"/>
    <n v="0.22"/>
    <s v="Safe"/>
    <n v="0.21210000000000001"/>
    <n v="0.55000000000000004"/>
    <s v="Acceptable"/>
    <n v="0.28360000000000002"/>
    <n v="0"/>
    <x v="72"/>
    <n v="18"/>
  </r>
  <r>
    <n v="358"/>
    <x v="15"/>
    <x v="0"/>
    <n v="9"/>
    <b v="0"/>
    <n v="0"/>
    <s v="Yes"/>
    <s v="Sunday"/>
    <n v="1"/>
    <s v="Clean"/>
    <n v="0.22"/>
    <s v="Safe"/>
    <n v="0.21210000000000001"/>
    <n v="0.51"/>
    <s v="Acceptable"/>
    <n v="0.25369999999999998"/>
    <n v="3"/>
    <x v="31"/>
    <n v="32"/>
  </r>
  <r>
    <n v="359"/>
    <x v="15"/>
    <x v="0"/>
    <n v="10"/>
    <b v="0"/>
    <n v="0"/>
    <s v="Yes"/>
    <s v="Sunday"/>
    <n v="1"/>
    <s v="Clean"/>
    <n v="0.22"/>
    <s v="Safe"/>
    <n v="0.21210000000000001"/>
    <n v="0.51"/>
    <s v="Acceptable"/>
    <n v="0.28360000000000002"/>
    <n v="8"/>
    <x v="13"/>
    <n v="79"/>
  </r>
  <r>
    <n v="360"/>
    <x v="15"/>
    <x v="0"/>
    <n v="11"/>
    <b v="0"/>
    <n v="0"/>
    <s v="Yes"/>
    <s v="Sunday"/>
    <n v="1"/>
    <s v="Clean"/>
    <n v="0.24"/>
    <s v="Safe"/>
    <n v="0.2273"/>
    <n v="0.44"/>
    <s v="Acceptable"/>
    <n v="0.25369999999999998"/>
    <n v="23"/>
    <x v="14"/>
    <n v="93"/>
  </r>
  <r>
    <n v="361"/>
    <x v="15"/>
    <x v="0"/>
    <n v="12"/>
    <b v="0"/>
    <n v="0"/>
    <s v="Yes"/>
    <s v="Sunday"/>
    <n v="1"/>
    <s v="Clean"/>
    <n v="0.24"/>
    <s v="Safe"/>
    <n v="0.21210000000000001"/>
    <n v="0.41"/>
    <s v="Acceptable"/>
    <n v="0.28360000000000002"/>
    <n v="29"/>
    <x v="102"/>
    <n v="104"/>
  </r>
  <r>
    <n v="362"/>
    <x v="15"/>
    <x v="0"/>
    <n v="13"/>
    <b v="0"/>
    <n v="0"/>
    <s v="Yes"/>
    <s v="Sunday"/>
    <n v="1"/>
    <s v="Clean"/>
    <n v="0.26"/>
    <s v="Safe"/>
    <n v="0.2273"/>
    <n v="0.35"/>
    <s v="Acceptable"/>
    <n v="0.29849999999999999"/>
    <n v="23"/>
    <x v="73"/>
    <n v="118"/>
  </r>
  <r>
    <n v="363"/>
    <x v="15"/>
    <x v="0"/>
    <n v="14"/>
    <b v="0"/>
    <n v="0"/>
    <s v="Yes"/>
    <s v="Sunday"/>
    <n v="1"/>
    <s v="Clean"/>
    <n v="0.28000000000000003"/>
    <s v="Safe"/>
    <n v="0.2727"/>
    <n v="0.36"/>
    <s v="Acceptable"/>
    <n v="0.25369999999999998"/>
    <n v="22"/>
    <x v="94"/>
    <n v="91"/>
  </r>
  <r>
    <n v="364"/>
    <x v="15"/>
    <x v="0"/>
    <n v="15"/>
    <b v="0"/>
    <n v="0"/>
    <s v="Yes"/>
    <s v="Sunday"/>
    <n v="1"/>
    <s v="Clean"/>
    <n v="0.26"/>
    <s v="Safe"/>
    <n v="0.2424"/>
    <n v="0.38"/>
    <s v="Acceptable"/>
    <n v="0.25369999999999998"/>
    <n v="35"/>
    <x v="78"/>
    <n v="113"/>
  </r>
  <r>
    <n v="365"/>
    <x v="15"/>
    <x v="0"/>
    <n v="16"/>
    <b v="0"/>
    <n v="0"/>
    <s v="Yes"/>
    <s v="Sunday"/>
    <n v="1"/>
    <s v="Clean"/>
    <n v="0.24"/>
    <s v="Safe"/>
    <n v="0.2273"/>
    <n v="0.38"/>
    <s v="Acceptable"/>
    <n v="0.22389999999999999"/>
    <n v="22"/>
    <x v="99"/>
    <n v="99"/>
  </r>
  <r>
    <n v="366"/>
    <x v="15"/>
    <x v="0"/>
    <n v="17"/>
    <b v="0"/>
    <n v="0"/>
    <s v="Yes"/>
    <s v="Sunday"/>
    <n v="1"/>
    <s v="Clean"/>
    <n v="0.22"/>
    <s v="Safe"/>
    <n v="0.21210000000000001"/>
    <n v="0.37"/>
    <s v="Acceptable"/>
    <n v="0.25369999999999998"/>
    <n v="23"/>
    <x v="70"/>
    <n v="105"/>
  </r>
  <r>
    <n v="367"/>
    <x v="15"/>
    <x v="0"/>
    <n v="18"/>
    <b v="0"/>
    <n v="0"/>
    <s v="Yes"/>
    <s v="Sunday"/>
    <n v="1"/>
    <s v="Clean"/>
    <n v="0.2"/>
    <s v="Safe"/>
    <n v="0.21210000000000001"/>
    <n v="0.4"/>
    <s v="Acceptable"/>
    <n v="0.16420000000000001"/>
    <n v="11"/>
    <x v="90"/>
    <n v="67"/>
  </r>
  <r>
    <n v="368"/>
    <x v="15"/>
    <x v="0"/>
    <n v="19"/>
    <b v="0"/>
    <n v="0"/>
    <s v="Yes"/>
    <s v="Sunday"/>
    <n v="1"/>
    <s v="Clean"/>
    <n v="0.18"/>
    <s v="Safe"/>
    <n v="0.19700000000000001"/>
    <n v="0.47"/>
    <s v="Acceptable"/>
    <n v="0.1343"/>
    <n v="14"/>
    <x v="12"/>
    <n v="61"/>
  </r>
  <r>
    <n v="369"/>
    <x v="15"/>
    <x v="0"/>
    <n v="20"/>
    <b v="0"/>
    <n v="0"/>
    <s v="Yes"/>
    <s v="Sunday"/>
    <n v="1"/>
    <s v="Clean"/>
    <n v="0.18"/>
    <s v="Safe"/>
    <n v="0.19700000000000001"/>
    <n v="0.47"/>
    <s v="Acceptable"/>
    <n v="0.16420000000000001"/>
    <n v="7"/>
    <x v="54"/>
    <n v="57"/>
  </r>
  <r>
    <n v="370"/>
    <x v="15"/>
    <x v="0"/>
    <n v="21"/>
    <b v="0"/>
    <n v="0"/>
    <s v="Yes"/>
    <s v="Sunday"/>
    <n v="1"/>
    <s v="Clean"/>
    <n v="0.18"/>
    <s v="Safe"/>
    <n v="0.19700000000000001"/>
    <n v="0.51"/>
    <s v="Acceptable"/>
    <n v="0.16420000000000001"/>
    <n v="6"/>
    <x v="97"/>
    <n v="28"/>
  </r>
  <r>
    <n v="371"/>
    <x v="15"/>
    <x v="0"/>
    <n v="22"/>
    <b v="0"/>
    <n v="0"/>
    <s v="Yes"/>
    <s v="Sunday"/>
    <n v="2"/>
    <s v="Misty"/>
    <n v="0.2"/>
    <s v="Safe"/>
    <n v="0.21210000000000001"/>
    <n v="0.49"/>
    <s v="Acceptable"/>
    <n v="0.1343"/>
    <n v="2"/>
    <x v="23"/>
    <n v="21"/>
  </r>
  <r>
    <n v="372"/>
    <x v="15"/>
    <x v="0"/>
    <n v="23"/>
    <b v="0"/>
    <n v="0"/>
    <s v="Yes"/>
    <s v="Sunday"/>
    <n v="2"/>
    <s v="Misty"/>
    <n v="0.2"/>
    <s v="Safe"/>
    <n v="0.2273"/>
    <n v="0.4"/>
    <s v="Acceptable"/>
    <n v="0.1045"/>
    <n v="0"/>
    <x v="72"/>
    <n v="18"/>
  </r>
  <r>
    <n v="373"/>
    <x v="16"/>
    <x v="0"/>
    <n v="0"/>
    <b v="1"/>
    <n v="1"/>
    <s v="No"/>
    <s v="Monday"/>
    <n v="2"/>
    <s v="Misty"/>
    <n v="0.2"/>
    <s v="Safe"/>
    <n v="0.19700000000000001"/>
    <n v="0.47"/>
    <s v="Acceptable"/>
    <n v="0.22389999999999999"/>
    <n v="1"/>
    <x v="20"/>
    <n v="17"/>
  </r>
  <r>
    <n v="374"/>
    <x v="16"/>
    <x v="0"/>
    <n v="1"/>
    <b v="1"/>
    <n v="1"/>
    <s v="No"/>
    <s v="Monday"/>
    <n v="2"/>
    <s v="Misty"/>
    <n v="0.2"/>
    <s v="Safe"/>
    <n v="0.19700000000000001"/>
    <n v="0.44"/>
    <s v="Acceptable"/>
    <n v="0.19400000000000001"/>
    <n v="1"/>
    <x v="89"/>
    <n v="16"/>
  </r>
  <r>
    <n v="375"/>
    <x v="16"/>
    <x v="0"/>
    <n v="2"/>
    <b v="1"/>
    <n v="1"/>
    <s v="No"/>
    <s v="Monday"/>
    <n v="2"/>
    <s v="Misty"/>
    <n v="0.18"/>
    <s v="Safe"/>
    <n v="0.16669999999999999"/>
    <n v="0.43"/>
    <s v="Acceptable"/>
    <n v="0.25369999999999998"/>
    <n v="0"/>
    <x v="21"/>
    <n v="8"/>
  </r>
  <r>
    <n v="376"/>
    <x v="16"/>
    <x v="0"/>
    <n v="3"/>
    <b v="1"/>
    <n v="1"/>
    <s v="No"/>
    <s v="Monday"/>
    <n v="2"/>
    <s v="Misty"/>
    <n v="0.18"/>
    <s v="Safe"/>
    <n v="0.18179999999999999"/>
    <n v="0.43"/>
    <s v="Acceptable"/>
    <n v="0.19400000000000001"/>
    <n v="0"/>
    <x v="6"/>
    <n v="2"/>
  </r>
  <r>
    <n v="377"/>
    <x v="16"/>
    <x v="0"/>
    <n v="4"/>
    <b v="1"/>
    <n v="1"/>
    <s v="No"/>
    <s v="Monday"/>
    <n v="2"/>
    <s v="Misty"/>
    <n v="0.18"/>
    <s v="Safe"/>
    <n v="0.19700000000000001"/>
    <n v="0.43"/>
    <s v="Acceptable"/>
    <n v="0.1343"/>
    <n v="1"/>
    <x v="6"/>
    <n v="3"/>
  </r>
  <r>
    <n v="378"/>
    <x v="16"/>
    <x v="0"/>
    <n v="5"/>
    <b v="1"/>
    <n v="1"/>
    <s v="No"/>
    <s v="Monday"/>
    <n v="2"/>
    <s v="Misty"/>
    <n v="0.18"/>
    <s v="Safe"/>
    <n v="0.19700000000000001"/>
    <n v="0.43"/>
    <s v="Acceptable"/>
    <n v="0.16420000000000001"/>
    <n v="0"/>
    <x v="4"/>
    <n v="1"/>
  </r>
  <r>
    <n v="379"/>
    <x v="16"/>
    <x v="0"/>
    <n v="6"/>
    <b v="1"/>
    <n v="1"/>
    <s v="No"/>
    <s v="Monday"/>
    <n v="2"/>
    <s v="Misty"/>
    <n v="0.18"/>
    <s v="Safe"/>
    <n v="0.18179999999999999"/>
    <n v="0.43"/>
    <s v="Acceptable"/>
    <n v="0.19400000000000001"/>
    <n v="0"/>
    <x v="34"/>
    <n v="5"/>
  </r>
  <r>
    <n v="380"/>
    <x v="16"/>
    <x v="0"/>
    <n v="7"/>
    <b v="1"/>
    <n v="1"/>
    <s v="No"/>
    <s v="Monday"/>
    <n v="2"/>
    <s v="Misty"/>
    <n v="0.16"/>
    <s v="Safe"/>
    <n v="0.18179999999999999"/>
    <n v="0.5"/>
    <s v="Acceptable"/>
    <n v="0.1343"/>
    <n v="4"/>
    <x v="33"/>
    <n v="13"/>
  </r>
  <r>
    <n v="381"/>
    <x v="16"/>
    <x v="0"/>
    <n v="8"/>
    <b v="1"/>
    <n v="1"/>
    <s v="No"/>
    <s v="Monday"/>
    <n v="2"/>
    <s v="Misty"/>
    <n v="0.16"/>
    <s v="Safe"/>
    <n v="0.1515"/>
    <n v="0.47"/>
    <s v="Acceptable"/>
    <n v="0.22389999999999999"/>
    <n v="3"/>
    <x v="10"/>
    <n v="33"/>
  </r>
  <r>
    <n v="382"/>
    <x v="16"/>
    <x v="0"/>
    <n v="9"/>
    <b v="1"/>
    <n v="1"/>
    <s v="No"/>
    <s v="Monday"/>
    <n v="2"/>
    <s v="Misty"/>
    <n v="0.16"/>
    <s v="Safe"/>
    <n v="0.1515"/>
    <n v="0.47"/>
    <s v="Acceptable"/>
    <n v="0.22389999999999999"/>
    <n v="8"/>
    <x v="87"/>
    <n v="47"/>
  </r>
  <r>
    <n v="383"/>
    <x v="16"/>
    <x v="0"/>
    <n v="10"/>
    <b v="1"/>
    <n v="1"/>
    <s v="No"/>
    <s v="Monday"/>
    <n v="2"/>
    <s v="Misty"/>
    <n v="0.16"/>
    <s v="Safe"/>
    <n v="0.1515"/>
    <n v="0.5"/>
    <s v="Acceptable"/>
    <n v="0.25369999999999998"/>
    <n v="7"/>
    <x v="54"/>
    <n v="57"/>
  </r>
  <r>
    <n v="384"/>
    <x v="16"/>
    <x v="0"/>
    <n v="11"/>
    <b v="1"/>
    <n v="1"/>
    <s v="No"/>
    <s v="Monday"/>
    <n v="2"/>
    <s v="Misty"/>
    <n v="0.16"/>
    <s v="Safe"/>
    <n v="0.1515"/>
    <n v="0.55000000000000004"/>
    <s v="Acceptable"/>
    <n v="0.19400000000000001"/>
    <n v="9"/>
    <x v="11"/>
    <n v="64"/>
  </r>
  <r>
    <n v="385"/>
    <x v="16"/>
    <x v="0"/>
    <n v="12"/>
    <b v="1"/>
    <n v="1"/>
    <s v="No"/>
    <s v="Monday"/>
    <n v="2"/>
    <s v="Misty"/>
    <n v="0.18"/>
    <s v="Safe"/>
    <n v="0.19700000000000001"/>
    <n v="0.47"/>
    <s v="Acceptable"/>
    <n v="0.1343"/>
    <n v="10"/>
    <x v="14"/>
    <n v="80"/>
  </r>
  <r>
    <n v="386"/>
    <x v="16"/>
    <x v="0"/>
    <n v="13"/>
    <b v="1"/>
    <n v="1"/>
    <s v="No"/>
    <s v="Monday"/>
    <n v="2"/>
    <s v="Misty"/>
    <n v="0.18"/>
    <s v="Safe"/>
    <n v="0.19700000000000001"/>
    <n v="0.47"/>
    <s v="Acceptable"/>
    <n v="0.1343"/>
    <n v="13"/>
    <x v="122"/>
    <n v="93"/>
  </r>
  <r>
    <n v="387"/>
    <x v="16"/>
    <x v="0"/>
    <n v="14"/>
    <b v="1"/>
    <n v="1"/>
    <s v="No"/>
    <s v="Monday"/>
    <n v="2"/>
    <s v="Misty"/>
    <n v="0.18"/>
    <s v="Safe"/>
    <n v="0.21210000000000001"/>
    <n v="0.43"/>
    <s v="Acceptable"/>
    <n v="0.1045"/>
    <n v="12"/>
    <x v="64"/>
    <n v="86"/>
  </r>
  <r>
    <n v="388"/>
    <x v="16"/>
    <x v="0"/>
    <n v="15"/>
    <b v="1"/>
    <n v="1"/>
    <s v="No"/>
    <s v="Monday"/>
    <n v="2"/>
    <s v="Misty"/>
    <n v="0.2"/>
    <s v="Safe"/>
    <n v="0.21210000000000001"/>
    <n v="0.47"/>
    <s v="Acceptable"/>
    <n v="0.16420000000000001"/>
    <n v="21"/>
    <x v="109"/>
    <n v="93"/>
  </r>
  <r>
    <n v="389"/>
    <x v="16"/>
    <x v="0"/>
    <n v="16"/>
    <b v="1"/>
    <n v="1"/>
    <s v="No"/>
    <s v="Monday"/>
    <n v="2"/>
    <s v="Misty"/>
    <n v="0.2"/>
    <s v="Safe"/>
    <n v="0.21210000000000001"/>
    <n v="0.47"/>
    <s v="Acceptable"/>
    <n v="0.16420000000000001"/>
    <n v="6"/>
    <x v="83"/>
    <n v="82"/>
  </r>
  <r>
    <n v="390"/>
    <x v="16"/>
    <x v="0"/>
    <n v="17"/>
    <b v="1"/>
    <n v="1"/>
    <s v="No"/>
    <s v="Monday"/>
    <n v="1"/>
    <s v="Clean"/>
    <n v="0.2"/>
    <s v="Safe"/>
    <n v="0.19700000000000001"/>
    <n v="0.51"/>
    <s v="Acceptable"/>
    <n v="0.19400000000000001"/>
    <n v="4"/>
    <x v="28"/>
    <n v="71"/>
  </r>
  <r>
    <n v="391"/>
    <x v="16"/>
    <x v="0"/>
    <n v="18"/>
    <b v="1"/>
    <n v="1"/>
    <s v="No"/>
    <s v="Monday"/>
    <n v="2"/>
    <s v="Misty"/>
    <n v="0.18"/>
    <s v="Safe"/>
    <n v="0.16669999999999999"/>
    <n v="0.55000000000000004"/>
    <s v="Acceptable"/>
    <n v="0.25369999999999998"/>
    <n v="7"/>
    <x v="66"/>
    <n v="92"/>
  </r>
  <r>
    <n v="392"/>
    <x v="16"/>
    <x v="0"/>
    <n v="19"/>
    <b v="1"/>
    <n v="1"/>
    <s v="No"/>
    <s v="Monday"/>
    <n v="3"/>
    <s v="Light Rain"/>
    <n v="0.18"/>
    <s v="Safe"/>
    <n v="0.18179999999999999"/>
    <n v="0.59"/>
    <s v="Acceptable"/>
    <n v="0.19400000000000001"/>
    <n v="2"/>
    <x v="29"/>
    <n v="60"/>
  </r>
  <r>
    <n v="393"/>
    <x v="16"/>
    <x v="0"/>
    <n v="20"/>
    <b v="1"/>
    <n v="1"/>
    <s v="No"/>
    <s v="Monday"/>
    <n v="3"/>
    <s v="Light Rain"/>
    <n v="0.16"/>
    <s v="Safe"/>
    <n v="0.1515"/>
    <n v="0.8"/>
    <s v="Risky"/>
    <n v="0.19400000000000001"/>
    <n v="4"/>
    <x v="31"/>
    <n v="33"/>
  </r>
  <r>
    <n v="394"/>
    <x v="16"/>
    <x v="0"/>
    <n v="21"/>
    <b v="1"/>
    <n v="1"/>
    <s v="No"/>
    <s v="Monday"/>
    <n v="3"/>
    <s v="Light Rain"/>
    <n v="0.16"/>
    <s v="Safe"/>
    <n v="0.1515"/>
    <n v="0.8"/>
    <s v="Risky"/>
    <n v="0.19400000000000001"/>
    <n v="3"/>
    <x v="9"/>
    <n v="27"/>
  </r>
  <r>
    <n v="395"/>
    <x v="16"/>
    <x v="0"/>
    <n v="22"/>
    <b v="1"/>
    <n v="1"/>
    <s v="No"/>
    <s v="Monday"/>
    <n v="3"/>
    <s v="Light Rain"/>
    <n v="0.14000000000000001"/>
    <s v="Safe"/>
    <n v="0.1212"/>
    <n v="0.93"/>
    <s v="Risky"/>
    <n v="0.25369999999999998"/>
    <n v="0"/>
    <x v="0"/>
    <n v="13"/>
  </r>
  <r>
    <n v="396"/>
    <x v="16"/>
    <x v="0"/>
    <n v="23"/>
    <b v="1"/>
    <n v="1"/>
    <s v="No"/>
    <s v="Monday"/>
    <n v="3"/>
    <s v="Light Rain"/>
    <n v="0.16"/>
    <s v="Safe"/>
    <n v="0.13639999999999999"/>
    <n v="0.86"/>
    <s v="Risky"/>
    <n v="0.28360000000000002"/>
    <n v="1"/>
    <x v="35"/>
    <n v="4"/>
  </r>
  <r>
    <n v="397"/>
    <x v="17"/>
    <x v="0"/>
    <n v="12"/>
    <b v="0"/>
    <n v="2"/>
    <s v="No"/>
    <s v="Tuesday"/>
    <n v="2"/>
    <s v="Misty"/>
    <n v="0.2"/>
    <s v="Safe"/>
    <n v="0.18179999999999999"/>
    <n v="0.86"/>
    <s v="Risky"/>
    <n v="0.32840000000000003"/>
    <n v="0"/>
    <x v="35"/>
    <n v="3"/>
  </r>
  <r>
    <n v="398"/>
    <x v="17"/>
    <x v="0"/>
    <n v="13"/>
    <b v="0"/>
    <n v="2"/>
    <s v="No"/>
    <s v="Tuesday"/>
    <n v="2"/>
    <s v="Misty"/>
    <n v="0.2"/>
    <s v="Safe"/>
    <n v="0.19700000000000001"/>
    <n v="0.86"/>
    <s v="Risky"/>
    <n v="0.22389999999999999"/>
    <n v="0"/>
    <x v="97"/>
    <n v="22"/>
  </r>
  <r>
    <n v="399"/>
    <x v="17"/>
    <x v="0"/>
    <n v="14"/>
    <b v="0"/>
    <n v="2"/>
    <s v="No"/>
    <s v="Tuesday"/>
    <n v="2"/>
    <s v="Misty"/>
    <n v="0.22"/>
    <s v="Safe"/>
    <n v="0.2273"/>
    <n v="0.8"/>
    <s v="Risky"/>
    <n v="0.16420000000000001"/>
    <n v="2"/>
    <x v="16"/>
    <n v="28"/>
  </r>
  <r>
    <n v="400"/>
    <x v="17"/>
    <x v="0"/>
    <n v="15"/>
    <b v="0"/>
    <n v="2"/>
    <s v="No"/>
    <s v="Tuesday"/>
    <n v="2"/>
    <s v="Misty"/>
    <n v="0.22"/>
    <s v="Safe"/>
    <n v="0.2273"/>
    <n v="0.87"/>
    <s v="Risky"/>
    <n v="0.16420000000000001"/>
    <n v="3"/>
    <x v="1"/>
    <n v="35"/>
  </r>
  <r>
    <n v="401"/>
    <x v="17"/>
    <x v="0"/>
    <n v="16"/>
    <b v="0"/>
    <n v="2"/>
    <s v="No"/>
    <s v="Tuesday"/>
    <n v="2"/>
    <s v="Misty"/>
    <n v="0.22"/>
    <s v="Safe"/>
    <n v="0.2273"/>
    <n v="0.87"/>
    <s v="Risky"/>
    <n v="0.19400000000000001"/>
    <n v="0"/>
    <x v="124"/>
    <n v="61"/>
  </r>
  <r>
    <n v="402"/>
    <x v="17"/>
    <x v="0"/>
    <n v="17"/>
    <b v="0"/>
    <n v="2"/>
    <s v="No"/>
    <s v="Tuesday"/>
    <n v="2"/>
    <s v="Misty"/>
    <n v="0.22"/>
    <s v="Safe"/>
    <n v="0.2273"/>
    <n v="0.82"/>
    <s v="Risky"/>
    <n v="0.19400000000000001"/>
    <n v="1"/>
    <x v="125"/>
    <n v="125"/>
  </r>
  <r>
    <n v="403"/>
    <x v="17"/>
    <x v="0"/>
    <n v="18"/>
    <b v="0"/>
    <n v="2"/>
    <s v="No"/>
    <s v="Tuesday"/>
    <n v="2"/>
    <s v="Misty"/>
    <n v="0.22"/>
    <s v="Safe"/>
    <n v="0.2273"/>
    <n v="0.8"/>
    <s v="Risky"/>
    <n v="0.16420000000000001"/>
    <n v="1"/>
    <x v="126"/>
    <n v="133"/>
  </r>
  <r>
    <n v="404"/>
    <x v="17"/>
    <x v="0"/>
    <n v="19"/>
    <b v="0"/>
    <n v="2"/>
    <s v="No"/>
    <s v="Tuesday"/>
    <n v="2"/>
    <s v="Misty"/>
    <n v="0.22"/>
    <s v="Safe"/>
    <n v="0.2273"/>
    <n v="0.8"/>
    <s v="Risky"/>
    <n v="0.1343"/>
    <n v="1"/>
    <x v="52"/>
    <n v="99"/>
  </r>
  <r>
    <n v="405"/>
    <x v="17"/>
    <x v="0"/>
    <n v="20"/>
    <b v="0"/>
    <n v="2"/>
    <s v="No"/>
    <s v="Tuesday"/>
    <n v="2"/>
    <s v="Misty"/>
    <n v="0.22"/>
    <s v="Safe"/>
    <n v="0.2727"/>
    <n v="0.87"/>
    <s v="Risky"/>
    <n v="0"/>
    <n v="0"/>
    <x v="93"/>
    <n v="83"/>
  </r>
  <r>
    <n v="406"/>
    <x v="17"/>
    <x v="0"/>
    <n v="21"/>
    <b v="0"/>
    <n v="2"/>
    <s v="No"/>
    <s v="Tuesday"/>
    <n v="2"/>
    <s v="Misty"/>
    <n v="0.22"/>
    <s v="Safe"/>
    <n v="0.2424"/>
    <n v="0.93"/>
    <s v="Risky"/>
    <n v="0.1045"/>
    <n v="0"/>
    <x v="40"/>
    <n v="41"/>
  </r>
  <r>
    <n v="407"/>
    <x v="17"/>
    <x v="0"/>
    <n v="22"/>
    <b v="0"/>
    <n v="2"/>
    <s v="No"/>
    <s v="Tuesday"/>
    <n v="2"/>
    <s v="Misty"/>
    <n v="0.22"/>
    <s v="Safe"/>
    <n v="0.2576"/>
    <n v="0.93"/>
    <s v="Risky"/>
    <n v="8.9599999999999999E-2"/>
    <n v="0"/>
    <x v="39"/>
    <n v="33"/>
  </r>
  <r>
    <n v="408"/>
    <x v="17"/>
    <x v="0"/>
    <n v="23"/>
    <b v="0"/>
    <n v="2"/>
    <s v="No"/>
    <s v="Tuesday"/>
    <n v="2"/>
    <s v="Misty"/>
    <n v="0.22"/>
    <s v="Safe"/>
    <n v="0.2727"/>
    <n v="0.93"/>
    <s v="Risky"/>
    <n v="0"/>
    <n v="1"/>
    <x v="23"/>
    <n v="20"/>
  </r>
  <r>
    <n v="409"/>
    <x v="18"/>
    <x v="0"/>
    <n v="0"/>
    <b v="0"/>
    <n v="3"/>
    <s v="No"/>
    <s v="Wednesday"/>
    <n v="2"/>
    <s v="Misty"/>
    <n v="0.22"/>
    <s v="Safe"/>
    <n v="0.2727"/>
    <n v="0.93"/>
    <s v="Risky"/>
    <n v="0"/>
    <n v="0"/>
    <x v="35"/>
    <n v="3"/>
  </r>
  <r>
    <n v="410"/>
    <x v="18"/>
    <x v="0"/>
    <n v="1"/>
    <b v="0"/>
    <n v="3"/>
    <s v="No"/>
    <s v="Wednesday"/>
    <n v="3"/>
    <s v="Light Rain"/>
    <n v="0.22"/>
    <s v="Safe"/>
    <n v="0.2273"/>
    <n v="0.93"/>
    <s v="Risky"/>
    <n v="0.1343"/>
    <n v="1"/>
    <x v="8"/>
    <n v="7"/>
  </r>
  <r>
    <n v="411"/>
    <x v="18"/>
    <x v="0"/>
    <n v="2"/>
    <b v="0"/>
    <n v="3"/>
    <s v="No"/>
    <s v="Wednesday"/>
    <n v="3"/>
    <s v="Light Rain"/>
    <n v="0.22"/>
    <s v="Safe"/>
    <n v="0.2273"/>
    <n v="0.93"/>
    <s v="Risky"/>
    <n v="0.1343"/>
    <n v="0"/>
    <x v="35"/>
    <n v="3"/>
  </r>
  <r>
    <n v="412"/>
    <x v="18"/>
    <x v="0"/>
    <n v="4"/>
    <b v="0"/>
    <n v="3"/>
    <s v="No"/>
    <s v="Wednesday"/>
    <n v="3"/>
    <s v="Light Rain"/>
    <n v="0.22"/>
    <s v="Safe"/>
    <n v="0.2273"/>
    <n v="0.93"/>
    <s v="Risky"/>
    <n v="0.1343"/>
    <n v="1"/>
    <x v="4"/>
    <n v="2"/>
  </r>
  <r>
    <n v="413"/>
    <x v="18"/>
    <x v="0"/>
    <n v="5"/>
    <b v="0"/>
    <n v="3"/>
    <s v="No"/>
    <s v="Wednesday"/>
    <n v="2"/>
    <s v="Misty"/>
    <n v="0.22"/>
    <s v="Safe"/>
    <n v="0.2576"/>
    <n v="0.93"/>
    <s v="Risky"/>
    <n v="8.9599999999999999E-2"/>
    <n v="0"/>
    <x v="7"/>
    <n v="7"/>
  </r>
  <r>
    <n v="414"/>
    <x v="18"/>
    <x v="0"/>
    <n v="6"/>
    <b v="0"/>
    <n v="3"/>
    <s v="No"/>
    <s v="Wednesday"/>
    <n v="2"/>
    <s v="Misty"/>
    <n v="0.22"/>
    <s v="Safe"/>
    <n v="0.2576"/>
    <n v="0.93"/>
    <s v="Risky"/>
    <n v="8.9599999999999999E-2"/>
    <n v="0"/>
    <x v="1"/>
    <n v="32"/>
  </r>
  <r>
    <n v="415"/>
    <x v="18"/>
    <x v="0"/>
    <n v="7"/>
    <b v="0"/>
    <n v="3"/>
    <s v="No"/>
    <s v="Wednesday"/>
    <n v="2"/>
    <s v="Misty"/>
    <n v="0.24"/>
    <s v="Safe"/>
    <n v="0.2576"/>
    <n v="0.92"/>
    <s v="Risky"/>
    <n v="0.1045"/>
    <n v="1"/>
    <x v="121"/>
    <n v="90"/>
  </r>
  <r>
    <n v="416"/>
    <x v="18"/>
    <x v="0"/>
    <n v="8"/>
    <b v="0"/>
    <n v="3"/>
    <s v="No"/>
    <s v="Wednesday"/>
    <n v="2"/>
    <s v="Misty"/>
    <n v="0.24"/>
    <s v="Safe"/>
    <n v="0.2576"/>
    <n v="0.93"/>
    <s v="Risky"/>
    <n v="0.1045"/>
    <n v="1"/>
    <x v="127"/>
    <n v="197"/>
  </r>
  <r>
    <n v="417"/>
    <x v="18"/>
    <x v="0"/>
    <n v="9"/>
    <b v="0"/>
    <n v="3"/>
    <s v="No"/>
    <s v="Wednesday"/>
    <n v="2"/>
    <s v="Misty"/>
    <n v="0.24"/>
    <s v="Safe"/>
    <n v="0.2576"/>
    <n v="0.93"/>
    <s v="Risky"/>
    <n v="0.1045"/>
    <n v="2"/>
    <x v="128"/>
    <n v="109"/>
  </r>
  <r>
    <n v="418"/>
    <x v="18"/>
    <x v="0"/>
    <n v="10"/>
    <b v="0"/>
    <n v="3"/>
    <s v="No"/>
    <s v="Wednesday"/>
    <n v="2"/>
    <s v="Misty"/>
    <n v="0.26"/>
    <s v="Safe"/>
    <n v="0.2727"/>
    <n v="0.93"/>
    <s v="Risky"/>
    <n v="0.1343"/>
    <n v="1"/>
    <x v="24"/>
    <n v="47"/>
  </r>
  <r>
    <n v="419"/>
    <x v="18"/>
    <x v="0"/>
    <n v="11"/>
    <b v="0"/>
    <n v="3"/>
    <s v="No"/>
    <s v="Wednesday"/>
    <n v="2"/>
    <s v="Misty"/>
    <n v="0.28000000000000003"/>
    <s v="Safe"/>
    <n v="0.30299999999999999"/>
    <n v="0.87"/>
    <s v="Risky"/>
    <n v="8.9599999999999999E-2"/>
    <n v="5"/>
    <x v="12"/>
    <n v="52"/>
  </r>
  <r>
    <n v="420"/>
    <x v="18"/>
    <x v="0"/>
    <n v="12"/>
    <b v="0"/>
    <n v="3"/>
    <s v="No"/>
    <s v="Wednesday"/>
    <n v="2"/>
    <s v="Misty"/>
    <n v="0.3"/>
    <s v="Safe"/>
    <n v="0.31819999999999998"/>
    <n v="0.81"/>
    <s v="Risky"/>
    <n v="8.9599999999999999E-2"/>
    <n v="5"/>
    <x v="65"/>
    <n v="70"/>
  </r>
  <r>
    <n v="421"/>
    <x v="18"/>
    <x v="0"/>
    <n v="13"/>
    <b v="0"/>
    <n v="3"/>
    <s v="No"/>
    <s v="Wednesday"/>
    <n v="1"/>
    <s v="Clean"/>
    <n v="0.4"/>
    <s v="Risky"/>
    <n v="0.40910000000000002"/>
    <n v="0.62"/>
    <s v="Acceptable"/>
    <n v="0.28360000000000002"/>
    <n v="11"/>
    <x v="28"/>
    <n v="78"/>
  </r>
  <r>
    <n v="422"/>
    <x v="18"/>
    <x v="0"/>
    <n v="14"/>
    <b v="0"/>
    <n v="3"/>
    <s v="No"/>
    <s v="Wednesday"/>
    <n v="1"/>
    <s v="Clean"/>
    <n v="0.4"/>
    <s v="Risky"/>
    <n v="0.40910000000000002"/>
    <n v="0.57999999999999996"/>
    <s v="Acceptable"/>
    <n v="0.25369999999999998"/>
    <n v="7"/>
    <x v="56"/>
    <n v="75"/>
  </r>
  <r>
    <n v="423"/>
    <x v="18"/>
    <x v="0"/>
    <n v="15"/>
    <b v="0"/>
    <n v="3"/>
    <s v="No"/>
    <s v="Wednesday"/>
    <n v="1"/>
    <s v="Clean"/>
    <n v="0.4"/>
    <s v="Risky"/>
    <n v="0.40910000000000002"/>
    <n v="0.54"/>
    <s v="Acceptable"/>
    <n v="0.28360000000000002"/>
    <n v="4"/>
    <x v="78"/>
    <n v="82"/>
  </r>
  <r>
    <n v="424"/>
    <x v="18"/>
    <x v="0"/>
    <n v="16"/>
    <b v="0"/>
    <n v="3"/>
    <s v="No"/>
    <s v="Wednesday"/>
    <n v="1"/>
    <s v="Clean"/>
    <n v="0.38"/>
    <s v="Risky"/>
    <n v="0.39389999999999997"/>
    <n v="0.57999999999999996"/>
    <s v="Acceptable"/>
    <n v="0.3881"/>
    <n v="10"/>
    <x v="111"/>
    <n v="104"/>
  </r>
  <r>
    <n v="425"/>
    <x v="18"/>
    <x v="0"/>
    <n v="17"/>
    <b v="0"/>
    <n v="3"/>
    <s v="No"/>
    <s v="Wednesday"/>
    <n v="1"/>
    <s v="Clean"/>
    <n v="0.36"/>
    <s v="Risky"/>
    <n v="0.33329999999999999"/>
    <n v="0.56999999999999995"/>
    <s v="Acceptable"/>
    <n v="0.32840000000000003"/>
    <n v="7"/>
    <x v="84"/>
    <n v="197"/>
  </r>
  <r>
    <n v="426"/>
    <x v="18"/>
    <x v="0"/>
    <n v="18"/>
    <b v="0"/>
    <n v="3"/>
    <s v="No"/>
    <s v="Wednesday"/>
    <n v="1"/>
    <s v="Clean"/>
    <n v="0.34"/>
    <s v="Safe"/>
    <n v="0.31819999999999998"/>
    <n v="0.61"/>
    <s v="Acceptable"/>
    <n v="0.28360000000000002"/>
    <n v="5"/>
    <x v="117"/>
    <n v="161"/>
  </r>
  <r>
    <n v="427"/>
    <x v="18"/>
    <x v="0"/>
    <n v="19"/>
    <b v="0"/>
    <n v="3"/>
    <s v="No"/>
    <s v="Wednesday"/>
    <n v="1"/>
    <s v="Clean"/>
    <n v="0.32"/>
    <s v="Safe"/>
    <n v="0.28789999999999999"/>
    <n v="0.56999999999999995"/>
    <s v="Acceptable"/>
    <n v="0.41789999999999999"/>
    <n v="4"/>
    <x v="123"/>
    <n v="112"/>
  </r>
  <r>
    <n v="428"/>
    <x v="18"/>
    <x v="0"/>
    <n v="20"/>
    <b v="0"/>
    <n v="3"/>
    <s v="No"/>
    <s v="Wednesday"/>
    <n v="1"/>
    <s v="Clean"/>
    <n v="0.32"/>
    <s v="Safe"/>
    <n v="0.30299999999999999"/>
    <n v="0.49"/>
    <s v="Acceptable"/>
    <n v="0.29849999999999999"/>
    <n v="2"/>
    <x v="64"/>
    <n v="76"/>
  </r>
  <r>
    <n v="429"/>
    <x v="18"/>
    <x v="0"/>
    <n v="21"/>
    <b v="0"/>
    <n v="3"/>
    <s v="No"/>
    <s v="Wednesday"/>
    <n v="1"/>
    <s v="Clean"/>
    <n v="0.32"/>
    <s v="Safe"/>
    <n v="0.28789999999999999"/>
    <n v="0.49"/>
    <s v="Acceptable"/>
    <n v="0.41789999999999999"/>
    <n v="4"/>
    <x v="11"/>
    <n v="59"/>
  </r>
  <r>
    <n v="430"/>
    <x v="18"/>
    <x v="0"/>
    <n v="22"/>
    <b v="0"/>
    <n v="3"/>
    <s v="No"/>
    <s v="Wednesday"/>
    <n v="1"/>
    <s v="Clean"/>
    <n v="0.3"/>
    <s v="Safe"/>
    <n v="0.30299999999999999"/>
    <n v="0.52"/>
    <s v="Acceptable"/>
    <n v="0.16420000000000001"/>
    <n v="6"/>
    <x v="42"/>
    <n v="59"/>
  </r>
  <r>
    <n v="431"/>
    <x v="18"/>
    <x v="0"/>
    <n v="23"/>
    <b v="0"/>
    <n v="3"/>
    <s v="No"/>
    <s v="Wednesday"/>
    <n v="1"/>
    <s v="Clean"/>
    <n v="0.3"/>
    <s v="Safe"/>
    <n v="0.2727"/>
    <n v="0.52"/>
    <s v="Acceptable"/>
    <n v="0.4627"/>
    <n v="1"/>
    <x v="2"/>
    <n v="28"/>
  </r>
  <r>
    <n v="432"/>
    <x v="19"/>
    <x v="0"/>
    <n v="0"/>
    <b v="0"/>
    <n v="4"/>
    <s v="No"/>
    <s v="Thursday"/>
    <n v="1"/>
    <s v="Clean"/>
    <n v="0.26"/>
    <s v="Safe"/>
    <n v="0.2273"/>
    <n v="0.56000000000000005"/>
    <s v="Acceptable"/>
    <n v="0.3881"/>
    <n v="5"/>
    <x v="21"/>
    <n v="13"/>
  </r>
  <r>
    <n v="433"/>
    <x v="19"/>
    <x v="0"/>
    <n v="1"/>
    <b v="0"/>
    <n v="4"/>
    <s v="No"/>
    <s v="Thursday"/>
    <n v="1"/>
    <s v="Clean"/>
    <n v="0.26"/>
    <s v="Safe"/>
    <n v="0.2727"/>
    <n v="0.56000000000000005"/>
    <s v="Acceptable"/>
    <n v="0"/>
    <n v="2"/>
    <x v="35"/>
    <n v="5"/>
  </r>
  <r>
    <n v="434"/>
    <x v="19"/>
    <x v="0"/>
    <n v="2"/>
    <b v="0"/>
    <n v="4"/>
    <s v="No"/>
    <s v="Thursday"/>
    <n v="1"/>
    <s v="Clean"/>
    <n v="0.26"/>
    <s v="Safe"/>
    <n v="0.2727"/>
    <n v="0.56000000000000005"/>
    <s v="Acceptable"/>
    <n v="0"/>
    <n v="0"/>
    <x v="6"/>
    <n v="2"/>
  </r>
  <r>
    <n v="435"/>
    <x v="19"/>
    <x v="0"/>
    <n v="3"/>
    <b v="0"/>
    <n v="4"/>
    <s v="No"/>
    <s v="Thursday"/>
    <n v="1"/>
    <s v="Clean"/>
    <n v="0.26"/>
    <s v="Safe"/>
    <n v="0.2576"/>
    <n v="0.56000000000000005"/>
    <s v="Acceptable"/>
    <n v="0.16420000000000001"/>
    <n v="0"/>
    <x v="4"/>
    <n v="1"/>
  </r>
  <r>
    <n v="436"/>
    <x v="19"/>
    <x v="0"/>
    <n v="4"/>
    <b v="0"/>
    <n v="4"/>
    <s v="No"/>
    <s v="Thursday"/>
    <n v="1"/>
    <s v="Clean"/>
    <n v="0.26"/>
    <s v="Safe"/>
    <n v="0.2576"/>
    <n v="0.56000000000000005"/>
    <s v="Acceptable"/>
    <n v="0.16420000000000001"/>
    <n v="0"/>
    <x v="4"/>
    <n v="1"/>
  </r>
  <r>
    <n v="437"/>
    <x v="19"/>
    <x v="0"/>
    <n v="5"/>
    <b v="0"/>
    <n v="4"/>
    <s v="No"/>
    <s v="Thursday"/>
    <n v="1"/>
    <s v="Clean"/>
    <n v="0.24"/>
    <s v="Safe"/>
    <n v="0.2273"/>
    <n v="0.6"/>
    <s v="Acceptable"/>
    <n v="0.22389999999999999"/>
    <n v="0"/>
    <x v="8"/>
    <n v="6"/>
  </r>
  <r>
    <n v="438"/>
    <x v="19"/>
    <x v="0"/>
    <n v="6"/>
    <b v="0"/>
    <n v="4"/>
    <s v="No"/>
    <s v="Thursday"/>
    <n v="1"/>
    <s v="Clean"/>
    <n v="0.22"/>
    <s v="Safe"/>
    <n v="0.21210000000000001"/>
    <n v="0.6"/>
    <s v="Acceptable"/>
    <n v="0.22389999999999999"/>
    <n v="0"/>
    <x v="96"/>
    <n v="35"/>
  </r>
  <r>
    <n v="439"/>
    <x v="19"/>
    <x v="0"/>
    <n v="7"/>
    <b v="0"/>
    <n v="4"/>
    <s v="No"/>
    <s v="Thursday"/>
    <n v="1"/>
    <s v="Clean"/>
    <n v="0.22"/>
    <s v="Safe"/>
    <n v="0.21210000000000001"/>
    <n v="0.55000000000000004"/>
    <s v="Acceptable"/>
    <n v="0.22389999999999999"/>
    <n v="1"/>
    <x v="129"/>
    <n v="101"/>
  </r>
  <r>
    <n v="440"/>
    <x v="19"/>
    <x v="0"/>
    <n v="8"/>
    <b v="0"/>
    <n v="4"/>
    <s v="No"/>
    <s v="Thursday"/>
    <n v="1"/>
    <s v="Clean"/>
    <n v="0.22"/>
    <s v="Safe"/>
    <n v="0.21210000000000001"/>
    <n v="0.55000000000000004"/>
    <s v="Acceptable"/>
    <n v="0.28360000000000002"/>
    <n v="2"/>
    <x v="130"/>
    <n v="249"/>
  </r>
  <r>
    <n v="441"/>
    <x v="19"/>
    <x v="0"/>
    <n v="9"/>
    <b v="0"/>
    <n v="4"/>
    <s v="No"/>
    <s v="Thursday"/>
    <n v="2"/>
    <s v="Misty"/>
    <n v="0.24"/>
    <s v="Safe"/>
    <n v="0.2273"/>
    <n v="0.52"/>
    <s v="Acceptable"/>
    <n v="0.22389999999999999"/>
    <n v="3"/>
    <x v="131"/>
    <n v="143"/>
  </r>
  <r>
    <n v="442"/>
    <x v="19"/>
    <x v="0"/>
    <n v="10"/>
    <b v="0"/>
    <n v="4"/>
    <s v="No"/>
    <s v="Thursday"/>
    <n v="1"/>
    <s v="Clean"/>
    <n v="0.26"/>
    <s v="Safe"/>
    <n v="0.2273"/>
    <n v="0.48"/>
    <s v="Acceptable"/>
    <n v="0.29849999999999999"/>
    <n v="1"/>
    <x v="90"/>
    <n v="57"/>
  </r>
  <r>
    <n v="443"/>
    <x v="19"/>
    <x v="0"/>
    <n v="11"/>
    <b v="0"/>
    <n v="4"/>
    <s v="No"/>
    <s v="Thursday"/>
    <n v="2"/>
    <s v="Misty"/>
    <n v="0.28000000000000003"/>
    <s v="Safe"/>
    <n v="0.2727"/>
    <n v="0.45"/>
    <s v="Acceptable"/>
    <n v="0.16420000000000001"/>
    <n v="5"/>
    <x v="36"/>
    <n v="68"/>
  </r>
  <r>
    <n v="444"/>
    <x v="19"/>
    <x v="0"/>
    <n v="12"/>
    <b v="0"/>
    <n v="4"/>
    <s v="No"/>
    <s v="Thursday"/>
    <n v="2"/>
    <s v="Misty"/>
    <n v="0.3"/>
    <s v="Safe"/>
    <n v="0.33329999999999999"/>
    <n v="0.42"/>
    <s v="Acceptable"/>
    <n v="0"/>
    <n v="7"/>
    <x v="99"/>
    <n v="84"/>
  </r>
  <r>
    <n v="445"/>
    <x v="19"/>
    <x v="0"/>
    <n v="13"/>
    <b v="0"/>
    <n v="4"/>
    <s v="No"/>
    <s v="Thursday"/>
    <n v="2"/>
    <s v="Misty"/>
    <n v="0.28000000000000003"/>
    <s v="Safe"/>
    <n v="0.28789999999999999"/>
    <n v="0.45"/>
    <s v="Acceptable"/>
    <n v="0.1045"/>
    <n v="12"/>
    <x v="132"/>
    <n v="98"/>
  </r>
  <r>
    <n v="446"/>
    <x v="19"/>
    <x v="0"/>
    <n v="14"/>
    <b v="0"/>
    <n v="4"/>
    <s v="No"/>
    <s v="Thursday"/>
    <n v="2"/>
    <s v="Misty"/>
    <n v="0.3"/>
    <s v="Safe"/>
    <n v="0.30299999999999999"/>
    <n v="0.45"/>
    <s v="Acceptable"/>
    <n v="0.1343"/>
    <n v="6"/>
    <x v="102"/>
    <n v="81"/>
  </r>
  <r>
    <n v="447"/>
    <x v="19"/>
    <x v="0"/>
    <n v="15"/>
    <b v="0"/>
    <n v="4"/>
    <s v="No"/>
    <s v="Thursday"/>
    <n v="2"/>
    <s v="Misty"/>
    <n v="0.32"/>
    <s v="Safe"/>
    <n v="0.31819999999999998"/>
    <n v="0.45"/>
    <s v="Acceptable"/>
    <n v="0.19400000000000001"/>
    <n v="8"/>
    <x v="133"/>
    <n v="70"/>
  </r>
  <r>
    <n v="448"/>
    <x v="19"/>
    <x v="0"/>
    <n v="16"/>
    <b v="0"/>
    <n v="4"/>
    <s v="No"/>
    <s v="Thursday"/>
    <n v="2"/>
    <s v="Misty"/>
    <n v="0.3"/>
    <s v="Safe"/>
    <n v="0.30299999999999999"/>
    <n v="0.49"/>
    <s v="Acceptable"/>
    <n v="0.1343"/>
    <n v="8"/>
    <x v="93"/>
    <n v="91"/>
  </r>
  <r>
    <n v="449"/>
    <x v="19"/>
    <x v="0"/>
    <n v="17"/>
    <b v="0"/>
    <n v="4"/>
    <s v="No"/>
    <s v="Thursday"/>
    <n v="2"/>
    <s v="Misty"/>
    <n v="0.3"/>
    <s v="Safe"/>
    <n v="0.31819999999999998"/>
    <n v="0.49"/>
    <s v="Acceptable"/>
    <n v="0.1045"/>
    <n v="8"/>
    <x v="134"/>
    <n v="215"/>
  </r>
  <r>
    <n v="450"/>
    <x v="19"/>
    <x v="0"/>
    <n v="18"/>
    <b v="0"/>
    <n v="4"/>
    <s v="No"/>
    <s v="Thursday"/>
    <n v="2"/>
    <s v="Misty"/>
    <n v="0.26"/>
    <s v="Safe"/>
    <n v="0.2576"/>
    <n v="0.56000000000000005"/>
    <s v="Acceptable"/>
    <n v="0.19400000000000001"/>
    <n v="1"/>
    <x v="103"/>
    <n v="185"/>
  </r>
  <r>
    <n v="451"/>
    <x v="19"/>
    <x v="0"/>
    <n v="19"/>
    <b v="0"/>
    <n v="4"/>
    <s v="No"/>
    <s v="Thursday"/>
    <n v="1"/>
    <s v="Clean"/>
    <n v="0.26"/>
    <s v="Safe"/>
    <n v="0.2273"/>
    <n v="0.56000000000000005"/>
    <s v="Acceptable"/>
    <n v="0.32840000000000003"/>
    <n v="6"/>
    <x v="44"/>
    <n v="152"/>
  </r>
  <r>
    <n v="452"/>
    <x v="19"/>
    <x v="0"/>
    <n v="20"/>
    <b v="0"/>
    <n v="4"/>
    <s v="No"/>
    <s v="Thursday"/>
    <n v="2"/>
    <s v="Misty"/>
    <n v="0.26"/>
    <s v="Safe"/>
    <n v="0.2424"/>
    <n v="0.6"/>
    <s v="Acceptable"/>
    <n v="0.28360000000000002"/>
    <n v="2"/>
    <x v="125"/>
    <n v="126"/>
  </r>
  <r>
    <n v="453"/>
    <x v="19"/>
    <x v="0"/>
    <n v="21"/>
    <b v="0"/>
    <n v="4"/>
    <s v="No"/>
    <s v="Thursday"/>
    <n v="2"/>
    <s v="Misty"/>
    <n v="0.24"/>
    <s v="Safe"/>
    <n v="0.2273"/>
    <n v="0.6"/>
    <s v="Acceptable"/>
    <n v="0.25369999999999998"/>
    <n v="3"/>
    <x v="25"/>
    <n v="57"/>
  </r>
  <r>
    <n v="454"/>
    <x v="19"/>
    <x v="0"/>
    <n v="22"/>
    <b v="0"/>
    <n v="4"/>
    <s v="No"/>
    <s v="Thursday"/>
    <n v="2"/>
    <s v="Misty"/>
    <n v="0.24"/>
    <s v="Safe"/>
    <n v="0.21210000000000001"/>
    <n v="0.65"/>
    <s v="Acceptable"/>
    <n v="0.28360000000000002"/>
    <n v="0"/>
    <x v="90"/>
    <n v="56"/>
  </r>
  <r>
    <n v="455"/>
    <x v="19"/>
    <x v="0"/>
    <n v="23"/>
    <b v="0"/>
    <n v="4"/>
    <s v="No"/>
    <s v="Thursday"/>
    <n v="2"/>
    <s v="Misty"/>
    <n v="0.24"/>
    <s v="Safe"/>
    <n v="0.21210000000000001"/>
    <n v="0.65"/>
    <s v="Acceptable"/>
    <n v="0.32840000000000003"/>
    <n v="3"/>
    <x v="95"/>
    <n v="31"/>
  </r>
  <r>
    <n v="456"/>
    <x v="20"/>
    <x v="0"/>
    <n v="0"/>
    <b v="0"/>
    <n v="5"/>
    <s v="No"/>
    <s v="Friday"/>
    <n v="2"/>
    <s v="Misty"/>
    <n v="0.24"/>
    <s v="Safe"/>
    <n v="0.2273"/>
    <n v="0.7"/>
    <s v="Risky"/>
    <n v="0.25369999999999998"/>
    <n v="1"/>
    <x v="32"/>
    <n v="21"/>
  </r>
  <r>
    <n v="457"/>
    <x v="20"/>
    <x v="0"/>
    <n v="1"/>
    <b v="0"/>
    <n v="5"/>
    <s v="No"/>
    <s v="Friday"/>
    <n v="2"/>
    <s v="Misty"/>
    <n v="0.24"/>
    <s v="Safe"/>
    <n v="0.2273"/>
    <n v="0.7"/>
    <s v="Risky"/>
    <n v="0.25369999999999998"/>
    <n v="0"/>
    <x v="8"/>
    <n v="6"/>
  </r>
  <r>
    <n v="458"/>
    <x v="20"/>
    <x v="0"/>
    <n v="2"/>
    <b v="0"/>
    <n v="5"/>
    <s v="No"/>
    <s v="Friday"/>
    <n v="3"/>
    <s v="Light Rain"/>
    <n v="0.24"/>
    <s v="Safe"/>
    <n v="0.2424"/>
    <n v="0.75"/>
    <s v="Risky"/>
    <n v="0.16420000000000001"/>
    <n v="0"/>
    <x v="6"/>
    <n v="2"/>
  </r>
  <r>
    <n v="459"/>
    <x v="20"/>
    <x v="0"/>
    <n v="3"/>
    <b v="0"/>
    <n v="5"/>
    <s v="No"/>
    <s v="Friday"/>
    <n v="3"/>
    <s v="Light Rain"/>
    <n v="0.22"/>
    <s v="Safe"/>
    <n v="0.21210000000000001"/>
    <n v="0.8"/>
    <s v="Risky"/>
    <n v="0.29849999999999999"/>
    <n v="0"/>
    <x v="4"/>
    <n v="1"/>
  </r>
  <r>
    <n v="460"/>
    <x v="20"/>
    <x v="0"/>
    <n v="4"/>
    <b v="0"/>
    <n v="5"/>
    <s v="No"/>
    <s v="Friday"/>
    <n v="2"/>
    <s v="Misty"/>
    <n v="0.22"/>
    <s v="Safe"/>
    <n v="0.2576"/>
    <n v="0.87"/>
    <s v="Risky"/>
    <n v="8.9599999999999999E-2"/>
    <n v="0"/>
    <x v="4"/>
    <n v="1"/>
  </r>
  <r>
    <n v="461"/>
    <x v="20"/>
    <x v="0"/>
    <n v="5"/>
    <b v="0"/>
    <n v="5"/>
    <s v="No"/>
    <s v="Friday"/>
    <n v="1"/>
    <s v="Clean"/>
    <n v="0.24"/>
    <s v="Safe"/>
    <n v="0.19700000000000001"/>
    <n v="0.6"/>
    <s v="Acceptable"/>
    <n v="0.41789999999999999"/>
    <n v="1"/>
    <x v="22"/>
    <n v="5"/>
  </r>
  <r>
    <n v="462"/>
    <x v="20"/>
    <x v="0"/>
    <n v="6"/>
    <b v="0"/>
    <n v="5"/>
    <s v="No"/>
    <s v="Friday"/>
    <n v="1"/>
    <s v="Clean"/>
    <n v="0.22"/>
    <s v="Safe"/>
    <n v="0.21210000000000001"/>
    <n v="0.55000000000000004"/>
    <s v="Acceptable"/>
    <n v="0.25369999999999998"/>
    <n v="0"/>
    <x v="2"/>
    <n v="27"/>
  </r>
  <r>
    <n v="463"/>
    <x v="20"/>
    <x v="0"/>
    <n v="7"/>
    <b v="0"/>
    <n v="5"/>
    <s v="No"/>
    <s v="Friday"/>
    <n v="1"/>
    <s v="Clean"/>
    <n v="0.2"/>
    <s v="Safe"/>
    <n v="0.18179999999999999"/>
    <n v="0.51"/>
    <s v="Acceptable"/>
    <n v="0.28360000000000002"/>
    <n v="2"/>
    <x v="43"/>
    <n v="68"/>
  </r>
  <r>
    <n v="464"/>
    <x v="20"/>
    <x v="0"/>
    <n v="8"/>
    <b v="0"/>
    <n v="5"/>
    <s v="No"/>
    <s v="Friday"/>
    <n v="1"/>
    <s v="Clean"/>
    <n v="0.2"/>
    <s v="Safe"/>
    <n v="0.18179999999999999"/>
    <n v="0.47"/>
    <s v="Acceptable"/>
    <n v="0.32840000000000003"/>
    <n v="7"/>
    <x v="135"/>
    <n v="217"/>
  </r>
  <r>
    <n v="465"/>
    <x v="20"/>
    <x v="0"/>
    <n v="9"/>
    <b v="0"/>
    <n v="5"/>
    <s v="No"/>
    <s v="Friday"/>
    <n v="1"/>
    <s v="Clean"/>
    <n v="0.2"/>
    <s v="Safe"/>
    <n v="0.18179999999999999"/>
    <n v="0.51"/>
    <s v="Acceptable"/>
    <n v="0.35820000000000002"/>
    <n v="7"/>
    <x v="136"/>
    <n v="166"/>
  </r>
  <r>
    <n v="466"/>
    <x v="20"/>
    <x v="0"/>
    <n v="10"/>
    <b v="0"/>
    <n v="5"/>
    <s v="No"/>
    <s v="Friday"/>
    <n v="1"/>
    <s v="Clean"/>
    <n v="0.2"/>
    <s v="Safe"/>
    <n v="0.16669999999999999"/>
    <n v="0.47"/>
    <s v="Acceptable"/>
    <n v="0.4627"/>
    <n v="6"/>
    <x v="77"/>
    <n v="63"/>
  </r>
  <r>
    <n v="467"/>
    <x v="20"/>
    <x v="0"/>
    <n v="11"/>
    <b v="0"/>
    <n v="5"/>
    <s v="No"/>
    <s v="Friday"/>
    <n v="1"/>
    <s v="Clean"/>
    <n v="0.22"/>
    <s v="Safe"/>
    <n v="0.18179999999999999"/>
    <n v="0.41"/>
    <s v="Acceptable"/>
    <n v="0.4627"/>
    <n v="6"/>
    <x v="42"/>
    <n v="59"/>
  </r>
  <r>
    <n v="468"/>
    <x v="20"/>
    <x v="0"/>
    <n v="12"/>
    <b v="0"/>
    <n v="5"/>
    <s v="No"/>
    <s v="Friday"/>
    <n v="1"/>
    <s v="Clean"/>
    <n v="0.22"/>
    <s v="Safe"/>
    <n v="0.18179999999999999"/>
    <n v="0.27"/>
    <s v="Acceptable"/>
    <n v="0.58209999999999995"/>
    <n v="11"/>
    <x v="28"/>
    <n v="78"/>
  </r>
  <r>
    <n v="469"/>
    <x v="20"/>
    <x v="0"/>
    <n v="13"/>
    <b v="0"/>
    <n v="5"/>
    <s v="No"/>
    <s v="Friday"/>
    <n v="1"/>
    <s v="Clean"/>
    <n v="0.2"/>
    <s v="Safe"/>
    <n v="0.1515"/>
    <n v="0.21"/>
    <s v="Acceptable"/>
    <n v="0.58209999999999995"/>
    <n v="8"/>
    <x v="65"/>
    <n v="73"/>
  </r>
  <r>
    <n v="470"/>
    <x v="20"/>
    <x v="0"/>
    <n v="14"/>
    <b v="0"/>
    <n v="5"/>
    <s v="No"/>
    <s v="Friday"/>
    <n v="1"/>
    <s v="Clean"/>
    <n v="0.2"/>
    <s v="Safe"/>
    <n v="0.1515"/>
    <n v="0.25"/>
    <s v="Acceptable"/>
    <n v="0.52239999999999998"/>
    <n v="6"/>
    <x v="90"/>
    <n v="62"/>
  </r>
  <r>
    <n v="471"/>
    <x v="20"/>
    <x v="0"/>
    <n v="15"/>
    <b v="0"/>
    <n v="5"/>
    <s v="No"/>
    <s v="Friday"/>
    <n v="1"/>
    <s v="Clean"/>
    <n v="0.16"/>
    <s v="Safe"/>
    <n v="0.1212"/>
    <n v="0.26"/>
    <s v="Acceptable"/>
    <n v="0.44779999999999998"/>
    <n v="4"/>
    <x v="124"/>
    <n v="65"/>
  </r>
  <r>
    <n v="472"/>
    <x v="20"/>
    <x v="0"/>
    <n v="16"/>
    <b v="0"/>
    <n v="5"/>
    <s v="No"/>
    <s v="Friday"/>
    <n v="1"/>
    <s v="Clean"/>
    <n v="0.16"/>
    <s v="Safe"/>
    <n v="0.13639999999999999"/>
    <n v="0.26"/>
    <s v="Acceptable"/>
    <n v="0.35820000000000002"/>
    <n v="0"/>
    <x v="106"/>
    <n v="97"/>
  </r>
  <r>
    <n v="473"/>
    <x v="20"/>
    <x v="0"/>
    <n v="17"/>
    <b v="0"/>
    <n v="5"/>
    <s v="No"/>
    <s v="Friday"/>
    <n v="1"/>
    <s v="Clean"/>
    <n v="0.14000000000000001"/>
    <s v="Safe"/>
    <n v="0.1212"/>
    <n v="0.28000000000000003"/>
    <s v="Acceptable"/>
    <n v="0.35820000000000002"/>
    <n v="10"/>
    <x v="137"/>
    <n v="161"/>
  </r>
  <r>
    <n v="474"/>
    <x v="20"/>
    <x v="0"/>
    <n v="18"/>
    <b v="0"/>
    <n v="5"/>
    <s v="No"/>
    <s v="Friday"/>
    <n v="1"/>
    <s v="Clean"/>
    <n v="0.12"/>
    <s v="Safe"/>
    <n v="0.1212"/>
    <n v="0.3"/>
    <s v="Acceptable"/>
    <n v="0.25369999999999998"/>
    <n v="1"/>
    <x v="138"/>
    <n v="120"/>
  </r>
  <r>
    <n v="475"/>
    <x v="20"/>
    <x v="0"/>
    <n v="19"/>
    <b v="0"/>
    <n v="5"/>
    <s v="No"/>
    <s v="Friday"/>
    <n v="1"/>
    <s v="Clean"/>
    <n v="0.12"/>
    <s v="Safe"/>
    <n v="0.1061"/>
    <n v="0.3"/>
    <s v="Acceptable"/>
    <n v="0.32840000000000003"/>
    <n v="3"/>
    <x v="139"/>
    <n v="96"/>
  </r>
  <r>
    <n v="476"/>
    <x v="20"/>
    <x v="0"/>
    <n v="20"/>
    <b v="0"/>
    <n v="5"/>
    <s v="No"/>
    <s v="Friday"/>
    <n v="1"/>
    <s v="Clean"/>
    <n v="0.1"/>
    <s v="Safe"/>
    <n v="7.5800000000000006E-2"/>
    <n v="0.33"/>
    <s v="Acceptable"/>
    <n v="0.41789999999999999"/>
    <n v="1"/>
    <x v="15"/>
    <n v="53"/>
  </r>
  <r>
    <n v="477"/>
    <x v="20"/>
    <x v="0"/>
    <n v="21"/>
    <b v="0"/>
    <n v="5"/>
    <s v="No"/>
    <s v="Friday"/>
    <n v="1"/>
    <s v="Clean"/>
    <n v="0.08"/>
    <s v="Risky"/>
    <n v="7.5800000000000006E-2"/>
    <n v="0.38"/>
    <s v="Acceptable"/>
    <n v="0.28360000000000002"/>
    <n v="0"/>
    <x v="40"/>
    <n v="41"/>
  </r>
  <r>
    <n v="478"/>
    <x v="20"/>
    <x v="0"/>
    <n v="22"/>
    <b v="0"/>
    <n v="5"/>
    <s v="No"/>
    <s v="Friday"/>
    <n v="1"/>
    <s v="Clean"/>
    <n v="0.06"/>
    <s v="Risky"/>
    <n v="3.0300000000000001E-2"/>
    <n v="0.41"/>
    <s v="Acceptable"/>
    <n v="0.3881"/>
    <n v="1"/>
    <x v="39"/>
    <n v="34"/>
  </r>
  <r>
    <n v="479"/>
    <x v="20"/>
    <x v="0"/>
    <n v="23"/>
    <b v="0"/>
    <n v="5"/>
    <s v="No"/>
    <s v="Friday"/>
    <n v="1"/>
    <s v="Clean"/>
    <n v="0.06"/>
    <s v="Risky"/>
    <n v="4.5499999999999999E-2"/>
    <n v="0.38"/>
    <s v="Acceptable"/>
    <n v="0.32840000000000003"/>
    <n v="0"/>
    <x v="2"/>
    <n v="27"/>
  </r>
  <r>
    <n v="480"/>
    <x v="21"/>
    <x v="0"/>
    <n v="0"/>
    <b v="0"/>
    <n v="6"/>
    <s v="Yes"/>
    <s v="Saturday"/>
    <n v="1"/>
    <s v="Clean"/>
    <n v="0.04"/>
    <s v="Risky"/>
    <n v="3.0300000000000001E-2"/>
    <n v="0.45"/>
    <s v="Acceptable"/>
    <n v="0.25369999999999998"/>
    <n v="0"/>
    <x v="0"/>
    <n v="13"/>
  </r>
  <r>
    <n v="481"/>
    <x v="21"/>
    <x v="0"/>
    <n v="1"/>
    <b v="0"/>
    <n v="6"/>
    <s v="Yes"/>
    <s v="Saturday"/>
    <n v="2"/>
    <s v="Misty"/>
    <n v="0.04"/>
    <s v="Risky"/>
    <n v="0"/>
    <n v="0.41"/>
    <s v="Acceptable"/>
    <n v="0.3881"/>
    <n v="3"/>
    <x v="33"/>
    <n v="12"/>
  </r>
  <r>
    <n v="482"/>
    <x v="21"/>
    <x v="0"/>
    <n v="2"/>
    <b v="0"/>
    <n v="6"/>
    <s v="Yes"/>
    <s v="Saturday"/>
    <n v="2"/>
    <s v="Misty"/>
    <n v="0.04"/>
    <s v="Risky"/>
    <n v="3.0300000000000001E-2"/>
    <n v="0.41"/>
    <s v="Acceptable"/>
    <n v="0.25369999999999998"/>
    <n v="0"/>
    <x v="48"/>
    <n v="11"/>
  </r>
  <r>
    <n v="483"/>
    <x v="21"/>
    <x v="0"/>
    <n v="3"/>
    <b v="0"/>
    <n v="6"/>
    <s v="Yes"/>
    <s v="Saturday"/>
    <n v="2"/>
    <s v="Misty"/>
    <n v="0.04"/>
    <s v="Risky"/>
    <n v="3.0300000000000001E-2"/>
    <n v="0.41"/>
    <s v="Acceptable"/>
    <n v="0.28360000000000002"/>
    <n v="1"/>
    <x v="8"/>
    <n v="7"/>
  </r>
  <r>
    <n v="484"/>
    <x v="21"/>
    <x v="0"/>
    <n v="4"/>
    <b v="0"/>
    <n v="6"/>
    <s v="Yes"/>
    <s v="Saturday"/>
    <n v="2"/>
    <s v="Misty"/>
    <n v="0.02"/>
    <s v="Risky"/>
    <n v="1.52E-2"/>
    <n v="0.48"/>
    <s v="Acceptable"/>
    <n v="0.29849999999999999"/>
    <n v="0"/>
    <x v="35"/>
    <n v="3"/>
  </r>
  <r>
    <n v="485"/>
    <x v="21"/>
    <x v="0"/>
    <n v="6"/>
    <b v="0"/>
    <n v="6"/>
    <s v="Yes"/>
    <s v="Saturday"/>
    <n v="2"/>
    <s v="Misty"/>
    <n v="0.02"/>
    <s v="Risky"/>
    <n v="3.0300000000000001E-2"/>
    <n v="0.44"/>
    <s v="Acceptable"/>
    <n v="0.22389999999999999"/>
    <n v="0"/>
    <x v="6"/>
    <n v="2"/>
  </r>
  <r>
    <n v="486"/>
    <x v="21"/>
    <x v="0"/>
    <n v="7"/>
    <b v="0"/>
    <n v="6"/>
    <s v="Yes"/>
    <s v="Saturday"/>
    <n v="1"/>
    <s v="Clean"/>
    <n v="0.02"/>
    <s v="Risky"/>
    <n v="1.52E-2"/>
    <n v="0.44"/>
    <s v="Acceptable"/>
    <n v="0.28360000000000002"/>
    <n v="0"/>
    <x v="21"/>
    <n v="8"/>
  </r>
  <r>
    <n v="487"/>
    <x v="21"/>
    <x v="0"/>
    <n v="8"/>
    <b v="0"/>
    <n v="6"/>
    <s v="Yes"/>
    <s v="Saturday"/>
    <n v="1"/>
    <s v="Clean"/>
    <n v="0.02"/>
    <s v="Risky"/>
    <n v="0"/>
    <n v="0.44"/>
    <s v="Acceptable"/>
    <n v="0.32840000000000003"/>
    <n v="1"/>
    <x v="16"/>
    <n v="27"/>
  </r>
  <r>
    <n v="488"/>
    <x v="21"/>
    <x v="0"/>
    <n v="9"/>
    <b v="0"/>
    <n v="6"/>
    <s v="Yes"/>
    <s v="Saturday"/>
    <n v="1"/>
    <s v="Clean"/>
    <n v="0.04"/>
    <s v="Risky"/>
    <n v="3.0300000000000001E-2"/>
    <n v="0.41"/>
    <s v="Acceptable"/>
    <n v="0.25369999999999998"/>
    <n v="3"/>
    <x v="53"/>
    <n v="40"/>
  </r>
  <r>
    <n v="489"/>
    <x v="21"/>
    <x v="0"/>
    <n v="10"/>
    <b v="0"/>
    <n v="6"/>
    <s v="Yes"/>
    <s v="Saturday"/>
    <n v="2"/>
    <s v="Misty"/>
    <n v="0.04"/>
    <s v="Risky"/>
    <n v="6.0600000000000001E-2"/>
    <n v="0.41"/>
    <s v="Acceptable"/>
    <n v="0.16420000000000001"/>
    <n v="3"/>
    <x v="54"/>
    <n v="53"/>
  </r>
  <r>
    <n v="490"/>
    <x v="21"/>
    <x v="0"/>
    <n v="11"/>
    <b v="0"/>
    <n v="6"/>
    <s v="Yes"/>
    <s v="Saturday"/>
    <n v="2"/>
    <s v="Misty"/>
    <n v="0.06"/>
    <s v="Risky"/>
    <n v="7.5800000000000006E-2"/>
    <n v="0.38"/>
    <s v="Acceptable"/>
    <n v="0.1343"/>
    <n v="4"/>
    <x v="79"/>
    <n v="63"/>
  </r>
  <r>
    <n v="491"/>
    <x v="21"/>
    <x v="0"/>
    <n v="12"/>
    <b v="0"/>
    <n v="6"/>
    <s v="Yes"/>
    <s v="Saturday"/>
    <n v="2"/>
    <s v="Misty"/>
    <n v="0.06"/>
    <s v="Risky"/>
    <n v="0.1061"/>
    <n v="0.38"/>
    <s v="Acceptable"/>
    <n v="0.1045"/>
    <n v="10"/>
    <x v="91"/>
    <n v="70"/>
  </r>
  <r>
    <n v="492"/>
    <x v="21"/>
    <x v="0"/>
    <n v="13"/>
    <b v="0"/>
    <n v="6"/>
    <s v="Yes"/>
    <s v="Saturday"/>
    <n v="1"/>
    <s v="Clean"/>
    <n v="0.08"/>
    <s v="Risky"/>
    <n v="0.16669999999999999"/>
    <n v="0.35"/>
    <s v="Acceptable"/>
    <n v="0"/>
    <n v="12"/>
    <x v="109"/>
    <n v="84"/>
  </r>
  <r>
    <n v="493"/>
    <x v="21"/>
    <x v="0"/>
    <n v="14"/>
    <b v="0"/>
    <n v="6"/>
    <s v="Yes"/>
    <s v="Saturday"/>
    <n v="1"/>
    <s v="Clean"/>
    <n v="0.1"/>
    <s v="Safe"/>
    <n v="0.13639999999999999"/>
    <n v="0.33"/>
    <s v="Acceptable"/>
    <n v="0.1045"/>
    <n v="11"/>
    <x v="27"/>
    <n v="75"/>
  </r>
  <r>
    <n v="494"/>
    <x v="21"/>
    <x v="0"/>
    <n v="15"/>
    <b v="0"/>
    <n v="6"/>
    <s v="Yes"/>
    <s v="Saturday"/>
    <n v="1"/>
    <s v="Clean"/>
    <n v="0.12"/>
    <s v="Safe"/>
    <n v="0.1515"/>
    <n v="0.28000000000000003"/>
    <s v="Acceptable"/>
    <n v="0"/>
    <n v="10"/>
    <x v="139"/>
    <n v="103"/>
  </r>
  <r>
    <n v="495"/>
    <x v="21"/>
    <x v="0"/>
    <n v="16"/>
    <b v="0"/>
    <n v="6"/>
    <s v="Yes"/>
    <s v="Saturday"/>
    <n v="1"/>
    <s v="Clean"/>
    <n v="0.12"/>
    <s v="Safe"/>
    <n v="0.13639999999999999"/>
    <n v="0.28000000000000003"/>
    <s v="Acceptable"/>
    <n v="0.19400000000000001"/>
    <n v="11"/>
    <x v="109"/>
    <n v="83"/>
  </r>
  <r>
    <n v="496"/>
    <x v="21"/>
    <x v="0"/>
    <n v="17"/>
    <b v="0"/>
    <n v="6"/>
    <s v="Yes"/>
    <s v="Saturday"/>
    <n v="1"/>
    <s v="Clean"/>
    <n v="0.12"/>
    <s v="Safe"/>
    <n v="0.19700000000000001"/>
    <n v="0.28000000000000003"/>
    <s v="Acceptable"/>
    <n v="0"/>
    <n v="8"/>
    <x v="79"/>
    <n v="67"/>
  </r>
  <r>
    <n v="497"/>
    <x v="21"/>
    <x v="0"/>
    <n v="18"/>
    <b v="0"/>
    <n v="6"/>
    <s v="Yes"/>
    <s v="Saturday"/>
    <n v="1"/>
    <s v="Clean"/>
    <n v="0.08"/>
    <s v="Risky"/>
    <n v="9.0899999999999995E-2"/>
    <n v="0.35"/>
    <s v="Acceptable"/>
    <n v="0.19400000000000001"/>
    <n v="0"/>
    <x v="25"/>
    <n v="54"/>
  </r>
  <r>
    <n v="498"/>
    <x v="21"/>
    <x v="0"/>
    <n v="19"/>
    <b v="0"/>
    <n v="6"/>
    <s v="Yes"/>
    <s v="Saturday"/>
    <n v="1"/>
    <s v="Clean"/>
    <n v="0.08"/>
    <s v="Risky"/>
    <n v="0.1061"/>
    <n v="0.35"/>
    <s v="Acceptable"/>
    <n v="0.1343"/>
    <n v="6"/>
    <x v="42"/>
    <n v="59"/>
  </r>
  <r>
    <n v="499"/>
    <x v="21"/>
    <x v="0"/>
    <n v="20"/>
    <b v="0"/>
    <n v="6"/>
    <s v="Yes"/>
    <s v="Saturday"/>
    <n v="1"/>
    <s v="Clean"/>
    <n v="0.06"/>
    <s v="Risky"/>
    <n v="7.5800000000000006E-2"/>
    <n v="0.45"/>
    <s v="Acceptable"/>
    <n v="0.16420000000000001"/>
    <n v="1"/>
    <x v="100"/>
    <n v="45"/>
  </r>
  <r>
    <n v="500"/>
    <x v="21"/>
    <x v="0"/>
    <n v="21"/>
    <b v="0"/>
    <n v="6"/>
    <s v="Yes"/>
    <s v="Saturday"/>
    <n v="1"/>
    <s v="Clean"/>
    <n v="0.06"/>
    <s v="Risky"/>
    <n v="0.1061"/>
    <n v="0.41"/>
    <s v="Acceptable"/>
    <n v="8.9599999999999999E-2"/>
    <n v="0"/>
    <x v="87"/>
    <n v="39"/>
  </r>
  <r>
    <n v="501"/>
    <x v="21"/>
    <x v="0"/>
    <n v="22"/>
    <b v="0"/>
    <n v="6"/>
    <s v="Yes"/>
    <s v="Saturday"/>
    <n v="1"/>
    <s v="Clean"/>
    <n v="0.06"/>
    <s v="Risky"/>
    <n v="0.1515"/>
    <n v="0.49"/>
    <s v="Acceptable"/>
    <n v="0"/>
    <n v="7"/>
    <x v="140"/>
    <n v="30"/>
  </r>
  <r>
    <n v="502"/>
    <x v="21"/>
    <x v="0"/>
    <n v="23"/>
    <b v="0"/>
    <n v="6"/>
    <s v="Yes"/>
    <s v="Saturday"/>
    <n v="1"/>
    <s v="Clean"/>
    <n v="0.04"/>
    <s v="Risky"/>
    <n v="7.5800000000000006E-2"/>
    <n v="0.56999999999999995"/>
    <s v="Acceptable"/>
    <n v="0.1045"/>
    <n v="2"/>
    <x v="17"/>
    <n v="33"/>
  </r>
  <r>
    <n v="503"/>
    <x v="22"/>
    <x v="0"/>
    <n v="0"/>
    <b v="0"/>
    <n v="0"/>
    <s v="Yes"/>
    <s v="Sunday"/>
    <n v="1"/>
    <s v="Clean"/>
    <n v="0.04"/>
    <s v="Risky"/>
    <n v="7.5800000000000006E-2"/>
    <n v="0.56999999999999995"/>
    <s v="Acceptable"/>
    <n v="0.1045"/>
    <n v="2"/>
    <x v="32"/>
    <n v="22"/>
  </r>
  <r>
    <n v="504"/>
    <x v="22"/>
    <x v="0"/>
    <n v="1"/>
    <b v="0"/>
    <n v="0"/>
    <s v="Yes"/>
    <s v="Sunday"/>
    <n v="1"/>
    <s v="Clean"/>
    <n v="0.04"/>
    <s v="Risky"/>
    <n v="7.5800000000000006E-2"/>
    <n v="0.56999999999999995"/>
    <s v="Acceptable"/>
    <n v="0.1045"/>
    <n v="1"/>
    <x v="98"/>
    <n v="13"/>
  </r>
  <r>
    <n v="505"/>
    <x v="22"/>
    <x v="0"/>
    <n v="2"/>
    <b v="0"/>
    <n v="0"/>
    <s v="Yes"/>
    <s v="Sunday"/>
    <n v="1"/>
    <s v="Clean"/>
    <n v="0.02"/>
    <s v="Risky"/>
    <n v="6.0600000000000001E-2"/>
    <n v="0.62"/>
    <s v="Acceptable"/>
    <n v="0.1343"/>
    <n v="3"/>
    <x v="89"/>
    <n v="18"/>
  </r>
  <r>
    <n v="506"/>
    <x v="22"/>
    <x v="0"/>
    <n v="3"/>
    <b v="0"/>
    <n v="0"/>
    <s v="Yes"/>
    <s v="Sunday"/>
    <n v="1"/>
    <s v="Clean"/>
    <n v="0.02"/>
    <s v="Risky"/>
    <n v="6.0600000000000001E-2"/>
    <n v="0.62"/>
    <s v="Acceptable"/>
    <n v="0.1343"/>
    <n v="1"/>
    <x v="22"/>
    <n v="5"/>
  </r>
  <r>
    <n v="507"/>
    <x v="22"/>
    <x v="0"/>
    <n v="5"/>
    <b v="0"/>
    <n v="0"/>
    <s v="Yes"/>
    <s v="Sunday"/>
    <n v="2"/>
    <s v="Misty"/>
    <n v="0.04"/>
    <s v="Risky"/>
    <n v="7.5800000000000006E-2"/>
    <n v="0.56999999999999995"/>
    <s v="Acceptable"/>
    <n v="0.1045"/>
    <n v="0"/>
    <x v="35"/>
    <n v="3"/>
  </r>
  <r>
    <n v="508"/>
    <x v="22"/>
    <x v="0"/>
    <n v="6"/>
    <b v="0"/>
    <n v="0"/>
    <s v="Yes"/>
    <s v="Sunday"/>
    <n v="2"/>
    <s v="Misty"/>
    <n v="0.04"/>
    <s v="Risky"/>
    <n v="7.5800000000000006E-2"/>
    <n v="0.56999999999999995"/>
    <s v="Acceptable"/>
    <n v="0.1045"/>
    <n v="0"/>
    <x v="4"/>
    <n v="1"/>
  </r>
  <r>
    <n v="509"/>
    <x v="22"/>
    <x v="0"/>
    <n v="7"/>
    <b v="0"/>
    <n v="0"/>
    <s v="Yes"/>
    <s v="Sunday"/>
    <n v="1"/>
    <s v="Clean"/>
    <n v="0.08"/>
    <s v="Risky"/>
    <n v="0.1061"/>
    <n v="0.57999999999999996"/>
    <s v="Acceptable"/>
    <n v="0.16420000000000001"/>
    <n v="1"/>
    <x v="4"/>
    <n v="2"/>
  </r>
  <r>
    <n v="510"/>
    <x v="22"/>
    <x v="0"/>
    <n v="8"/>
    <b v="0"/>
    <n v="0"/>
    <s v="Yes"/>
    <s v="Sunday"/>
    <n v="1"/>
    <s v="Clean"/>
    <n v="0.06"/>
    <s v="Risky"/>
    <n v="7.5800000000000006E-2"/>
    <n v="0.62"/>
    <s v="Acceptable"/>
    <n v="0.16420000000000001"/>
    <n v="2"/>
    <x v="19"/>
    <n v="19"/>
  </r>
  <r>
    <n v="511"/>
    <x v="22"/>
    <x v="0"/>
    <n v="9"/>
    <b v="0"/>
    <n v="0"/>
    <s v="Yes"/>
    <s v="Sunday"/>
    <n v="1"/>
    <s v="Clean"/>
    <n v="0.1"/>
    <s v="Safe"/>
    <n v="7.5800000000000006E-2"/>
    <n v="0.54"/>
    <s v="Acceptable"/>
    <n v="0.35820000000000002"/>
    <n v="3"/>
    <x v="18"/>
    <n v="28"/>
  </r>
  <r>
    <n v="512"/>
    <x v="22"/>
    <x v="0"/>
    <n v="10"/>
    <b v="0"/>
    <n v="0"/>
    <s v="Yes"/>
    <s v="Sunday"/>
    <n v="1"/>
    <s v="Clean"/>
    <n v="0.14000000000000001"/>
    <s v="Safe"/>
    <n v="0.1061"/>
    <n v="0.46"/>
    <s v="Acceptable"/>
    <n v="0.3881"/>
    <n v="7"/>
    <x v="82"/>
    <n v="58"/>
  </r>
  <r>
    <n v="513"/>
    <x v="22"/>
    <x v="0"/>
    <n v="11"/>
    <b v="0"/>
    <n v="0"/>
    <s v="Yes"/>
    <s v="Sunday"/>
    <n v="1"/>
    <s v="Clean"/>
    <n v="0.14000000000000001"/>
    <s v="Safe"/>
    <n v="0.13639999999999999"/>
    <n v="0.43"/>
    <s v="Acceptable"/>
    <n v="0.22389999999999999"/>
    <n v="22"/>
    <x v="99"/>
    <n v="99"/>
  </r>
  <r>
    <n v="514"/>
    <x v="22"/>
    <x v="0"/>
    <n v="12"/>
    <b v="0"/>
    <n v="0"/>
    <s v="Yes"/>
    <s v="Sunday"/>
    <n v="1"/>
    <s v="Clean"/>
    <n v="0.16"/>
    <s v="Safe"/>
    <n v="0.1212"/>
    <n v="0.37"/>
    <s v="Acceptable"/>
    <n v="0.4627"/>
    <n v="24"/>
    <x v="50"/>
    <n v="116"/>
  </r>
  <r>
    <n v="515"/>
    <x v="22"/>
    <x v="0"/>
    <n v="13"/>
    <b v="0"/>
    <n v="0"/>
    <s v="Yes"/>
    <s v="Sunday"/>
    <n v="1"/>
    <s v="Clean"/>
    <n v="0.14000000000000001"/>
    <s v="Safe"/>
    <n v="0.1061"/>
    <n v="0.33"/>
    <s v="Acceptable"/>
    <n v="0.3881"/>
    <n v="12"/>
    <x v="102"/>
    <n v="87"/>
  </r>
  <r>
    <n v="516"/>
    <x v="22"/>
    <x v="0"/>
    <n v="14"/>
    <b v="0"/>
    <n v="0"/>
    <s v="Yes"/>
    <s v="Sunday"/>
    <n v="1"/>
    <s v="Clean"/>
    <n v="0.16"/>
    <s v="Safe"/>
    <n v="0.13639999999999999"/>
    <n v="0.28000000000000003"/>
    <s v="Acceptable"/>
    <n v="0.35820000000000002"/>
    <n v="17"/>
    <x v="139"/>
    <n v="110"/>
  </r>
  <r>
    <n v="517"/>
    <x v="22"/>
    <x v="0"/>
    <n v="15"/>
    <b v="0"/>
    <n v="0"/>
    <s v="Yes"/>
    <s v="Sunday"/>
    <n v="1"/>
    <s v="Clean"/>
    <n v="0.16"/>
    <s v="Safe"/>
    <n v="0.13639999999999999"/>
    <n v="0.28000000000000003"/>
    <s v="Acceptable"/>
    <n v="0.35820000000000002"/>
    <n v="13"/>
    <x v="27"/>
    <n v="77"/>
  </r>
  <r>
    <n v="518"/>
    <x v="22"/>
    <x v="0"/>
    <n v="16"/>
    <b v="0"/>
    <n v="0"/>
    <s v="Yes"/>
    <s v="Sunday"/>
    <n v="1"/>
    <s v="Clean"/>
    <n v="0.16"/>
    <s v="Safe"/>
    <n v="0.13639999999999999"/>
    <n v="0.26"/>
    <s v="Acceptable"/>
    <n v="0.32840000000000003"/>
    <n v="9"/>
    <x v="90"/>
    <n v="65"/>
  </r>
  <r>
    <n v="519"/>
    <x v="22"/>
    <x v="0"/>
    <n v="17"/>
    <b v="0"/>
    <n v="0"/>
    <s v="Yes"/>
    <s v="Sunday"/>
    <n v="1"/>
    <s v="Clean"/>
    <n v="0.14000000000000001"/>
    <s v="Safe"/>
    <n v="0.1061"/>
    <n v="0.26"/>
    <s v="Acceptable"/>
    <n v="0.3881"/>
    <n v="5"/>
    <x v="54"/>
    <n v="55"/>
  </r>
  <r>
    <n v="520"/>
    <x v="22"/>
    <x v="0"/>
    <n v="18"/>
    <b v="0"/>
    <n v="0"/>
    <s v="Yes"/>
    <s v="Sunday"/>
    <n v="1"/>
    <s v="Clean"/>
    <n v="0.12"/>
    <s v="Safe"/>
    <n v="0.1212"/>
    <n v="0.3"/>
    <s v="Acceptable"/>
    <n v="0.25369999999999998"/>
    <n v="5"/>
    <x v="100"/>
    <n v="49"/>
  </r>
  <r>
    <n v="521"/>
    <x v="22"/>
    <x v="0"/>
    <n v="19"/>
    <b v="0"/>
    <n v="0"/>
    <s v="Yes"/>
    <s v="Sunday"/>
    <n v="1"/>
    <s v="Clean"/>
    <n v="0.12"/>
    <s v="Safe"/>
    <n v="0.1212"/>
    <n v="0.3"/>
    <s v="Acceptable"/>
    <n v="0.28360000000000002"/>
    <n v="5"/>
    <x v="108"/>
    <n v="50"/>
  </r>
  <r>
    <n v="522"/>
    <x v="22"/>
    <x v="0"/>
    <n v="20"/>
    <b v="0"/>
    <n v="0"/>
    <s v="Yes"/>
    <s v="Sunday"/>
    <n v="1"/>
    <s v="Clean"/>
    <n v="0.1"/>
    <s v="Safe"/>
    <n v="0.1061"/>
    <n v="0.36"/>
    <s v="Acceptable"/>
    <n v="0.25369999999999998"/>
    <n v="4"/>
    <x v="17"/>
    <n v="35"/>
  </r>
  <r>
    <n v="523"/>
    <x v="22"/>
    <x v="0"/>
    <n v="21"/>
    <b v="0"/>
    <n v="0"/>
    <s v="Yes"/>
    <s v="Sunday"/>
    <n v="1"/>
    <s v="Clean"/>
    <n v="0.1"/>
    <s v="Safe"/>
    <n v="0.1061"/>
    <n v="0.36"/>
    <s v="Acceptable"/>
    <n v="0.19400000000000001"/>
    <n v="5"/>
    <x v="32"/>
    <n v="25"/>
  </r>
  <r>
    <n v="524"/>
    <x v="22"/>
    <x v="0"/>
    <n v="22"/>
    <b v="0"/>
    <n v="0"/>
    <s v="Yes"/>
    <s v="Sunday"/>
    <n v="1"/>
    <s v="Clean"/>
    <n v="0.08"/>
    <s v="Risky"/>
    <n v="9.0899999999999995E-2"/>
    <n v="0.38"/>
    <s v="Acceptable"/>
    <n v="0.19400000000000001"/>
    <n v="5"/>
    <x v="140"/>
    <n v="28"/>
  </r>
  <r>
    <n v="525"/>
    <x v="22"/>
    <x v="0"/>
    <n v="23"/>
    <b v="0"/>
    <n v="0"/>
    <s v="Yes"/>
    <s v="Sunday"/>
    <n v="1"/>
    <s v="Clean"/>
    <n v="0.06"/>
    <s v="Risky"/>
    <n v="6.0600000000000001E-2"/>
    <n v="0.41"/>
    <s v="Acceptable"/>
    <n v="0.22389999999999999"/>
    <n v="4"/>
    <x v="19"/>
    <n v="21"/>
  </r>
  <r>
    <n v="526"/>
    <x v="23"/>
    <x v="0"/>
    <n v="0"/>
    <b v="0"/>
    <n v="1"/>
    <s v="No"/>
    <s v="Monday"/>
    <n v="1"/>
    <s v="Clean"/>
    <n v="0.06"/>
    <s v="Risky"/>
    <n v="6.0600000000000001E-2"/>
    <n v="0.41"/>
    <s v="Acceptable"/>
    <n v="0.19400000000000001"/>
    <n v="0"/>
    <x v="7"/>
    <n v="7"/>
  </r>
  <r>
    <n v="527"/>
    <x v="23"/>
    <x v="0"/>
    <n v="1"/>
    <b v="0"/>
    <n v="1"/>
    <s v="No"/>
    <s v="Monday"/>
    <n v="1"/>
    <s v="Clean"/>
    <n v="0.04"/>
    <s v="Risky"/>
    <n v="4.5499999999999999E-2"/>
    <n v="0.45"/>
    <s v="Acceptable"/>
    <n v="0.19400000000000001"/>
    <n v="0"/>
    <x v="4"/>
    <n v="1"/>
  </r>
  <r>
    <n v="528"/>
    <x v="23"/>
    <x v="0"/>
    <n v="3"/>
    <b v="0"/>
    <n v="1"/>
    <s v="No"/>
    <s v="Monday"/>
    <n v="1"/>
    <s v="Clean"/>
    <n v="0.04"/>
    <s v="Risky"/>
    <n v="3.0300000000000001E-2"/>
    <n v="0.45"/>
    <s v="Acceptable"/>
    <n v="0.25369999999999998"/>
    <n v="0"/>
    <x v="4"/>
    <n v="1"/>
  </r>
  <r>
    <n v="529"/>
    <x v="23"/>
    <x v="0"/>
    <n v="4"/>
    <b v="0"/>
    <n v="1"/>
    <s v="No"/>
    <s v="Monday"/>
    <n v="1"/>
    <s v="Clean"/>
    <n v="0.02"/>
    <s v="Risky"/>
    <n v="6.0600000000000001E-2"/>
    <n v="0.48"/>
    <s v="Acceptable"/>
    <n v="0.1343"/>
    <n v="0"/>
    <x v="4"/>
    <n v="1"/>
  </r>
  <r>
    <n v="530"/>
    <x v="23"/>
    <x v="0"/>
    <n v="5"/>
    <b v="0"/>
    <n v="1"/>
    <s v="No"/>
    <s v="Monday"/>
    <n v="1"/>
    <s v="Clean"/>
    <n v="0.02"/>
    <s v="Risky"/>
    <n v="6.0600000000000001E-2"/>
    <n v="0.48"/>
    <s v="Acceptable"/>
    <n v="0.1343"/>
    <n v="0"/>
    <x v="34"/>
    <n v="5"/>
  </r>
  <r>
    <n v="531"/>
    <x v="23"/>
    <x v="0"/>
    <n v="6"/>
    <b v="0"/>
    <n v="1"/>
    <s v="No"/>
    <s v="Monday"/>
    <n v="1"/>
    <s v="Clean"/>
    <n v="0.02"/>
    <s v="Risky"/>
    <n v="7.5800000000000006E-2"/>
    <n v="0.48"/>
    <s v="Acceptable"/>
    <n v="8.9599999999999999E-2"/>
    <n v="0"/>
    <x v="89"/>
    <n v="15"/>
  </r>
  <r>
    <n v="532"/>
    <x v="23"/>
    <x v="0"/>
    <n v="7"/>
    <b v="0"/>
    <n v="1"/>
    <s v="No"/>
    <s v="Monday"/>
    <n v="1"/>
    <s v="Clean"/>
    <n v="0.02"/>
    <s v="Risky"/>
    <n v="0.1212"/>
    <n v="0.48"/>
    <s v="Acceptable"/>
    <n v="0"/>
    <n v="5"/>
    <x v="55"/>
    <n v="84"/>
  </r>
  <r>
    <n v="533"/>
    <x v="23"/>
    <x v="0"/>
    <n v="8"/>
    <b v="0"/>
    <n v="1"/>
    <s v="No"/>
    <s v="Monday"/>
    <n v="1"/>
    <s v="Clean"/>
    <n v="0.04"/>
    <s v="Risky"/>
    <n v="0.13639999999999999"/>
    <n v="0.49"/>
    <s v="Acceptable"/>
    <n v="0"/>
    <n v="6"/>
    <x v="141"/>
    <n v="177"/>
  </r>
  <r>
    <n v="534"/>
    <x v="23"/>
    <x v="0"/>
    <n v="9"/>
    <b v="0"/>
    <n v="1"/>
    <s v="No"/>
    <s v="Monday"/>
    <n v="1"/>
    <s v="Clean"/>
    <n v="0.06"/>
    <s v="Risky"/>
    <n v="0.1515"/>
    <n v="0.41"/>
    <s v="Acceptable"/>
    <n v="0"/>
    <n v="4"/>
    <x v="52"/>
    <n v="102"/>
  </r>
  <r>
    <n v="535"/>
    <x v="23"/>
    <x v="0"/>
    <n v="10"/>
    <b v="0"/>
    <n v="1"/>
    <s v="No"/>
    <s v="Monday"/>
    <n v="1"/>
    <s v="Clean"/>
    <n v="0.1"/>
    <s v="Safe"/>
    <n v="0.13639999999999999"/>
    <n v="0.42"/>
    <s v="Acceptable"/>
    <n v="0"/>
    <n v="6"/>
    <x v="60"/>
    <n v="40"/>
  </r>
  <r>
    <n v="536"/>
    <x v="23"/>
    <x v="0"/>
    <n v="11"/>
    <b v="0"/>
    <n v="1"/>
    <s v="No"/>
    <s v="Monday"/>
    <n v="1"/>
    <s v="Clean"/>
    <n v="0.1"/>
    <s v="Safe"/>
    <n v="0.1212"/>
    <n v="0.46"/>
    <s v="Acceptable"/>
    <n v="0.1343"/>
    <n v="3"/>
    <x v="30"/>
    <n v="46"/>
  </r>
  <r>
    <n v="537"/>
    <x v="23"/>
    <x v="0"/>
    <n v="12"/>
    <b v="0"/>
    <n v="1"/>
    <s v="No"/>
    <s v="Monday"/>
    <n v="2"/>
    <s v="Misty"/>
    <n v="0.12"/>
    <s v="Safe"/>
    <n v="0.13639999999999999"/>
    <n v="0.42"/>
    <s v="Acceptable"/>
    <n v="0.19400000000000001"/>
    <n v="11"/>
    <x v="15"/>
    <n v="63"/>
  </r>
  <r>
    <n v="538"/>
    <x v="23"/>
    <x v="0"/>
    <n v="13"/>
    <b v="0"/>
    <n v="1"/>
    <s v="No"/>
    <s v="Monday"/>
    <n v="2"/>
    <s v="Misty"/>
    <n v="0.14000000000000001"/>
    <s v="Safe"/>
    <n v="0.13639999999999999"/>
    <n v="0.43"/>
    <s v="Acceptable"/>
    <n v="0.22389999999999999"/>
    <n v="6"/>
    <x v="25"/>
    <n v="60"/>
  </r>
  <r>
    <n v="539"/>
    <x v="23"/>
    <x v="0"/>
    <n v="14"/>
    <b v="0"/>
    <n v="1"/>
    <s v="No"/>
    <s v="Monday"/>
    <n v="2"/>
    <s v="Misty"/>
    <n v="0.14000000000000001"/>
    <s v="Safe"/>
    <n v="0.13639999999999999"/>
    <n v="0.46"/>
    <s v="Acceptable"/>
    <n v="0.22389999999999999"/>
    <n v="2"/>
    <x v="30"/>
    <n v="45"/>
  </r>
  <r>
    <n v="540"/>
    <x v="23"/>
    <x v="0"/>
    <n v="15"/>
    <b v="0"/>
    <n v="1"/>
    <s v="No"/>
    <s v="Monday"/>
    <n v="1"/>
    <s v="Clean"/>
    <n v="0.16"/>
    <s v="Safe"/>
    <n v="0.16669999999999999"/>
    <n v="0.4"/>
    <s v="Acceptable"/>
    <n v="0.16420000000000001"/>
    <n v="7"/>
    <x v="54"/>
    <n v="57"/>
  </r>
  <r>
    <n v="541"/>
    <x v="23"/>
    <x v="0"/>
    <n v="16"/>
    <b v="0"/>
    <n v="1"/>
    <s v="No"/>
    <s v="Monday"/>
    <n v="1"/>
    <s v="Clean"/>
    <n v="0.16"/>
    <s v="Safe"/>
    <n v="0.1515"/>
    <n v="0.47"/>
    <s v="Acceptable"/>
    <n v="0.25369999999999998"/>
    <n v="4"/>
    <x v="43"/>
    <n v="70"/>
  </r>
  <r>
    <n v="542"/>
    <x v="23"/>
    <x v="0"/>
    <n v="17"/>
    <b v="0"/>
    <n v="1"/>
    <s v="No"/>
    <s v="Monday"/>
    <n v="1"/>
    <s v="Clean"/>
    <n v="0.14000000000000001"/>
    <s v="Safe"/>
    <n v="0.1212"/>
    <n v="0.5"/>
    <s v="Acceptable"/>
    <n v="0.25369999999999998"/>
    <n v="6"/>
    <x v="86"/>
    <n v="184"/>
  </r>
  <r>
    <n v="543"/>
    <x v="23"/>
    <x v="0"/>
    <n v="18"/>
    <b v="0"/>
    <n v="1"/>
    <s v="No"/>
    <s v="Monday"/>
    <n v="1"/>
    <s v="Clean"/>
    <n v="0.14000000000000001"/>
    <s v="Safe"/>
    <n v="0.13639999999999999"/>
    <n v="0.59"/>
    <s v="Acceptable"/>
    <n v="0.19400000000000001"/>
    <n v="8"/>
    <x v="142"/>
    <n v="153"/>
  </r>
  <r>
    <n v="544"/>
    <x v="23"/>
    <x v="0"/>
    <n v="19"/>
    <b v="0"/>
    <n v="1"/>
    <s v="No"/>
    <s v="Monday"/>
    <n v="1"/>
    <s v="Clean"/>
    <n v="0.14000000000000001"/>
    <s v="Safe"/>
    <n v="0.1515"/>
    <n v="0.54"/>
    <s v="Acceptable"/>
    <n v="0.16420000000000001"/>
    <n v="5"/>
    <x v="143"/>
    <n v="106"/>
  </r>
  <r>
    <n v="545"/>
    <x v="23"/>
    <x v="0"/>
    <n v="20"/>
    <b v="0"/>
    <n v="1"/>
    <s v="No"/>
    <s v="Monday"/>
    <n v="1"/>
    <s v="Clean"/>
    <n v="0.14000000000000001"/>
    <s v="Safe"/>
    <n v="0.13639999999999999"/>
    <n v="0.59"/>
    <s v="Acceptable"/>
    <n v="0.19400000000000001"/>
    <n v="1"/>
    <x v="122"/>
    <n v="81"/>
  </r>
  <r>
    <n v="546"/>
    <x v="23"/>
    <x v="0"/>
    <n v="21"/>
    <b v="0"/>
    <n v="1"/>
    <s v="No"/>
    <s v="Monday"/>
    <n v="1"/>
    <s v="Clean"/>
    <n v="0.14000000000000001"/>
    <s v="Safe"/>
    <n v="0.1515"/>
    <n v="0.63"/>
    <s v="Acceptable"/>
    <n v="0.16420000000000001"/>
    <n v="6"/>
    <x v="42"/>
    <n v="59"/>
  </r>
  <r>
    <n v="547"/>
    <x v="23"/>
    <x v="0"/>
    <n v="22"/>
    <b v="0"/>
    <n v="1"/>
    <s v="No"/>
    <s v="Monday"/>
    <n v="2"/>
    <s v="Misty"/>
    <n v="0.14000000000000001"/>
    <s v="Safe"/>
    <n v="0.13639999999999999"/>
    <n v="0.63"/>
    <s v="Acceptable"/>
    <n v="0.22389999999999999"/>
    <n v="3"/>
    <x v="1"/>
    <n v="35"/>
  </r>
  <r>
    <n v="548"/>
    <x v="23"/>
    <x v="0"/>
    <n v="23"/>
    <b v="0"/>
    <n v="1"/>
    <s v="No"/>
    <s v="Monday"/>
    <n v="2"/>
    <s v="Misty"/>
    <n v="0.16"/>
    <s v="Safe"/>
    <n v="0.1515"/>
    <n v="0.64"/>
    <s v="Acceptable"/>
    <n v="0.25369999999999998"/>
    <n v="3"/>
    <x v="144"/>
    <n v="24"/>
  </r>
  <r>
    <n v="549"/>
    <x v="24"/>
    <x v="0"/>
    <n v="0"/>
    <b v="0"/>
    <n v="2"/>
    <s v="No"/>
    <s v="Tuesday"/>
    <n v="2"/>
    <s v="Misty"/>
    <n v="0.16"/>
    <s v="Safe"/>
    <n v="0.13639999999999999"/>
    <n v="0.69"/>
    <s v="Acceptable"/>
    <n v="0.28360000000000002"/>
    <n v="3"/>
    <x v="8"/>
    <n v="9"/>
  </r>
  <r>
    <n v="550"/>
    <x v="24"/>
    <x v="0"/>
    <n v="1"/>
    <b v="0"/>
    <n v="2"/>
    <s v="No"/>
    <s v="Tuesday"/>
    <n v="2"/>
    <s v="Misty"/>
    <n v="0.16"/>
    <s v="Safe"/>
    <n v="0.16669999999999999"/>
    <n v="0.69"/>
    <s v="Acceptable"/>
    <n v="0.16420000000000001"/>
    <n v="0"/>
    <x v="34"/>
    <n v="5"/>
  </r>
  <r>
    <n v="551"/>
    <x v="24"/>
    <x v="0"/>
    <n v="2"/>
    <b v="0"/>
    <n v="2"/>
    <s v="No"/>
    <s v="Tuesday"/>
    <n v="1"/>
    <s v="Clean"/>
    <n v="0.16"/>
    <s v="Safe"/>
    <n v="0.1515"/>
    <n v="0.69"/>
    <s v="Acceptable"/>
    <n v="0.22389999999999999"/>
    <n v="0"/>
    <x v="6"/>
    <n v="2"/>
  </r>
  <r>
    <n v="552"/>
    <x v="24"/>
    <x v="0"/>
    <n v="4"/>
    <b v="0"/>
    <n v="2"/>
    <s v="No"/>
    <s v="Tuesday"/>
    <n v="1"/>
    <s v="Clean"/>
    <n v="0.14000000000000001"/>
    <s v="Safe"/>
    <n v="0.16669999999999999"/>
    <n v="0.74"/>
    <s v="Risky"/>
    <n v="0.1045"/>
    <n v="0"/>
    <x v="4"/>
    <n v="1"/>
  </r>
  <r>
    <n v="553"/>
    <x v="24"/>
    <x v="0"/>
    <n v="5"/>
    <b v="0"/>
    <n v="2"/>
    <s v="No"/>
    <s v="Tuesday"/>
    <n v="1"/>
    <s v="Clean"/>
    <n v="0.14000000000000001"/>
    <s v="Safe"/>
    <n v="0.13639999999999999"/>
    <n v="0.74"/>
    <s v="Risky"/>
    <n v="0.22389999999999999"/>
    <n v="0"/>
    <x v="33"/>
    <n v="9"/>
  </r>
  <r>
    <n v="554"/>
    <x v="24"/>
    <x v="0"/>
    <n v="6"/>
    <b v="0"/>
    <n v="2"/>
    <s v="No"/>
    <s v="Tuesday"/>
    <n v="1"/>
    <s v="Clean"/>
    <n v="0.16"/>
    <s v="Safe"/>
    <n v="0.18179999999999999"/>
    <n v="0.74"/>
    <s v="Risky"/>
    <n v="0.1045"/>
    <n v="1"/>
    <x v="96"/>
    <n v="36"/>
  </r>
  <r>
    <n v="555"/>
    <x v="24"/>
    <x v="0"/>
    <n v="7"/>
    <b v="0"/>
    <n v="2"/>
    <s v="No"/>
    <s v="Tuesday"/>
    <n v="1"/>
    <s v="Clean"/>
    <n v="0.16"/>
    <s v="Safe"/>
    <n v="0.1515"/>
    <n v="0.74"/>
    <s v="Risky"/>
    <n v="0.22389999999999999"/>
    <n v="5"/>
    <x v="145"/>
    <n v="108"/>
  </r>
  <r>
    <n v="556"/>
    <x v="24"/>
    <x v="0"/>
    <n v="8"/>
    <b v="0"/>
    <n v="2"/>
    <s v="No"/>
    <s v="Tuesday"/>
    <n v="2"/>
    <s v="Misty"/>
    <n v="0.16"/>
    <s v="Safe"/>
    <n v="0.18179999999999999"/>
    <n v="0.74"/>
    <s v="Risky"/>
    <n v="0.1343"/>
    <n v="5"/>
    <x v="146"/>
    <n v="238"/>
  </r>
  <r>
    <n v="557"/>
    <x v="24"/>
    <x v="0"/>
    <n v="9"/>
    <b v="0"/>
    <n v="2"/>
    <s v="No"/>
    <s v="Tuesday"/>
    <n v="2"/>
    <s v="Misty"/>
    <n v="0.2"/>
    <s v="Safe"/>
    <n v="0.2273"/>
    <n v="0.64"/>
    <s v="Acceptable"/>
    <n v="8.9599999999999999E-2"/>
    <n v="10"/>
    <x v="120"/>
    <n v="144"/>
  </r>
  <r>
    <n v="558"/>
    <x v="24"/>
    <x v="0"/>
    <n v="10"/>
    <b v="0"/>
    <n v="2"/>
    <s v="No"/>
    <s v="Tuesday"/>
    <n v="2"/>
    <s v="Misty"/>
    <n v="0.22"/>
    <s v="Safe"/>
    <n v="0.2424"/>
    <n v="0.6"/>
    <s v="Acceptable"/>
    <n v="0.1045"/>
    <n v="6"/>
    <x v="47"/>
    <n v="55"/>
  </r>
  <r>
    <n v="559"/>
    <x v="24"/>
    <x v="0"/>
    <n v="11"/>
    <b v="0"/>
    <n v="2"/>
    <s v="No"/>
    <s v="Tuesday"/>
    <n v="2"/>
    <s v="Misty"/>
    <n v="0.24"/>
    <s v="Safe"/>
    <n v="0.2424"/>
    <n v="0.6"/>
    <s v="Acceptable"/>
    <n v="0.1343"/>
    <n v="6"/>
    <x v="11"/>
    <n v="61"/>
  </r>
  <r>
    <n v="560"/>
    <x v="24"/>
    <x v="0"/>
    <n v="12"/>
    <b v="0"/>
    <n v="2"/>
    <s v="No"/>
    <s v="Tuesday"/>
    <n v="2"/>
    <s v="Misty"/>
    <n v="0.26"/>
    <s v="Safe"/>
    <n v="0.28789999999999999"/>
    <n v="0.56000000000000005"/>
    <s v="Acceptable"/>
    <n v="8.9599999999999999E-2"/>
    <n v="21"/>
    <x v="66"/>
    <n v="106"/>
  </r>
  <r>
    <n v="561"/>
    <x v="24"/>
    <x v="0"/>
    <n v="13"/>
    <b v="0"/>
    <n v="2"/>
    <s v="No"/>
    <s v="Tuesday"/>
    <n v="2"/>
    <s v="Misty"/>
    <n v="0.26"/>
    <s v="Safe"/>
    <n v="0.2727"/>
    <n v="0.56000000000000005"/>
    <s v="Acceptable"/>
    <n v="0.1343"/>
    <n v="21"/>
    <x v="109"/>
    <n v="93"/>
  </r>
  <r>
    <n v="562"/>
    <x v="24"/>
    <x v="0"/>
    <n v="14"/>
    <b v="0"/>
    <n v="2"/>
    <s v="No"/>
    <s v="Tuesday"/>
    <n v="2"/>
    <s v="Misty"/>
    <n v="0.3"/>
    <s v="Safe"/>
    <n v="0.33329999999999999"/>
    <n v="0.45"/>
    <s v="Acceptable"/>
    <n v="0"/>
    <n v="11"/>
    <x v="77"/>
    <n v="68"/>
  </r>
  <r>
    <n v="563"/>
    <x v="24"/>
    <x v="0"/>
    <n v="15"/>
    <b v="0"/>
    <n v="2"/>
    <s v="No"/>
    <s v="Tuesday"/>
    <n v="2"/>
    <s v="Misty"/>
    <n v="0.32"/>
    <s v="Safe"/>
    <n v="0.34849999999999998"/>
    <n v="0.42"/>
    <s v="Acceptable"/>
    <n v="0"/>
    <n v="21"/>
    <x v="36"/>
    <n v="84"/>
  </r>
  <r>
    <n v="564"/>
    <x v="24"/>
    <x v="0"/>
    <n v="16"/>
    <b v="0"/>
    <n v="2"/>
    <s v="No"/>
    <s v="Tuesday"/>
    <n v="2"/>
    <s v="Misty"/>
    <n v="0.32"/>
    <s v="Safe"/>
    <n v="0.34849999999999998"/>
    <n v="0.42"/>
    <s v="Acceptable"/>
    <n v="0"/>
    <n v="14"/>
    <x v="46"/>
    <n v="116"/>
  </r>
  <r>
    <n v="565"/>
    <x v="24"/>
    <x v="0"/>
    <n v="17"/>
    <b v="0"/>
    <n v="2"/>
    <s v="No"/>
    <s v="Tuesday"/>
    <n v="1"/>
    <s v="Clean"/>
    <n v="0.3"/>
    <s v="Safe"/>
    <n v="0.33329999999999999"/>
    <n v="0.45"/>
    <s v="Acceptable"/>
    <n v="0"/>
    <n v="14"/>
    <x v="147"/>
    <n v="222"/>
  </r>
  <r>
    <n v="566"/>
    <x v="24"/>
    <x v="0"/>
    <n v="18"/>
    <b v="0"/>
    <n v="2"/>
    <s v="No"/>
    <s v="Tuesday"/>
    <n v="2"/>
    <s v="Misty"/>
    <n v="0.3"/>
    <s v="Safe"/>
    <n v="0.31819999999999998"/>
    <n v="0.49"/>
    <s v="Acceptable"/>
    <n v="8.9599999999999999E-2"/>
    <n v="7"/>
    <x v="148"/>
    <n v="225"/>
  </r>
  <r>
    <n v="567"/>
    <x v="24"/>
    <x v="0"/>
    <n v="19"/>
    <b v="0"/>
    <n v="2"/>
    <s v="No"/>
    <s v="Tuesday"/>
    <n v="2"/>
    <s v="Misty"/>
    <n v="0.26"/>
    <s v="Safe"/>
    <n v="0.2576"/>
    <n v="0.65"/>
    <s v="Acceptable"/>
    <n v="0.16420000000000001"/>
    <n v="13"/>
    <x v="149"/>
    <n v="146"/>
  </r>
  <r>
    <n v="568"/>
    <x v="24"/>
    <x v="0"/>
    <n v="20"/>
    <b v="0"/>
    <n v="2"/>
    <s v="No"/>
    <s v="Tuesday"/>
    <n v="1"/>
    <s v="Clean"/>
    <n v="0.24"/>
    <s v="Safe"/>
    <n v="0.2273"/>
    <n v="0.65"/>
    <s v="Acceptable"/>
    <n v="0.19400000000000001"/>
    <n v="16"/>
    <x v="145"/>
    <n v="119"/>
  </r>
  <r>
    <n v="569"/>
    <x v="24"/>
    <x v="0"/>
    <n v="21"/>
    <b v="0"/>
    <n v="2"/>
    <s v="No"/>
    <s v="Tuesday"/>
    <n v="1"/>
    <s v="Clean"/>
    <n v="0.24"/>
    <s v="Safe"/>
    <n v="0.2273"/>
    <n v="0.65"/>
    <s v="Acceptable"/>
    <n v="0.19400000000000001"/>
    <n v="5"/>
    <x v="71"/>
    <n v="45"/>
  </r>
  <r>
    <n v="570"/>
    <x v="24"/>
    <x v="0"/>
    <n v="22"/>
    <b v="0"/>
    <n v="2"/>
    <s v="No"/>
    <s v="Tuesday"/>
    <n v="1"/>
    <s v="Clean"/>
    <n v="0.22"/>
    <s v="Safe"/>
    <n v="0.2273"/>
    <n v="0.64"/>
    <s v="Acceptable"/>
    <n v="0.16420000000000001"/>
    <n v="4"/>
    <x v="47"/>
    <n v="53"/>
  </r>
  <r>
    <n v="571"/>
    <x v="24"/>
    <x v="0"/>
    <n v="23"/>
    <b v="0"/>
    <n v="2"/>
    <s v="No"/>
    <s v="Tuesday"/>
    <n v="2"/>
    <s v="Misty"/>
    <n v="0.22"/>
    <s v="Safe"/>
    <n v="0.2273"/>
    <n v="0.64"/>
    <s v="Acceptable"/>
    <n v="0.16420000000000001"/>
    <n v="3"/>
    <x v="53"/>
    <n v="40"/>
  </r>
  <r>
    <n v="572"/>
    <x v="25"/>
    <x v="0"/>
    <n v="0"/>
    <b v="0"/>
    <n v="3"/>
    <s v="No"/>
    <s v="Wednesday"/>
    <n v="2"/>
    <s v="Misty"/>
    <n v="0.22"/>
    <s v="Safe"/>
    <n v="0.2273"/>
    <n v="0.69"/>
    <s v="Acceptable"/>
    <n v="0.1343"/>
    <n v="3"/>
    <x v="88"/>
    <n v="17"/>
  </r>
  <r>
    <n v="573"/>
    <x v="25"/>
    <x v="0"/>
    <n v="1"/>
    <b v="0"/>
    <n v="3"/>
    <s v="No"/>
    <s v="Wednesday"/>
    <n v="2"/>
    <s v="Misty"/>
    <n v="0.24"/>
    <s v="Safe"/>
    <n v="0.2424"/>
    <n v="0.65"/>
    <s v="Acceptable"/>
    <n v="0.1343"/>
    <n v="0"/>
    <x v="34"/>
    <n v="5"/>
  </r>
  <r>
    <n v="574"/>
    <x v="25"/>
    <x v="0"/>
    <n v="2"/>
    <b v="0"/>
    <n v="3"/>
    <s v="No"/>
    <s v="Wednesday"/>
    <n v="3"/>
    <s v="Light Rain"/>
    <n v="0.22"/>
    <s v="Safe"/>
    <n v="0.2273"/>
    <n v="0.69"/>
    <s v="Acceptable"/>
    <n v="0.19400000000000001"/>
    <n v="3"/>
    <x v="7"/>
    <n v="10"/>
  </r>
  <r>
    <n v="575"/>
    <x v="25"/>
    <x v="0"/>
    <n v="5"/>
    <b v="0"/>
    <n v="3"/>
    <s v="No"/>
    <s v="Wednesday"/>
    <n v="3"/>
    <s v="Light Rain"/>
    <n v="0.2"/>
    <s v="Safe"/>
    <n v="0.18179999999999999"/>
    <n v="0.86"/>
    <s v="Risky"/>
    <n v="0.28360000000000002"/>
    <n v="0"/>
    <x v="4"/>
    <n v="1"/>
  </r>
  <r>
    <n v="576"/>
    <x v="25"/>
    <x v="0"/>
    <n v="6"/>
    <b v="0"/>
    <n v="3"/>
    <s v="No"/>
    <s v="Wednesday"/>
    <n v="3"/>
    <s v="Light Rain"/>
    <n v="0.2"/>
    <s v="Safe"/>
    <n v="0.18179999999999999"/>
    <n v="0.86"/>
    <s v="Risky"/>
    <n v="0.28360000000000002"/>
    <n v="0"/>
    <x v="21"/>
    <n v="8"/>
  </r>
  <r>
    <n v="577"/>
    <x v="25"/>
    <x v="0"/>
    <n v="7"/>
    <b v="0"/>
    <n v="3"/>
    <s v="No"/>
    <s v="Wednesday"/>
    <n v="3"/>
    <s v="Light Rain"/>
    <n v="0.22"/>
    <s v="Safe"/>
    <n v="0.21210000000000001"/>
    <n v="0.87"/>
    <s v="Risky"/>
    <n v="0.29849999999999999"/>
    <n v="1"/>
    <x v="31"/>
    <n v="30"/>
  </r>
  <r>
    <n v="578"/>
    <x v="25"/>
    <x v="0"/>
    <n v="8"/>
    <b v="0"/>
    <n v="3"/>
    <s v="No"/>
    <s v="Wednesday"/>
    <n v="3"/>
    <s v="Light Rain"/>
    <n v="0.22"/>
    <s v="Safe"/>
    <n v="0.21210000000000001"/>
    <n v="0.87"/>
    <s v="Risky"/>
    <n v="0.29849999999999999"/>
    <n v="3"/>
    <x v="94"/>
    <n v="72"/>
  </r>
  <r>
    <n v="579"/>
    <x v="25"/>
    <x v="0"/>
    <n v="9"/>
    <b v="0"/>
    <n v="3"/>
    <s v="No"/>
    <s v="Wednesday"/>
    <n v="3"/>
    <s v="Light Rain"/>
    <n v="0.22"/>
    <s v="Safe"/>
    <n v="0.21210000000000001"/>
    <n v="0.87"/>
    <s v="Risky"/>
    <n v="0.29849999999999999"/>
    <n v="3"/>
    <x v="11"/>
    <n v="58"/>
  </r>
  <r>
    <n v="580"/>
    <x v="25"/>
    <x v="0"/>
    <n v="10"/>
    <b v="0"/>
    <n v="3"/>
    <s v="No"/>
    <s v="Wednesday"/>
    <n v="3"/>
    <s v="Light Rain"/>
    <n v="0.22"/>
    <s v="Safe"/>
    <n v="0.21210000000000001"/>
    <n v="0.93"/>
    <s v="Risky"/>
    <n v="0.28360000000000002"/>
    <n v="2"/>
    <x v="16"/>
    <n v="28"/>
  </r>
  <r>
    <n v="581"/>
    <x v="25"/>
    <x v="0"/>
    <n v="11"/>
    <b v="0"/>
    <n v="3"/>
    <s v="No"/>
    <s v="Wednesday"/>
    <n v="3"/>
    <s v="Light Rain"/>
    <n v="0.22"/>
    <s v="Safe"/>
    <n v="0.19700000000000001"/>
    <n v="0.93"/>
    <s v="Risky"/>
    <n v="0.32840000000000003"/>
    <n v="6"/>
    <x v="96"/>
    <n v="41"/>
  </r>
  <r>
    <n v="582"/>
    <x v="25"/>
    <x v="0"/>
    <n v="12"/>
    <b v="0"/>
    <n v="3"/>
    <s v="No"/>
    <s v="Wednesday"/>
    <n v="3"/>
    <s v="Light Rain"/>
    <n v="0.22"/>
    <s v="Safe"/>
    <n v="0.19700000000000001"/>
    <n v="0.93"/>
    <s v="Risky"/>
    <n v="0.32840000000000003"/>
    <n v="7"/>
    <x v="40"/>
    <n v="48"/>
  </r>
  <r>
    <n v="583"/>
    <x v="25"/>
    <x v="0"/>
    <n v="13"/>
    <b v="0"/>
    <n v="3"/>
    <s v="No"/>
    <s v="Wednesday"/>
    <n v="3"/>
    <s v="Light Rain"/>
    <n v="0.22"/>
    <s v="Safe"/>
    <n v="0.19700000000000001"/>
    <n v="0.93"/>
    <s v="Risky"/>
    <n v="0.32840000000000003"/>
    <n v="4"/>
    <x v="30"/>
    <n v="47"/>
  </r>
  <r>
    <n v="584"/>
    <x v="25"/>
    <x v="0"/>
    <n v="14"/>
    <b v="0"/>
    <n v="3"/>
    <s v="No"/>
    <s v="Wednesday"/>
    <n v="3"/>
    <s v="Light Rain"/>
    <n v="0.22"/>
    <s v="Safe"/>
    <n v="0.19700000000000001"/>
    <n v="0.93"/>
    <s v="Risky"/>
    <n v="0.35820000000000002"/>
    <n v="0"/>
    <x v="49"/>
    <n v="36"/>
  </r>
  <r>
    <n v="585"/>
    <x v="25"/>
    <x v="0"/>
    <n v="15"/>
    <b v="0"/>
    <n v="3"/>
    <s v="No"/>
    <s v="Wednesday"/>
    <n v="3"/>
    <s v="Light Rain"/>
    <n v="0.22"/>
    <s v="Safe"/>
    <n v="0.18179999999999999"/>
    <n v="0.93"/>
    <s v="Risky"/>
    <n v="0.4627"/>
    <n v="1"/>
    <x v="76"/>
    <n v="43"/>
  </r>
  <r>
    <n v="587"/>
    <x v="25"/>
    <x v="0"/>
    <n v="17"/>
    <b v="0"/>
    <n v="3"/>
    <s v="No"/>
    <s v="Wednesday"/>
    <n v="3"/>
    <s v="Light Rain"/>
    <n v="0.2"/>
    <s v="Safe"/>
    <n v="0.18179999999999999"/>
    <n v="0.93"/>
    <s v="Risky"/>
    <n v="0.35820000000000002"/>
    <n v="0"/>
    <x v="16"/>
    <n v="26"/>
  </r>
  <r>
    <n v="588"/>
    <x v="26"/>
    <x v="0"/>
    <n v="16"/>
    <b v="0"/>
    <n v="4"/>
    <s v="No"/>
    <s v="Thursday"/>
    <n v="1"/>
    <s v="Clean"/>
    <n v="0.22"/>
    <s v="Safe"/>
    <n v="0.2273"/>
    <n v="0.55000000000000004"/>
    <s v="Acceptable"/>
    <n v="0.19400000000000001"/>
    <n v="1"/>
    <x v="140"/>
    <n v="24"/>
  </r>
  <r>
    <n v="589"/>
    <x v="26"/>
    <x v="0"/>
    <n v="17"/>
    <b v="0"/>
    <n v="4"/>
    <s v="No"/>
    <s v="Thursday"/>
    <n v="1"/>
    <s v="Clean"/>
    <n v="0.22"/>
    <s v="Safe"/>
    <n v="0.2424"/>
    <n v="0.55000000000000004"/>
    <s v="Acceptable"/>
    <n v="0.1045"/>
    <n v="2"/>
    <x v="70"/>
    <n v="84"/>
  </r>
  <r>
    <n v="590"/>
    <x v="26"/>
    <x v="0"/>
    <n v="18"/>
    <b v="0"/>
    <n v="4"/>
    <s v="No"/>
    <s v="Thursday"/>
    <n v="1"/>
    <s v="Clean"/>
    <n v="0.2"/>
    <s v="Safe"/>
    <n v="0.2273"/>
    <n v="0.69"/>
    <s v="Acceptable"/>
    <n v="8.9599999999999999E-2"/>
    <n v="3"/>
    <x v="143"/>
    <n v="104"/>
  </r>
  <r>
    <n v="591"/>
    <x v="26"/>
    <x v="0"/>
    <n v="19"/>
    <b v="0"/>
    <n v="4"/>
    <s v="No"/>
    <s v="Thursday"/>
    <n v="1"/>
    <s v="Clean"/>
    <n v="0.2"/>
    <s v="Safe"/>
    <n v="0.2273"/>
    <n v="0.69"/>
    <s v="Acceptable"/>
    <n v="8.9599999999999999E-2"/>
    <n v="3"/>
    <x v="83"/>
    <n v="79"/>
  </r>
  <r>
    <n v="592"/>
    <x v="26"/>
    <x v="0"/>
    <n v="20"/>
    <b v="0"/>
    <n v="4"/>
    <s v="No"/>
    <s v="Thursday"/>
    <n v="1"/>
    <s v="Clean"/>
    <n v="0.18"/>
    <s v="Safe"/>
    <n v="0.21210000000000001"/>
    <n v="0.74"/>
    <s v="Risky"/>
    <n v="8.9599999999999999E-2"/>
    <n v="4"/>
    <x v="11"/>
    <n v="59"/>
  </r>
  <r>
    <n v="593"/>
    <x v="26"/>
    <x v="0"/>
    <n v="21"/>
    <b v="0"/>
    <n v="4"/>
    <s v="No"/>
    <s v="Thursday"/>
    <n v="1"/>
    <s v="Clean"/>
    <n v="0.18"/>
    <s v="Safe"/>
    <n v="0.21210000000000001"/>
    <n v="0.74"/>
    <s v="Risky"/>
    <n v="8.9599999999999999E-2"/>
    <n v="2"/>
    <x v="49"/>
    <n v="38"/>
  </r>
  <r>
    <n v="594"/>
    <x v="26"/>
    <x v="0"/>
    <n v="22"/>
    <b v="0"/>
    <n v="4"/>
    <s v="No"/>
    <s v="Thursday"/>
    <n v="1"/>
    <s v="Clean"/>
    <n v="0.18"/>
    <s v="Safe"/>
    <n v="0.21210000000000001"/>
    <n v="0.74"/>
    <s v="Risky"/>
    <n v="8.9599999999999999E-2"/>
    <n v="0"/>
    <x v="2"/>
    <n v="27"/>
  </r>
  <r>
    <n v="595"/>
    <x v="26"/>
    <x v="0"/>
    <n v="23"/>
    <b v="0"/>
    <n v="4"/>
    <s v="No"/>
    <s v="Thursday"/>
    <n v="1"/>
    <s v="Clean"/>
    <n v="0.18"/>
    <s v="Safe"/>
    <n v="0.19700000000000001"/>
    <n v="0.8"/>
    <s v="Risky"/>
    <n v="0.16420000000000001"/>
    <n v="0"/>
    <x v="20"/>
    <n v="16"/>
  </r>
  <r>
    <n v="596"/>
    <x v="27"/>
    <x v="0"/>
    <n v="0"/>
    <b v="0"/>
    <n v="5"/>
    <s v="No"/>
    <s v="Friday"/>
    <n v="2"/>
    <s v="Misty"/>
    <n v="0.2"/>
    <s v="Safe"/>
    <n v="0.21210000000000001"/>
    <n v="0.75"/>
    <s v="Risky"/>
    <n v="0.1343"/>
    <n v="0"/>
    <x v="33"/>
    <n v="9"/>
  </r>
  <r>
    <n v="597"/>
    <x v="27"/>
    <x v="0"/>
    <n v="1"/>
    <b v="0"/>
    <n v="5"/>
    <s v="No"/>
    <s v="Friday"/>
    <n v="2"/>
    <s v="Misty"/>
    <n v="0.2"/>
    <s v="Safe"/>
    <n v="0.21210000000000001"/>
    <n v="0.75"/>
    <s v="Risky"/>
    <n v="0.1343"/>
    <n v="1"/>
    <x v="6"/>
    <n v="3"/>
  </r>
  <r>
    <n v="598"/>
    <x v="27"/>
    <x v="0"/>
    <n v="2"/>
    <b v="0"/>
    <n v="5"/>
    <s v="No"/>
    <s v="Friday"/>
    <n v="2"/>
    <s v="Misty"/>
    <n v="0.2"/>
    <s v="Safe"/>
    <n v="0.21210000000000001"/>
    <n v="0.75"/>
    <s v="Risky"/>
    <n v="0.16420000000000001"/>
    <n v="0"/>
    <x v="6"/>
    <n v="2"/>
  </r>
  <r>
    <n v="599"/>
    <x v="27"/>
    <x v="0"/>
    <n v="3"/>
    <b v="0"/>
    <n v="5"/>
    <s v="No"/>
    <s v="Friday"/>
    <n v="2"/>
    <s v="Misty"/>
    <n v="0.2"/>
    <s v="Safe"/>
    <n v="0.2273"/>
    <n v="0.75"/>
    <s v="Risky"/>
    <n v="0.1045"/>
    <n v="1"/>
    <x v="5"/>
    <n v="1"/>
  </r>
  <r>
    <n v="600"/>
    <x v="27"/>
    <x v="0"/>
    <n v="5"/>
    <b v="0"/>
    <n v="5"/>
    <s v="No"/>
    <s v="Friday"/>
    <n v="2"/>
    <s v="Misty"/>
    <n v="0.18"/>
    <s v="Safe"/>
    <n v="0.21210000000000001"/>
    <n v="0.8"/>
    <s v="Risky"/>
    <n v="0.1045"/>
    <n v="0"/>
    <x v="22"/>
    <n v="4"/>
  </r>
  <r>
    <n v="601"/>
    <x v="27"/>
    <x v="0"/>
    <n v="6"/>
    <b v="0"/>
    <n v="5"/>
    <s v="No"/>
    <s v="Friday"/>
    <n v="2"/>
    <s v="Misty"/>
    <n v="0.18"/>
    <s v="Safe"/>
    <n v="0.19700000000000001"/>
    <n v="0.8"/>
    <s v="Risky"/>
    <n v="0.1343"/>
    <n v="0"/>
    <x v="20"/>
    <n v="16"/>
  </r>
  <r>
    <n v="602"/>
    <x v="27"/>
    <x v="0"/>
    <n v="7"/>
    <b v="0"/>
    <n v="5"/>
    <s v="No"/>
    <s v="Friday"/>
    <n v="2"/>
    <s v="Misty"/>
    <n v="0.16"/>
    <s v="Safe"/>
    <n v="0.19700000000000001"/>
    <n v="0.86"/>
    <s v="Risky"/>
    <n v="8.9599999999999999E-2"/>
    <n v="2"/>
    <x v="29"/>
    <n v="60"/>
  </r>
  <r>
    <n v="603"/>
    <x v="27"/>
    <x v="0"/>
    <n v="8"/>
    <b v="0"/>
    <n v="5"/>
    <s v="No"/>
    <s v="Friday"/>
    <n v="2"/>
    <s v="Misty"/>
    <n v="0.16"/>
    <s v="Safe"/>
    <n v="0.19700000000000001"/>
    <n v="0.86"/>
    <s v="Risky"/>
    <n v="8.9599999999999999E-2"/>
    <n v="2"/>
    <x v="119"/>
    <n v="157"/>
  </r>
  <r>
    <n v="604"/>
    <x v="27"/>
    <x v="0"/>
    <n v="9"/>
    <b v="0"/>
    <n v="5"/>
    <s v="No"/>
    <s v="Friday"/>
    <n v="3"/>
    <s v="Light Rain"/>
    <n v="0.18"/>
    <s v="Safe"/>
    <n v="0.21210000000000001"/>
    <n v="0.86"/>
    <s v="Risky"/>
    <n v="8.9599999999999999E-2"/>
    <n v="6"/>
    <x v="73"/>
    <n v="101"/>
  </r>
  <r>
    <n v="605"/>
    <x v="27"/>
    <x v="0"/>
    <n v="10"/>
    <b v="0"/>
    <n v="5"/>
    <s v="No"/>
    <s v="Friday"/>
    <n v="3"/>
    <s v="Light Rain"/>
    <n v="0.18"/>
    <s v="Safe"/>
    <n v="0.21210000000000001"/>
    <n v="0.86"/>
    <s v="Risky"/>
    <n v="0.1045"/>
    <n v="0"/>
    <x v="47"/>
    <n v="49"/>
  </r>
  <r>
    <n v="606"/>
    <x v="27"/>
    <x v="0"/>
    <n v="11"/>
    <b v="0"/>
    <n v="5"/>
    <s v="No"/>
    <s v="Friday"/>
    <n v="3"/>
    <s v="Light Rain"/>
    <n v="0.18"/>
    <s v="Safe"/>
    <n v="0.21210000000000001"/>
    <n v="0.93"/>
    <s v="Risky"/>
    <n v="0.1045"/>
    <n v="0"/>
    <x v="10"/>
    <n v="30"/>
  </r>
  <r>
    <n v="607"/>
    <x v="27"/>
    <x v="0"/>
    <n v="12"/>
    <b v="0"/>
    <n v="5"/>
    <s v="No"/>
    <s v="Friday"/>
    <n v="3"/>
    <s v="Light Rain"/>
    <n v="0.18"/>
    <s v="Safe"/>
    <n v="0.21210000000000001"/>
    <n v="0.93"/>
    <s v="Risky"/>
    <n v="0.1045"/>
    <n v="1"/>
    <x v="95"/>
    <n v="29"/>
  </r>
  <r>
    <n v="608"/>
    <x v="27"/>
    <x v="0"/>
    <n v="13"/>
    <b v="0"/>
    <n v="5"/>
    <s v="No"/>
    <s v="Friday"/>
    <n v="3"/>
    <s v="Light Rain"/>
    <n v="0.18"/>
    <s v="Safe"/>
    <n v="0.21210000000000001"/>
    <n v="0.93"/>
    <s v="Risky"/>
    <n v="0.1045"/>
    <n v="0"/>
    <x v="17"/>
    <n v="31"/>
  </r>
  <r>
    <n v="609"/>
    <x v="27"/>
    <x v="0"/>
    <n v="14"/>
    <b v="0"/>
    <n v="5"/>
    <s v="No"/>
    <s v="Friday"/>
    <n v="3"/>
    <s v="Light Rain"/>
    <n v="0.22"/>
    <s v="Safe"/>
    <n v="0.2727"/>
    <n v="0.8"/>
    <s v="Risky"/>
    <n v="0"/>
    <n v="2"/>
    <x v="49"/>
    <n v="38"/>
  </r>
  <r>
    <n v="610"/>
    <x v="27"/>
    <x v="0"/>
    <n v="15"/>
    <b v="0"/>
    <n v="5"/>
    <s v="No"/>
    <s v="Friday"/>
    <n v="2"/>
    <s v="Misty"/>
    <n v="0.2"/>
    <s v="Safe"/>
    <n v="0.2576"/>
    <n v="0.86"/>
    <s v="Risky"/>
    <n v="0"/>
    <n v="1"/>
    <x v="71"/>
    <n v="41"/>
  </r>
  <r>
    <n v="611"/>
    <x v="27"/>
    <x v="0"/>
    <n v="16"/>
    <b v="0"/>
    <n v="5"/>
    <s v="No"/>
    <s v="Friday"/>
    <n v="1"/>
    <s v="Clean"/>
    <n v="0.22"/>
    <s v="Safe"/>
    <n v="0.2727"/>
    <n v="0.8"/>
    <s v="Risky"/>
    <n v="0"/>
    <n v="10"/>
    <x v="14"/>
    <n v="80"/>
  </r>
  <r>
    <n v="612"/>
    <x v="27"/>
    <x v="0"/>
    <n v="17"/>
    <b v="0"/>
    <n v="5"/>
    <s v="No"/>
    <s v="Friday"/>
    <n v="1"/>
    <s v="Clean"/>
    <n v="0.24"/>
    <s v="Safe"/>
    <n v="0.2424"/>
    <n v="0.75"/>
    <s v="Risky"/>
    <n v="0.1343"/>
    <n v="2"/>
    <x v="150"/>
    <n v="149"/>
  </r>
  <r>
    <n v="613"/>
    <x v="27"/>
    <x v="0"/>
    <n v="18"/>
    <b v="0"/>
    <n v="5"/>
    <s v="No"/>
    <s v="Friday"/>
    <n v="1"/>
    <s v="Clean"/>
    <n v="0.24"/>
    <s v="Safe"/>
    <n v="0.2273"/>
    <n v="0.75"/>
    <s v="Risky"/>
    <n v="0.19400000000000001"/>
    <n v="2"/>
    <x v="128"/>
    <n v="109"/>
  </r>
  <r>
    <n v="614"/>
    <x v="27"/>
    <x v="0"/>
    <n v="19"/>
    <b v="0"/>
    <n v="5"/>
    <s v="No"/>
    <s v="Friday"/>
    <n v="2"/>
    <s v="Misty"/>
    <n v="0.24"/>
    <s v="Safe"/>
    <n v="0.2424"/>
    <n v="0.75"/>
    <s v="Risky"/>
    <n v="0.1343"/>
    <n v="5"/>
    <x v="151"/>
    <n v="89"/>
  </r>
  <r>
    <n v="615"/>
    <x v="27"/>
    <x v="0"/>
    <n v="20"/>
    <b v="0"/>
    <n v="5"/>
    <s v="No"/>
    <s v="Friday"/>
    <n v="2"/>
    <s v="Misty"/>
    <n v="0.24"/>
    <s v="Safe"/>
    <n v="0.2273"/>
    <n v="0.7"/>
    <s v="Risky"/>
    <n v="0.19400000000000001"/>
    <n v="1"/>
    <x v="124"/>
    <n v="62"/>
  </r>
  <r>
    <n v="616"/>
    <x v="27"/>
    <x v="0"/>
    <n v="21"/>
    <b v="0"/>
    <n v="5"/>
    <s v="No"/>
    <s v="Friday"/>
    <n v="2"/>
    <s v="Misty"/>
    <n v="0.22"/>
    <s v="Safe"/>
    <n v="0.2273"/>
    <n v="0.75"/>
    <s v="Risky"/>
    <n v="0.1343"/>
    <n v="1"/>
    <x v="77"/>
    <n v="58"/>
  </r>
  <r>
    <n v="617"/>
    <x v="27"/>
    <x v="0"/>
    <n v="22"/>
    <b v="0"/>
    <n v="5"/>
    <s v="No"/>
    <s v="Friday"/>
    <n v="1"/>
    <s v="Clean"/>
    <n v="0.24"/>
    <s v="Safe"/>
    <n v="0.21210000000000001"/>
    <n v="0.65"/>
    <s v="Acceptable"/>
    <n v="0.35820000000000002"/>
    <n v="0"/>
    <x v="16"/>
    <n v="26"/>
  </r>
  <r>
    <n v="618"/>
    <x v="27"/>
    <x v="0"/>
    <n v="23"/>
    <b v="0"/>
    <n v="5"/>
    <s v="No"/>
    <s v="Friday"/>
    <n v="1"/>
    <s v="Clean"/>
    <n v="0.24"/>
    <s v="Safe"/>
    <n v="0.2273"/>
    <n v="0.6"/>
    <s v="Acceptable"/>
    <n v="0.22389999999999999"/>
    <n v="1"/>
    <x v="97"/>
    <n v="23"/>
  </r>
  <r>
    <n v="619"/>
    <x v="28"/>
    <x v="0"/>
    <n v="0"/>
    <b v="0"/>
    <n v="6"/>
    <s v="Yes"/>
    <s v="Saturday"/>
    <n v="1"/>
    <s v="Clean"/>
    <n v="0.22"/>
    <s v="Safe"/>
    <n v="0.19700000000000001"/>
    <n v="0.64"/>
    <s v="Acceptable"/>
    <n v="0.35820000000000002"/>
    <n v="2"/>
    <x v="16"/>
    <n v="28"/>
  </r>
  <r>
    <n v="620"/>
    <x v="28"/>
    <x v="0"/>
    <n v="1"/>
    <b v="0"/>
    <n v="6"/>
    <s v="Yes"/>
    <s v="Saturday"/>
    <n v="1"/>
    <s v="Clean"/>
    <n v="0.22"/>
    <s v="Safe"/>
    <n v="0.2273"/>
    <n v="0.64"/>
    <s v="Acceptable"/>
    <n v="0.19400000000000001"/>
    <n v="0"/>
    <x v="32"/>
    <n v="20"/>
  </r>
  <r>
    <n v="621"/>
    <x v="28"/>
    <x v="0"/>
    <n v="2"/>
    <b v="0"/>
    <n v="6"/>
    <s v="Yes"/>
    <s v="Saturday"/>
    <n v="1"/>
    <s v="Clean"/>
    <n v="0.22"/>
    <s v="Safe"/>
    <n v="0.2273"/>
    <n v="0.64"/>
    <s v="Acceptable"/>
    <n v="0.16420000000000001"/>
    <n v="0"/>
    <x v="89"/>
    <n v="15"/>
  </r>
  <r>
    <n v="622"/>
    <x v="28"/>
    <x v="0"/>
    <n v="3"/>
    <b v="0"/>
    <n v="6"/>
    <s v="Yes"/>
    <s v="Saturday"/>
    <n v="1"/>
    <s v="Clean"/>
    <n v="0.2"/>
    <s v="Safe"/>
    <n v="0.21210000000000001"/>
    <n v="0.64"/>
    <s v="Acceptable"/>
    <n v="0.1343"/>
    <n v="3"/>
    <x v="34"/>
    <n v="8"/>
  </r>
  <r>
    <n v="623"/>
    <x v="28"/>
    <x v="0"/>
    <n v="4"/>
    <b v="0"/>
    <n v="6"/>
    <s v="Yes"/>
    <s v="Saturday"/>
    <n v="1"/>
    <s v="Clean"/>
    <n v="0.16"/>
    <s v="Safe"/>
    <n v="0.18179999999999999"/>
    <n v="0.69"/>
    <s v="Acceptable"/>
    <n v="0.1045"/>
    <n v="1"/>
    <x v="6"/>
    <n v="3"/>
  </r>
  <r>
    <n v="624"/>
    <x v="28"/>
    <x v="0"/>
    <n v="6"/>
    <b v="0"/>
    <n v="6"/>
    <s v="Yes"/>
    <s v="Saturday"/>
    <n v="1"/>
    <s v="Clean"/>
    <n v="0.16"/>
    <s v="Safe"/>
    <n v="0.18179999999999999"/>
    <n v="0.64"/>
    <s v="Acceptable"/>
    <n v="0.1343"/>
    <n v="0"/>
    <x v="6"/>
    <n v="2"/>
  </r>
  <r>
    <n v="625"/>
    <x v="28"/>
    <x v="0"/>
    <n v="7"/>
    <b v="0"/>
    <n v="6"/>
    <s v="Yes"/>
    <s v="Saturday"/>
    <n v="1"/>
    <s v="Clean"/>
    <n v="0.16"/>
    <s v="Safe"/>
    <n v="0.18179999999999999"/>
    <n v="0.59"/>
    <s v="Acceptable"/>
    <n v="0.1045"/>
    <n v="1"/>
    <x v="22"/>
    <n v="5"/>
  </r>
  <r>
    <n v="626"/>
    <x v="28"/>
    <x v="0"/>
    <n v="8"/>
    <b v="0"/>
    <n v="6"/>
    <s v="Yes"/>
    <s v="Saturday"/>
    <n v="1"/>
    <s v="Clean"/>
    <n v="0.18"/>
    <s v="Safe"/>
    <n v="0.19700000000000001"/>
    <n v="0.55000000000000004"/>
    <s v="Acceptable"/>
    <n v="0.16420000000000001"/>
    <n v="3"/>
    <x v="17"/>
    <n v="34"/>
  </r>
  <r>
    <n v="627"/>
    <x v="28"/>
    <x v="0"/>
    <n v="9"/>
    <b v="0"/>
    <n v="6"/>
    <s v="Yes"/>
    <s v="Saturday"/>
    <n v="1"/>
    <s v="Clean"/>
    <n v="0.18"/>
    <s v="Safe"/>
    <n v="0.21210000000000001"/>
    <n v="0.59"/>
    <s v="Acceptable"/>
    <n v="8.9599999999999999E-2"/>
    <n v="0"/>
    <x v="60"/>
    <n v="34"/>
  </r>
  <r>
    <n v="628"/>
    <x v="28"/>
    <x v="0"/>
    <n v="10"/>
    <b v="0"/>
    <n v="6"/>
    <s v="Yes"/>
    <s v="Saturday"/>
    <n v="2"/>
    <s v="Misty"/>
    <n v="0.18"/>
    <s v="Safe"/>
    <n v="0.21210000000000001"/>
    <n v="0.64"/>
    <s v="Acceptable"/>
    <n v="0.1045"/>
    <n v="4"/>
    <x v="82"/>
    <n v="55"/>
  </r>
  <r>
    <n v="629"/>
    <x v="28"/>
    <x v="0"/>
    <n v="11"/>
    <b v="0"/>
    <n v="6"/>
    <s v="Yes"/>
    <s v="Saturday"/>
    <n v="2"/>
    <s v="Misty"/>
    <n v="0.18"/>
    <s v="Safe"/>
    <n v="0.19700000000000001"/>
    <n v="0.64"/>
    <s v="Acceptable"/>
    <n v="0.1343"/>
    <n v="4"/>
    <x v="91"/>
    <n v="64"/>
  </r>
  <r>
    <n v="630"/>
    <x v="28"/>
    <x v="0"/>
    <n v="12"/>
    <b v="0"/>
    <n v="6"/>
    <s v="Yes"/>
    <s v="Saturday"/>
    <n v="2"/>
    <s v="Misty"/>
    <n v="0.2"/>
    <s v="Safe"/>
    <n v="0.19700000000000001"/>
    <n v="0.59"/>
    <s v="Acceptable"/>
    <n v="0.19400000000000001"/>
    <n v="12"/>
    <x v="43"/>
    <n v="78"/>
  </r>
  <r>
    <n v="631"/>
    <x v="28"/>
    <x v="0"/>
    <n v="13"/>
    <b v="0"/>
    <n v="6"/>
    <s v="Yes"/>
    <s v="Saturday"/>
    <n v="2"/>
    <s v="Misty"/>
    <n v="0.22"/>
    <s v="Safe"/>
    <n v="0.2273"/>
    <n v="0.55000000000000004"/>
    <s v="Acceptable"/>
    <n v="0.16420000000000001"/>
    <n v="9"/>
    <x v="90"/>
    <n v="65"/>
  </r>
  <r>
    <n v="632"/>
    <x v="28"/>
    <x v="0"/>
    <n v="14"/>
    <b v="0"/>
    <n v="6"/>
    <s v="Yes"/>
    <s v="Saturday"/>
    <n v="2"/>
    <s v="Misty"/>
    <n v="0.22"/>
    <s v="Safe"/>
    <n v="0.2273"/>
    <n v="0.6"/>
    <s v="Acceptable"/>
    <n v="0.1343"/>
    <n v="10"/>
    <x v="121"/>
    <n v="99"/>
  </r>
  <r>
    <n v="633"/>
    <x v="28"/>
    <x v="0"/>
    <n v="15"/>
    <b v="0"/>
    <n v="6"/>
    <s v="Yes"/>
    <s v="Saturday"/>
    <n v="1"/>
    <s v="Clean"/>
    <n v="0.22"/>
    <s v="Safe"/>
    <n v="0.21210000000000001"/>
    <n v="0.69"/>
    <s v="Acceptable"/>
    <n v="0.25369999999999998"/>
    <n v="22"/>
    <x v="52"/>
    <n v="120"/>
  </r>
  <r>
    <n v="634"/>
    <x v="28"/>
    <x v="0"/>
    <n v="16"/>
    <b v="0"/>
    <n v="6"/>
    <s v="Yes"/>
    <s v="Saturday"/>
    <n v="1"/>
    <s v="Clean"/>
    <n v="0.24"/>
    <s v="Safe"/>
    <n v="0.2424"/>
    <n v="0.6"/>
    <s v="Acceptable"/>
    <n v="0.16420000000000001"/>
    <n v="19"/>
    <x v="152"/>
    <n v="107"/>
  </r>
  <r>
    <n v="635"/>
    <x v="28"/>
    <x v="0"/>
    <n v="17"/>
    <b v="0"/>
    <n v="6"/>
    <s v="Yes"/>
    <s v="Saturday"/>
    <n v="1"/>
    <s v="Clean"/>
    <n v="0.24"/>
    <s v="Safe"/>
    <n v="0.28789999999999999"/>
    <n v="0.6"/>
    <s v="Acceptable"/>
    <n v="0"/>
    <n v="9"/>
    <x v="70"/>
    <n v="91"/>
  </r>
  <r>
    <n v="636"/>
    <x v="28"/>
    <x v="0"/>
    <n v="18"/>
    <b v="0"/>
    <n v="6"/>
    <s v="Yes"/>
    <s v="Saturday"/>
    <n v="1"/>
    <s v="Clean"/>
    <n v="0.22"/>
    <s v="Safe"/>
    <n v="0.2273"/>
    <n v="0.69"/>
    <s v="Acceptable"/>
    <n v="0.1343"/>
    <n v="9"/>
    <x v="79"/>
    <n v="68"/>
  </r>
  <r>
    <n v="637"/>
    <x v="28"/>
    <x v="0"/>
    <n v="19"/>
    <b v="0"/>
    <n v="6"/>
    <s v="Yes"/>
    <s v="Saturday"/>
    <n v="2"/>
    <s v="Misty"/>
    <n v="0.22"/>
    <s v="Safe"/>
    <n v="0.21210000000000001"/>
    <n v="0.69"/>
    <s v="Acceptable"/>
    <n v="0.25369999999999998"/>
    <n v="6"/>
    <x v="15"/>
    <n v="58"/>
  </r>
  <r>
    <n v="638"/>
    <x v="28"/>
    <x v="0"/>
    <n v="20"/>
    <b v="0"/>
    <n v="6"/>
    <s v="Yes"/>
    <s v="Saturday"/>
    <n v="1"/>
    <s v="Clean"/>
    <n v="0.18"/>
    <s v="Safe"/>
    <n v="0.21210000000000001"/>
    <n v="0.74"/>
    <s v="Risky"/>
    <n v="8.9599999999999999E-2"/>
    <n v="1"/>
    <x v="76"/>
    <n v="43"/>
  </r>
  <r>
    <n v="639"/>
    <x v="28"/>
    <x v="0"/>
    <n v="21"/>
    <b v="0"/>
    <n v="6"/>
    <s v="Yes"/>
    <s v="Saturday"/>
    <n v="1"/>
    <s v="Clean"/>
    <n v="0.18"/>
    <s v="Safe"/>
    <n v="0.21210000000000001"/>
    <n v="0.74"/>
    <s v="Risky"/>
    <n v="8.9599999999999999E-2"/>
    <n v="1"/>
    <x v="96"/>
    <n v="36"/>
  </r>
  <r>
    <n v="640"/>
    <x v="28"/>
    <x v="0"/>
    <n v="22"/>
    <b v="0"/>
    <n v="6"/>
    <s v="Yes"/>
    <s v="Saturday"/>
    <n v="1"/>
    <s v="Clean"/>
    <n v="0.16"/>
    <s v="Safe"/>
    <n v="0.19700000000000001"/>
    <n v="0.8"/>
    <s v="Risky"/>
    <n v="8.9599999999999999E-2"/>
    <n v="4"/>
    <x v="95"/>
    <n v="32"/>
  </r>
  <r>
    <n v="641"/>
    <x v="28"/>
    <x v="0"/>
    <n v="23"/>
    <b v="0"/>
    <n v="6"/>
    <s v="Yes"/>
    <s v="Saturday"/>
    <n v="1"/>
    <s v="Clean"/>
    <n v="0.16"/>
    <s v="Safe"/>
    <n v="0.19700000000000001"/>
    <n v="0.8"/>
    <s v="Risky"/>
    <n v="8.9599999999999999E-2"/>
    <n v="3"/>
    <x v="10"/>
    <n v="33"/>
  </r>
  <r>
    <n v="642"/>
    <x v="29"/>
    <x v="0"/>
    <n v="0"/>
    <b v="0"/>
    <n v="0"/>
    <s v="Yes"/>
    <s v="Sunday"/>
    <n v="1"/>
    <s v="Clean"/>
    <n v="0.16"/>
    <s v="Safe"/>
    <n v="0.18179999999999999"/>
    <n v="0.8"/>
    <s v="Risky"/>
    <n v="0.1045"/>
    <n v="0"/>
    <x v="39"/>
    <n v="33"/>
  </r>
  <r>
    <n v="643"/>
    <x v="29"/>
    <x v="0"/>
    <n v="1"/>
    <b v="0"/>
    <n v="0"/>
    <s v="Yes"/>
    <s v="Sunday"/>
    <n v="1"/>
    <s v="Clean"/>
    <n v="0.14000000000000001"/>
    <s v="Safe"/>
    <n v="0.21210000000000001"/>
    <n v="0.8"/>
    <s v="Risky"/>
    <n v="0"/>
    <n v="7"/>
    <x v="97"/>
    <n v="29"/>
  </r>
  <r>
    <n v="644"/>
    <x v="29"/>
    <x v="0"/>
    <n v="2"/>
    <b v="0"/>
    <n v="0"/>
    <s v="Yes"/>
    <s v="Sunday"/>
    <n v="1"/>
    <s v="Clean"/>
    <n v="0.16"/>
    <s v="Safe"/>
    <n v="0.2273"/>
    <n v="0.8"/>
    <s v="Risky"/>
    <n v="0"/>
    <n v="1"/>
    <x v="3"/>
    <n v="11"/>
  </r>
  <r>
    <n v="645"/>
    <x v="29"/>
    <x v="0"/>
    <n v="3"/>
    <b v="0"/>
    <n v="0"/>
    <s v="Yes"/>
    <s v="Sunday"/>
    <n v="1"/>
    <s v="Clean"/>
    <n v="0.14000000000000001"/>
    <s v="Safe"/>
    <n v="0.21210000000000001"/>
    <n v="0.93"/>
    <s v="Risky"/>
    <n v="0"/>
    <n v="1"/>
    <x v="7"/>
    <n v="8"/>
  </r>
  <r>
    <n v="646"/>
    <x v="29"/>
    <x v="0"/>
    <n v="4"/>
    <b v="0"/>
    <n v="0"/>
    <s v="Yes"/>
    <s v="Sunday"/>
    <n v="1"/>
    <s v="Clean"/>
    <n v="0.14000000000000001"/>
    <s v="Safe"/>
    <n v="0.21210000000000001"/>
    <n v="0.93"/>
    <s v="Risky"/>
    <n v="0"/>
    <n v="0"/>
    <x v="4"/>
    <n v="1"/>
  </r>
  <r>
    <n v="647"/>
    <x v="29"/>
    <x v="0"/>
    <n v="5"/>
    <b v="0"/>
    <n v="0"/>
    <s v="Yes"/>
    <s v="Sunday"/>
    <n v="1"/>
    <s v="Clean"/>
    <n v="0.14000000000000001"/>
    <s v="Safe"/>
    <n v="0.21210000000000001"/>
    <n v="0.86"/>
    <s v="Risky"/>
    <n v="0"/>
    <n v="0"/>
    <x v="35"/>
    <n v="3"/>
  </r>
  <r>
    <n v="648"/>
    <x v="29"/>
    <x v="0"/>
    <n v="7"/>
    <b v="0"/>
    <n v="0"/>
    <s v="Yes"/>
    <s v="Sunday"/>
    <n v="1"/>
    <s v="Clean"/>
    <n v="0.14000000000000001"/>
    <s v="Safe"/>
    <n v="0.21210000000000001"/>
    <n v="0.86"/>
    <s v="Risky"/>
    <n v="0"/>
    <n v="0"/>
    <x v="35"/>
    <n v="3"/>
  </r>
  <r>
    <n v="649"/>
    <x v="29"/>
    <x v="0"/>
    <n v="8"/>
    <b v="0"/>
    <n v="0"/>
    <s v="Yes"/>
    <s v="Sunday"/>
    <n v="2"/>
    <s v="Misty"/>
    <n v="0.14000000000000001"/>
    <s v="Safe"/>
    <n v="0.21210000000000001"/>
    <n v="0.86"/>
    <s v="Risky"/>
    <n v="0"/>
    <n v="1"/>
    <x v="48"/>
    <n v="12"/>
  </r>
  <r>
    <n v="650"/>
    <x v="29"/>
    <x v="0"/>
    <n v="9"/>
    <b v="0"/>
    <n v="0"/>
    <s v="Yes"/>
    <s v="Sunday"/>
    <n v="2"/>
    <s v="Misty"/>
    <n v="0.16"/>
    <s v="Safe"/>
    <n v="0.2273"/>
    <n v="0.8"/>
    <s v="Risky"/>
    <n v="0"/>
    <n v="4"/>
    <x v="60"/>
    <n v="38"/>
  </r>
  <r>
    <n v="651"/>
    <x v="29"/>
    <x v="0"/>
    <n v="10"/>
    <b v="0"/>
    <n v="0"/>
    <s v="Yes"/>
    <s v="Sunday"/>
    <n v="2"/>
    <s v="Misty"/>
    <n v="0.18"/>
    <s v="Safe"/>
    <n v="0.2424"/>
    <n v="0.8"/>
    <s v="Risky"/>
    <n v="0"/>
    <n v="7"/>
    <x v="77"/>
    <n v="64"/>
  </r>
  <r>
    <n v="652"/>
    <x v="29"/>
    <x v="0"/>
    <n v="11"/>
    <b v="0"/>
    <n v="0"/>
    <s v="Yes"/>
    <s v="Sunday"/>
    <n v="1"/>
    <s v="Clean"/>
    <n v="0.22"/>
    <s v="Safe"/>
    <n v="0.2727"/>
    <n v="0.75"/>
    <s v="Risky"/>
    <n v="0"/>
    <n v="9"/>
    <x v="54"/>
    <n v="59"/>
  </r>
  <r>
    <n v="653"/>
    <x v="29"/>
    <x v="0"/>
    <n v="12"/>
    <b v="0"/>
    <n v="0"/>
    <s v="Yes"/>
    <s v="Sunday"/>
    <n v="1"/>
    <s v="Clean"/>
    <n v="0.3"/>
    <s v="Safe"/>
    <n v="0.31819999999999998"/>
    <n v="0.52"/>
    <s v="Acceptable"/>
    <n v="0.1045"/>
    <n v="10"/>
    <x v="61"/>
    <n v="97"/>
  </r>
  <r>
    <n v="654"/>
    <x v="29"/>
    <x v="0"/>
    <n v="13"/>
    <b v="0"/>
    <n v="0"/>
    <s v="Yes"/>
    <s v="Sunday"/>
    <n v="1"/>
    <s v="Clean"/>
    <n v="0.28000000000000003"/>
    <s v="Safe"/>
    <n v="0.28789999999999999"/>
    <n v="0.61"/>
    <s v="Acceptable"/>
    <n v="0.1045"/>
    <n v="13"/>
    <x v="13"/>
    <n v="84"/>
  </r>
  <r>
    <n v="655"/>
    <x v="29"/>
    <x v="0"/>
    <n v="14"/>
    <b v="0"/>
    <n v="0"/>
    <s v="Yes"/>
    <s v="Sunday"/>
    <n v="1"/>
    <s v="Clean"/>
    <n v="0.28000000000000003"/>
    <s v="Safe"/>
    <n v="0.30299999999999999"/>
    <n v="0.61"/>
    <s v="Acceptable"/>
    <n v="8.9599999999999999E-2"/>
    <n v="18"/>
    <x v="153"/>
    <n v="122"/>
  </r>
  <r>
    <n v="656"/>
    <x v="29"/>
    <x v="0"/>
    <n v="15"/>
    <b v="0"/>
    <n v="0"/>
    <s v="Yes"/>
    <s v="Sunday"/>
    <n v="1"/>
    <s v="Clean"/>
    <n v="0.3"/>
    <s v="Safe"/>
    <n v="0.33329999999999999"/>
    <n v="0.56000000000000005"/>
    <s v="Acceptable"/>
    <n v="0"/>
    <n v="14"/>
    <x v="73"/>
    <n v="109"/>
  </r>
  <r>
    <n v="657"/>
    <x v="29"/>
    <x v="0"/>
    <n v="16"/>
    <b v="0"/>
    <n v="0"/>
    <s v="Yes"/>
    <s v="Sunday"/>
    <n v="1"/>
    <s v="Clean"/>
    <n v="0.3"/>
    <s v="Safe"/>
    <n v="0.33329999999999999"/>
    <n v="0.56000000000000005"/>
    <s v="Acceptable"/>
    <n v="0"/>
    <n v="19"/>
    <x v="153"/>
    <n v="123"/>
  </r>
  <r>
    <n v="658"/>
    <x v="29"/>
    <x v="0"/>
    <n v="17"/>
    <b v="0"/>
    <n v="0"/>
    <s v="Yes"/>
    <s v="Sunday"/>
    <n v="1"/>
    <s v="Clean"/>
    <n v="0.3"/>
    <s v="Safe"/>
    <n v="0.28789999999999999"/>
    <n v="0.56000000000000005"/>
    <s v="Acceptable"/>
    <n v="0.19400000000000001"/>
    <n v="6"/>
    <x v="13"/>
    <n v="77"/>
  </r>
  <r>
    <n v="659"/>
    <x v="29"/>
    <x v="0"/>
    <n v="18"/>
    <b v="0"/>
    <n v="0"/>
    <s v="Yes"/>
    <s v="Sunday"/>
    <n v="1"/>
    <s v="Clean"/>
    <n v="0.26"/>
    <s v="Safe"/>
    <n v="0.2576"/>
    <n v="0.65"/>
    <s v="Acceptable"/>
    <n v="0.16420000000000001"/>
    <n v="8"/>
    <x v="77"/>
    <n v="65"/>
  </r>
  <r>
    <n v="660"/>
    <x v="29"/>
    <x v="0"/>
    <n v="19"/>
    <b v="0"/>
    <n v="0"/>
    <s v="Yes"/>
    <s v="Sunday"/>
    <n v="1"/>
    <s v="Clean"/>
    <n v="0.26"/>
    <s v="Safe"/>
    <n v="0.2576"/>
    <n v="0.65"/>
    <s v="Acceptable"/>
    <n v="0.19400000000000001"/>
    <n v="9"/>
    <x v="24"/>
    <n v="55"/>
  </r>
  <r>
    <n v="661"/>
    <x v="29"/>
    <x v="0"/>
    <n v="20"/>
    <b v="0"/>
    <n v="0"/>
    <s v="Yes"/>
    <s v="Sunday"/>
    <n v="2"/>
    <s v="Misty"/>
    <n v="0.26"/>
    <s v="Safe"/>
    <n v="0.2727"/>
    <n v="0.65"/>
    <s v="Acceptable"/>
    <n v="0.1045"/>
    <n v="3"/>
    <x v="10"/>
    <n v="33"/>
  </r>
  <r>
    <n v="662"/>
    <x v="29"/>
    <x v="0"/>
    <n v="21"/>
    <b v="0"/>
    <n v="0"/>
    <s v="Yes"/>
    <s v="Sunday"/>
    <n v="2"/>
    <s v="Misty"/>
    <n v="0.24"/>
    <s v="Safe"/>
    <n v="0.2424"/>
    <n v="0.7"/>
    <s v="Risky"/>
    <n v="0.16420000000000001"/>
    <n v="3"/>
    <x v="18"/>
    <n v="28"/>
  </r>
  <r>
    <n v="663"/>
    <x v="29"/>
    <x v="0"/>
    <n v="22"/>
    <b v="0"/>
    <n v="0"/>
    <s v="Yes"/>
    <s v="Sunday"/>
    <n v="2"/>
    <s v="Misty"/>
    <n v="0.24"/>
    <s v="Safe"/>
    <n v="0.2273"/>
    <n v="0.7"/>
    <s v="Risky"/>
    <n v="0.19400000000000001"/>
    <n v="2"/>
    <x v="23"/>
    <n v="21"/>
  </r>
  <r>
    <n v="664"/>
    <x v="29"/>
    <x v="0"/>
    <n v="23"/>
    <b v="0"/>
    <n v="0"/>
    <s v="Yes"/>
    <s v="Sunday"/>
    <n v="2"/>
    <s v="Misty"/>
    <n v="0.24"/>
    <s v="Safe"/>
    <n v="0.21210000000000001"/>
    <n v="0.65"/>
    <s v="Acceptable"/>
    <n v="0.28360000000000002"/>
    <n v="5"/>
    <x v="20"/>
    <n v="21"/>
  </r>
  <r>
    <n v="665"/>
    <x v="30"/>
    <x v="0"/>
    <n v="0"/>
    <b v="0"/>
    <n v="1"/>
    <s v="No"/>
    <s v="Monday"/>
    <n v="2"/>
    <s v="Misty"/>
    <n v="0.24"/>
    <s v="Safe"/>
    <n v="0.2273"/>
    <n v="0.65"/>
    <s v="Acceptable"/>
    <n v="0.22389999999999999"/>
    <n v="1"/>
    <x v="8"/>
    <n v="7"/>
  </r>
  <r>
    <n v="666"/>
    <x v="30"/>
    <x v="0"/>
    <n v="1"/>
    <b v="0"/>
    <n v="1"/>
    <s v="No"/>
    <s v="Monday"/>
    <n v="1"/>
    <s v="Clean"/>
    <n v="0.22"/>
    <s v="Safe"/>
    <n v="0.21210000000000001"/>
    <n v="0.64"/>
    <s v="Acceptable"/>
    <n v="0.25369999999999998"/>
    <n v="2"/>
    <x v="34"/>
    <n v="7"/>
  </r>
  <r>
    <n v="667"/>
    <x v="30"/>
    <x v="0"/>
    <n v="2"/>
    <b v="0"/>
    <n v="1"/>
    <s v="No"/>
    <s v="Monday"/>
    <n v="1"/>
    <s v="Clean"/>
    <n v="0.22"/>
    <s v="Safe"/>
    <n v="0.2273"/>
    <n v="0.64"/>
    <s v="Acceptable"/>
    <n v="0.19400000000000001"/>
    <n v="0"/>
    <x v="4"/>
    <n v="1"/>
  </r>
  <r>
    <n v="668"/>
    <x v="30"/>
    <x v="0"/>
    <n v="3"/>
    <b v="0"/>
    <n v="1"/>
    <s v="No"/>
    <s v="Monday"/>
    <n v="1"/>
    <s v="Clean"/>
    <n v="0.22"/>
    <s v="Safe"/>
    <n v="0.2273"/>
    <n v="0.64"/>
    <s v="Acceptable"/>
    <n v="0.19400000000000001"/>
    <n v="0"/>
    <x v="6"/>
    <n v="2"/>
  </r>
  <r>
    <n v="669"/>
    <x v="30"/>
    <x v="0"/>
    <n v="4"/>
    <b v="0"/>
    <n v="1"/>
    <s v="No"/>
    <s v="Monday"/>
    <n v="1"/>
    <s v="Clean"/>
    <n v="0.2"/>
    <s v="Safe"/>
    <n v="0.19700000000000001"/>
    <n v="0.59"/>
    <s v="Acceptable"/>
    <n v="0.22389999999999999"/>
    <n v="0"/>
    <x v="6"/>
    <n v="2"/>
  </r>
  <r>
    <n v="670"/>
    <x v="30"/>
    <x v="0"/>
    <n v="5"/>
    <b v="0"/>
    <n v="1"/>
    <s v="No"/>
    <s v="Monday"/>
    <n v="1"/>
    <s v="Clean"/>
    <n v="0.18"/>
    <s v="Safe"/>
    <n v="0.16669999999999999"/>
    <n v="0.64"/>
    <s v="Acceptable"/>
    <n v="0.28360000000000002"/>
    <n v="0"/>
    <x v="21"/>
    <n v="8"/>
  </r>
  <r>
    <n v="671"/>
    <x v="30"/>
    <x v="0"/>
    <n v="6"/>
    <b v="0"/>
    <n v="1"/>
    <s v="No"/>
    <s v="Monday"/>
    <n v="1"/>
    <s v="Clean"/>
    <n v="0.16"/>
    <s v="Safe"/>
    <n v="0.13639999999999999"/>
    <n v="0.69"/>
    <s v="Acceptable"/>
    <n v="0.32840000000000003"/>
    <n v="0"/>
    <x v="53"/>
    <n v="37"/>
  </r>
  <r>
    <n v="672"/>
    <x v="30"/>
    <x v="0"/>
    <n v="7"/>
    <b v="0"/>
    <n v="1"/>
    <s v="No"/>
    <s v="Monday"/>
    <n v="2"/>
    <s v="Misty"/>
    <n v="0.16"/>
    <s v="Safe"/>
    <n v="0.13639999999999999"/>
    <n v="0.64"/>
    <s v="Acceptable"/>
    <n v="0.28360000000000002"/>
    <n v="1"/>
    <x v="13"/>
    <n v="72"/>
  </r>
  <r>
    <n v="673"/>
    <x v="30"/>
    <x v="0"/>
    <n v="8"/>
    <b v="0"/>
    <n v="1"/>
    <s v="No"/>
    <s v="Monday"/>
    <n v="2"/>
    <s v="Misty"/>
    <n v="0.16"/>
    <s v="Safe"/>
    <n v="0.13639999999999999"/>
    <n v="0.59"/>
    <s v="Acceptable"/>
    <n v="0.28360000000000002"/>
    <n v="3"/>
    <x v="154"/>
    <n v="185"/>
  </r>
  <r>
    <n v="674"/>
    <x v="30"/>
    <x v="0"/>
    <n v="9"/>
    <b v="0"/>
    <n v="1"/>
    <s v="No"/>
    <s v="Monday"/>
    <n v="2"/>
    <s v="Misty"/>
    <n v="0.16"/>
    <s v="Safe"/>
    <n v="0.13639999999999999"/>
    <n v="0.59"/>
    <s v="Acceptable"/>
    <n v="0.29849999999999999"/>
    <n v="0"/>
    <x v="155"/>
    <n v="112"/>
  </r>
  <r>
    <n v="675"/>
    <x v="30"/>
    <x v="0"/>
    <n v="10"/>
    <b v="0"/>
    <n v="1"/>
    <s v="No"/>
    <s v="Monday"/>
    <n v="2"/>
    <s v="Misty"/>
    <n v="0.16"/>
    <s v="Safe"/>
    <n v="0.1515"/>
    <n v="0.59"/>
    <s v="Acceptable"/>
    <n v="0.19400000000000001"/>
    <n v="1"/>
    <x v="56"/>
    <n v="69"/>
  </r>
  <r>
    <n v="676"/>
    <x v="30"/>
    <x v="0"/>
    <n v="11"/>
    <b v="0"/>
    <n v="1"/>
    <s v="No"/>
    <s v="Monday"/>
    <n v="2"/>
    <s v="Misty"/>
    <n v="0.16"/>
    <s v="Safe"/>
    <n v="0.1515"/>
    <n v="0.59"/>
    <s v="Acceptable"/>
    <n v="0.19400000000000001"/>
    <n v="2"/>
    <x v="24"/>
    <n v="48"/>
  </r>
  <r>
    <n v="677"/>
    <x v="30"/>
    <x v="0"/>
    <n v="12"/>
    <b v="0"/>
    <n v="1"/>
    <s v="No"/>
    <s v="Monday"/>
    <n v="2"/>
    <s v="Misty"/>
    <n v="0.18"/>
    <s v="Safe"/>
    <n v="0.21210000000000001"/>
    <n v="0.55000000000000004"/>
    <s v="Acceptable"/>
    <n v="0.1045"/>
    <n v="6"/>
    <x v="133"/>
    <n v="68"/>
  </r>
  <r>
    <n v="678"/>
    <x v="30"/>
    <x v="0"/>
    <n v="13"/>
    <b v="0"/>
    <n v="1"/>
    <s v="No"/>
    <s v="Monday"/>
    <n v="2"/>
    <s v="Misty"/>
    <n v="0.16"/>
    <s v="Safe"/>
    <n v="0.2273"/>
    <n v="0.59"/>
    <s v="Acceptable"/>
    <n v="0"/>
    <n v="2"/>
    <x v="15"/>
    <n v="54"/>
  </r>
  <r>
    <n v="679"/>
    <x v="30"/>
    <x v="0"/>
    <n v="14"/>
    <b v="0"/>
    <n v="1"/>
    <s v="No"/>
    <s v="Monday"/>
    <n v="2"/>
    <s v="Misty"/>
    <n v="0.18"/>
    <s v="Safe"/>
    <n v="0.19700000000000001"/>
    <n v="0.55000000000000004"/>
    <s v="Acceptable"/>
    <n v="0.1343"/>
    <n v="1"/>
    <x v="66"/>
    <n v="86"/>
  </r>
  <r>
    <n v="680"/>
    <x v="30"/>
    <x v="0"/>
    <n v="15"/>
    <b v="0"/>
    <n v="1"/>
    <s v="No"/>
    <s v="Monday"/>
    <n v="2"/>
    <s v="Misty"/>
    <n v="0.16"/>
    <s v="Safe"/>
    <n v="0.18179999999999999"/>
    <n v="0.59"/>
    <s v="Acceptable"/>
    <n v="0.1343"/>
    <n v="3"/>
    <x v="40"/>
    <n v="44"/>
  </r>
  <r>
    <n v="681"/>
    <x v="30"/>
    <x v="0"/>
    <n v="16"/>
    <b v="0"/>
    <n v="1"/>
    <s v="No"/>
    <s v="Monday"/>
    <n v="2"/>
    <s v="Misty"/>
    <n v="0.16"/>
    <s v="Safe"/>
    <n v="0.18179999999999999"/>
    <n v="0.56000000000000005"/>
    <s v="Acceptable"/>
    <n v="0.19400000000000001"/>
    <n v="3"/>
    <x v="93"/>
    <n v="86"/>
  </r>
  <r>
    <n v="682"/>
    <x v="30"/>
    <x v="0"/>
    <n v="17"/>
    <b v="0"/>
    <n v="1"/>
    <s v="No"/>
    <s v="Monday"/>
    <n v="2"/>
    <s v="Misty"/>
    <n v="0.16"/>
    <s v="Safe"/>
    <n v="0.1515"/>
    <n v="0.59"/>
    <s v="Acceptable"/>
    <n v="0.19400000000000001"/>
    <n v="6"/>
    <x v="119"/>
    <n v="161"/>
  </r>
  <r>
    <n v="683"/>
    <x v="30"/>
    <x v="0"/>
    <n v="18"/>
    <b v="0"/>
    <n v="1"/>
    <s v="No"/>
    <s v="Monday"/>
    <n v="2"/>
    <s v="Misty"/>
    <n v="0.16"/>
    <s v="Safe"/>
    <n v="0.1515"/>
    <n v="0.55000000000000004"/>
    <s v="Acceptable"/>
    <n v="0.22389999999999999"/>
    <n v="3"/>
    <x v="37"/>
    <n v="156"/>
  </r>
  <r>
    <n v="684"/>
    <x v="30"/>
    <x v="0"/>
    <n v="19"/>
    <b v="0"/>
    <n v="1"/>
    <s v="No"/>
    <s v="Monday"/>
    <n v="1"/>
    <s v="Clean"/>
    <n v="0.3"/>
    <s v="Safe"/>
    <n v="0.31819999999999998"/>
    <n v="0.61"/>
    <s v="Acceptable"/>
    <n v="0.1045"/>
    <n v="3"/>
    <x v="123"/>
    <n v="111"/>
  </r>
  <r>
    <n v="685"/>
    <x v="30"/>
    <x v="0"/>
    <n v="20"/>
    <b v="0"/>
    <n v="1"/>
    <s v="No"/>
    <s v="Monday"/>
    <n v="3"/>
    <s v="Light Rain"/>
    <n v="0.16"/>
    <s v="Safe"/>
    <n v="0.16669999999999999"/>
    <n v="0.59"/>
    <s v="Acceptable"/>
    <n v="0.16420000000000001"/>
    <n v="0"/>
    <x v="78"/>
    <n v="78"/>
  </r>
  <r>
    <n v="686"/>
    <x v="30"/>
    <x v="0"/>
    <n v="21"/>
    <b v="0"/>
    <n v="1"/>
    <s v="No"/>
    <s v="Monday"/>
    <n v="3"/>
    <s v="Light Rain"/>
    <n v="0.16"/>
    <s v="Safe"/>
    <n v="0.19700000000000001"/>
    <n v="0.59"/>
    <s v="Acceptable"/>
    <n v="8.9599999999999999E-2"/>
    <n v="3"/>
    <x v="42"/>
    <n v="56"/>
  </r>
  <r>
    <n v="687"/>
    <x v="30"/>
    <x v="0"/>
    <n v="22"/>
    <b v="0"/>
    <n v="1"/>
    <s v="No"/>
    <s v="Monday"/>
    <n v="2"/>
    <s v="Misty"/>
    <n v="0.16"/>
    <s v="Safe"/>
    <n v="0.18179999999999999"/>
    <n v="0.59"/>
    <s v="Acceptable"/>
    <n v="0.1045"/>
    <n v="0"/>
    <x v="60"/>
    <n v="34"/>
  </r>
  <r>
    <n v="688"/>
    <x v="30"/>
    <x v="0"/>
    <n v="23"/>
    <b v="0"/>
    <n v="1"/>
    <s v="No"/>
    <s v="Monday"/>
    <n v="2"/>
    <s v="Misty"/>
    <n v="0.16"/>
    <s v="Safe"/>
    <n v="0.19700000000000001"/>
    <n v="0.64"/>
    <s v="Acceptable"/>
    <n v="8.9599999999999999E-2"/>
    <n v="2"/>
    <x v="89"/>
    <n v="17"/>
  </r>
  <r>
    <n v="689"/>
    <x v="31"/>
    <x v="1"/>
    <n v="0"/>
    <b v="0"/>
    <n v="2"/>
    <s v="No"/>
    <s v="Tuesday"/>
    <n v="2"/>
    <s v="Misty"/>
    <n v="0.16"/>
    <s v="Safe"/>
    <n v="0.18179999999999999"/>
    <n v="0.64"/>
    <s v="Acceptable"/>
    <n v="0.1045"/>
    <n v="2"/>
    <x v="8"/>
    <n v="8"/>
  </r>
  <r>
    <n v="690"/>
    <x v="31"/>
    <x v="1"/>
    <n v="1"/>
    <b v="0"/>
    <n v="2"/>
    <s v="No"/>
    <s v="Tuesday"/>
    <n v="2"/>
    <s v="Misty"/>
    <n v="0.16"/>
    <s v="Safe"/>
    <n v="0.18179999999999999"/>
    <n v="0.69"/>
    <s v="Acceptable"/>
    <n v="0.1045"/>
    <n v="0"/>
    <x v="35"/>
    <n v="3"/>
  </r>
  <r>
    <n v="691"/>
    <x v="31"/>
    <x v="1"/>
    <n v="2"/>
    <b v="0"/>
    <n v="2"/>
    <s v="No"/>
    <s v="Tuesday"/>
    <n v="2"/>
    <s v="Misty"/>
    <n v="0.16"/>
    <s v="Safe"/>
    <n v="0.2273"/>
    <n v="0.69"/>
    <s v="Acceptable"/>
    <n v="0"/>
    <n v="0"/>
    <x v="6"/>
    <n v="2"/>
  </r>
  <r>
    <n v="692"/>
    <x v="31"/>
    <x v="1"/>
    <n v="3"/>
    <b v="0"/>
    <n v="2"/>
    <s v="No"/>
    <s v="Tuesday"/>
    <n v="2"/>
    <s v="Misty"/>
    <n v="0.16"/>
    <s v="Safe"/>
    <n v="0.2273"/>
    <n v="0.69"/>
    <s v="Acceptable"/>
    <n v="0"/>
    <n v="0"/>
    <x v="6"/>
    <n v="2"/>
  </r>
  <r>
    <n v="693"/>
    <x v="31"/>
    <x v="1"/>
    <n v="5"/>
    <b v="0"/>
    <n v="2"/>
    <s v="No"/>
    <s v="Tuesday"/>
    <n v="3"/>
    <s v="Light Rain"/>
    <n v="0.14000000000000001"/>
    <s v="Safe"/>
    <n v="0.21210000000000001"/>
    <n v="0.93"/>
    <s v="Risky"/>
    <n v="0"/>
    <n v="0"/>
    <x v="35"/>
    <n v="3"/>
  </r>
  <r>
    <n v="694"/>
    <x v="31"/>
    <x v="1"/>
    <n v="6"/>
    <b v="0"/>
    <n v="2"/>
    <s v="No"/>
    <s v="Tuesday"/>
    <n v="3"/>
    <s v="Light Rain"/>
    <n v="0.14000000000000001"/>
    <s v="Safe"/>
    <n v="0.21210000000000001"/>
    <n v="0.93"/>
    <s v="Risky"/>
    <n v="0"/>
    <n v="0"/>
    <x v="97"/>
    <n v="22"/>
  </r>
  <r>
    <n v="695"/>
    <x v="31"/>
    <x v="1"/>
    <n v="7"/>
    <b v="0"/>
    <n v="2"/>
    <s v="No"/>
    <s v="Tuesday"/>
    <n v="3"/>
    <s v="Light Rain"/>
    <n v="0.16"/>
    <s v="Safe"/>
    <n v="0.2273"/>
    <n v="0.93"/>
    <s v="Risky"/>
    <n v="0"/>
    <n v="0"/>
    <x v="15"/>
    <n v="52"/>
  </r>
  <r>
    <n v="696"/>
    <x v="31"/>
    <x v="1"/>
    <n v="8"/>
    <b v="0"/>
    <n v="2"/>
    <s v="No"/>
    <s v="Tuesday"/>
    <n v="3"/>
    <s v="Light Rain"/>
    <n v="0.16"/>
    <s v="Safe"/>
    <n v="0.2273"/>
    <n v="0.93"/>
    <s v="Risky"/>
    <n v="0"/>
    <n v="3"/>
    <x v="126"/>
    <n v="135"/>
  </r>
  <r>
    <n v="697"/>
    <x v="31"/>
    <x v="1"/>
    <n v="9"/>
    <b v="0"/>
    <n v="2"/>
    <s v="No"/>
    <s v="Tuesday"/>
    <n v="2"/>
    <s v="Misty"/>
    <n v="0.16"/>
    <s v="Safe"/>
    <n v="0.2273"/>
    <n v="0.93"/>
    <s v="Risky"/>
    <n v="0"/>
    <n v="2"/>
    <x v="156"/>
    <n v="116"/>
  </r>
  <r>
    <n v="698"/>
    <x v="31"/>
    <x v="1"/>
    <n v="10"/>
    <b v="0"/>
    <n v="2"/>
    <s v="No"/>
    <s v="Tuesday"/>
    <n v="2"/>
    <s v="Misty"/>
    <n v="0.16"/>
    <s v="Safe"/>
    <n v="0.2273"/>
    <n v="0.93"/>
    <s v="Risky"/>
    <n v="0"/>
    <n v="0"/>
    <x v="12"/>
    <n v="47"/>
  </r>
  <r>
    <n v="699"/>
    <x v="31"/>
    <x v="1"/>
    <n v="11"/>
    <b v="0"/>
    <n v="2"/>
    <s v="No"/>
    <s v="Tuesday"/>
    <n v="2"/>
    <s v="Misty"/>
    <n v="0.18"/>
    <s v="Safe"/>
    <n v="0.2424"/>
    <n v="0.86"/>
    <s v="Risky"/>
    <n v="0"/>
    <n v="2"/>
    <x v="47"/>
    <n v="51"/>
  </r>
  <r>
    <n v="700"/>
    <x v="31"/>
    <x v="1"/>
    <n v="12"/>
    <b v="0"/>
    <n v="2"/>
    <s v="No"/>
    <s v="Tuesday"/>
    <n v="2"/>
    <s v="Misty"/>
    <n v="0.2"/>
    <s v="Safe"/>
    <n v="0.2576"/>
    <n v="0.86"/>
    <s v="Risky"/>
    <n v="0"/>
    <n v="2"/>
    <x v="42"/>
    <n v="55"/>
  </r>
  <r>
    <n v="701"/>
    <x v="31"/>
    <x v="1"/>
    <n v="13"/>
    <b v="0"/>
    <n v="2"/>
    <s v="No"/>
    <s v="Tuesday"/>
    <n v="2"/>
    <s v="Misty"/>
    <n v="0.2"/>
    <s v="Safe"/>
    <n v="0.2576"/>
    <n v="0.86"/>
    <s v="Risky"/>
    <n v="0"/>
    <n v="3"/>
    <x v="47"/>
    <n v="52"/>
  </r>
  <r>
    <n v="702"/>
    <x v="31"/>
    <x v="1"/>
    <n v="14"/>
    <b v="0"/>
    <n v="2"/>
    <s v="No"/>
    <s v="Tuesday"/>
    <n v="2"/>
    <s v="Misty"/>
    <n v="0.22"/>
    <s v="Safe"/>
    <n v="0.2576"/>
    <n v="0.8"/>
    <s v="Risky"/>
    <n v="8.9599999999999999E-2"/>
    <n v="5"/>
    <x v="47"/>
    <n v="54"/>
  </r>
  <r>
    <n v="703"/>
    <x v="31"/>
    <x v="1"/>
    <n v="15"/>
    <b v="0"/>
    <n v="2"/>
    <s v="No"/>
    <s v="Tuesday"/>
    <n v="2"/>
    <s v="Misty"/>
    <n v="0.24"/>
    <s v="Safe"/>
    <n v="0.28789999999999999"/>
    <n v="0.75"/>
    <s v="Risky"/>
    <n v="0"/>
    <n v="7"/>
    <x v="108"/>
    <n v="52"/>
  </r>
  <r>
    <n v="704"/>
    <x v="31"/>
    <x v="1"/>
    <n v="16"/>
    <b v="0"/>
    <n v="2"/>
    <s v="No"/>
    <s v="Tuesday"/>
    <n v="2"/>
    <s v="Misty"/>
    <n v="0.24"/>
    <s v="Safe"/>
    <n v="0.2424"/>
    <n v="0.75"/>
    <s v="Risky"/>
    <n v="0.1343"/>
    <n v="3"/>
    <x v="124"/>
    <n v="64"/>
  </r>
  <r>
    <n v="705"/>
    <x v="31"/>
    <x v="1"/>
    <n v="17"/>
    <b v="0"/>
    <n v="2"/>
    <s v="No"/>
    <s v="Tuesday"/>
    <n v="2"/>
    <s v="Misty"/>
    <n v="0.24"/>
    <s v="Safe"/>
    <n v="0.28789999999999999"/>
    <n v="0.75"/>
    <s v="Risky"/>
    <n v="0"/>
    <n v="4"/>
    <x v="157"/>
    <n v="176"/>
  </r>
  <r>
    <n v="706"/>
    <x v="31"/>
    <x v="1"/>
    <n v="18"/>
    <b v="0"/>
    <n v="2"/>
    <s v="No"/>
    <s v="Tuesday"/>
    <n v="2"/>
    <s v="Misty"/>
    <n v="0.24"/>
    <s v="Safe"/>
    <n v="0.2576"/>
    <n v="0.81"/>
    <s v="Risky"/>
    <n v="0.1045"/>
    <n v="3"/>
    <x v="158"/>
    <n v="168"/>
  </r>
  <r>
    <n v="707"/>
    <x v="31"/>
    <x v="1"/>
    <n v="19"/>
    <b v="0"/>
    <n v="2"/>
    <s v="No"/>
    <s v="Tuesday"/>
    <n v="2"/>
    <s v="Misty"/>
    <n v="0.24"/>
    <s v="Safe"/>
    <n v="0.2424"/>
    <n v="0.81"/>
    <s v="Risky"/>
    <n v="0.1343"/>
    <n v="3"/>
    <x v="159"/>
    <n v="108"/>
  </r>
  <r>
    <n v="708"/>
    <x v="31"/>
    <x v="1"/>
    <n v="20"/>
    <b v="0"/>
    <n v="2"/>
    <s v="No"/>
    <s v="Tuesday"/>
    <n v="2"/>
    <s v="Misty"/>
    <n v="0.22"/>
    <s v="Safe"/>
    <n v="0.2273"/>
    <n v="0.87"/>
    <s v="Risky"/>
    <n v="0.1343"/>
    <n v="5"/>
    <x v="94"/>
    <n v="74"/>
  </r>
  <r>
    <n v="709"/>
    <x v="31"/>
    <x v="1"/>
    <n v="21"/>
    <b v="0"/>
    <n v="2"/>
    <s v="No"/>
    <s v="Tuesday"/>
    <n v="2"/>
    <s v="Misty"/>
    <n v="0.22"/>
    <s v="Safe"/>
    <n v="0.2273"/>
    <n v="0.87"/>
    <s v="Risky"/>
    <n v="0.1343"/>
    <n v="0"/>
    <x v="27"/>
    <n v="64"/>
  </r>
  <r>
    <n v="710"/>
    <x v="31"/>
    <x v="1"/>
    <n v="22"/>
    <b v="0"/>
    <n v="2"/>
    <s v="No"/>
    <s v="Tuesday"/>
    <n v="2"/>
    <s v="Misty"/>
    <n v="0.22"/>
    <s v="Safe"/>
    <n v="0.2576"/>
    <n v="0.87"/>
    <s v="Risky"/>
    <n v="8.9599999999999999E-2"/>
    <n v="2"/>
    <x v="60"/>
    <n v="36"/>
  </r>
  <r>
    <n v="711"/>
    <x v="31"/>
    <x v="1"/>
    <n v="23"/>
    <b v="0"/>
    <n v="2"/>
    <s v="No"/>
    <s v="Tuesday"/>
    <n v="3"/>
    <s v="Light Rain"/>
    <n v="0.2"/>
    <s v="Safe"/>
    <n v="0.19700000000000001"/>
    <n v="0.93"/>
    <s v="Risky"/>
    <n v="0.19400000000000001"/>
    <n v="1"/>
    <x v="89"/>
    <n v="16"/>
  </r>
  <r>
    <n v="712"/>
    <x v="32"/>
    <x v="1"/>
    <n v="0"/>
    <b v="0"/>
    <n v="3"/>
    <s v="No"/>
    <s v="Wednesday"/>
    <n v="3"/>
    <s v="Light Rain"/>
    <n v="0.22"/>
    <s v="Safe"/>
    <n v="0.2424"/>
    <n v="0.93"/>
    <s v="Risky"/>
    <n v="0.1045"/>
    <n v="0"/>
    <x v="6"/>
    <n v="2"/>
  </r>
  <r>
    <n v="713"/>
    <x v="32"/>
    <x v="1"/>
    <n v="1"/>
    <b v="0"/>
    <n v="3"/>
    <s v="No"/>
    <s v="Wednesday"/>
    <n v="3"/>
    <s v="Light Rain"/>
    <n v="0.22"/>
    <s v="Safe"/>
    <n v="0.2273"/>
    <n v="0.93"/>
    <s v="Risky"/>
    <n v="0.19400000000000001"/>
    <n v="0"/>
    <x v="35"/>
    <n v="3"/>
  </r>
  <r>
    <n v="714"/>
    <x v="32"/>
    <x v="1"/>
    <n v="2"/>
    <b v="0"/>
    <n v="3"/>
    <s v="No"/>
    <s v="Wednesday"/>
    <n v="3"/>
    <s v="Light Rain"/>
    <n v="0.22"/>
    <s v="Safe"/>
    <n v="0.2273"/>
    <n v="0.93"/>
    <s v="Risky"/>
    <n v="0.1343"/>
    <n v="4"/>
    <x v="5"/>
    <n v="4"/>
  </r>
  <r>
    <n v="715"/>
    <x v="32"/>
    <x v="1"/>
    <n v="3"/>
    <b v="0"/>
    <n v="3"/>
    <s v="No"/>
    <s v="Wednesday"/>
    <n v="3"/>
    <s v="Light Rain"/>
    <n v="0.22"/>
    <s v="Safe"/>
    <n v="0.2273"/>
    <n v="0.93"/>
    <s v="Risky"/>
    <n v="0.1343"/>
    <n v="0"/>
    <x v="4"/>
    <n v="1"/>
  </r>
  <r>
    <n v="716"/>
    <x v="32"/>
    <x v="1"/>
    <n v="4"/>
    <b v="0"/>
    <n v="3"/>
    <s v="No"/>
    <s v="Wednesday"/>
    <n v="3"/>
    <s v="Light Rain"/>
    <n v="0.22"/>
    <s v="Safe"/>
    <n v="0.21210000000000001"/>
    <n v="0.93"/>
    <s v="Risky"/>
    <n v="0.28360000000000002"/>
    <n v="0"/>
    <x v="4"/>
    <n v="1"/>
  </r>
  <r>
    <n v="717"/>
    <x v="32"/>
    <x v="1"/>
    <n v="5"/>
    <b v="0"/>
    <n v="3"/>
    <s v="No"/>
    <s v="Wednesday"/>
    <n v="3"/>
    <s v="Light Rain"/>
    <n v="0.22"/>
    <s v="Safe"/>
    <n v="0.2424"/>
    <n v="0.93"/>
    <s v="Risky"/>
    <n v="0.1045"/>
    <n v="0"/>
    <x v="35"/>
    <n v="3"/>
  </r>
  <r>
    <n v="718"/>
    <x v="32"/>
    <x v="1"/>
    <n v="6"/>
    <b v="0"/>
    <n v="3"/>
    <s v="No"/>
    <s v="Wednesday"/>
    <n v="3"/>
    <s v="Light Rain"/>
    <n v="0.22"/>
    <s v="Safe"/>
    <n v="0.2424"/>
    <n v="0.93"/>
    <s v="Risky"/>
    <n v="0.1045"/>
    <n v="1"/>
    <x v="19"/>
    <n v="18"/>
  </r>
  <r>
    <n v="719"/>
    <x v="32"/>
    <x v="1"/>
    <n v="7"/>
    <b v="0"/>
    <n v="3"/>
    <s v="No"/>
    <s v="Wednesday"/>
    <n v="3"/>
    <s v="Light Rain"/>
    <n v="0.22"/>
    <s v="Safe"/>
    <n v="0.21210000000000001"/>
    <n v="0.93"/>
    <s v="Risky"/>
    <n v="0.22389999999999999"/>
    <n v="1"/>
    <x v="41"/>
    <n v="49"/>
  </r>
  <r>
    <n v="720"/>
    <x v="32"/>
    <x v="1"/>
    <n v="8"/>
    <b v="0"/>
    <n v="3"/>
    <s v="No"/>
    <s v="Wednesday"/>
    <n v="3"/>
    <s v="Light Rain"/>
    <n v="0.22"/>
    <s v="Safe"/>
    <n v="0.21210000000000001"/>
    <n v="0.93"/>
    <s v="Risky"/>
    <n v="0.22389999999999999"/>
    <n v="1"/>
    <x v="105"/>
    <n v="155"/>
  </r>
  <r>
    <n v="721"/>
    <x v="32"/>
    <x v="1"/>
    <n v="9"/>
    <b v="0"/>
    <n v="3"/>
    <s v="No"/>
    <s v="Wednesday"/>
    <n v="2"/>
    <s v="Misty"/>
    <n v="0.24"/>
    <s v="Safe"/>
    <n v="0.2576"/>
    <n v="0.93"/>
    <s v="Risky"/>
    <n v="8.9599999999999999E-2"/>
    <n v="4"/>
    <x v="138"/>
    <n v="123"/>
  </r>
  <r>
    <n v="722"/>
    <x v="32"/>
    <x v="1"/>
    <n v="10"/>
    <b v="0"/>
    <n v="3"/>
    <s v="No"/>
    <s v="Wednesday"/>
    <n v="2"/>
    <s v="Misty"/>
    <n v="0.22"/>
    <s v="Safe"/>
    <n v="0.2727"/>
    <n v="1"/>
    <s v="Risky"/>
    <n v="0"/>
    <n v="2"/>
    <x v="79"/>
    <n v="61"/>
  </r>
  <r>
    <n v="723"/>
    <x v="32"/>
    <x v="1"/>
    <n v="11"/>
    <b v="0"/>
    <n v="3"/>
    <s v="No"/>
    <s v="Wednesday"/>
    <n v="2"/>
    <s v="Misty"/>
    <n v="0.24"/>
    <s v="Safe"/>
    <n v="0.2273"/>
    <n v="0.93"/>
    <s v="Risky"/>
    <n v="0.19400000000000001"/>
    <n v="5"/>
    <x v="12"/>
    <n v="52"/>
  </r>
  <r>
    <n v="724"/>
    <x v="32"/>
    <x v="1"/>
    <n v="12"/>
    <b v="0"/>
    <n v="3"/>
    <s v="No"/>
    <s v="Wednesday"/>
    <n v="2"/>
    <s v="Misty"/>
    <n v="0.24"/>
    <s v="Safe"/>
    <n v="0.2273"/>
    <n v="0.93"/>
    <s v="Risky"/>
    <n v="0.22389999999999999"/>
    <n v="3"/>
    <x v="124"/>
    <n v="64"/>
  </r>
  <r>
    <n v="725"/>
    <x v="32"/>
    <x v="1"/>
    <n v="13"/>
    <b v="0"/>
    <n v="3"/>
    <s v="No"/>
    <s v="Wednesday"/>
    <n v="1"/>
    <s v="Clean"/>
    <n v="0.34"/>
    <s v="Safe"/>
    <n v="0.33329999999999999"/>
    <n v="0.93"/>
    <s v="Risky"/>
    <n v="0.16420000000000001"/>
    <n v="1"/>
    <x v="64"/>
    <n v="75"/>
  </r>
  <r>
    <n v="726"/>
    <x v="32"/>
    <x v="1"/>
    <n v="14"/>
    <b v="0"/>
    <n v="3"/>
    <s v="No"/>
    <s v="Wednesday"/>
    <n v="1"/>
    <s v="Clean"/>
    <n v="0.38"/>
    <s v="Risky"/>
    <n v="0.39389999999999997"/>
    <n v="0.82"/>
    <s v="Risky"/>
    <n v="0.3881"/>
    <n v="2"/>
    <x v="124"/>
    <n v="63"/>
  </r>
  <r>
    <n v="727"/>
    <x v="32"/>
    <x v="1"/>
    <n v="15"/>
    <b v="0"/>
    <n v="3"/>
    <s v="No"/>
    <s v="Wednesday"/>
    <n v="1"/>
    <s v="Clean"/>
    <n v="0.38"/>
    <s v="Risky"/>
    <n v="0.39389999999999997"/>
    <n v="0.76"/>
    <s v="Risky"/>
    <n v="0.32840000000000003"/>
    <n v="10"/>
    <x v="43"/>
    <n v="76"/>
  </r>
  <r>
    <n v="728"/>
    <x v="32"/>
    <x v="1"/>
    <n v="16"/>
    <b v="0"/>
    <n v="3"/>
    <s v="No"/>
    <s v="Wednesday"/>
    <n v="1"/>
    <s v="Clean"/>
    <n v="0.36"/>
    <s v="Risky"/>
    <n v="0.33329999999999999"/>
    <n v="0.71"/>
    <s v="Risky"/>
    <n v="0.29849999999999999"/>
    <n v="8"/>
    <x v="73"/>
    <n v="103"/>
  </r>
  <r>
    <n v="729"/>
    <x v="32"/>
    <x v="1"/>
    <n v="17"/>
    <b v="0"/>
    <n v="3"/>
    <s v="No"/>
    <s v="Wednesday"/>
    <n v="1"/>
    <s v="Clean"/>
    <n v="0.36"/>
    <s v="Risky"/>
    <n v="0.31819999999999998"/>
    <n v="0.53"/>
    <s v="Acceptable"/>
    <n v="0.52239999999999998"/>
    <n v="7"/>
    <x v="160"/>
    <n v="190"/>
  </r>
  <r>
    <n v="730"/>
    <x v="32"/>
    <x v="1"/>
    <n v="18"/>
    <b v="0"/>
    <n v="3"/>
    <s v="No"/>
    <s v="Wednesday"/>
    <n v="1"/>
    <s v="Clean"/>
    <n v="0.34"/>
    <s v="Safe"/>
    <n v="0.28789999999999999"/>
    <n v="0.42"/>
    <s v="Acceptable"/>
    <n v="0.55220000000000002"/>
    <n v="7"/>
    <x v="161"/>
    <n v="182"/>
  </r>
  <r>
    <n v="731"/>
    <x v="32"/>
    <x v="1"/>
    <n v="19"/>
    <b v="0"/>
    <n v="3"/>
    <s v="No"/>
    <s v="Wednesday"/>
    <n v="1"/>
    <s v="Clean"/>
    <n v="0.28000000000000003"/>
    <s v="Safe"/>
    <n v="0.2424"/>
    <n v="0.45"/>
    <s v="Acceptable"/>
    <n v="0.49249999999999999"/>
    <n v="3"/>
    <x v="152"/>
    <n v="91"/>
  </r>
  <r>
    <n v="732"/>
    <x v="32"/>
    <x v="1"/>
    <n v="20"/>
    <b v="0"/>
    <n v="3"/>
    <s v="No"/>
    <s v="Wednesday"/>
    <n v="1"/>
    <s v="Clean"/>
    <n v="0.24"/>
    <s v="Safe"/>
    <n v="0.19700000000000001"/>
    <n v="0.48"/>
    <s v="Acceptable"/>
    <n v="0.55220000000000002"/>
    <n v="4"/>
    <x v="13"/>
    <n v="75"/>
  </r>
  <r>
    <n v="733"/>
    <x v="32"/>
    <x v="1"/>
    <n v="21"/>
    <b v="0"/>
    <n v="3"/>
    <s v="No"/>
    <s v="Wednesday"/>
    <n v="1"/>
    <s v="Clean"/>
    <n v="0.22"/>
    <s v="Safe"/>
    <n v="0.19700000000000001"/>
    <n v="0.47"/>
    <s v="Acceptable"/>
    <n v="0.32840000000000003"/>
    <n v="1"/>
    <x v="133"/>
    <n v="63"/>
  </r>
  <r>
    <n v="734"/>
    <x v="32"/>
    <x v="1"/>
    <n v="22"/>
    <b v="0"/>
    <n v="3"/>
    <s v="No"/>
    <s v="Wednesday"/>
    <n v="1"/>
    <s v="Clean"/>
    <n v="0.22"/>
    <s v="Safe"/>
    <n v="0.21210000000000001"/>
    <n v="0.44"/>
    <s v="Acceptable"/>
    <n v="0.25369999999999998"/>
    <n v="5"/>
    <x v="96"/>
    <n v="40"/>
  </r>
  <r>
    <n v="735"/>
    <x v="32"/>
    <x v="1"/>
    <n v="23"/>
    <b v="0"/>
    <n v="3"/>
    <s v="No"/>
    <s v="Wednesday"/>
    <n v="1"/>
    <s v="Clean"/>
    <n v="0.2"/>
    <s v="Safe"/>
    <n v="0.16669999999999999"/>
    <n v="0.44"/>
    <s v="Acceptable"/>
    <n v="0.44779999999999998"/>
    <n v="3"/>
    <x v="31"/>
    <n v="32"/>
  </r>
  <r>
    <n v="736"/>
    <x v="33"/>
    <x v="1"/>
    <n v="0"/>
    <b v="0"/>
    <n v="4"/>
    <s v="No"/>
    <s v="Thursday"/>
    <n v="1"/>
    <s v="Clean"/>
    <n v="0.2"/>
    <s v="Safe"/>
    <n v="0.16669999999999999"/>
    <n v="0.4"/>
    <s v="Acceptable"/>
    <n v="0.44779999999999998"/>
    <n v="1"/>
    <x v="48"/>
    <n v="12"/>
  </r>
  <r>
    <n v="737"/>
    <x v="33"/>
    <x v="1"/>
    <n v="1"/>
    <b v="0"/>
    <n v="4"/>
    <s v="No"/>
    <s v="Thursday"/>
    <n v="1"/>
    <s v="Clean"/>
    <n v="0.2"/>
    <s v="Safe"/>
    <n v="0.1515"/>
    <n v="0.44"/>
    <s v="Acceptable"/>
    <n v="0.52239999999999998"/>
    <n v="0"/>
    <x v="34"/>
    <n v="5"/>
  </r>
  <r>
    <n v="738"/>
    <x v="33"/>
    <x v="1"/>
    <n v="2"/>
    <b v="0"/>
    <n v="4"/>
    <s v="No"/>
    <s v="Thursday"/>
    <n v="1"/>
    <s v="Clean"/>
    <n v="0.18"/>
    <s v="Safe"/>
    <n v="0.16669999999999999"/>
    <n v="0.43"/>
    <s v="Acceptable"/>
    <n v="0.25369999999999998"/>
    <n v="0"/>
    <x v="6"/>
    <n v="2"/>
  </r>
  <r>
    <n v="739"/>
    <x v="33"/>
    <x v="1"/>
    <n v="3"/>
    <b v="0"/>
    <n v="4"/>
    <s v="No"/>
    <s v="Thursday"/>
    <n v="1"/>
    <s v="Clean"/>
    <n v="0.18"/>
    <s v="Safe"/>
    <n v="0.16669999999999999"/>
    <n v="0.43"/>
    <s v="Acceptable"/>
    <n v="0.25369999999999998"/>
    <n v="0"/>
    <x v="4"/>
    <n v="1"/>
  </r>
  <r>
    <n v="740"/>
    <x v="33"/>
    <x v="1"/>
    <n v="5"/>
    <b v="0"/>
    <n v="4"/>
    <s v="No"/>
    <s v="Thursday"/>
    <n v="1"/>
    <s v="Clean"/>
    <n v="0.16"/>
    <s v="Safe"/>
    <n v="0.13639999999999999"/>
    <n v="0.5"/>
    <s v="Acceptable"/>
    <n v="0.29849999999999999"/>
    <n v="0"/>
    <x v="6"/>
    <n v="2"/>
  </r>
  <r>
    <n v="741"/>
    <x v="33"/>
    <x v="1"/>
    <n v="6"/>
    <b v="0"/>
    <n v="4"/>
    <s v="No"/>
    <s v="Thursday"/>
    <n v="1"/>
    <s v="Clean"/>
    <n v="0.16"/>
    <s v="Safe"/>
    <n v="0.13639999999999999"/>
    <n v="0.43"/>
    <s v="Acceptable"/>
    <n v="0.35820000000000002"/>
    <n v="0"/>
    <x v="87"/>
    <n v="39"/>
  </r>
  <r>
    <n v="742"/>
    <x v="33"/>
    <x v="1"/>
    <n v="7"/>
    <b v="0"/>
    <n v="4"/>
    <s v="No"/>
    <s v="Thursday"/>
    <n v="1"/>
    <s v="Clean"/>
    <n v="0.14000000000000001"/>
    <s v="Safe"/>
    <n v="0.1212"/>
    <n v="0.5"/>
    <s v="Acceptable"/>
    <n v="0.32840000000000003"/>
    <n v="1"/>
    <x v="132"/>
    <n v="87"/>
  </r>
  <r>
    <n v="743"/>
    <x v="33"/>
    <x v="1"/>
    <n v="8"/>
    <b v="0"/>
    <n v="4"/>
    <s v="No"/>
    <s v="Thursday"/>
    <n v="1"/>
    <s v="Clean"/>
    <n v="0.14000000000000001"/>
    <s v="Safe"/>
    <n v="0.1212"/>
    <n v="0.5"/>
    <s v="Acceptable"/>
    <n v="0.35820000000000002"/>
    <n v="4"/>
    <x v="103"/>
    <n v="188"/>
  </r>
  <r>
    <n v="744"/>
    <x v="33"/>
    <x v="1"/>
    <n v="9"/>
    <b v="0"/>
    <n v="4"/>
    <s v="No"/>
    <s v="Thursday"/>
    <n v="1"/>
    <s v="Clean"/>
    <n v="0.16"/>
    <s v="Safe"/>
    <n v="0.13639999999999999"/>
    <n v="0.47"/>
    <s v="Acceptable"/>
    <n v="0.29849999999999999"/>
    <n v="6"/>
    <x v="69"/>
    <n v="133"/>
  </r>
  <r>
    <n v="745"/>
    <x v="33"/>
    <x v="1"/>
    <n v="10"/>
    <b v="0"/>
    <n v="4"/>
    <s v="No"/>
    <s v="Thursday"/>
    <n v="1"/>
    <s v="Clean"/>
    <n v="0.18"/>
    <s v="Safe"/>
    <n v="0.1515"/>
    <n v="0.43"/>
    <s v="Acceptable"/>
    <n v="0.32840000000000003"/>
    <n v="2"/>
    <x v="54"/>
    <n v="52"/>
  </r>
  <r>
    <n v="746"/>
    <x v="33"/>
    <x v="1"/>
    <n v="11"/>
    <b v="0"/>
    <n v="4"/>
    <s v="No"/>
    <s v="Thursday"/>
    <n v="1"/>
    <s v="Clean"/>
    <n v="0.18"/>
    <s v="Safe"/>
    <n v="0.13639999999999999"/>
    <n v="0.43"/>
    <s v="Acceptable"/>
    <n v="0.44779999999999998"/>
    <n v="9"/>
    <x v="11"/>
    <n v="64"/>
  </r>
  <r>
    <n v="747"/>
    <x v="33"/>
    <x v="1"/>
    <n v="12"/>
    <b v="0"/>
    <n v="4"/>
    <s v="No"/>
    <s v="Thursday"/>
    <n v="1"/>
    <s v="Clean"/>
    <n v="0.2"/>
    <s v="Safe"/>
    <n v="0.18179999999999999"/>
    <n v="0.4"/>
    <s v="Acceptable"/>
    <n v="0.35820000000000002"/>
    <n v="2"/>
    <x v="28"/>
    <n v="69"/>
  </r>
  <r>
    <n v="748"/>
    <x v="33"/>
    <x v="1"/>
    <n v="13"/>
    <b v="0"/>
    <n v="4"/>
    <s v="No"/>
    <s v="Thursday"/>
    <n v="1"/>
    <s v="Clean"/>
    <n v="0.2"/>
    <s v="Safe"/>
    <n v="0.16669999999999999"/>
    <n v="0.4"/>
    <s v="Acceptable"/>
    <n v="0.41789999999999999"/>
    <n v="4"/>
    <x v="12"/>
    <n v="51"/>
  </r>
  <r>
    <n v="749"/>
    <x v="33"/>
    <x v="1"/>
    <n v="14"/>
    <b v="0"/>
    <n v="4"/>
    <s v="No"/>
    <s v="Thursday"/>
    <n v="1"/>
    <s v="Clean"/>
    <n v="0.22"/>
    <s v="Safe"/>
    <n v="0.19700000000000001"/>
    <n v="0.37"/>
    <s v="Acceptable"/>
    <n v="0.3881"/>
    <n v="4"/>
    <x v="30"/>
    <n v="47"/>
  </r>
  <r>
    <n v="750"/>
    <x v="33"/>
    <x v="1"/>
    <n v="15"/>
    <b v="0"/>
    <n v="4"/>
    <s v="No"/>
    <s v="Thursday"/>
    <n v="1"/>
    <s v="Clean"/>
    <n v="0.22"/>
    <s v="Safe"/>
    <n v="0.19700000000000001"/>
    <n v="0.37"/>
    <s v="Acceptable"/>
    <n v="0.32840000000000003"/>
    <n v="4"/>
    <x v="90"/>
    <n v="60"/>
  </r>
  <r>
    <n v="751"/>
    <x v="33"/>
    <x v="1"/>
    <n v="16"/>
    <b v="0"/>
    <n v="4"/>
    <s v="No"/>
    <s v="Thursday"/>
    <n v="1"/>
    <s v="Clean"/>
    <n v="0.22"/>
    <s v="Safe"/>
    <n v="0.21210000000000001"/>
    <n v="0.37"/>
    <s v="Acceptable"/>
    <n v="0.25369999999999998"/>
    <n v="5"/>
    <x v="26"/>
    <n v="78"/>
  </r>
  <r>
    <n v="752"/>
    <x v="33"/>
    <x v="1"/>
    <n v="17"/>
    <b v="0"/>
    <n v="4"/>
    <s v="No"/>
    <s v="Thursday"/>
    <n v="1"/>
    <s v="Clean"/>
    <n v="0.2"/>
    <s v="Safe"/>
    <n v="0.19700000000000001"/>
    <n v="0.4"/>
    <s v="Acceptable"/>
    <n v="0.19400000000000001"/>
    <n v="5"/>
    <x v="162"/>
    <n v="175"/>
  </r>
  <r>
    <n v="753"/>
    <x v="33"/>
    <x v="1"/>
    <n v="18"/>
    <b v="0"/>
    <n v="4"/>
    <s v="No"/>
    <s v="Thursday"/>
    <n v="1"/>
    <s v="Clean"/>
    <n v="0.2"/>
    <s v="Safe"/>
    <n v="0.21210000000000001"/>
    <n v="0.4"/>
    <s v="Acceptable"/>
    <n v="0.16420000000000001"/>
    <n v="2"/>
    <x v="142"/>
    <n v="147"/>
  </r>
  <r>
    <n v="754"/>
    <x v="33"/>
    <x v="1"/>
    <n v="19"/>
    <b v="0"/>
    <n v="4"/>
    <s v="No"/>
    <s v="Thursday"/>
    <n v="1"/>
    <s v="Clean"/>
    <n v="0.2"/>
    <s v="Safe"/>
    <n v="0.2576"/>
    <n v="0.4"/>
    <s v="Acceptable"/>
    <n v="0"/>
    <n v="4"/>
    <x v="50"/>
    <n v="96"/>
  </r>
  <r>
    <n v="755"/>
    <x v="33"/>
    <x v="1"/>
    <n v="20"/>
    <b v="0"/>
    <n v="4"/>
    <s v="No"/>
    <s v="Thursday"/>
    <n v="1"/>
    <s v="Clean"/>
    <n v="0.2"/>
    <s v="Safe"/>
    <n v="0.2273"/>
    <n v="0.47"/>
    <s v="Acceptable"/>
    <n v="8.9599999999999999E-2"/>
    <n v="1"/>
    <x v="123"/>
    <n v="109"/>
  </r>
  <r>
    <n v="756"/>
    <x v="33"/>
    <x v="1"/>
    <n v="21"/>
    <b v="0"/>
    <n v="4"/>
    <s v="No"/>
    <s v="Thursday"/>
    <n v="1"/>
    <s v="Clean"/>
    <n v="0.18"/>
    <s v="Safe"/>
    <n v="0.21210000000000001"/>
    <n v="0.55000000000000004"/>
    <s v="Acceptable"/>
    <n v="0.1045"/>
    <n v="1"/>
    <x v="42"/>
    <n v="54"/>
  </r>
  <r>
    <n v="757"/>
    <x v="33"/>
    <x v="1"/>
    <n v="22"/>
    <b v="0"/>
    <n v="4"/>
    <s v="No"/>
    <s v="Thursday"/>
    <n v="1"/>
    <s v="Clean"/>
    <n v="0.18"/>
    <s v="Safe"/>
    <n v="0.21210000000000001"/>
    <n v="0.51"/>
    <s v="Acceptable"/>
    <n v="8.9599999999999999E-2"/>
    <n v="2"/>
    <x v="87"/>
    <n v="41"/>
  </r>
  <r>
    <n v="758"/>
    <x v="33"/>
    <x v="1"/>
    <n v="23"/>
    <b v="0"/>
    <n v="4"/>
    <s v="No"/>
    <s v="Thursday"/>
    <n v="1"/>
    <s v="Clean"/>
    <n v="0.2"/>
    <s v="Safe"/>
    <n v="0.2273"/>
    <n v="0.47"/>
    <s v="Acceptable"/>
    <n v="0.1045"/>
    <n v="4"/>
    <x v="60"/>
    <n v="38"/>
  </r>
  <r>
    <n v="759"/>
    <x v="34"/>
    <x v="1"/>
    <n v="0"/>
    <b v="0"/>
    <n v="5"/>
    <s v="No"/>
    <s v="Friday"/>
    <n v="2"/>
    <s v="Misty"/>
    <n v="0.2"/>
    <s v="Safe"/>
    <n v="0.2576"/>
    <n v="0.44"/>
    <s v="Acceptable"/>
    <n v="0"/>
    <n v="3"/>
    <x v="3"/>
    <n v="13"/>
  </r>
  <r>
    <n v="760"/>
    <x v="34"/>
    <x v="1"/>
    <n v="1"/>
    <b v="0"/>
    <n v="5"/>
    <s v="No"/>
    <s v="Friday"/>
    <n v="2"/>
    <s v="Misty"/>
    <n v="0.16"/>
    <s v="Safe"/>
    <n v="0.2273"/>
    <n v="0.59"/>
    <s v="Acceptable"/>
    <n v="0"/>
    <n v="0"/>
    <x v="7"/>
    <n v="7"/>
  </r>
  <r>
    <n v="761"/>
    <x v="34"/>
    <x v="1"/>
    <n v="2"/>
    <b v="0"/>
    <n v="5"/>
    <s v="No"/>
    <s v="Friday"/>
    <n v="2"/>
    <s v="Misty"/>
    <n v="0.14000000000000001"/>
    <s v="Safe"/>
    <n v="0.16669999999999999"/>
    <n v="0.63"/>
    <s v="Acceptable"/>
    <n v="0.1045"/>
    <n v="0"/>
    <x v="4"/>
    <n v="1"/>
  </r>
  <r>
    <n v="762"/>
    <x v="34"/>
    <x v="1"/>
    <n v="3"/>
    <b v="0"/>
    <n v="5"/>
    <s v="No"/>
    <s v="Friday"/>
    <n v="2"/>
    <s v="Misty"/>
    <n v="0.14000000000000001"/>
    <s v="Safe"/>
    <n v="0.16669999999999999"/>
    <n v="0.63"/>
    <s v="Acceptable"/>
    <n v="0.1045"/>
    <n v="0"/>
    <x v="4"/>
    <n v="1"/>
  </r>
  <r>
    <n v="763"/>
    <x v="34"/>
    <x v="1"/>
    <n v="5"/>
    <b v="0"/>
    <n v="5"/>
    <s v="No"/>
    <s v="Friday"/>
    <n v="2"/>
    <s v="Misty"/>
    <n v="0.14000000000000001"/>
    <s v="Safe"/>
    <n v="0.1515"/>
    <n v="0.63"/>
    <s v="Acceptable"/>
    <n v="0.1343"/>
    <n v="0"/>
    <x v="7"/>
    <n v="7"/>
  </r>
  <r>
    <n v="764"/>
    <x v="34"/>
    <x v="1"/>
    <n v="6"/>
    <b v="0"/>
    <n v="5"/>
    <s v="No"/>
    <s v="Friday"/>
    <n v="2"/>
    <s v="Misty"/>
    <n v="0.16"/>
    <s v="Safe"/>
    <n v="0.2273"/>
    <n v="0.55000000000000004"/>
    <s v="Acceptable"/>
    <n v="0"/>
    <n v="2"/>
    <x v="16"/>
    <n v="28"/>
  </r>
  <r>
    <n v="765"/>
    <x v="34"/>
    <x v="1"/>
    <n v="7"/>
    <b v="0"/>
    <n v="5"/>
    <s v="No"/>
    <s v="Friday"/>
    <n v="1"/>
    <s v="Clean"/>
    <n v="0.14000000000000001"/>
    <s v="Safe"/>
    <n v="0.21210000000000001"/>
    <n v="0.59"/>
    <s v="Acceptable"/>
    <n v="0"/>
    <n v="0"/>
    <x v="61"/>
    <n v="87"/>
  </r>
  <r>
    <n v="766"/>
    <x v="34"/>
    <x v="1"/>
    <n v="8"/>
    <b v="0"/>
    <n v="5"/>
    <s v="No"/>
    <s v="Friday"/>
    <n v="1"/>
    <s v="Clean"/>
    <n v="0.14000000000000001"/>
    <s v="Safe"/>
    <n v="0.1515"/>
    <n v="0.74"/>
    <s v="Risky"/>
    <n v="0.1343"/>
    <n v="3"/>
    <x v="163"/>
    <n v="220"/>
  </r>
  <r>
    <n v="767"/>
    <x v="34"/>
    <x v="1"/>
    <n v="9"/>
    <b v="0"/>
    <n v="5"/>
    <s v="No"/>
    <s v="Friday"/>
    <n v="2"/>
    <s v="Misty"/>
    <n v="0.16"/>
    <s v="Safe"/>
    <n v="0.18179999999999999"/>
    <n v="0.8"/>
    <s v="Risky"/>
    <n v="0.1343"/>
    <n v="3"/>
    <x v="125"/>
    <n v="127"/>
  </r>
  <r>
    <n v="768"/>
    <x v="34"/>
    <x v="1"/>
    <n v="10"/>
    <b v="0"/>
    <n v="5"/>
    <s v="No"/>
    <s v="Friday"/>
    <n v="2"/>
    <s v="Misty"/>
    <n v="0.2"/>
    <s v="Safe"/>
    <n v="0.21210000000000001"/>
    <n v="0.51"/>
    <s v="Acceptable"/>
    <n v="0.1343"/>
    <n v="5"/>
    <x v="24"/>
    <n v="51"/>
  </r>
  <r>
    <n v="769"/>
    <x v="34"/>
    <x v="1"/>
    <n v="11"/>
    <b v="0"/>
    <n v="5"/>
    <s v="No"/>
    <s v="Friday"/>
    <n v="1"/>
    <s v="Clean"/>
    <n v="0.22"/>
    <s v="Safe"/>
    <n v="0.2273"/>
    <n v="0.51"/>
    <s v="Acceptable"/>
    <n v="0.16420000000000001"/>
    <n v="3"/>
    <x v="124"/>
    <n v="64"/>
  </r>
  <r>
    <n v="770"/>
    <x v="34"/>
    <x v="1"/>
    <n v="12"/>
    <b v="0"/>
    <n v="5"/>
    <s v="No"/>
    <s v="Friday"/>
    <n v="2"/>
    <s v="Misty"/>
    <n v="0.24"/>
    <s v="Safe"/>
    <n v="0.2424"/>
    <n v="0.48"/>
    <s v="Acceptable"/>
    <n v="0.16420000000000001"/>
    <n v="8"/>
    <x v="78"/>
    <n v="86"/>
  </r>
  <r>
    <n v="771"/>
    <x v="34"/>
    <x v="1"/>
    <n v="13"/>
    <b v="0"/>
    <n v="5"/>
    <s v="No"/>
    <s v="Friday"/>
    <n v="2"/>
    <s v="Misty"/>
    <n v="0.26"/>
    <s v="Safe"/>
    <n v="0.2576"/>
    <n v="0.5"/>
    <s v="Acceptable"/>
    <n v="0.22389999999999999"/>
    <n v="9"/>
    <x v="26"/>
    <n v="82"/>
  </r>
  <r>
    <n v="772"/>
    <x v="34"/>
    <x v="1"/>
    <n v="14"/>
    <b v="0"/>
    <n v="5"/>
    <s v="No"/>
    <s v="Friday"/>
    <n v="2"/>
    <s v="Misty"/>
    <n v="0.28000000000000003"/>
    <s v="Safe"/>
    <n v="0.2727"/>
    <n v="0.45"/>
    <s v="Acceptable"/>
    <n v="0.16420000000000001"/>
    <n v="15"/>
    <x v="83"/>
    <n v="91"/>
  </r>
  <r>
    <n v="773"/>
    <x v="34"/>
    <x v="1"/>
    <n v="15"/>
    <b v="0"/>
    <n v="5"/>
    <s v="No"/>
    <s v="Friday"/>
    <n v="2"/>
    <s v="Misty"/>
    <n v="0.28000000000000003"/>
    <s v="Safe"/>
    <n v="0.2727"/>
    <n v="0.48"/>
    <s v="Acceptable"/>
    <n v="0.25369999999999998"/>
    <n v="9"/>
    <x v="38"/>
    <n v="90"/>
  </r>
  <r>
    <n v="774"/>
    <x v="34"/>
    <x v="1"/>
    <n v="16"/>
    <b v="0"/>
    <n v="5"/>
    <s v="No"/>
    <s v="Friday"/>
    <n v="2"/>
    <s v="Misty"/>
    <n v="0.3"/>
    <s v="Safe"/>
    <n v="0.28789999999999999"/>
    <n v="0.42"/>
    <s v="Acceptable"/>
    <n v="0.22389999999999999"/>
    <n v="8"/>
    <x v="164"/>
    <n v="99"/>
  </r>
  <r>
    <n v="775"/>
    <x v="34"/>
    <x v="1"/>
    <n v="17"/>
    <b v="0"/>
    <n v="5"/>
    <s v="No"/>
    <s v="Friday"/>
    <n v="2"/>
    <s v="Misty"/>
    <n v="0.26"/>
    <s v="Safe"/>
    <n v="0.2727"/>
    <n v="0.56000000000000005"/>
    <s v="Acceptable"/>
    <n v="0.1343"/>
    <n v="10"/>
    <x v="165"/>
    <n v="205"/>
  </r>
  <r>
    <n v="776"/>
    <x v="34"/>
    <x v="1"/>
    <n v="18"/>
    <b v="0"/>
    <n v="5"/>
    <s v="No"/>
    <s v="Friday"/>
    <n v="2"/>
    <s v="Misty"/>
    <n v="0.24"/>
    <s v="Safe"/>
    <n v="0.2576"/>
    <n v="0.6"/>
    <s v="Acceptable"/>
    <n v="0.1045"/>
    <n v="3"/>
    <x v="166"/>
    <n v="155"/>
  </r>
  <r>
    <n v="777"/>
    <x v="34"/>
    <x v="1"/>
    <n v="19"/>
    <b v="0"/>
    <n v="5"/>
    <s v="No"/>
    <s v="Friday"/>
    <n v="2"/>
    <s v="Misty"/>
    <n v="0.24"/>
    <s v="Safe"/>
    <n v="0.2424"/>
    <n v="0.65"/>
    <s v="Acceptable"/>
    <n v="0.1343"/>
    <n v="1"/>
    <x v="46"/>
    <n v="103"/>
  </r>
  <r>
    <n v="778"/>
    <x v="34"/>
    <x v="1"/>
    <n v="20"/>
    <b v="0"/>
    <n v="5"/>
    <s v="No"/>
    <s v="Friday"/>
    <n v="2"/>
    <s v="Misty"/>
    <n v="0.24"/>
    <s v="Safe"/>
    <n v="0.2424"/>
    <n v="0.65"/>
    <s v="Acceptable"/>
    <n v="0.16420000000000001"/>
    <n v="2"/>
    <x v="94"/>
    <n v="71"/>
  </r>
  <r>
    <n v="779"/>
    <x v="34"/>
    <x v="1"/>
    <n v="21"/>
    <b v="0"/>
    <n v="5"/>
    <s v="No"/>
    <s v="Friday"/>
    <n v="2"/>
    <s v="Misty"/>
    <n v="0.24"/>
    <s v="Safe"/>
    <n v="0.2424"/>
    <n v="0.7"/>
    <s v="Risky"/>
    <n v="0.16420000000000001"/>
    <n v="2"/>
    <x v="40"/>
    <n v="43"/>
  </r>
  <r>
    <n v="780"/>
    <x v="34"/>
    <x v="1"/>
    <n v="22"/>
    <b v="0"/>
    <n v="5"/>
    <s v="No"/>
    <s v="Friday"/>
    <n v="2"/>
    <s v="Misty"/>
    <n v="0.24"/>
    <s v="Safe"/>
    <n v="0.2424"/>
    <n v="0.65"/>
    <s v="Acceptable"/>
    <n v="0.16420000000000001"/>
    <n v="1"/>
    <x v="108"/>
    <n v="46"/>
  </r>
  <r>
    <n v="781"/>
    <x v="34"/>
    <x v="1"/>
    <n v="23"/>
    <b v="0"/>
    <n v="5"/>
    <s v="No"/>
    <s v="Friday"/>
    <n v="2"/>
    <s v="Misty"/>
    <n v="0.24"/>
    <s v="Safe"/>
    <n v="0.2424"/>
    <n v="0.7"/>
    <s v="Risky"/>
    <n v="0.1343"/>
    <n v="1"/>
    <x v="10"/>
    <n v="31"/>
  </r>
  <r>
    <n v="782"/>
    <x v="35"/>
    <x v="1"/>
    <n v="0"/>
    <b v="0"/>
    <n v="6"/>
    <s v="Yes"/>
    <s v="Saturday"/>
    <n v="2"/>
    <s v="Misty"/>
    <n v="0.24"/>
    <s v="Safe"/>
    <n v="0.2424"/>
    <n v="0.7"/>
    <s v="Risky"/>
    <n v="0.16420000000000001"/>
    <n v="3"/>
    <x v="49"/>
    <n v="39"/>
  </r>
  <r>
    <n v="783"/>
    <x v="35"/>
    <x v="1"/>
    <n v="1"/>
    <b v="0"/>
    <n v="6"/>
    <s v="Yes"/>
    <s v="Saturday"/>
    <n v="2"/>
    <s v="Misty"/>
    <n v="0.24"/>
    <s v="Safe"/>
    <n v="0.2424"/>
    <n v="0.65"/>
    <s v="Acceptable"/>
    <n v="0.16420000000000001"/>
    <n v="1"/>
    <x v="19"/>
    <n v="18"/>
  </r>
  <r>
    <n v="784"/>
    <x v="35"/>
    <x v="1"/>
    <n v="2"/>
    <b v="0"/>
    <n v="6"/>
    <s v="Yes"/>
    <s v="Saturday"/>
    <n v="2"/>
    <s v="Misty"/>
    <n v="0.24"/>
    <s v="Safe"/>
    <n v="0.2424"/>
    <n v="0.75"/>
    <s v="Risky"/>
    <n v="0.16420000000000001"/>
    <n v="5"/>
    <x v="98"/>
    <n v="17"/>
  </r>
  <r>
    <n v="785"/>
    <x v="35"/>
    <x v="1"/>
    <n v="3"/>
    <b v="0"/>
    <n v="6"/>
    <s v="Yes"/>
    <s v="Saturday"/>
    <n v="2"/>
    <s v="Misty"/>
    <n v="0.24"/>
    <s v="Safe"/>
    <n v="0.2424"/>
    <n v="0.75"/>
    <s v="Risky"/>
    <n v="0.16420000000000001"/>
    <n v="1"/>
    <x v="3"/>
    <n v="11"/>
  </r>
  <r>
    <n v="786"/>
    <x v="35"/>
    <x v="1"/>
    <n v="4"/>
    <b v="0"/>
    <n v="6"/>
    <s v="Yes"/>
    <s v="Saturday"/>
    <n v="3"/>
    <s v="Light Rain"/>
    <n v="0.22"/>
    <s v="Safe"/>
    <n v="0.2273"/>
    <n v="0.93"/>
    <s v="Risky"/>
    <n v="0.1343"/>
    <n v="0"/>
    <x v="21"/>
    <n v="8"/>
  </r>
  <r>
    <n v="787"/>
    <x v="35"/>
    <x v="1"/>
    <n v="5"/>
    <b v="0"/>
    <n v="6"/>
    <s v="Yes"/>
    <s v="Saturday"/>
    <n v="3"/>
    <s v="Light Rain"/>
    <n v="0.2"/>
    <s v="Safe"/>
    <n v="0.2273"/>
    <n v="1"/>
    <s v="Risky"/>
    <n v="8.9599999999999999E-2"/>
    <n v="0"/>
    <x v="33"/>
    <n v="9"/>
  </r>
  <r>
    <n v="788"/>
    <x v="35"/>
    <x v="1"/>
    <n v="6"/>
    <b v="0"/>
    <n v="6"/>
    <s v="Yes"/>
    <s v="Saturday"/>
    <n v="3"/>
    <s v="Light Rain"/>
    <n v="0.2"/>
    <s v="Safe"/>
    <n v="0.2576"/>
    <n v="1"/>
    <s v="Risky"/>
    <n v="0"/>
    <n v="0"/>
    <x v="22"/>
    <n v="4"/>
  </r>
  <r>
    <n v="789"/>
    <x v="35"/>
    <x v="1"/>
    <n v="7"/>
    <b v="0"/>
    <n v="6"/>
    <s v="Yes"/>
    <s v="Saturday"/>
    <n v="3"/>
    <s v="Light Rain"/>
    <n v="0.22"/>
    <s v="Safe"/>
    <n v="0.2576"/>
    <n v="0.93"/>
    <s v="Risky"/>
    <n v="8.9599999999999999E-2"/>
    <n v="0"/>
    <x v="22"/>
    <n v="4"/>
  </r>
  <r>
    <n v="790"/>
    <x v="35"/>
    <x v="1"/>
    <n v="8"/>
    <b v="0"/>
    <n v="6"/>
    <s v="Yes"/>
    <s v="Saturday"/>
    <n v="3"/>
    <s v="Light Rain"/>
    <n v="0.2"/>
    <s v="Safe"/>
    <n v="0.2273"/>
    <n v="1"/>
    <s v="Risky"/>
    <n v="8.9599999999999999E-2"/>
    <n v="0"/>
    <x v="3"/>
    <n v="10"/>
  </r>
  <r>
    <n v="791"/>
    <x v="35"/>
    <x v="1"/>
    <n v="9"/>
    <b v="0"/>
    <n v="6"/>
    <s v="Yes"/>
    <s v="Saturday"/>
    <n v="3"/>
    <s v="Light Rain"/>
    <n v="0.2"/>
    <s v="Safe"/>
    <n v="0.2273"/>
    <n v="1"/>
    <s v="Risky"/>
    <n v="8.9599999999999999E-2"/>
    <n v="3"/>
    <x v="19"/>
    <n v="20"/>
  </r>
  <r>
    <n v="792"/>
    <x v="35"/>
    <x v="1"/>
    <n v="10"/>
    <b v="0"/>
    <n v="6"/>
    <s v="Yes"/>
    <s v="Saturday"/>
    <n v="3"/>
    <s v="Light Rain"/>
    <n v="0.2"/>
    <s v="Safe"/>
    <n v="0.21210000000000001"/>
    <n v="1"/>
    <s v="Risky"/>
    <n v="0.1343"/>
    <n v="3"/>
    <x v="17"/>
    <n v="34"/>
  </r>
  <r>
    <n v="793"/>
    <x v="35"/>
    <x v="1"/>
    <n v="11"/>
    <b v="0"/>
    <n v="6"/>
    <s v="Yes"/>
    <s v="Saturday"/>
    <n v="3"/>
    <s v="Light Rain"/>
    <n v="0.22"/>
    <s v="Safe"/>
    <n v="0.2273"/>
    <n v="1"/>
    <s v="Risky"/>
    <n v="0.1343"/>
    <n v="1"/>
    <x v="24"/>
    <n v="47"/>
  </r>
  <r>
    <n v="794"/>
    <x v="35"/>
    <x v="1"/>
    <n v="12"/>
    <b v="0"/>
    <n v="6"/>
    <s v="Yes"/>
    <s v="Saturday"/>
    <n v="3"/>
    <s v="Light Rain"/>
    <n v="0.22"/>
    <s v="Safe"/>
    <n v="0.2273"/>
    <n v="1"/>
    <s v="Risky"/>
    <n v="0.16420000000000001"/>
    <n v="10"/>
    <x v="76"/>
    <n v="52"/>
  </r>
  <r>
    <n v="795"/>
    <x v="35"/>
    <x v="1"/>
    <n v="13"/>
    <b v="0"/>
    <n v="6"/>
    <s v="Yes"/>
    <s v="Saturday"/>
    <n v="3"/>
    <s v="Light Rain"/>
    <n v="0.22"/>
    <s v="Safe"/>
    <n v="0.2273"/>
    <n v="1"/>
    <s v="Risky"/>
    <n v="0.16420000000000001"/>
    <n v="10"/>
    <x v="133"/>
    <n v="72"/>
  </r>
  <r>
    <n v="796"/>
    <x v="35"/>
    <x v="1"/>
    <n v="14"/>
    <b v="0"/>
    <n v="6"/>
    <s v="Yes"/>
    <s v="Saturday"/>
    <n v="3"/>
    <s v="Light Rain"/>
    <n v="0.22"/>
    <s v="Safe"/>
    <n v="0.2727"/>
    <n v="1"/>
    <s v="Risky"/>
    <n v="0"/>
    <n v="5"/>
    <x v="54"/>
    <n v="55"/>
  </r>
  <r>
    <n v="797"/>
    <x v="35"/>
    <x v="1"/>
    <n v="15"/>
    <b v="0"/>
    <n v="6"/>
    <s v="Yes"/>
    <s v="Saturday"/>
    <n v="3"/>
    <s v="Light Rain"/>
    <n v="0.22"/>
    <s v="Safe"/>
    <n v="0.2727"/>
    <n v="1"/>
    <s v="Risky"/>
    <n v="0"/>
    <n v="11"/>
    <x v="47"/>
    <n v="60"/>
  </r>
  <r>
    <n v="798"/>
    <x v="35"/>
    <x v="1"/>
    <n v="16"/>
    <b v="0"/>
    <n v="6"/>
    <s v="Yes"/>
    <s v="Saturday"/>
    <n v="3"/>
    <s v="Light Rain"/>
    <n v="0.22"/>
    <s v="Safe"/>
    <n v="0.2273"/>
    <n v="1"/>
    <s v="Risky"/>
    <n v="0.1343"/>
    <n v="8"/>
    <x v="36"/>
    <n v="71"/>
  </r>
  <r>
    <n v="799"/>
    <x v="35"/>
    <x v="1"/>
    <n v="17"/>
    <b v="0"/>
    <n v="6"/>
    <s v="Yes"/>
    <s v="Saturday"/>
    <n v="2"/>
    <s v="Misty"/>
    <n v="0.24"/>
    <s v="Safe"/>
    <n v="0.21210000000000001"/>
    <n v="1"/>
    <s v="Risky"/>
    <n v="0.28360000000000002"/>
    <n v="14"/>
    <x v="27"/>
    <n v="78"/>
  </r>
  <r>
    <n v="800"/>
    <x v="35"/>
    <x v="1"/>
    <n v="18"/>
    <b v="0"/>
    <n v="6"/>
    <s v="Yes"/>
    <s v="Saturday"/>
    <n v="2"/>
    <s v="Misty"/>
    <n v="0.28000000000000003"/>
    <s v="Safe"/>
    <n v="0.2424"/>
    <n v="0.93"/>
    <s v="Risky"/>
    <n v="0.44779999999999998"/>
    <n v="2"/>
    <x v="38"/>
    <n v="83"/>
  </r>
  <r>
    <n v="801"/>
    <x v="35"/>
    <x v="1"/>
    <n v="19"/>
    <b v="0"/>
    <n v="6"/>
    <s v="Yes"/>
    <s v="Saturday"/>
    <n v="2"/>
    <s v="Misty"/>
    <n v="0.28000000000000003"/>
    <s v="Safe"/>
    <n v="0.2424"/>
    <n v="0.93"/>
    <s v="Risky"/>
    <n v="0.44779999999999998"/>
    <n v="6"/>
    <x v="78"/>
    <n v="84"/>
  </r>
  <r>
    <n v="802"/>
    <x v="35"/>
    <x v="1"/>
    <n v="20"/>
    <b v="0"/>
    <n v="6"/>
    <s v="Yes"/>
    <s v="Saturday"/>
    <n v="1"/>
    <s v="Clean"/>
    <n v="0.3"/>
    <s v="Safe"/>
    <n v="0.28789999999999999"/>
    <n v="0.87"/>
    <s v="Risky"/>
    <n v="0.25369999999999998"/>
    <n v="5"/>
    <x v="27"/>
    <n v="69"/>
  </r>
  <r>
    <n v="803"/>
    <x v="35"/>
    <x v="1"/>
    <n v="21"/>
    <b v="0"/>
    <n v="6"/>
    <s v="Yes"/>
    <s v="Saturday"/>
    <n v="1"/>
    <s v="Clean"/>
    <n v="0.26"/>
    <s v="Safe"/>
    <n v="0.2576"/>
    <n v="1"/>
    <s v="Risky"/>
    <n v="0.19400000000000001"/>
    <n v="3"/>
    <x v="42"/>
    <n v="56"/>
  </r>
  <r>
    <n v="804"/>
    <x v="35"/>
    <x v="1"/>
    <n v="22"/>
    <b v="0"/>
    <n v="6"/>
    <s v="Yes"/>
    <s v="Saturday"/>
    <n v="1"/>
    <s v="Clean"/>
    <n v="0.26"/>
    <s v="Safe"/>
    <n v="0.2727"/>
    <n v="0.93"/>
    <s v="Risky"/>
    <n v="0.1343"/>
    <n v="2"/>
    <x v="30"/>
    <n v="45"/>
  </r>
  <r>
    <n v="805"/>
    <x v="35"/>
    <x v="1"/>
    <n v="23"/>
    <b v="0"/>
    <n v="6"/>
    <s v="Yes"/>
    <s v="Saturday"/>
    <n v="1"/>
    <s v="Clean"/>
    <n v="0.26"/>
    <s v="Safe"/>
    <n v="0.2576"/>
    <n v="0.93"/>
    <s v="Risky"/>
    <n v="0.22389999999999999"/>
    <n v="7"/>
    <x v="15"/>
    <n v="59"/>
  </r>
  <r>
    <n v="806"/>
    <x v="36"/>
    <x v="1"/>
    <n v="0"/>
    <b v="0"/>
    <n v="0"/>
    <s v="Yes"/>
    <s v="Sunday"/>
    <n v="1"/>
    <s v="Clean"/>
    <n v="0.26"/>
    <s v="Safe"/>
    <n v="0.2576"/>
    <n v="0.7"/>
    <s v="Risky"/>
    <n v="0.19400000000000001"/>
    <n v="2"/>
    <x v="53"/>
    <n v="39"/>
  </r>
  <r>
    <n v="807"/>
    <x v="36"/>
    <x v="1"/>
    <n v="1"/>
    <b v="0"/>
    <n v="0"/>
    <s v="Yes"/>
    <s v="Sunday"/>
    <n v="1"/>
    <s v="Clean"/>
    <n v="0.26"/>
    <s v="Safe"/>
    <n v="0.2273"/>
    <n v="0.65"/>
    <s v="Acceptable"/>
    <n v="0.41789999999999999"/>
    <n v="4"/>
    <x v="71"/>
    <n v="44"/>
  </r>
  <r>
    <n v="808"/>
    <x v="36"/>
    <x v="1"/>
    <n v="2"/>
    <b v="0"/>
    <n v="0"/>
    <s v="Yes"/>
    <s v="Sunday"/>
    <n v="1"/>
    <s v="Clean"/>
    <n v="0.26"/>
    <s v="Safe"/>
    <n v="0.2273"/>
    <n v="0.6"/>
    <s v="Acceptable"/>
    <n v="0.32840000000000003"/>
    <n v="0"/>
    <x v="32"/>
    <n v="20"/>
  </r>
  <r>
    <n v="809"/>
    <x v="36"/>
    <x v="1"/>
    <n v="3"/>
    <b v="0"/>
    <n v="0"/>
    <s v="Yes"/>
    <s v="Sunday"/>
    <n v="1"/>
    <s v="Clean"/>
    <n v="0.26"/>
    <s v="Safe"/>
    <n v="0.28789999999999999"/>
    <n v="0.6"/>
    <s v="Acceptable"/>
    <n v="8.9599999999999999E-2"/>
    <n v="3"/>
    <x v="3"/>
    <n v="13"/>
  </r>
  <r>
    <n v="810"/>
    <x v="36"/>
    <x v="1"/>
    <n v="4"/>
    <b v="0"/>
    <n v="0"/>
    <s v="Yes"/>
    <s v="Sunday"/>
    <n v="1"/>
    <s v="Clean"/>
    <n v="0.26"/>
    <s v="Safe"/>
    <n v="0.2273"/>
    <n v="0.6"/>
    <s v="Acceptable"/>
    <n v="0.35820000000000002"/>
    <n v="0"/>
    <x v="6"/>
    <n v="2"/>
  </r>
  <r>
    <n v="811"/>
    <x v="36"/>
    <x v="1"/>
    <n v="5"/>
    <b v="0"/>
    <n v="0"/>
    <s v="Yes"/>
    <s v="Sunday"/>
    <n v="1"/>
    <s v="Clean"/>
    <n v="0.26"/>
    <s v="Safe"/>
    <n v="0.2576"/>
    <n v="0.6"/>
    <s v="Acceptable"/>
    <n v="0.22389999999999999"/>
    <n v="0"/>
    <x v="4"/>
    <n v="1"/>
  </r>
  <r>
    <n v="812"/>
    <x v="36"/>
    <x v="1"/>
    <n v="6"/>
    <b v="0"/>
    <n v="0"/>
    <s v="Yes"/>
    <s v="Sunday"/>
    <n v="1"/>
    <s v="Clean"/>
    <n v="0.26"/>
    <s v="Safe"/>
    <n v="0.2576"/>
    <n v="0.6"/>
    <s v="Acceptable"/>
    <n v="0.22389999999999999"/>
    <n v="0"/>
    <x v="4"/>
    <n v="1"/>
  </r>
  <r>
    <n v="813"/>
    <x v="36"/>
    <x v="1"/>
    <n v="7"/>
    <b v="0"/>
    <n v="0"/>
    <s v="Yes"/>
    <s v="Sunday"/>
    <n v="1"/>
    <s v="Clean"/>
    <n v="0.24"/>
    <s v="Safe"/>
    <n v="0.2424"/>
    <n v="0.65"/>
    <s v="Acceptable"/>
    <n v="0.16420000000000001"/>
    <n v="0"/>
    <x v="21"/>
    <n v="8"/>
  </r>
  <r>
    <n v="814"/>
    <x v="36"/>
    <x v="1"/>
    <n v="8"/>
    <b v="0"/>
    <n v="0"/>
    <s v="Yes"/>
    <s v="Sunday"/>
    <n v="1"/>
    <s v="Clean"/>
    <n v="0.24"/>
    <s v="Safe"/>
    <n v="0.2576"/>
    <n v="0.65"/>
    <s v="Acceptable"/>
    <n v="0.1045"/>
    <n v="2"/>
    <x v="144"/>
    <n v="23"/>
  </r>
  <r>
    <n v="815"/>
    <x v="36"/>
    <x v="1"/>
    <n v="9"/>
    <b v="0"/>
    <n v="0"/>
    <s v="Yes"/>
    <s v="Sunday"/>
    <n v="1"/>
    <s v="Clean"/>
    <n v="0.28000000000000003"/>
    <s v="Safe"/>
    <n v="0.28789999999999999"/>
    <n v="0.56000000000000005"/>
    <s v="Acceptable"/>
    <n v="0.1045"/>
    <n v="7"/>
    <x v="101"/>
    <n v="45"/>
  </r>
  <r>
    <n v="816"/>
    <x v="36"/>
    <x v="1"/>
    <n v="10"/>
    <b v="0"/>
    <n v="0"/>
    <s v="Yes"/>
    <s v="Sunday"/>
    <n v="1"/>
    <s v="Clean"/>
    <n v="0.3"/>
    <s v="Safe"/>
    <n v="0.28789999999999999"/>
    <n v="0.52"/>
    <s v="Acceptable"/>
    <n v="0.25369999999999998"/>
    <n v="15"/>
    <x v="64"/>
    <n v="89"/>
  </r>
  <r>
    <n v="817"/>
    <x v="36"/>
    <x v="1"/>
    <n v="11"/>
    <b v="0"/>
    <n v="0"/>
    <s v="Yes"/>
    <s v="Sunday"/>
    <n v="1"/>
    <s v="Clean"/>
    <n v="0.32"/>
    <s v="Safe"/>
    <n v="0.30299999999999999"/>
    <n v="0.49"/>
    <s v="Acceptable"/>
    <n v="0.25369999999999998"/>
    <n v="28"/>
    <x v="121"/>
    <n v="117"/>
  </r>
  <r>
    <n v="818"/>
    <x v="36"/>
    <x v="1"/>
    <n v="12"/>
    <b v="0"/>
    <n v="0"/>
    <s v="Yes"/>
    <s v="Sunday"/>
    <n v="1"/>
    <s v="Clean"/>
    <n v="0.34"/>
    <s v="Safe"/>
    <n v="0.33329999999999999"/>
    <n v="0.46"/>
    <s v="Acceptable"/>
    <n v="0"/>
    <n v="48"/>
    <x v="167"/>
    <n v="174"/>
  </r>
  <r>
    <n v="819"/>
    <x v="36"/>
    <x v="1"/>
    <n v="13"/>
    <b v="0"/>
    <n v="0"/>
    <s v="Yes"/>
    <s v="Sunday"/>
    <n v="1"/>
    <s v="Clean"/>
    <n v="0.34"/>
    <s v="Safe"/>
    <n v="0.36359999999999998"/>
    <n v="0.46"/>
    <s v="Acceptable"/>
    <n v="0"/>
    <n v="47"/>
    <x v="113"/>
    <n v="182"/>
  </r>
  <r>
    <n v="820"/>
    <x v="36"/>
    <x v="1"/>
    <n v="14"/>
    <b v="0"/>
    <n v="0"/>
    <s v="Yes"/>
    <s v="Sunday"/>
    <n v="1"/>
    <s v="Clean"/>
    <n v="0.34"/>
    <s v="Safe"/>
    <n v="0.34849999999999998"/>
    <n v="0.46"/>
    <s v="Acceptable"/>
    <n v="8.9599999999999999E-2"/>
    <n v="47"/>
    <x v="156"/>
    <n v="161"/>
  </r>
  <r>
    <n v="821"/>
    <x v="36"/>
    <x v="1"/>
    <n v="15"/>
    <b v="0"/>
    <n v="0"/>
    <s v="Yes"/>
    <s v="Sunday"/>
    <n v="1"/>
    <s v="Clean"/>
    <n v="0.34"/>
    <s v="Safe"/>
    <n v="0.34849999999999998"/>
    <n v="0.46"/>
    <s v="Acceptable"/>
    <n v="8.9599999999999999E-2"/>
    <n v="52"/>
    <x v="110"/>
    <n v="182"/>
  </r>
  <r>
    <n v="822"/>
    <x v="36"/>
    <x v="1"/>
    <n v="16"/>
    <b v="0"/>
    <n v="0"/>
    <s v="Yes"/>
    <s v="Sunday"/>
    <n v="1"/>
    <s v="Clean"/>
    <n v="0.34"/>
    <s v="Safe"/>
    <n v="0.34849999999999998"/>
    <n v="0.49"/>
    <s v="Acceptable"/>
    <n v="0.1045"/>
    <n v="42"/>
    <x v="168"/>
    <n v="157"/>
  </r>
  <r>
    <n v="823"/>
    <x v="36"/>
    <x v="1"/>
    <n v="17"/>
    <b v="0"/>
    <n v="0"/>
    <s v="Yes"/>
    <s v="Sunday"/>
    <n v="1"/>
    <s v="Clean"/>
    <n v="0.34"/>
    <s v="Safe"/>
    <n v="0.36359999999999998"/>
    <n v="0.46"/>
    <s v="Acceptable"/>
    <n v="0"/>
    <n v="24"/>
    <x v="106"/>
    <n v="121"/>
  </r>
  <r>
    <n v="824"/>
    <x v="36"/>
    <x v="1"/>
    <n v="18"/>
    <b v="0"/>
    <n v="0"/>
    <s v="Yes"/>
    <s v="Sunday"/>
    <n v="1"/>
    <s v="Clean"/>
    <n v="0.3"/>
    <s v="Safe"/>
    <n v="0.30299999999999999"/>
    <n v="0.56000000000000005"/>
    <s v="Acceptable"/>
    <n v="0.16420000000000001"/>
    <n v="13"/>
    <x v="65"/>
    <n v="78"/>
  </r>
  <r>
    <n v="825"/>
    <x v="36"/>
    <x v="1"/>
    <n v="19"/>
    <b v="0"/>
    <n v="0"/>
    <s v="Yes"/>
    <s v="Sunday"/>
    <n v="1"/>
    <s v="Clean"/>
    <n v="0.28000000000000003"/>
    <s v="Safe"/>
    <n v="0.28789999999999999"/>
    <n v="0.61"/>
    <s v="Acceptable"/>
    <n v="0.1343"/>
    <n v="1"/>
    <x v="32"/>
    <n v="21"/>
  </r>
  <r>
    <n v="826"/>
    <x v="36"/>
    <x v="1"/>
    <n v="20"/>
    <b v="0"/>
    <n v="0"/>
    <s v="Yes"/>
    <s v="Sunday"/>
    <n v="1"/>
    <s v="Clean"/>
    <n v="0.28000000000000003"/>
    <s v="Safe"/>
    <n v="0.28789999999999999"/>
    <n v="0.61"/>
    <s v="Acceptable"/>
    <n v="0.1045"/>
    <n v="5"/>
    <x v="144"/>
    <n v="26"/>
  </r>
  <r>
    <n v="827"/>
    <x v="36"/>
    <x v="1"/>
    <n v="21"/>
    <b v="0"/>
    <n v="0"/>
    <s v="Yes"/>
    <s v="Sunday"/>
    <n v="1"/>
    <s v="Clean"/>
    <n v="0.26"/>
    <s v="Safe"/>
    <n v="0.30299999999999999"/>
    <n v="0.6"/>
    <s v="Acceptable"/>
    <n v="0"/>
    <n v="5"/>
    <x v="97"/>
    <n v="27"/>
  </r>
  <r>
    <n v="828"/>
    <x v="36"/>
    <x v="1"/>
    <n v="22"/>
    <b v="0"/>
    <n v="0"/>
    <s v="Yes"/>
    <s v="Sunday"/>
    <n v="1"/>
    <s v="Clean"/>
    <n v="0.26"/>
    <s v="Safe"/>
    <n v="0.30299999999999999"/>
    <n v="0.6"/>
    <s v="Acceptable"/>
    <n v="0"/>
    <n v="5"/>
    <x v="77"/>
    <n v="62"/>
  </r>
  <r>
    <n v="829"/>
    <x v="36"/>
    <x v="1"/>
    <n v="23"/>
    <b v="0"/>
    <n v="0"/>
    <s v="Yes"/>
    <s v="Sunday"/>
    <n v="1"/>
    <s v="Clean"/>
    <n v="0.24"/>
    <s v="Safe"/>
    <n v="0.28789999999999999"/>
    <n v="0.65"/>
    <s v="Acceptable"/>
    <n v="0"/>
    <n v="4"/>
    <x v="16"/>
    <n v="30"/>
  </r>
  <r>
    <n v="830"/>
    <x v="37"/>
    <x v="1"/>
    <n v="0"/>
    <b v="0"/>
    <n v="1"/>
    <s v="No"/>
    <s v="Monday"/>
    <n v="1"/>
    <s v="Clean"/>
    <n v="0.24"/>
    <s v="Safe"/>
    <n v="0.28789999999999999"/>
    <n v="0.65"/>
    <s v="Acceptable"/>
    <n v="0"/>
    <n v="1"/>
    <x v="88"/>
    <n v="15"/>
  </r>
  <r>
    <n v="831"/>
    <x v="37"/>
    <x v="1"/>
    <n v="1"/>
    <b v="0"/>
    <n v="1"/>
    <s v="No"/>
    <s v="Monday"/>
    <n v="1"/>
    <s v="Clean"/>
    <n v="0.22"/>
    <s v="Safe"/>
    <n v="0.2727"/>
    <n v="0.75"/>
    <s v="Risky"/>
    <n v="0"/>
    <n v="1"/>
    <x v="22"/>
    <n v="5"/>
  </r>
  <r>
    <n v="832"/>
    <x v="37"/>
    <x v="1"/>
    <n v="2"/>
    <b v="0"/>
    <n v="1"/>
    <s v="No"/>
    <s v="Monday"/>
    <n v="1"/>
    <s v="Clean"/>
    <n v="0.2"/>
    <s v="Safe"/>
    <n v="0.2576"/>
    <n v="0.8"/>
    <s v="Risky"/>
    <n v="0"/>
    <n v="0"/>
    <x v="35"/>
    <n v="3"/>
  </r>
  <r>
    <n v="833"/>
    <x v="37"/>
    <x v="1"/>
    <n v="3"/>
    <b v="0"/>
    <n v="1"/>
    <s v="No"/>
    <s v="Monday"/>
    <n v="1"/>
    <s v="Clean"/>
    <n v="0.2"/>
    <s v="Safe"/>
    <n v="0.2576"/>
    <n v="0.86"/>
    <s v="Risky"/>
    <n v="0"/>
    <n v="0"/>
    <x v="4"/>
    <n v="1"/>
  </r>
  <r>
    <n v="834"/>
    <x v="37"/>
    <x v="1"/>
    <n v="4"/>
    <b v="0"/>
    <n v="1"/>
    <s v="No"/>
    <s v="Monday"/>
    <n v="1"/>
    <s v="Clean"/>
    <n v="0.2"/>
    <s v="Safe"/>
    <n v="0.2576"/>
    <n v="0.86"/>
    <s v="Risky"/>
    <n v="0"/>
    <n v="1"/>
    <x v="4"/>
    <n v="2"/>
  </r>
  <r>
    <n v="835"/>
    <x v="37"/>
    <x v="1"/>
    <n v="5"/>
    <b v="0"/>
    <n v="1"/>
    <s v="No"/>
    <s v="Monday"/>
    <n v="1"/>
    <s v="Clean"/>
    <n v="0.2"/>
    <s v="Safe"/>
    <n v="0.2576"/>
    <n v="0.86"/>
    <s v="Risky"/>
    <n v="0"/>
    <n v="1"/>
    <x v="33"/>
    <n v="10"/>
  </r>
  <r>
    <n v="836"/>
    <x v="37"/>
    <x v="1"/>
    <n v="6"/>
    <b v="0"/>
    <n v="1"/>
    <s v="No"/>
    <s v="Monday"/>
    <n v="1"/>
    <s v="Clean"/>
    <n v="0.18"/>
    <s v="Safe"/>
    <n v="0.2424"/>
    <n v="0.93"/>
    <s v="Risky"/>
    <n v="0"/>
    <n v="1"/>
    <x v="31"/>
    <n v="30"/>
  </r>
  <r>
    <n v="837"/>
    <x v="37"/>
    <x v="1"/>
    <n v="7"/>
    <b v="0"/>
    <n v="1"/>
    <s v="No"/>
    <s v="Monday"/>
    <n v="1"/>
    <s v="Clean"/>
    <n v="0.18"/>
    <s v="Safe"/>
    <n v="0.2424"/>
    <n v="0.86"/>
    <s v="Risky"/>
    <n v="0"/>
    <n v="6"/>
    <x v="121"/>
    <n v="95"/>
  </r>
  <r>
    <n v="838"/>
    <x v="37"/>
    <x v="1"/>
    <n v="8"/>
    <b v="0"/>
    <n v="1"/>
    <s v="No"/>
    <s v="Monday"/>
    <n v="2"/>
    <s v="Misty"/>
    <n v="0.16"/>
    <s v="Safe"/>
    <n v="0.2273"/>
    <n v="1"/>
    <s v="Risky"/>
    <n v="0"/>
    <n v="7"/>
    <x v="169"/>
    <n v="230"/>
  </r>
  <r>
    <n v="839"/>
    <x v="37"/>
    <x v="1"/>
    <n v="9"/>
    <b v="0"/>
    <n v="1"/>
    <s v="No"/>
    <s v="Monday"/>
    <n v="1"/>
    <s v="Clean"/>
    <n v="0.22"/>
    <s v="Safe"/>
    <n v="0.2727"/>
    <n v="0.8"/>
    <s v="Risky"/>
    <n v="0"/>
    <n v="3"/>
    <x v="168"/>
    <n v="118"/>
  </r>
  <r>
    <n v="840"/>
    <x v="37"/>
    <x v="1"/>
    <n v="10"/>
    <b v="0"/>
    <n v="1"/>
    <s v="No"/>
    <s v="Monday"/>
    <n v="1"/>
    <s v="Clean"/>
    <n v="0.24"/>
    <s v="Safe"/>
    <n v="0.2576"/>
    <n v="0.75"/>
    <s v="Risky"/>
    <n v="0.1045"/>
    <n v="6"/>
    <x v="47"/>
    <n v="55"/>
  </r>
  <r>
    <n v="841"/>
    <x v="37"/>
    <x v="1"/>
    <n v="11"/>
    <b v="0"/>
    <n v="1"/>
    <s v="No"/>
    <s v="Monday"/>
    <n v="1"/>
    <s v="Clean"/>
    <n v="0.3"/>
    <s v="Safe"/>
    <n v="0.31819999999999998"/>
    <n v="0.65"/>
    <s v="Acceptable"/>
    <n v="8.9599999999999999E-2"/>
    <n v="11"/>
    <x v="49"/>
    <n v="47"/>
  </r>
  <r>
    <n v="842"/>
    <x v="37"/>
    <x v="1"/>
    <n v="12"/>
    <b v="0"/>
    <n v="1"/>
    <s v="No"/>
    <s v="Monday"/>
    <n v="2"/>
    <s v="Misty"/>
    <n v="0.32"/>
    <s v="Safe"/>
    <n v="0.34849999999999998"/>
    <n v="0.62"/>
    <s v="Acceptable"/>
    <n v="0"/>
    <n v="7"/>
    <x v="79"/>
    <n v="66"/>
  </r>
  <r>
    <n v="843"/>
    <x v="37"/>
    <x v="1"/>
    <n v="13"/>
    <b v="0"/>
    <n v="1"/>
    <s v="No"/>
    <s v="Monday"/>
    <n v="2"/>
    <s v="Misty"/>
    <n v="0.36"/>
    <s v="Risky"/>
    <n v="0.36359999999999998"/>
    <n v="0.56999999999999995"/>
    <s v="Acceptable"/>
    <n v="8.9599999999999999E-2"/>
    <n v="10"/>
    <x v="25"/>
    <n v="64"/>
  </r>
  <r>
    <n v="844"/>
    <x v="37"/>
    <x v="1"/>
    <n v="14"/>
    <b v="0"/>
    <n v="1"/>
    <s v="No"/>
    <s v="Monday"/>
    <n v="2"/>
    <s v="Misty"/>
    <n v="0.36"/>
    <s v="Risky"/>
    <n v="0.36359999999999998"/>
    <n v="0.56999999999999995"/>
    <s v="Acceptable"/>
    <n v="8.9599999999999999E-2"/>
    <n v="8"/>
    <x v="15"/>
    <n v="60"/>
  </r>
  <r>
    <n v="845"/>
    <x v="37"/>
    <x v="1"/>
    <n v="15"/>
    <b v="0"/>
    <n v="1"/>
    <s v="No"/>
    <s v="Monday"/>
    <n v="2"/>
    <s v="Misty"/>
    <n v="0.38"/>
    <s v="Risky"/>
    <n v="0.39389999999999997"/>
    <n v="0.54"/>
    <s v="Acceptable"/>
    <n v="8.9599999999999999E-2"/>
    <n v="4"/>
    <x v="24"/>
    <n v="50"/>
  </r>
  <r>
    <n v="846"/>
    <x v="37"/>
    <x v="1"/>
    <n v="16"/>
    <b v="0"/>
    <n v="1"/>
    <s v="No"/>
    <s v="Monday"/>
    <n v="2"/>
    <s v="Misty"/>
    <n v="0.36"/>
    <s v="Risky"/>
    <n v="0.34849999999999998"/>
    <n v="0.56999999999999995"/>
    <s v="Acceptable"/>
    <n v="0.1343"/>
    <n v="16"/>
    <x v="52"/>
    <n v="114"/>
  </r>
  <r>
    <n v="847"/>
    <x v="37"/>
    <x v="1"/>
    <n v="17"/>
    <b v="0"/>
    <n v="1"/>
    <s v="No"/>
    <s v="Monday"/>
    <n v="2"/>
    <s v="Misty"/>
    <n v="0.32"/>
    <s v="Safe"/>
    <n v="0.31819999999999998"/>
    <n v="0.7"/>
    <s v="Risky"/>
    <n v="0.16420000000000001"/>
    <n v="9"/>
    <x v="134"/>
    <n v="216"/>
  </r>
  <r>
    <n v="848"/>
    <x v="37"/>
    <x v="1"/>
    <n v="18"/>
    <b v="0"/>
    <n v="1"/>
    <s v="No"/>
    <s v="Monday"/>
    <n v="2"/>
    <s v="Misty"/>
    <n v="0.34"/>
    <s v="Safe"/>
    <n v="0.33329999999999999"/>
    <n v="0.66"/>
    <s v="Acceptable"/>
    <n v="0.1343"/>
    <n v="5"/>
    <x v="162"/>
    <n v="175"/>
  </r>
  <r>
    <n v="849"/>
    <x v="37"/>
    <x v="1"/>
    <n v="19"/>
    <b v="0"/>
    <n v="1"/>
    <s v="No"/>
    <s v="Monday"/>
    <n v="2"/>
    <s v="Misty"/>
    <n v="0.32"/>
    <s v="Safe"/>
    <n v="0.34849999999999998"/>
    <n v="0.7"/>
    <s v="Risky"/>
    <n v="0"/>
    <n v="5"/>
    <x v="170"/>
    <n v="128"/>
  </r>
  <r>
    <n v="850"/>
    <x v="37"/>
    <x v="1"/>
    <n v="20"/>
    <b v="0"/>
    <n v="1"/>
    <s v="No"/>
    <s v="Monday"/>
    <n v="2"/>
    <s v="Misty"/>
    <n v="0.32"/>
    <s v="Safe"/>
    <n v="0.33329999999999999"/>
    <n v="0.7"/>
    <s v="Risky"/>
    <n v="0.1045"/>
    <n v="6"/>
    <x v="70"/>
    <n v="88"/>
  </r>
  <r>
    <n v="851"/>
    <x v="37"/>
    <x v="1"/>
    <n v="21"/>
    <b v="0"/>
    <n v="1"/>
    <s v="No"/>
    <s v="Monday"/>
    <n v="1"/>
    <s v="Clean"/>
    <n v="0.32"/>
    <s v="Safe"/>
    <n v="0.34849999999999998"/>
    <n v="0.7"/>
    <s v="Risky"/>
    <n v="0"/>
    <n v="3"/>
    <x v="102"/>
    <n v="78"/>
  </r>
  <r>
    <n v="852"/>
    <x v="37"/>
    <x v="1"/>
    <n v="22"/>
    <b v="0"/>
    <n v="1"/>
    <s v="No"/>
    <s v="Monday"/>
    <n v="1"/>
    <s v="Clean"/>
    <n v="0.28000000000000003"/>
    <s v="Safe"/>
    <n v="0.30299999999999999"/>
    <n v="0.81"/>
    <s v="Risky"/>
    <n v="8.9599999999999999E-2"/>
    <n v="3"/>
    <x v="60"/>
    <n v="37"/>
  </r>
  <r>
    <n v="853"/>
    <x v="37"/>
    <x v="1"/>
    <n v="23"/>
    <b v="0"/>
    <n v="1"/>
    <s v="No"/>
    <s v="Monday"/>
    <n v="2"/>
    <s v="Misty"/>
    <n v="0.3"/>
    <s v="Safe"/>
    <n v="0.33329999999999999"/>
    <n v="0.81"/>
    <s v="Risky"/>
    <n v="0"/>
    <n v="6"/>
    <x v="23"/>
    <n v="25"/>
  </r>
  <r>
    <n v="854"/>
    <x v="38"/>
    <x v="1"/>
    <n v="0"/>
    <b v="0"/>
    <n v="2"/>
    <s v="No"/>
    <s v="Tuesday"/>
    <n v="2"/>
    <s v="Misty"/>
    <n v="0.28000000000000003"/>
    <s v="Safe"/>
    <n v="0.31819999999999998"/>
    <n v="0.87"/>
    <s v="Risky"/>
    <n v="0"/>
    <n v="4"/>
    <x v="8"/>
    <n v="10"/>
  </r>
  <r>
    <n v="855"/>
    <x v="38"/>
    <x v="1"/>
    <n v="1"/>
    <b v="0"/>
    <n v="2"/>
    <s v="No"/>
    <s v="Tuesday"/>
    <n v="2"/>
    <s v="Misty"/>
    <n v="0.28000000000000003"/>
    <s v="Safe"/>
    <n v="0.31819999999999998"/>
    <n v="0.87"/>
    <s v="Risky"/>
    <n v="0"/>
    <n v="0"/>
    <x v="22"/>
    <n v="4"/>
  </r>
  <r>
    <n v="856"/>
    <x v="38"/>
    <x v="1"/>
    <n v="2"/>
    <b v="0"/>
    <n v="2"/>
    <s v="No"/>
    <s v="Tuesday"/>
    <n v="2"/>
    <s v="Misty"/>
    <n v="0.26"/>
    <s v="Safe"/>
    <n v="0.2727"/>
    <n v="0.93"/>
    <s v="Risky"/>
    <n v="0.1045"/>
    <n v="1"/>
    <x v="4"/>
    <n v="2"/>
  </r>
  <r>
    <n v="857"/>
    <x v="38"/>
    <x v="1"/>
    <n v="3"/>
    <b v="0"/>
    <n v="2"/>
    <s v="No"/>
    <s v="Tuesday"/>
    <n v="3"/>
    <s v="Light Rain"/>
    <n v="0.28000000000000003"/>
    <s v="Safe"/>
    <n v="0.2727"/>
    <n v="0.93"/>
    <s v="Risky"/>
    <n v="0.16420000000000001"/>
    <n v="0"/>
    <x v="4"/>
    <n v="1"/>
  </r>
  <r>
    <n v="858"/>
    <x v="38"/>
    <x v="1"/>
    <n v="4"/>
    <b v="0"/>
    <n v="2"/>
    <s v="No"/>
    <s v="Tuesday"/>
    <n v="1"/>
    <s v="Clean"/>
    <n v="0.26"/>
    <s v="Safe"/>
    <n v="0.2576"/>
    <n v="0.93"/>
    <s v="Risky"/>
    <n v="0.16420000000000001"/>
    <n v="0"/>
    <x v="35"/>
    <n v="3"/>
  </r>
  <r>
    <n v="859"/>
    <x v="38"/>
    <x v="1"/>
    <n v="5"/>
    <b v="0"/>
    <n v="2"/>
    <s v="No"/>
    <s v="Tuesday"/>
    <n v="1"/>
    <s v="Clean"/>
    <n v="0.26"/>
    <s v="Safe"/>
    <n v="0.2273"/>
    <n v="0.81"/>
    <s v="Risky"/>
    <n v="0.32840000000000003"/>
    <n v="0"/>
    <x v="6"/>
    <n v="2"/>
  </r>
  <r>
    <n v="860"/>
    <x v="38"/>
    <x v="1"/>
    <n v="6"/>
    <b v="0"/>
    <n v="2"/>
    <s v="No"/>
    <s v="Tuesday"/>
    <n v="1"/>
    <s v="Clean"/>
    <n v="0.26"/>
    <s v="Safe"/>
    <n v="0.2273"/>
    <n v="0.7"/>
    <s v="Risky"/>
    <n v="0.32840000000000003"/>
    <n v="0"/>
    <x v="87"/>
    <n v="39"/>
  </r>
  <r>
    <n v="861"/>
    <x v="38"/>
    <x v="1"/>
    <n v="7"/>
    <b v="0"/>
    <n v="2"/>
    <s v="No"/>
    <s v="Tuesday"/>
    <n v="1"/>
    <s v="Clean"/>
    <n v="0.24"/>
    <s v="Safe"/>
    <n v="0.19700000000000001"/>
    <n v="0.65"/>
    <s v="Acceptable"/>
    <n v="0.41789999999999999"/>
    <n v="3"/>
    <x v="106"/>
    <n v="100"/>
  </r>
  <r>
    <n v="862"/>
    <x v="38"/>
    <x v="1"/>
    <n v="8"/>
    <b v="0"/>
    <n v="2"/>
    <s v="No"/>
    <s v="Tuesday"/>
    <n v="1"/>
    <s v="Clean"/>
    <n v="0.24"/>
    <s v="Safe"/>
    <n v="0.19700000000000001"/>
    <n v="0.56000000000000005"/>
    <s v="Acceptable"/>
    <n v="0.49249999999999999"/>
    <n v="7"/>
    <x v="171"/>
    <n v="243"/>
  </r>
  <r>
    <n v="863"/>
    <x v="38"/>
    <x v="1"/>
    <n v="9"/>
    <b v="0"/>
    <n v="2"/>
    <s v="No"/>
    <s v="Tuesday"/>
    <n v="1"/>
    <s v="Clean"/>
    <n v="0.24"/>
    <s v="Safe"/>
    <n v="0.19700000000000001"/>
    <n v="0.52"/>
    <s v="Acceptable"/>
    <n v="0.49249999999999999"/>
    <n v="7"/>
    <x v="172"/>
    <n v="135"/>
  </r>
  <r>
    <n v="864"/>
    <x v="38"/>
    <x v="1"/>
    <n v="10"/>
    <b v="0"/>
    <n v="2"/>
    <s v="No"/>
    <s v="Tuesday"/>
    <n v="1"/>
    <s v="Clean"/>
    <n v="0.22"/>
    <s v="Safe"/>
    <n v="0.18179999999999999"/>
    <n v="0.47"/>
    <s v="Acceptable"/>
    <n v="0.55220000000000002"/>
    <n v="4"/>
    <x v="100"/>
    <n v="48"/>
  </r>
  <r>
    <n v="865"/>
    <x v="38"/>
    <x v="1"/>
    <n v="11"/>
    <b v="0"/>
    <n v="2"/>
    <s v="No"/>
    <s v="Tuesday"/>
    <n v="1"/>
    <s v="Clean"/>
    <n v="0.22"/>
    <s v="Safe"/>
    <n v="0.18179999999999999"/>
    <n v="0.47"/>
    <s v="Acceptable"/>
    <n v="0.4627"/>
    <n v="1"/>
    <x v="47"/>
    <n v="50"/>
  </r>
  <r>
    <n v="866"/>
    <x v="38"/>
    <x v="1"/>
    <n v="12"/>
    <b v="0"/>
    <n v="2"/>
    <s v="No"/>
    <s v="Tuesday"/>
    <n v="1"/>
    <s v="Clean"/>
    <n v="0.24"/>
    <s v="Safe"/>
    <n v="0.19700000000000001"/>
    <n v="0.38"/>
    <s v="Acceptable"/>
    <n v="0.49249999999999999"/>
    <n v="2"/>
    <x v="36"/>
    <n v="65"/>
  </r>
  <r>
    <n v="867"/>
    <x v="38"/>
    <x v="1"/>
    <n v="13"/>
    <b v="0"/>
    <n v="2"/>
    <s v="No"/>
    <s v="Tuesday"/>
    <n v="2"/>
    <s v="Misty"/>
    <n v="0.24"/>
    <s v="Safe"/>
    <n v="0.19700000000000001"/>
    <n v="0.32"/>
    <s v="Acceptable"/>
    <n v="0.44779999999999998"/>
    <n v="2"/>
    <x v="41"/>
    <n v="50"/>
  </r>
  <r>
    <n v="868"/>
    <x v="38"/>
    <x v="1"/>
    <n v="14"/>
    <b v="0"/>
    <n v="2"/>
    <s v="No"/>
    <s v="Tuesday"/>
    <n v="1"/>
    <s v="Clean"/>
    <n v="0.22"/>
    <s v="Safe"/>
    <n v="0.19700000000000001"/>
    <n v="0.37"/>
    <s v="Acceptable"/>
    <n v="0.41789999999999999"/>
    <n v="3"/>
    <x v="124"/>
    <n v="64"/>
  </r>
  <r>
    <n v="869"/>
    <x v="38"/>
    <x v="1"/>
    <n v="15"/>
    <b v="0"/>
    <n v="2"/>
    <s v="No"/>
    <s v="Tuesday"/>
    <n v="1"/>
    <s v="Clean"/>
    <n v="0.22"/>
    <s v="Safe"/>
    <n v="0.19700000000000001"/>
    <n v="0.35"/>
    <s v="Acceptable"/>
    <n v="0.3881"/>
    <n v="6"/>
    <x v="108"/>
    <n v="51"/>
  </r>
  <r>
    <n v="870"/>
    <x v="38"/>
    <x v="1"/>
    <n v="16"/>
    <b v="0"/>
    <n v="2"/>
    <s v="No"/>
    <s v="Tuesday"/>
    <n v="1"/>
    <s v="Clean"/>
    <n v="0.22"/>
    <s v="Safe"/>
    <n v="0.18179999999999999"/>
    <n v="0.35"/>
    <s v="Acceptable"/>
    <n v="0.52239999999999998"/>
    <n v="4"/>
    <x v="55"/>
    <n v="83"/>
  </r>
  <r>
    <n v="871"/>
    <x v="38"/>
    <x v="1"/>
    <n v="17"/>
    <b v="0"/>
    <n v="2"/>
    <s v="No"/>
    <s v="Tuesday"/>
    <n v="1"/>
    <s v="Clean"/>
    <n v="0.22"/>
    <s v="Safe"/>
    <n v="0.18179999999999999"/>
    <n v="0.32"/>
    <s v="Acceptable"/>
    <n v="0.58209999999999995"/>
    <n v="4"/>
    <x v="157"/>
    <n v="176"/>
  </r>
  <r>
    <n v="872"/>
    <x v="38"/>
    <x v="1"/>
    <n v="18"/>
    <b v="0"/>
    <n v="2"/>
    <s v="No"/>
    <s v="Tuesday"/>
    <n v="1"/>
    <s v="Clean"/>
    <n v="0.2"/>
    <s v="Safe"/>
    <n v="0.18179999999999999"/>
    <n v="0.32"/>
    <s v="Acceptable"/>
    <n v="0.3881"/>
    <n v="1"/>
    <x v="137"/>
    <n v="152"/>
  </r>
  <r>
    <n v="873"/>
    <x v="38"/>
    <x v="1"/>
    <n v="19"/>
    <b v="0"/>
    <n v="2"/>
    <s v="No"/>
    <s v="Tuesday"/>
    <n v="1"/>
    <s v="Clean"/>
    <n v="0.16"/>
    <s v="Safe"/>
    <n v="0.1212"/>
    <n v="0.4"/>
    <s v="Acceptable"/>
    <n v="0.4627"/>
    <n v="1"/>
    <x v="129"/>
    <n v="101"/>
  </r>
  <r>
    <n v="874"/>
    <x v="38"/>
    <x v="1"/>
    <n v="20"/>
    <b v="0"/>
    <n v="2"/>
    <s v="No"/>
    <s v="Tuesday"/>
    <n v="1"/>
    <s v="Clean"/>
    <n v="0.16"/>
    <s v="Safe"/>
    <n v="0.13639999999999999"/>
    <n v="0.4"/>
    <s v="Acceptable"/>
    <n v="0.32840000000000003"/>
    <n v="3"/>
    <x v="42"/>
    <n v="56"/>
  </r>
  <r>
    <n v="875"/>
    <x v="38"/>
    <x v="1"/>
    <n v="21"/>
    <b v="0"/>
    <n v="2"/>
    <s v="No"/>
    <s v="Tuesday"/>
    <n v="1"/>
    <s v="Clean"/>
    <n v="0.14000000000000001"/>
    <s v="Safe"/>
    <n v="0.1061"/>
    <n v="0.33"/>
    <s v="Acceptable"/>
    <n v="0.4627"/>
    <n v="8"/>
    <x v="24"/>
    <n v="54"/>
  </r>
  <r>
    <n v="876"/>
    <x v="38"/>
    <x v="1"/>
    <n v="22"/>
    <b v="0"/>
    <n v="2"/>
    <s v="No"/>
    <s v="Tuesday"/>
    <n v="1"/>
    <s v="Clean"/>
    <n v="0.12"/>
    <s v="Safe"/>
    <n v="0.1061"/>
    <n v="0.33"/>
    <s v="Acceptable"/>
    <n v="0.35820000000000002"/>
    <n v="0"/>
    <x v="31"/>
    <n v="29"/>
  </r>
  <r>
    <n v="877"/>
    <x v="38"/>
    <x v="1"/>
    <n v="23"/>
    <b v="0"/>
    <n v="2"/>
    <s v="No"/>
    <s v="Tuesday"/>
    <n v="1"/>
    <s v="Clean"/>
    <n v="0.12"/>
    <s v="Safe"/>
    <n v="0.1061"/>
    <n v="0.33"/>
    <s v="Acceptable"/>
    <n v="0.32840000000000003"/>
    <n v="3"/>
    <x v="33"/>
    <n v="12"/>
  </r>
  <r>
    <n v="878"/>
    <x v="39"/>
    <x v="1"/>
    <n v="0"/>
    <b v="0"/>
    <n v="3"/>
    <s v="No"/>
    <s v="Wednesday"/>
    <n v="1"/>
    <s v="Clean"/>
    <n v="0.1"/>
    <s v="Safe"/>
    <n v="7.5800000000000006E-2"/>
    <n v="0.36"/>
    <s v="Acceptable"/>
    <n v="0.35820000000000002"/>
    <n v="0"/>
    <x v="19"/>
    <n v="17"/>
  </r>
  <r>
    <n v="879"/>
    <x v="39"/>
    <x v="1"/>
    <n v="1"/>
    <b v="0"/>
    <n v="3"/>
    <s v="No"/>
    <s v="Wednesday"/>
    <n v="1"/>
    <s v="Clean"/>
    <n v="0.1"/>
    <s v="Safe"/>
    <n v="0.1061"/>
    <n v="0.36"/>
    <s v="Acceptable"/>
    <n v="0.22389999999999999"/>
    <n v="0"/>
    <x v="7"/>
    <n v="7"/>
  </r>
  <r>
    <n v="880"/>
    <x v="39"/>
    <x v="1"/>
    <n v="2"/>
    <b v="0"/>
    <n v="3"/>
    <s v="No"/>
    <s v="Wednesday"/>
    <n v="1"/>
    <s v="Clean"/>
    <n v="0.08"/>
    <s v="Risky"/>
    <n v="7.5800000000000006E-2"/>
    <n v="0.38"/>
    <s v="Acceptable"/>
    <n v="0.28360000000000002"/>
    <n v="1"/>
    <x v="6"/>
    <n v="3"/>
  </r>
  <r>
    <n v="881"/>
    <x v="39"/>
    <x v="1"/>
    <n v="3"/>
    <b v="0"/>
    <n v="3"/>
    <s v="No"/>
    <s v="Wednesday"/>
    <n v="1"/>
    <s v="Clean"/>
    <n v="0.06"/>
    <s v="Risky"/>
    <n v="7.5800000000000006E-2"/>
    <n v="0.45"/>
    <s v="Acceptable"/>
    <n v="0.1343"/>
    <n v="0"/>
    <x v="6"/>
    <n v="2"/>
  </r>
  <r>
    <n v="882"/>
    <x v="39"/>
    <x v="1"/>
    <n v="5"/>
    <b v="0"/>
    <n v="3"/>
    <s v="No"/>
    <s v="Wednesday"/>
    <n v="1"/>
    <s v="Clean"/>
    <n v="0.06"/>
    <s v="Risky"/>
    <n v="0.1061"/>
    <n v="0.45"/>
    <s v="Acceptable"/>
    <n v="0.1045"/>
    <n v="0"/>
    <x v="7"/>
    <n v="7"/>
  </r>
  <r>
    <n v="883"/>
    <x v="39"/>
    <x v="1"/>
    <n v="6"/>
    <b v="0"/>
    <n v="3"/>
    <s v="No"/>
    <s v="Wednesday"/>
    <n v="1"/>
    <s v="Clean"/>
    <n v="0.06"/>
    <s v="Risky"/>
    <n v="0.1515"/>
    <n v="0.45"/>
    <s v="Acceptable"/>
    <n v="0"/>
    <n v="0"/>
    <x v="30"/>
    <n v="43"/>
  </r>
  <r>
    <n v="884"/>
    <x v="39"/>
    <x v="1"/>
    <n v="7"/>
    <b v="0"/>
    <n v="3"/>
    <s v="No"/>
    <s v="Wednesday"/>
    <n v="1"/>
    <s v="Clean"/>
    <n v="0.06"/>
    <s v="Risky"/>
    <n v="0.1061"/>
    <n v="0.49"/>
    <s v="Acceptable"/>
    <n v="0.1045"/>
    <n v="4"/>
    <x v="73"/>
    <n v="99"/>
  </r>
  <r>
    <n v="885"/>
    <x v="39"/>
    <x v="1"/>
    <n v="8"/>
    <b v="0"/>
    <n v="3"/>
    <s v="No"/>
    <s v="Wednesday"/>
    <n v="1"/>
    <s v="Clean"/>
    <n v="0.1"/>
    <s v="Safe"/>
    <n v="0.13639999999999999"/>
    <n v="0.42"/>
    <s v="Acceptable"/>
    <n v="0"/>
    <n v="1"/>
    <x v="173"/>
    <n v="199"/>
  </r>
  <r>
    <n v="886"/>
    <x v="39"/>
    <x v="1"/>
    <n v="9"/>
    <b v="0"/>
    <n v="3"/>
    <s v="No"/>
    <s v="Wednesday"/>
    <n v="1"/>
    <s v="Clean"/>
    <n v="0.12"/>
    <s v="Safe"/>
    <n v="0.13639999999999999"/>
    <n v="0.39"/>
    <s v="Acceptable"/>
    <n v="0.16420000000000001"/>
    <n v="4"/>
    <x v="138"/>
    <n v="123"/>
  </r>
  <r>
    <n v="887"/>
    <x v="39"/>
    <x v="1"/>
    <n v="10"/>
    <b v="0"/>
    <n v="3"/>
    <s v="No"/>
    <s v="Wednesday"/>
    <n v="1"/>
    <s v="Clean"/>
    <n v="0.14000000000000001"/>
    <s v="Safe"/>
    <n v="0.18179999999999999"/>
    <n v="0.36"/>
    <s v="Acceptable"/>
    <n v="0"/>
    <n v="8"/>
    <x v="82"/>
    <n v="59"/>
  </r>
  <r>
    <n v="888"/>
    <x v="39"/>
    <x v="1"/>
    <n v="11"/>
    <b v="0"/>
    <n v="3"/>
    <s v="No"/>
    <s v="Wednesday"/>
    <n v="2"/>
    <s v="Misty"/>
    <n v="0.14000000000000001"/>
    <s v="Safe"/>
    <n v="0.1515"/>
    <n v="0.43"/>
    <s v="Acceptable"/>
    <n v="0.16420000000000001"/>
    <n v="1"/>
    <x v="71"/>
    <n v="41"/>
  </r>
  <r>
    <n v="889"/>
    <x v="39"/>
    <x v="1"/>
    <n v="12"/>
    <b v="0"/>
    <n v="3"/>
    <s v="No"/>
    <s v="Wednesday"/>
    <n v="2"/>
    <s v="Misty"/>
    <n v="0.18"/>
    <s v="Safe"/>
    <n v="0.18179999999999999"/>
    <n v="0.4"/>
    <s v="Acceptable"/>
    <n v="0.22389999999999999"/>
    <n v="4"/>
    <x v="77"/>
    <n v="61"/>
  </r>
  <r>
    <n v="890"/>
    <x v="39"/>
    <x v="1"/>
    <n v="13"/>
    <b v="0"/>
    <n v="3"/>
    <s v="No"/>
    <s v="Wednesday"/>
    <n v="1"/>
    <s v="Clean"/>
    <n v="0.18"/>
    <s v="Safe"/>
    <n v="0.16669999999999999"/>
    <n v="0.4"/>
    <s v="Acceptable"/>
    <n v="0.25369999999999998"/>
    <n v="2"/>
    <x v="28"/>
    <n v="69"/>
  </r>
  <r>
    <n v="891"/>
    <x v="39"/>
    <x v="1"/>
    <n v="14"/>
    <b v="0"/>
    <n v="3"/>
    <s v="No"/>
    <s v="Wednesday"/>
    <n v="1"/>
    <s v="Clean"/>
    <n v="0.2"/>
    <s v="Safe"/>
    <n v="0.18179999999999999"/>
    <n v="0.34"/>
    <s v="Acceptable"/>
    <n v="0.29849999999999999"/>
    <n v="2"/>
    <x v="90"/>
    <n v="58"/>
  </r>
  <r>
    <n v="892"/>
    <x v="39"/>
    <x v="1"/>
    <n v="15"/>
    <b v="0"/>
    <n v="3"/>
    <s v="No"/>
    <s v="Wednesday"/>
    <n v="2"/>
    <s v="Misty"/>
    <n v="0.2"/>
    <s v="Safe"/>
    <n v="0.18179999999999999"/>
    <n v="0.34"/>
    <s v="Acceptable"/>
    <n v="0.28360000000000002"/>
    <n v="3"/>
    <x v="124"/>
    <n v="64"/>
  </r>
  <r>
    <n v="893"/>
    <x v="39"/>
    <x v="1"/>
    <n v="16"/>
    <b v="0"/>
    <n v="3"/>
    <s v="No"/>
    <s v="Wednesday"/>
    <n v="2"/>
    <s v="Misty"/>
    <n v="0.2"/>
    <s v="Safe"/>
    <n v="0.19700000000000001"/>
    <n v="0.37"/>
    <s v="Acceptable"/>
    <n v="0.25369999999999998"/>
    <n v="7"/>
    <x v="109"/>
    <n v="79"/>
  </r>
  <r>
    <n v="894"/>
    <x v="39"/>
    <x v="1"/>
    <n v="17"/>
    <b v="0"/>
    <n v="3"/>
    <s v="No"/>
    <s v="Wednesday"/>
    <n v="2"/>
    <s v="Misty"/>
    <n v="0.2"/>
    <s v="Safe"/>
    <n v="0.19700000000000001"/>
    <n v="0.34"/>
    <s v="Acceptable"/>
    <n v="0.25369999999999998"/>
    <n v="9"/>
    <x v="174"/>
    <n v="166"/>
  </r>
  <r>
    <n v="895"/>
    <x v="39"/>
    <x v="1"/>
    <n v="18"/>
    <b v="0"/>
    <n v="3"/>
    <s v="No"/>
    <s v="Wednesday"/>
    <n v="2"/>
    <s v="Misty"/>
    <n v="0.18"/>
    <s v="Safe"/>
    <n v="0.16669999999999999"/>
    <n v="0.47"/>
    <s v="Acceptable"/>
    <n v="0.29849999999999999"/>
    <n v="2"/>
    <x v="175"/>
    <n v="170"/>
  </r>
  <r>
    <n v="896"/>
    <x v="39"/>
    <x v="1"/>
    <n v="19"/>
    <b v="0"/>
    <n v="3"/>
    <s v="No"/>
    <s v="Wednesday"/>
    <n v="3"/>
    <s v="Light Rain"/>
    <n v="0.14000000000000001"/>
    <s v="Safe"/>
    <n v="0.1212"/>
    <n v="0.86"/>
    <s v="Risky"/>
    <n v="0.25369999999999998"/>
    <n v="1"/>
    <x v="61"/>
    <n v="88"/>
  </r>
  <r>
    <n v="897"/>
    <x v="39"/>
    <x v="1"/>
    <n v="20"/>
    <b v="0"/>
    <n v="3"/>
    <s v="No"/>
    <s v="Wednesday"/>
    <n v="3"/>
    <s v="Light Rain"/>
    <n v="0.14000000000000001"/>
    <s v="Safe"/>
    <n v="0.1515"/>
    <n v="0.86"/>
    <s v="Risky"/>
    <n v="0.16420000000000001"/>
    <n v="0"/>
    <x v="151"/>
    <n v="84"/>
  </r>
  <r>
    <n v="898"/>
    <x v="39"/>
    <x v="1"/>
    <n v="21"/>
    <b v="0"/>
    <n v="3"/>
    <s v="No"/>
    <s v="Wednesday"/>
    <n v="2"/>
    <s v="Misty"/>
    <n v="0.14000000000000001"/>
    <s v="Safe"/>
    <n v="0.1515"/>
    <n v="0.86"/>
    <s v="Risky"/>
    <n v="0.16420000000000001"/>
    <n v="0"/>
    <x v="93"/>
    <n v="83"/>
  </r>
  <r>
    <n v="899"/>
    <x v="39"/>
    <x v="1"/>
    <n v="22"/>
    <b v="0"/>
    <n v="3"/>
    <s v="No"/>
    <s v="Wednesday"/>
    <n v="3"/>
    <s v="Light Rain"/>
    <n v="0.16"/>
    <s v="Safe"/>
    <n v="0.16669999999999999"/>
    <n v="0.8"/>
    <s v="Risky"/>
    <n v="0.16420000000000001"/>
    <n v="4"/>
    <x v="76"/>
    <n v="46"/>
  </r>
  <r>
    <n v="900"/>
    <x v="39"/>
    <x v="1"/>
    <n v="23"/>
    <b v="0"/>
    <n v="3"/>
    <s v="No"/>
    <s v="Wednesday"/>
    <n v="3"/>
    <s v="Light Rain"/>
    <n v="0.16"/>
    <s v="Safe"/>
    <n v="0.1515"/>
    <n v="0.8"/>
    <s v="Risky"/>
    <n v="0.19400000000000001"/>
    <n v="0"/>
    <x v="53"/>
    <n v="37"/>
  </r>
  <r>
    <n v="901"/>
    <x v="40"/>
    <x v="1"/>
    <n v="0"/>
    <b v="0"/>
    <n v="4"/>
    <s v="No"/>
    <s v="Thursday"/>
    <n v="3"/>
    <s v="Light Rain"/>
    <n v="0.14000000000000001"/>
    <s v="Safe"/>
    <n v="0.13639999999999999"/>
    <n v="0.86"/>
    <s v="Risky"/>
    <n v="0.19400000000000001"/>
    <n v="0"/>
    <x v="20"/>
    <n v="16"/>
  </r>
  <r>
    <n v="902"/>
    <x v="40"/>
    <x v="1"/>
    <n v="1"/>
    <b v="0"/>
    <n v="4"/>
    <s v="No"/>
    <s v="Thursday"/>
    <n v="3"/>
    <s v="Light Rain"/>
    <n v="0.14000000000000001"/>
    <s v="Safe"/>
    <n v="0.1515"/>
    <n v="0.8"/>
    <s v="Risky"/>
    <n v="0.1343"/>
    <n v="0"/>
    <x v="7"/>
    <n v="7"/>
  </r>
  <r>
    <n v="903"/>
    <x v="40"/>
    <x v="1"/>
    <n v="2"/>
    <b v="0"/>
    <n v="4"/>
    <s v="No"/>
    <s v="Thursday"/>
    <n v="3"/>
    <s v="Light Rain"/>
    <n v="0.14000000000000001"/>
    <s v="Safe"/>
    <n v="0.1515"/>
    <n v="0.8"/>
    <s v="Risky"/>
    <n v="0.1343"/>
    <n v="0"/>
    <x v="35"/>
    <n v="3"/>
  </r>
  <r>
    <n v="904"/>
    <x v="40"/>
    <x v="1"/>
    <n v="4"/>
    <b v="0"/>
    <n v="4"/>
    <s v="No"/>
    <s v="Thursday"/>
    <n v="2"/>
    <s v="Misty"/>
    <n v="0.14000000000000001"/>
    <s v="Safe"/>
    <n v="0.13639999999999999"/>
    <n v="0.59"/>
    <s v="Acceptable"/>
    <n v="0.22389999999999999"/>
    <n v="0"/>
    <x v="4"/>
    <n v="1"/>
  </r>
  <r>
    <n v="905"/>
    <x v="40"/>
    <x v="1"/>
    <n v="5"/>
    <b v="0"/>
    <n v="4"/>
    <s v="No"/>
    <s v="Thursday"/>
    <n v="2"/>
    <s v="Misty"/>
    <n v="0.12"/>
    <s v="Safe"/>
    <n v="0.1212"/>
    <n v="0.5"/>
    <s v="Acceptable"/>
    <n v="0.22389999999999999"/>
    <n v="0"/>
    <x v="8"/>
    <n v="6"/>
  </r>
  <r>
    <n v="906"/>
    <x v="40"/>
    <x v="1"/>
    <n v="6"/>
    <b v="0"/>
    <n v="4"/>
    <s v="No"/>
    <s v="Thursday"/>
    <n v="2"/>
    <s v="Misty"/>
    <n v="0.12"/>
    <s v="Safe"/>
    <n v="0.1212"/>
    <n v="0.54"/>
    <s v="Acceptable"/>
    <n v="0.28360000000000002"/>
    <n v="0"/>
    <x v="16"/>
    <n v="26"/>
  </r>
  <r>
    <n v="907"/>
    <x v="40"/>
    <x v="1"/>
    <n v="7"/>
    <b v="0"/>
    <n v="4"/>
    <s v="No"/>
    <s v="Thursday"/>
    <n v="1"/>
    <s v="Clean"/>
    <n v="0.1"/>
    <s v="Safe"/>
    <n v="7.5800000000000006E-2"/>
    <n v="0.5"/>
    <s v="Acceptable"/>
    <n v="0.41789999999999999"/>
    <n v="0"/>
    <x v="176"/>
    <n v="99"/>
  </r>
  <r>
    <n v="908"/>
    <x v="40"/>
    <x v="1"/>
    <n v="8"/>
    <b v="0"/>
    <n v="4"/>
    <s v="No"/>
    <s v="Thursday"/>
    <n v="1"/>
    <s v="Clean"/>
    <n v="0.1"/>
    <s v="Safe"/>
    <n v="7.5800000000000006E-2"/>
    <n v="0.49"/>
    <s v="Acceptable"/>
    <n v="0.32840000000000003"/>
    <n v="5"/>
    <x v="177"/>
    <n v="178"/>
  </r>
  <r>
    <n v="909"/>
    <x v="40"/>
    <x v="1"/>
    <n v="9"/>
    <b v="0"/>
    <n v="4"/>
    <s v="No"/>
    <s v="Thursday"/>
    <n v="1"/>
    <s v="Clean"/>
    <n v="0.12"/>
    <s v="Safe"/>
    <n v="0.1061"/>
    <n v="0.42"/>
    <s v="Acceptable"/>
    <n v="0.35820000000000002"/>
    <n v="1"/>
    <x v="178"/>
    <n v="122"/>
  </r>
  <r>
    <n v="910"/>
    <x v="40"/>
    <x v="1"/>
    <n v="10"/>
    <b v="0"/>
    <n v="4"/>
    <s v="No"/>
    <s v="Thursday"/>
    <n v="1"/>
    <s v="Clean"/>
    <n v="0.12"/>
    <s v="Safe"/>
    <n v="0.1061"/>
    <n v="0.42"/>
    <s v="Acceptable"/>
    <n v="0.29849999999999999"/>
    <n v="1"/>
    <x v="60"/>
    <n v="35"/>
  </r>
  <r>
    <n v="911"/>
    <x v="40"/>
    <x v="1"/>
    <n v="11"/>
    <b v="0"/>
    <n v="4"/>
    <s v="No"/>
    <s v="Thursday"/>
    <n v="1"/>
    <s v="Clean"/>
    <n v="0.14000000000000001"/>
    <s v="Safe"/>
    <n v="0.1212"/>
    <n v="0.39"/>
    <s v="Acceptable"/>
    <n v="0.35820000000000002"/>
    <n v="1"/>
    <x v="100"/>
    <n v="45"/>
  </r>
  <r>
    <n v="912"/>
    <x v="40"/>
    <x v="1"/>
    <n v="12"/>
    <b v="0"/>
    <n v="4"/>
    <s v="No"/>
    <s v="Thursday"/>
    <n v="1"/>
    <s v="Clean"/>
    <n v="0.16"/>
    <s v="Safe"/>
    <n v="0.13639999999999999"/>
    <n v="0.34"/>
    <s v="Acceptable"/>
    <n v="0.3881"/>
    <n v="4"/>
    <x v="65"/>
    <n v="69"/>
  </r>
  <r>
    <n v="913"/>
    <x v="40"/>
    <x v="1"/>
    <n v="13"/>
    <b v="0"/>
    <n v="4"/>
    <s v="No"/>
    <s v="Thursday"/>
    <n v="1"/>
    <s v="Clean"/>
    <n v="0.18"/>
    <s v="Safe"/>
    <n v="0.16669999999999999"/>
    <n v="0.28999999999999998"/>
    <s v="Acceptable"/>
    <n v="0.29849999999999999"/>
    <n v="3"/>
    <x v="79"/>
    <n v="62"/>
  </r>
  <r>
    <n v="914"/>
    <x v="40"/>
    <x v="1"/>
    <n v="14"/>
    <b v="0"/>
    <n v="4"/>
    <s v="No"/>
    <s v="Thursday"/>
    <n v="1"/>
    <s v="Clean"/>
    <n v="0.2"/>
    <s v="Safe"/>
    <n v="0.18179999999999999"/>
    <n v="0.27"/>
    <s v="Acceptable"/>
    <n v="0.28360000000000002"/>
    <n v="6"/>
    <x v="76"/>
    <n v="48"/>
  </r>
  <r>
    <n v="915"/>
    <x v="40"/>
    <x v="1"/>
    <n v="15"/>
    <b v="0"/>
    <n v="4"/>
    <s v="No"/>
    <s v="Thursday"/>
    <n v="1"/>
    <s v="Clean"/>
    <n v="0.2"/>
    <s v="Safe"/>
    <n v="0.19700000000000001"/>
    <n v="0.25"/>
    <s v="Acceptable"/>
    <n v="0.25369999999999998"/>
    <n v="0"/>
    <x v="54"/>
    <n v="50"/>
  </r>
  <r>
    <n v="916"/>
    <x v="40"/>
    <x v="1"/>
    <n v="16"/>
    <b v="0"/>
    <n v="4"/>
    <s v="No"/>
    <s v="Thursday"/>
    <n v="1"/>
    <s v="Clean"/>
    <n v="0.2"/>
    <s v="Safe"/>
    <n v="0.18179999999999999"/>
    <n v="0.27"/>
    <s v="Acceptable"/>
    <n v="0.29849999999999999"/>
    <n v="4"/>
    <x v="83"/>
    <n v="80"/>
  </r>
  <r>
    <n v="917"/>
    <x v="40"/>
    <x v="1"/>
    <n v="17"/>
    <b v="0"/>
    <n v="4"/>
    <s v="No"/>
    <s v="Thursday"/>
    <n v="1"/>
    <s v="Clean"/>
    <n v="0.18"/>
    <s v="Safe"/>
    <n v="0.18179999999999999"/>
    <n v="0.26"/>
    <s v="Acceptable"/>
    <n v="0.19400000000000001"/>
    <n v="6"/>
    <x v="136"/>
    <n v="165"/>
  </r>
  <r>
    <n v="918"/>
    <x v="40"/>
    <x v="1"/>
    <n v="18"/>
    <b v="0"/>
    <n v="4"/>
    <s v="No"/>
    <s v="Thursday"/>
    <n v="1"/>
    <s v="Clean"/>
    <n v="0.16"/>
    <s v="Safe"/>
    <n v="0.18179999999999999"/>
    <n v="0.28000000000000003"/>
    <s v="Acceptable"/>
    <n v="0.1343"/>
    <n v="3"/>
    <x v="174"/>
    <n v="160"/>
  </r>
  <r>
    <n v="919"/>
    <x v="40"/>
    <x v="1"/>
    <n v="19"/>
    <b v="0"/>
    <n v="4"/>
    <s v="No"/>
    <s v="Thursday"/>
    <n v="1"/>
    <s v="Clean"/>
    <n v="0.14000000000000001"/>
    <s v="Safe"/>
    <n v="0.16669999999999999"/>
    <n v="0.28000000000000003"/>
    <s v="Acceptable"/>
    <n v="0.1045"/>
    <n v="2"/>
    <x v="59"/>
    <n v="112"/>
  </r>
  <r>
    <n v="920"/>
    <x v="40"/>
    <x v="1"/>
    <n v="20"/>
    <b v="0"/>
    <n v="4"/>
    <s v="No"/>
    <s v="Thursday"/>
    <n v="1"/>
    <s v="Clean"/>
    <n v="0.14000000000000001"/>
    <s v="Safe"/>
    <n v="0.18179999999999999"/>
    <n v="0.31"/>
    <s v="Acceptable"/>
    <n v="8.9599999999999999E-2"/>
    <n v="4"/>
    <x v="139"/>
    <n v="97"/>
  </r>
  <r>
    <n v="921"/>
    <x v="40"/>
    <x v="1"/>
    <n v="21"/>
    <b v="0"/>
    <n v="4"/>
    <s v="No"/>
    <s v="Thursday"/>
    <n v="1"/>
    <s v="Clean"/>
    <n v="0.14000000000000001"/>
    <s v="Safe"/>
    <n v="0.21210000000000001"/>
    <n v="0.39"/>
    <s v="Acceptable"/>
    <n v="0"/>
    <n v="2"/>
    <x v="14"/>
    <n v="72"/>
  </r>
  <r>
    <n v="922"/>
    <x v="40"/>
    <x v="1"/>
    <n v="22"/>
    <b v="0"/>
    <n v="4"/>
    <s v="No"/>
    <s v="Thursday"/>
    <n v="1"/>
    <s v="Clean"/>
    <n v="0.12"/>
    <s v="Safe"/>
    <n v="0.19700000000000001"/>
    <n v="0.39"/>
    <s v="Acceptable"/>
    <n v="0"/>
    <n v="4"/>
    <x v="12"/>
    <n v="51"/>
  </r>
  <r>
    <n v="923"/>
    <x v="40"/>
    <x v="1"/>
    <n v="23"/>
    <b v="0"/>
    <n v="4"/>
    <s v="No"/>
    <s v="Thursday"/>
    <n v="1"/>
    <s v="Clean"/>
    <n v="0.12"/>
    <s v="Safe"/>
    <n v="0.1515"/>
    <n v="0.42"/>
    <s v="Acceptable"/>
    <n v="0.1045"/>
    <n v="1"/>
    <x v="39"/>
    <n v="34"/>
  </r>
  <r>
    <n v="924"/>
    <x v="41"/>
    <x v="1"/>
    <n v="0"/>
    <b v="0"/>
    <n v="5"/>
    <s v="No"/>
    <s v="Friday"/>
    <n v="1"/>
    <s v="Clean"/>
    <n v="0.1"/>
    <s v="Safe"/>
    <n v="0.13639999999999999"/>
    <n v="0.49"/>
    <s v="Acceptable"/>
    <n v="0.1045"/>
    <n v="2"/>
    <x v="98"/>
    <n v="14"/>
  </r>
  <r>
    <n v="925"/>
    <x v="41"/>
    <x v="1"/>
    <n v="1"/>
    <b v="0"/>
    <n v="5"/>
    <s v="No"/>
    <s v="Friday"/>
    <n v="1"/>
    <s v="Clean"/>
    <n v="0.1"/>
    <s v="Safe"/>
    <n v="0.13639999999999999"/>
    <n v="0.54"/>
    <s v="Acceptable"/>
    <n v="8.9599999999999999E-2"/>
    <n v="1"/>
    <x v="8"/>
    <n v="7"/>
  </r>
  <r>
    <n v="926"/>
    <x v="41"/>
    <x v="1"/>
    <n v="2"/>
    <b v="0"/>
    <n v="5"/>
    <s v="No"/>
    <s v="Friday"/>
    <n v="1"/>
    <s v="Clean"/>
    <n v="0.1"/>
    <s v="Safe"/>
    <n v="0.13639999999999999"/>
    <n v="0.54"/>
    <s v="Acceptable"/>
    <n v="8.9599999999999999E-2"/>
    <n v="0"/>
    <x v="35"/>
    <n v="3"/>
  </r>
  <r>
    <n v="927"/>
    <x v="41"/>
    <x v="1"/>
    <n v="5"/>
    <b v="0"/>
    <n v="5"/>
    <s v="No"/>
    <s v="Friday"/>
    <n v="1"/>
    <s v="Clean"/>
    <n v="0.08"/>
    <s v="Risky"/>
    <n v="0.1212"/>
    <n v="0.63"/>
    <s v="Acceptable"/>
    <n v="8.9599999999999999E-2"/>
    <n v="0"/>
    <x v="22"/>
    <n v="4"/>
  </r>
  <r>
    <n v="928"/>
    <x v="41"/>
    <x v="1"/>
    <n v="6"/>
    <b v="0"/>
    <n v="5"/>
    <s v="No"/>
    <s v="Friday"/>
    <n v="1"/>
    <s v="Clean"/>
    <n v="0.1"/>
    <s v="Safe"/>
    <n v="0.18179999999999999"/>
    <n v="0.68"/>
    <s v="Acceptable"/>
    <n v="0"/>
    <n v="1"/>
    <x v="140"/>
    <n v="24"/>
  </r>
  <r>
    <n v="929"/>
    <x v="41"/>
    <x v="1"/>
    <n v="7"/>
    <b v="0"/>
    <n v="5"/>
    <s v="No"/>
    <s v="Friday"/>
    <n v="1"/>
    <s v="Clean"/>
    <n v="0.08"/>
    <s v="Risky"/>
    <n v="0.16669999999999999"/>
    <n v="0.73"/>
    <s v="Risky"/>
    <n v="0"/>
    <n v="1"/>
    <x v="26"/>
    <n v="74"/>
  </r>
  <r>
    <n v="930"/>
    <x v="41"/>
    <x v="1"/>
    <n v="8"/>
    <b v="0"/>
    <n v="5"/>
    <s v="No"/>
    <s v="Friday"/>
    <n v="1"/>
    <s v="Clean"/>
    <n v="0.1"/>
    <s v="Safe"/>
    <n v="0.1212"/>
    <n v="0.74"/>
    <s v="Risky"/>
    <n v="0.16420000000000001"/>
    <n v="4"/>
    <x v="179"/>
    <n v="216"/>
  </r>
  <r>
    <n v="931"/>
    <x v="41"/>
    <x v="1"/>
    <n v="9"/>
    <b v="0"/>
    <n v="5"/>
    <s v="No"/>
    <s v="Friday"/>
    <n v="1"/>
    <s v="Clean"/>
    <n v="0.12"/>
    <s v="Safe"/>
    <n v="0.1212"/>
    <n v="0.74"/>
    <s v="Risky"/>
    <n v="0.22389999999999999"/>
    <n v="8"/>
    <x v="126"/>
    <n v="140"/>
  </r>
  <r>
    <n v="932"/>
    <x v="41"/>
    <x v="1"/>
    <n v="10"/>
    <b v="0"/>
    <n v="5"/>
    <s v="No"/>
    <s v="Friday"/>
    <n v="1"/>
    <s v="Clean"/>
    <n v="0.14000000000000001"/>
    <s v="Safe"/>
    <n v="0.13639999999999999"/>
    <n v="0.69"/>
    <s v="Acceptable"/>
    <n v="0.19400000000000001"/>
    <n v="5"/>
    <x v="87"/>
    <n v="44"/>
  </r>
  <r>
    <n v="933"/>
    <x v="41"/>
    <x v="1"/>
    <n v="11"/>
    <b v="0"/>
    <n v="5"/>
    <s v="No"/>
    <s v="Friday"/>
    <n v="1"/>
    <s v="Clean"/>
    <n v="0.22"/>
    <s v="Safe"/>
    <n v="0.2273"/>
    <n v="0.47"/>
    <s v="Acceptable"/>
    <n v="0.1343"/>
    <n v="12"/>
    <x v="15"/>
    <n v="64"/>
  </r>
  <r>
    <n v="934"/>
    <x v="41"/>
    <x v="1"/>
    <n v="12"/>
    <b v="0"/>
    <n v="5"/>
    <s v="No"/>
    <s v="Friday"/>
    <n v="1"/>
    <s v="Clean"/>
    <n v="0.22"/>
    <s v="Safe"/>
    <n v="0.2273"/>
    <n v="0.47"/>
    <s v="Acceptable"/>
    <n v="0.1343"/>
    <n v="7"/>
    <x v="27"/>
    <n v="71"/>
  </r>
  <r>
    <n v="935"/>
    <x v="41"/>
    <x v="1"/>
    <n v="13"/>
    <b v="0"/>
    <n v="5"/>
    <s v="No"/>
    <s v="Friday"/>
    <n v="1"/>
    <s v="Clean"/>
    <n v="0.24"/>
    <s v="Safe"/>
    <n v="0.2273"/>
    <n v="0.35"/>
    <s v="Acceptable"/>
    <n v="0.19400000000000001"/>
    <n v="21"/>
    <x v="121"/>
    <n v="110"/>
  </r>
  <r>
    <n v="936"/>
    <x v="41"/>
    <x v="1"/>
    <n v="14"/>
    <b v="0"/>
    <n v="5"/>
    <s v="No"/>
    <s v="Friday"/>
    <n v="1"/>
    <s v="Clean"/>
    <n v="0.3"/>
    <s v="Safe"/>
    <n v="0.28789999999999999"/>
    <n v="0.26"/>
    <s v="Acceptable"/>
    <n v="0.25369999999999998"/>
    <n v="17"/>
    <x v="28"/>
    <n v="84"/>
  </r>
  <r>
    <n v="937"/>
    <x v="41"/>
    <x v="1"/>
    <n v="15"/>
    <b v="0"/>
    <n v="5"/>
    <s v="No"/>
    <s v="Friday"/>
    <n v="1"/>
    <s v="Clean"/>
    <n v="0.32"/>
    <s v="Safe"/>
    <n v="0.31819999999999998"/>
    <n v="0.21"/>
    <s v="Acceptable"/>
    <n v="0.16420000000000001"/>
    <n v="12"/>
    <x v="133"/>
    <n v="74"/>
  </r>
  <r>
    <n v="938"/>
    <x v="41"/>
    <x v="1"/>
    <n v="16"/>
    <b v="0"/>
    <n v="5"/>
    <s v="No"/>
    <s v="Friday"/>
    <n v="1"/>
    <s v="Clean"/>
    <n v="0.3"/>
    <s v="Safe"/>
    <n v="0.28789999999999999"/>
    <n v="0.28000000000000003"/>
    <s v="Acceptable"/>
    <n v="0.19400000000000001"/>
    <n v="14"/>
    <x v="180"/>
    <n v="125"/>
  </r>
  <r>
    <n v="939"/>
    <x v="41"/>
    <x v="1"/>
    <n v="17"/>
    <b v="0"/>
    <n v="5"/>
    <s v="No"/>
    <s v="Friday"/>
    <n v="1"/>
    <s v="Clean"/>
    <n v="0.3"/>
    <s v="Safe"/>
    <n v="0.33329999999999999"/>
    <n v="0.24"/>
    <s v="Acceptable"/>
    <n v="0"/>
    <n v="18"/>
    <x v="181"/>
    <n v="211"/>
  </r>
  <r>
    <n v="940"/>
    <x v="41"/>
    <x v="1"/>
    <n v="18"/>
    <b v="0"/>
    <n v="5"/>
    <s v="No"/>
    <s v="Friday"/>
    <n v="1"/>
    <s v="Clean"/>
    <n v="0.28000000000000003"/>
    <s v="Safe"/>
    <n v="0.31819999999999998"/>
    <n v="0.28000000000000003"/>
    <s v="Acceptable"/>
    <n v="0"/>
    <n v="9"/>
    <x v="158"/>
    <n v="174"/>
  </r>
  <r>
    <n v="941"/>
    <x v="41"/>
    <x v="1"/>
    <n v="19"/>
    <b v="0"/>
    <n v="5"/>
    <s v="No"/>
    <s v="Friday"/>
    <n v="1"/>
    <s v="Clean"/>
    <n v="0.26"/>
    <s v="Safe"/>
    <n v="0.30299999999999999"/>
    <n v="0.33"/>
    <s v="Acceptable"/>
    <n v="0"/>
    <n v="7"/>
    <x v="111"/>
    <n v="101"/>
  </r>
  <r>
    <n v="942"/>
    <x v="41"/>
    <x v="1"/>
    <n v="20"/>
    <b v="0"/>
    <n v="5"/>
    <s v="No"/>
    <s v="Friday"/>
    <n v="1"/>
    <s v="Clean"/>
    <n v="0.22"/>
    <s v="Safe"/>
    <n v="0.2273"/>
    <n v="0.55000000000000004"/>
    <s v="Acceptable"/>
    <n v="0.1343"/>
    <n v="2"/>
    <x v="124"/>
    <n v="63"/>
  </r>
  <r>
    <n v="943"/>
    <x v="41"/>
    <x v="1"/>
    <n v="21"/>
    <b v="0"/>
    <n v="5"/>
    <s v="No"/>
    <s v="Friday"/>
    <n v="1"/>
    <s v="Clean"/>
    <n v="0.2"/>
    <s v="Safe"/>
    <n v="0.21210000000000001"/>
    <n v="0.59"/>
    <s v="Acceptable"/>
    <n v="0.1343"/>
    <n v="1"/>
    <x v="24"/>
    <n v="47"/>
  </r>
  <r>
    <n v="944"/>
    <x v="41"/>
    <x v="1"/>
    <n v="22"/>
    <b v="0"/>
    <n v="5"/>
    <s v="No"/>
    <s v="Friday"/>
    <n v="1"/>
    <s v="Clean"/>
    <n v="0.2"/>
    <s v="Safe"/>
    <n v="0.2273"/>
    <n v="0.64"/>
    <s v="Acceptable"/>
    <n v="8.9599999999999999E-2"/>
    <n v="2"/>
    <x v="40"/>
    <n v="43"/>
  </r>
  <r>
    <n v="945"/>
    <x v="41"/>
    <x v="1"/>
    <n v="23"/>
    <b v="0"/>
    <n v="5"/>
    <s v="No"/>
    <s v="Friday"/>
    <n v="1"/>
    <s v="Clean"/>
    <n v="0.18"/>
    <s v="Safe"/>
    <n v="0.2424"/>
    <n v="0.69"/>
    <s v="Acceptable"/>
    <n v="0"/>
    <n v="5"/>
    <x v="41"/>
    <n v="53"/>
  </r>
  <r>
    <n v="946"/>
    <x v="42"/>
    <x v="1"/>
    <n v="0"/>
    <b v="0"/>
    <n v="6"/>
    <s v="Yes"/>
    <s v="Saturday"/>
    <n v="1"/>
    <s v="Clean"/>
    <n v="0.16"/>
    <s v="Safe"/>
    <n v="0.19700000000000001"/>
    <n v="0.69"/>
    <s v="Acceptable"/>
    <n v="8.9599999999999999E-2"/>
    <n v="3"/>
    <x v="2"/>
    <n v="30"/>
  </r>
  <r>
    <n v="947"/>
    <x v="42"/>
    <x v="1"/>
    <n v="1"/>
    <b v="0"/>
    <n v="6"/>
    <s v="Yes"/>
    <s v="Saturday"/>
    <n v="1"/>
    <s v="Clean"/>
    <n v="0.14000000000000001"/>
    <s v="Safe"/>
    <n v="0.21210000000000001"/>
    <n v="0.86"/>
    <s v="Risky"/>
    <n v="0"/>
    <n v="2"/>
    <x v="97"/>
    <n v="24"/>
  </r>
  <r>
    <n v="948"/>
    <x v="42"/>
    <x v="1"/>
    <n v="2"/>
    <b v="0"/>
    <n v="6"/>
    <s v="Yes"/>
    <s v="Saturday"/>
    <n v="1"/>
    <s v="Clean"/>
    <n v="0.14000000000000001"/>
    <s v="Safe"/>
    <n v="0.21210000000000001"/>
    <n v="0.8"/>
    <s v="Risky"/>
    <n v="0"/>
    <n v="2"/>
    <x v="0"/>
    <n v="15"/>
  </r>
  <r>
    <n v="949"/>
    <x v="42"/>
    <x v="1"/>
    <n v="3"/>
    <b v="0"/>
    <n v="6"/>
    <s v="Yes"/>
    <s v="Saturday"/>
    <n v="1"/>
    <s v="Clean"/>
    <n v="0.12"/>
    <s v="Safe"/>
    <n v="0.19700000000000001"/>
    <n v="0.8"/>
    <s v="Risky"/>
    <n v="0"/>
    <n v="3"/>
    <x v="7"/>
    <n v="10"/>
  </r>
  <r>
    <n v="950"/>
    <x v="42"/>
    <x v="1"/>
    <n v="4"/>
    <b v="0"/>
    <n v="6"/>
    <s v="Yes"/>
    <s v="Saturday"/>
    <n v="1"/>
    <s v="Clean"/>
    <n v="0.12"/>
    <s v="Safe"/>
    <n v="0.16669999999999999"/>
    <n v="0.74"/>
    <s v="Risky"/>
    <n v="8.9599999999999999E-2"/>
    <n v="0"/>
    <x v="22"/>
    <n v="4"/>
  </r>
  <r>
    <n v="951"/>
    <x v="42"/>
    <x v="1"/>
    <n v="5"/>
    <b v="0"/>
    <n v="6"/>
    <s v="Yes"/>
    <s v="Saturday"/>
    <n v="1"/>
    <s v="Clean"/>
    <n v="0.12"/>
    <s v="Safe"/>
    <n v="0.16669999999999999"/>
    <n v="0.74"/>
    <s v="Risky"/>
    <n v="8.9599999999999999E-2"/>
    <n v="0"/>
    <x v="4"/>
    <n v="1"/>
  </r>
  <r>
    <n v="952"/>
    <x v="42"/>
    <x v="1"/>
    <n v="6"/>
    <b v="0"/>
    <n v="6"/>
    <s v="Yes"/>
    <s v="Saturday"/>
    <n v="1"/>
    <s v="Clean"/>
    <n v="0.12"/>
    <s v="Safe"/>
    <n v="0.13639999999999999"/>
    <n v="0.93"/>
    <s v="Risky"/>
    <n v="0.19400000000000001"/>
    <n v="1"/>
    <x v="4"/>
    <n v="2"/>
  </r>
  <r>
    <n v="953"/>
    <x v="42"/>
    <x v="1"/>
    <n v="7"/>
    <b v="0"/>
    <n v="6"/>
    <s v="Yes"/>
    <s v="Saturday"/>
    <n v="1"/>
    <s v="Clean"/>
    <n v="0.12"/>
    <s v="Safe"/>
    <n v="0.1515"/>
    <n v="0.8"/>
    <s v="Risky"/>
    <n v="0.1045"/>
    <n v="2"/>
    <x v="33"/>
    <n v="11"/>
  </r>
  <r>
    <n v="954"/>
    <x v="42"/>
    <x v="1"/>
    <n v="8"/>
    <b v="0"/>
    <n v="6"/>
    <s v="Yes"/>
    <s v="Saturday"/>
    <n v="1"/>
    <s v="Clean"/>
    <n v="0.14000000000000001"/>
    <s v="Safe"/>
    <n v="0.1515"/>
    <n v="0.86"/>
    <s v="Risky"/>
    <n v="0.1343"/>
    <n v="2"/>
    <x v="95"/>
    <n v="30"/>
  </r>
  <r>
    <n v="955"/>
    <x v="42"/>
    <x v="1"/>
    <n v="9"/>
    <b v="0"/>
    <n v="6"/>
    <s v="Yes"/>
    <s v="Saturday"/>
    <n v="1"/>
    <s v="Clean"/>
    <n v="0.16"/>
    <s v="Safe"/>
    <n v="0.18179999999999999"/>
    <n v="0.64"/>
    <s v="Acceptable"/>
    <n v="0.1343"/>
    <n v="5"/>
    <x v="101"/>
    <n v="43"/>
  </r>
  <r>
    <n v="956"/>
    <x v="42"/>
    <x v="1"/>
    <n v="10"/>
    <b v="0"/>
    <n v="6"/>
    <s v="Yes"/>
    <s v="Saturday"/>
    <n v="1"/>
    <s v="Clean"/>
    <n v="0.22"/>
    <s v="Safe"/>
    <n v="0.21210000000000001"/>
    <n v="0.41"/>
    <s v="Acceptable"/>
    <n v="0.25369999999999998"/>
    <n v="13"/>
    <x v="13"/>
    <n v="84"/>
  </r>
  <r>
    <n v="957"/>
    <x v="42"/>
    <x v="1"/>
    <n v="11"/>
    <b v="0"/>
    <n v="6"/>
    <s v="Yes"/>
    <s v="Saturday"/>
    <n v="1"/>
    <s v="Clean"/>
    <n v="0.3"/>
    <s v="Safe"/>
    <n v="0.2727"/>
    <n v="0.28000000000000003"/>
    <s v="Acceptable"/>
    <n v="0.32840000000000003"/>
    <n v="30"/>
    <x v="151"/>
    <n v="114"/>
  </r>
  <r>
    <n v="958"/>
    <x v="42"/>
    <x v="1"/>
    <n v="12"/>
    <b v="0"/>
    <n v="6"/>
    <s v="Yes"/>
    <s v="Saturday"/>
    <n v="1"/>
    <s v="Clean"/>
    <n v="0.3"/>
    <s v="Safe"/>
    <n v="0.2727"/>
    <n v="0.39"/>
    <s v="Acceptable"/>
    <n v="0.4627"/>
    <n v="27"/>
    <x v="139"/>
    <n v="120"/>
  </r>
  <r>
    <n v="959"/>
    <x v="42"/>
    <x v="1"/>
    <n v="13"/>
    <b v="0"/>
    <n v="6"/>
    <s v="Yes"/>
    <s v="Saturday"/>
    <n v="1"/>
    <s v="Clean"/>
    <n v="0.3"/>
    <s v="Safe"/>
    <n v="0.2727"/>
    <n v="0.39"/>
    <s v="Acceptable"/>
    <n v="0.41789999999999999"/>
    <n v="32"/>
    <x v="145"/>
    <n v="135"/>
  </r>
  <r>
    <n v="960"/>
    <x v="42"/>
    <x v="1"/>
    <n v="14"/>
    <b v="0"/>
    <n v="6"/>
    <s v="Yes"/>
    <s v="Saturday"/>
    <n v="1"/>
    <s v="Clean"/>
    <n v="0.34"/>
    <s v="Safe"/>
    <n v="0.31819999999999998"/>
    <n v="0.31"/>
    <s v="Acceptable"/>
    <n v="0.28360000000000002"/>
    <n v="30"/>
    <x v="92"/>
    <n v="120"/>
  </r>
  <r>
    <n v="961"/>
    <x v="42"/>
    <x v="1"/>
    <n v="15"/>
    <b v="0"/>
    <n v="6"/>
    <s v="Yes"/>
    <s v="Saturday"/>
    <n v="1"/>
    <s v="Clean"/>
    <n v="0.34"/>
    <s v="Safe"/>
    <n v="0.30299999999999999"/>
    <n v="0.28999999999999998"/>
    <s v="Acceptable"/>
    <n v="0.41789999999999999"/>
    <n v="47"/>
    <x v="69"/>
    <n v="174"/>
  </r>
  <r>
    <n v="962"/>
    <x v="42"/>
    <x v="1"/>
    <n v="16"/>
    <b v="0"/>
    <n v="6"/>
    <s v="Yes"/>
    <s v="Saturday"/>
    <n v="1"/>
    <s v="Clean"/>
    <n v="0.34"/>
    <s v="Safe"/>
    <n v="0.30299999999999999"/>
    <n v="0.28999999999999998"/>
    <s v="Acceptable"/>
    <n v="0.41789999999999999"/>
    <n v="42"/>
    <x v="145"/>
    <n v="145"/>
  </r>
  <r>
    <n v="963"/>
    <x v="42"/>
    <x v="1"/>
    <n v="17"/>
    <b v="0"/>
    <n v="6"/>
    <s v="Yes"/>
    <s v="Saturday"/>
    <n v="1"/>
    <s v="Clean"/>
    <n v="0.32"/>
    <s v="Safe"/>
    <n v="0.28789999999999999"/>
    <n v="0.31"/>
    <s v="Acceptable"/>
    <n v="0.52239999999999998"/>
    <n v="24"/>
    <x v="182"/>
    <n v="137"/>
  </r>
  <r>
    <n v="964"/>
    <x v="42"/>
    <x v="1"/>
    <n v="18"/>
    <b v="0"/>
    <n v="6"/>
    <s v="Yes"/>
    <s v="Saturday"/>
    <n v="1"/>
    <s v="Clean"/>
    <n v="0.28000000000000003"/>
    <s v="Safe"/>
    <n v="0.2576"/>
    <n v="0.38"/>
    <s v="Acceptable"/>
    <n v="0.32840000000000003"/>
    <n v="4"/>
    <x v="91"/>
    <n v="64"/>
  </r>
  <r>
    <n v="965"/>
    <x v="42"/>
    <x v="1"/>
    <n v="19"/>
    <b v="0"/>
    <n v="6"/>
    <s v="Yes"/>
    <s v="Saturday"/>
    <n v="1"/>
    <s v="Clean"/>
    <n v="0.28000000000000003"/>
    <s v="Safe"/>
    <n v="0.2727"/>
    <n v="0.38"/>
    <s v="Acceptable"/>
    <n v="0.16420000000000001"/>
    <n v="2"/>
    <x v="87"/>
    <n v="41"/>
  </r>
  <r>
    <n v="966"/>
    <x v="42"/>
    <x v="1"/>
    <n v="20"/>
    <b v="0"/>
    <n v="6"/>
    <s v="Yes"/>
    <s v="Saturday"/>
    <n v="1"/>
    <s v="Clean"/>
    <n v="0.26"/>
    <s v="Safe"/>
    <n v="0.2576"/>
    <n v="0.41"/>
    <s v="Acceptable"/>
    <n v="0.22389999999999999"/>
    <n v="1"/>
    <x v="87"/>
    <n v="40"/>
  </r>
  <r>
    <n v="967"/>
    <x v="42"/>
    <x v="1"/>
    <n v="21"/>
    <b v="0"/>
    <n v="6"/>
    <s v="Yes"/>
    <s v="Saturday"/>
    <n v="1"/>
    <s v="Clean"/>
    <n v="0.26"/>
    <s v="Safe"/>
    <n v="0.30299999999999999"/>
    <n v="0.41"/>
    <s v="Acceptable"/>
    <n v="0"/>
    <n v="9"/>
    <x v="76"/>
    <n v="51"/>
  </r>
  <r>
    <n v="968"/>
    <x v="42"/>
    <x v="1"/>
    <n v="22"/>
    <b v="0"/>
    <n v="6"/>
    <s v="Yes"/>
    <s v="Saturday"/>
    <n v="1"/>
    <s v="Clean"/>
    <n v="0.24"/>
    <s v="Safe"/>
    <n v="0.2576"/>
    <n v="0.44"/>
    <s v="Acceptable"/>
    <n v="8.9599999999999999E-2"/>
    <n v="6"/>
    <x v="87"/>
    <n v="45"/>
  </r>
  <r>
    <n v="969"/>
    <x v="42"/>
    <x v="1"/>
    <n v="23"/>
    <b v="0"/>
    <n v="6"/>
    <s v="Yes"/>
    <s v="Saturday"/>
    <n v="1"/>
    <s v="Clean"/>
    <n v="0.22"/>
    <s v="Safe"/>
    <n v="0.2273"/>
    <n v="0.51"/>
    <s v="Acceptable"/>
    <n v="0.1343"/>
    <n v="1"/>
    <x v="17"/>
    <n v="32"/>
  </r>
  <r>
    <n v="970"/>
    <x v="43"/>
    <x v="1"/>
    <n v="0"/>
    <b v="0"/>
    <n v="0"/>
    <s v="Yes"/>
    <s v="Sunday"/>
    <n v="1"/>
    <s v="Clean"/>
    <n v="0.2"/>
    <s v="Safe"/>
    <n v="0.2273"/>
    <n v="0.64"/>
    <s v="Acceptable"/>
    <n v="0.1045"/>
    <n v="5"/>
    <x v="60"/>
    <n v="39"/>
  </r>
  <r>
    <n v="971"/>
    <x v="43"/>
    <x v="1"/>
    <n v="1"/>
    <b v="0"/>
    <n v="0"/>
    <s v="Yes"/>
    <s v="Sunday"/>
    <n v="1"/>
    <s v="Clean"/>
    <n v="0.2"/>
    <s v="Safe"/>
    <n v="0.2273"/>
    <n v="0.59"/>
    <s v="Acceptable"/>
    <n v="8.9599999999999999E-2"/>
    <n v="1"/>
    <x v="140"/>
    <n v="24"/>
  </r>
  <r>
    <n v="972"/>
    <x v="43"/>
    <x v="1"/>
    <n v="2"/>
    <b v="0"/>
    <n v="0"/>
    <s v="Yes"/>
    <s v="Sunday"/>
    <n v="2"/>
    <s v="Misty"/>
    <n v="0.2"/>
    <s v="Safe"/>
    <n v="0.2273"/>
    <n v="0.75"/>
    <s v="Risky"/>
    <n v="8.9599999999999999E-2"/>
    <n v="1"/>
    <x v="23"/>
    <n v="20"/>
  </r>
  <r>
    <n v="973"/>
    <x v="43"/>
    <x v="1"/>
    <n v="3"/>
    <b v="0"/>
    <n v="0"/>
    <s v="Yes"/>
    <s v="Sunday"/>
    <n v="2"/>
    <s v="Misty"/>
    <n v="0.2"/>
    <s v="Safe"/>
    <n v="0.2273"/>
    <n v="0.69"/>
    <s v="Acceptable"/>
    <n v="0.1045"/>
    <n v="4"/>
    <x v="21"/>
    <n v="12"/>
  </r>
  <r>
    <n v="974"/>
    <x v="43"/>
    <x v="1"/>
    <n v="4"/>
    <b v="0"/>
    <n v="0"/>
    <s v="Yes"/>
    <s v="Sunday"/>
    <n v="2"/>
    <s v="Misty"/>
    <n v="0.2"/>
    <s v="Safe"/>
    <n v="0.21210000000000001"/>
    <n v="0.69"/>
    <s v="Acceptable"/>
    <n v="0.16420000000000001"/>
    <n v="0"/>
    <x v="6"/>
    <n v="2"/>
  </r>
  <r>
    <n v="975"/>
    <x v="43"/>
    <x v="1"/>
    <n v="6"/>
    <b v="0"/>
    <n v="0"/>
    <s v="Yes"/>
    <s v="Sunday"/>
    <n v="2"/>
    <s v="Misty"/>
    <n v="0.2"/>
    <s v="Safe"/>
    <n v="0.21210000000000001"/>
    <n v="0.69"/>
    <s v="Acceptable"/>
    <n v="0.1343"/>
    <n v="2"/>
    <x v="35"/>
    <n v="5"/>
  </r>
  <r>
    <n v="976"/>
    <x v="43"/>
    <x v="1"/>
    <n v="7"/>
    <b v="0"/>
    <n v="0"/>
    <s v="Yes"/>
    <s v="Sunday"/>
    <n v="2"/>
    <s v="Misty"/>
    <n v="0.22"/>
    <s v="Safe"/>
    <n v="0.2727"/>
    <n v="0.55000000000000004"/>
    <s v="Acceptable"/>
    <n v="0"/>
    <n v="0"/>
    <x v="35"/>
    <n v="3"/>
  </r>
  <r>
    <n v="977"/>
    <x v="43"/>
    <x v="1"/>
    <n v="8"/>
    <b v="0"/>
    <n v="0"/>
    <s v="Yes"/>
    <s v="Sunday"/>
    <n v="2"/>
    <s v="Misty"/>
    <n v="0.22"/>
    <s v="Safe"/>
    <n v="0.2273"/>
    <n v="0.64"/>
    <s v="Acceptable"/>
    <n v="0.19400000000000001"/>
    <n v="1"/>
    <x v="48"/>
    <n v="12"/>
  </r>
  <r>
    <n v="978"/>
    <x v="43"/>
    <x v="1"/>
    <n v="9"/>
    <b v="0"/>
    <n v="0"/>
    <s v="Yes"/>
    <s v="Sunday"/>
    <n v="2"/>
    <s v="Misty"/>
    <n v="0.24"/>
    <s v="Safe"/>
    <n v="0.2273"/>
    <n v="0.6"/>
    <s v="Acceptable"/>
    <n v="0.22389999999999999"/>
    <n v="12"/>
    <x v="96"/>
    <n v="47"/>
  </r>
  <r>
    <n v="979"/>
    <x v="43"/>
    <x v="1"/>
    <n v="10"/>
    <b v="0"/>
    <n v="0"/>
    <s v="Yes"/>
    <s v="Sunday"/>
    <n v="1"/>
    <s v="Clean"/>
    <n v="0.3"/>
    <s v="Safe"/>
    <n v="0.2727"/>
    <n v="0.45"/>
    <s v="Acceptable"/>
    <n v="0.32840000000000003"/>
    <n v="19"/>
    <x v="132"/>
    <n v="105"/>
  </r>
  <r>
    <n v="980"/>
    <x v="43"/>
    <x v="1"/>
    <n v="11"/>
    <b v="0"/>
    <n v="0"/>
    <s v="Yes"/>
    <s v="Sunday"/>
    <n v="1"/>
    <s v="Clean"/>
    <n v="0.32"/>
    <s v="Safe"/>
    <n v="0.28789999999999999"/>
    <n v="0.39"/>
    <s v="Acceptable"/>
    <n v="0.44779999999999998"/>
    <n v="26"/>
    <x v="132"/>
    <n v="112"/>
  </r>
  <r>
    <n v="981"/>
    <x v="43"/>
    <x v="1"/>
    <n v="12"/>
    <b v="0"/>
    <n v="0"/>
    <s v="Yes"/>
    <s v="Sunday"/>
    <n v="1"/>
    <s v="Clean"/>
    <n v="0.36"/>
    <s v="Risky"/>
    <n v="0.31819999999999998"/>
    <n v="0.32"/>
    <s v="Acceptable"/>
    <n v="0.4627"/>
    <n v="58"/>
    <x v="111"/>
    <n v="152"/>
  </r>
  <r>
    <n v="982"/>
    <x v="43"/>
    <x v="1"/>
    <n v="13"/>
    <b v="0"/>
    <n v="0"/>
    <s v="Yes"/>
    <s v="Sunday"/>
    <n v="1"/>
    <s v="Clean"/>
    <n v="0.38"/>
    <s v="Risky"/>
    <n v="0.39389999999999997"/>
    <n v="0.28999999999999998"/>
    <s v="Acceptable"/>
    <n v="0.35820000000000002"/>
    <n v="62"/>
    <x v="50"/>
    <n v="154"/>
  </r>
  <r>
    <n v="983"/>
    <x v="43"/>
    <x v="1"/>
    <n v="14"/>
    <b v="0"/>
    <n v="0"/>
    <s v="Yes"/>
    <s v="Sunday"/>
    <n v="2"/>
    <s v="Misty"/>
    <n v="0.4"/>
    <s v="Risky"/>
    <n v="0.40910000000000002"/>
    <n v="0.3"/>
    <s v="Acceptable"/>
    <n v="0.41789999999999999"/>
    <n v="51"/>
    <x v="59"/>
    <n v="161"/>
  </r>
  <r>
    <n v="984"/>
    <x v="43"/>
    <x v="1"/>
    <n v="15"/>
    <b v="0"/>
    <n v="0"/>
    <s v="Yes"/>
    <s v="Sunday"/>
    <n v="2"/>
    <s v="Misty"/>
    <n v="0.4"/>
    <s v="Risky"/>
    <n v="0.40910000000000002"/>
    <n v="0.3"/>
    <s v="Acceptable"/>
    <n v="0.29849999999999999"/>
    <n v="40"/>
    <x v="183"/>
    <n v="162"/>
  </r>
  <r>
    <n v="985"/>
    <x v="43"/>
    <x v="1"/>
    <n v="16"/>
    <b v="0"/>
    <n v="0"/>
    <s v="Yes"/>
    <s v="Sunday"/>
    <n v="2"/>
    <s v="Misty"/>
    <n v="0.42"/>
    <s v="Risky"/>
    <n v="0.42420000000000002"/>
    <n v="0.28000000000000003"/>
    <s v="Acceptable"/>
    <n v="0.32840000000000003"/>
    <n v="28"/>
    <x v="184"/>
    <n v="134"/>
  </r>
  <r>
    <n v="986"/>
    <x v="43"/>
    <x v="1"/>
    <n v="17"/>
    <b v="0"/>
    <n v="0"/>
    <s v="Yes"/>
    <s v="Sunday"/>
    <n v="1"/>
    <s v="Clean"/>
    <n v="0.42"/>
    <s v="Risky"/>
    <n v="0.42420000000000002"/>
    <n v="0.28000000000000003"/>
    <s v="Acceptable"/>
    <n v="0.32840000000000003"/>
    <n v="30"/>
    <x v="73"/>
    <n v="125"/>
  </r>
  <r>
    <n v="987"/>
    <x v="43"/>
    <x v="1"/>
    <n v="18"/>
    <b v="0"/>
    <n v="0"/>
    <s v="Yes"/>
    <s v="Sunday"/>
    <n v="1"/>
    <s v="Clean"/>
    <n v="0.4"/>
    <s v="Risky"/>
    <n v="0.40910000000000002"/>
    <n v="0.32"/>
    <s v="Acceptable"/>
    <n v="0.29849999999999999"/>
    <n v="17"/>
    <x v="78"/>
    <n v="95"/>
  </r>
  <r>
    <n v="988"/>
    <x v="43"/>
    <x v="1"/>
    <n v="19"/>
    <b v="0"/>
    <n v="0"/>
    <s v="Yes"/>
    <s v="Sunday"/>
    <n v="1"/>
    <s v="Clean"/>
    <n v="0.4"/>
    <s v="Risky"/>
    <n v="0.40910000000000002"/>
    <n v="0.35"/>
    <s v="Acceptable"/>
    <n v="0.28360000000000002"/>
    <n v="11"/>
    <x v="54"/>
    <n v="61"/>
  </r>
  <r>
    <n v="989"/>
    <x v="43"/>
    <x v="1"/>
    <n v="20"/>
    <b v="0"/>
    <n v="0"/>
    <s v="Yes"/>
    <s v="Sunday"/>
    <n v="1"/>
    <s v="Clean"/>
    <n v="0.4"/>
    <s v="Risky"/>
    <n v="0.40910000000000002"/>
    <n v="0.35"/>
    <s v="Acceptable"/>
    <n v="0.32840000000000003"/>
    <n v="15"/>
    <x v="1"/>
    <n v="47"/>
  </r>
  <r>
    <n v="990"/>
    <x v="43"/>
    <x v="1"/>
    <n v="21"/>
    <b v="0"/>
    <n v="0"/>
    <s v="Yes"/>
    <s v="Sunday"/>
    <n v="1"/>
    <s v="Clean"/>
    <n v="0.4"/>
    <s v="Risky"/>
    <n v="0.40910000000000002"/>
    <n v="0.35"/>
    <s v="Acceptable"/>
    <n v="0.35820000000000002"/>
    <n v="6"/>
    <x v="108"/>
    <n v="51"/>
  </r>
  <r>
    <n v="991"/>
    <x v="43"/>
    <x v="1"/>
    <n v="22"/>
    <b v="0"/>
    <n v="0"/>
    <s v="Yes"/>
    <s v="Sunday"/>
    <n v="1"/>
    <s v="Clean"/>
    <n v="0.4"/>
    <s v="Risky"/>
    <n v="0.40910000000000002"/>
    <n v="0.35"/>
    <s v="Acceptable"/>
    <n v="0.29849999999999999"/>
    <n v="5"/>
    <x v="17"/>
    <n v="36"/>
  </r>
  <r>
    <n v="992"/>
    <x v="43"/>
    <x v="1"/>
    <n v="23"/>
    <b v="0"/>
    <n v="0"/>
    <s v="Yes"/>
    <s v="Sunday"/>
    <n v="1"/>
    <s v="Clean"/>
    <n v="0.4"/>
    <s v="Risky"/>
    <n v="0.40910000000000002"/>
    <n v="0.35"/>
    <s v="Acceptable"/>
    <n v="0.35820000000000002"/>
    <n v="3"/>
    <x v="2"/>
    <n v="30"/>
  </r>
  <r>
    <n v="993"/>
    <x v="44"/>
    <x v="1"/>
    <n v="0"/>
    <b v="0"/>
    <n v="1"/>
    <s v="No"/>
    <s v="Monday"/>
    <n v="1"/>
    <s v="Clean"/>
    <n v="0.38"/>
    <s v="Risky"/>
    <n v="0.39389999999999997"/>
    <n v="0.37"/>
    <s v="Acceptable"/>
    <n v="0.35820000000000002"/>
    <n v="3"/>
    <x v="21"/>
    <n v="11"/>
  </r>
  <r>
    <n v="994"/>
    <x v="44"/>
    <x v="1"/>
    <n v="1"/>
    <b v="0"/>
    <n v="1"/>
    <s v="No"/>
    <s v="Monday"/>
    <n v="1"/>
    <s v="Clean"/>
    <n v="0.38"/>
    <s v="Risky"/>
    <n v="0.39389999999999997"/>
    <n v="0.37"/>
    <s v="Acceptable"/>
    <n v="0.35820000000000002"/>
    <n v="1"/>
    <x v="8"/>
    <n v="7"/>
  </r>
  <r>
    <n v="995"/>
    <x v="44"/>
    <x v="1"/>
    <n v="2"/>
    <b v="0"/>
    <n v="1"/>
    <s v="No"/>
    <s v="Monday"/>
    <n v="1"/>
    <s v="Clean"/>
    <n v="0.36"/>
    <s v="Risky"/>
    <n v="0.33329999999999999"/>
    <n v="0.4"/>
    <s v="Acceptable"/>
    <n v="0.29849999999999999"/>
    <n v="0"/>
    <x v="6"/>
    <n v="2"/>
  </r>
  <r>
    <n v="996"/>
    <x v="44"/>
    <x v="1"/>
    <n v="3"/>
    <b v="0"/>
    <n v="1"/>
    <s v="No"/>
    <s v="Monday"/>
    <n v="1"/>
    <s v="Clean"/>
    <n v="0.34"/>
    <s v="Safe"/>
    <n v="0.31819999999999998"/>
    <n v="0.46"/>
    <s v="Acceptable"/>
    <n v="0.22389999999999999"/>
    <n v="1"/>
    <x v="4"/>
    <n v="2"/>
  </r>
  <r>
    <n v="997"/>
    <x v="44"/>
    <x v="1"/>
    <n v="4"/>
    <b v="0"/>
    <n v="1"/>
    <s v="No"/>
    <s v="Monday"/>
    <n v="1"/>
    <s v="Clean"/>
    <n v="0.32"/>
    <s v="Safe"/>
    <n v="0.30299999999999999"/>
    <n v="0.53"/>
    <s v="Acceptable"/>
    <n v="0.28360000000000002"/>
    <n v="0"/>
    <x v="6"/>
    <n v="2"/>
  </r>
  <r>
    <n v="998"/>
    <x v="44"/>
    <x v="1"/>
    <n v="5"/>
    <b v="0"/>
    <n v="1"/>
    <s v="No"/>
    <s v="Monday"/>
    <n v="1"/>
    <s v="Clean"/>
    <n v="0.32"/>
    <s v="Safe"/>
    <n v="0.30299999999999999"/>
    <n v="0.53"/>
    <s v="Acceptable"/>
    <n v="0.28360000000000002"/>
    <n v="0"/>
    <x v="35"/>
    <n v="3"/>
  </r>
  <r>
    <n v="999"/>
    <x v="44"/>
    <x v="1"/>
    <n v="6"/>
    <b v="0"/>
    <n v="1"/>
    <s v="No"/>
    <s v="Monday"/>
    <n v="1"/>
    <s v="Clean"/>
    <n v="0.34"/>
    <s v="Safe"/>
    <n v="0.30299999999999999"/>
    <n v="0.46"/>
    <s v="Acceptable"/>
    <n v="0.29849999999999999"/>
    <n v="1"/>
    <x v="18"/>
    <n v="26"/>
  </r>
  <r>
    <n v="1000"/>
    <x v="44"/>
    <x v="1"/>
    <n v="7"/>
    <b v="0"/>
    <n v="1"/>
    <s v="No"/>
    <s v="Monday"/>
    <n v="1"/>
    <s v="Clean"/>
    <n v="0.34"/>
    <s v="Safe"/>
    <n v="0.30299999999999999"/>
    <n v="0.46"/>
    <s v="Acceptable"/>
    <n v="0.29849999999999999"/>
    <n v="2"/>
    <x v="185"/>
    <n v="98"/>
  </r>
</pivotCacheRecord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1" xr16:uid="{05047AB6-DDAD-4DE5-B65D-8D9F5A3DFF6F}" autoFormatId="16" applyNumberFormats="0" applyBorderFormats="0" applyFontFormats="0" applyPatternFormats="0" applyAlignmentFormats="0" applyWidthHeightFormats="0">
  <queryTableRefresh nextId="24">
    <queryTableFields count="19">
      <queryTableField id="1" name="Instant" tableColumnId="1"/>
      <queryTableField id="2" name="Date" tableColumnId="2"/>
      <queryTableField id="3" name="Month" tableColumnId="3"/>
      <queryTableField id="4" name="Hour" tableColumnId="4"/>
      <queryTableField id="5" name="Holiday" tableColumnId="5"/>
      <queryTableField id="6" name="Weekday" tableColumnId="6"/>
      <queryTableField id="7" name="Weekend" tableColumnId="7"/>
      <queryTableField id="8" name="Days" tableColumnId="8"/>
      <queryTableField id="9" name="Weather Situation" tableColumnId="9"/>
      <queryTableField id="10" name="Weather" tableColumnId="10"/>
      <queryTableField id="11" name="Temperature " tableColumnId="11"/>
      <queryTableField id="12" name="Temperature Situation  " tableColumnId="12"/>
      <queryTableField id="14" name="Revised Atemp" tableColumnId="14"/>
      <queryTableField id="15" name="Humidity" tableColumnId="15"/>
      <queryTableField id="16" name="Humidity Check" tableColumnId="16"/>
      <queryTableField id="17" name="Windspeed" tableColumnId="17"/>
      <queryTableField id="18" name="Casual" tableColumnId="18"/>
      <queryTableField id="19" name="Registered" tableColumnId="19"/>
      <queryTableField id="20" name="Count" tableColumnId="20"/>
    </queryTableFields>
    <queryTableDeletedFields count="3">
      <deletedField name="Temperature"/>
      <deletedField name="Temperature Situation"/>
      <deletedField name="atemp"/>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s" xr10:uid="{39D9225A-4364-466F-9080-1AD4D4543D3D}" sourceName="Days">
  <data>
    <tabular pivotCacheId="1500448533">
      <items count="7">
        <i x="2"/>
        <i x="3"/>
        <i x="4" s="1"/>
        <i x="5"/>
        <i x="6"/>
        <i x="0"/>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dspeed" xr10:uid="{C02AD82C-4D4B-42D3-978E-60B0784151BC}" sourceName="Windspeed">
  <data>
    <tabular pivotCacheId="1500448533">
      <items count="20">
        <i x="0" s="1"/>
        <i x="1" s="1"/>
        <i x="14" s="1"/>
        <i x="7" s="1"/>
        <i x="8" s="1"/>
        <i x="5" s="1"/>
        <i x="6" s="1"/>
        <i x="2" s="1"/>
        <i x="3" s="1"/>
        <i x="4" s="1"/>
        <i x="9" s="1"/>
        <i x="11" s="1"/>
        <i x="13" s="1"/>
        <i x="12" s="1"/>
        <i x="10" s="1"/>
        <i x="17" s="1"/>
        <i x="15" s="1"/>
        <i x="18" s="1"/>
        <i x="16" s="1"/>
        <i x="1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 xr10:uid="{DC6CDEA6-00BD-48DC-B394-6C22C736E7CA}" sourceName="Weather">
  <data>
    <tabular pivotCacheId="1443080494">
      <items count="3">
        <i x="0" s="1"/>
        <i x="2"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erature_Situation" xr10:uid="{CCB45EB9-9D7E-4993-B121-12FEA4E12A3F}" sourceName="Temperature Situation  ">
  <data>
    <tabular pivotCacheId="1443080494">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s 1" xr10:uid="{5DC8B87C-3B70-46D9-BABD-D277602CB662}" cache="Slicer_Days" caption="Days" style="SlicerStyleLight6" rowHeight="234950"/>
  <slicer name="Windspeed 1" xr10:uid="{50A11768-68A2-4943-A642-04B596BAACFF}" cache="Slicer_Windspeed" caption="Windspeed" startItem="2" style="SlicerStyleLight6" rowHeight="234950"/>
  <slicer name="Weather 1" xr10:uid="{CAEEDFB9-0943-48FD-A2AF-6C4CFD66C6D0}" cache="Slicer_Weather" caption="Weather" style="SlicerStyleLight6" rowHeight="234950"/>
  <slicer name="Temperature Situation   1" xr10:uid="{4329128D-67DE-4690-BD97-98492CB96D00}" cache="Slicer_Temperature_Situation" caption="Temperature Situation  " style="SlicerStyleLight6" rowHeight="23495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6137C7-3811-486C-A500-0659A37547B6}" name="Dataset1" displayName="Dataset1" ref="A1:M611" totalsRowShown="0" headerRowDxfId="55">
  <tableColumns count="13">
    <tableColumn id="1" xr3:uid="{9DA6B725-9FD9-4B61-9F64-B5EC4291C0BD}" name="Instant"/>
    <tableColumn id="2" xr3:uid="{733D4589-B2A2-477A-A261-B982857229AA}" name="Date" dataDxfId="0"/>
    <tableColumn id="3" xr3:uid="{33705CAA-2F00-47A6-9BD9-97BFA467237C}" name="Month"/>
    <tableColumn id="4" xr3:uid="{A9177D42-5D50-436E-A25C-90BB1A3EBA37}" name="Hour"/>
    <tableColumn id="5" xr3:uid="{4E2BEDFC-FF30-4077-AB8B-6BF66FB67075}" name="Holiday"/>
    <tableColumn id="6" xr3:uid="{88F23607-6D2A-4C58-AB28-21F6A7B1A343}" name="Weekday"/>
    <tableColumn id="7" xr3:uid="{7F871DC2-80ED-4E01-8E91-AE8A42879EAB}" name="Weekend" dataDxfId="54">
      <calculatedColumnFormula>_xlfn.IFS(F2=0,"Yes",F2=6,"Yes",F2&gt;0,"No")</calculatedColumnFormula>
    </tableColumn>
    <tableColumn id="8" xr3:uid="{71BA2103-9AD1-4B5D-9CA7-212B3254C3A6}" name="Days" dataDxfId="53">
      <calculatedColumnFormula>TEXT(B2:B611,"dddd")</calculatedColumnFormula>
    </tableColumn>
    <tableColumn id="9" xr3:uid="{79D9A81E-1FF1-4C56-B8AF-5FCFEEF005EC}" name="Weather Situation"/>
    <tableColumn id="10" xr3:uid="{30AF4A9D-070C-4C2C-BA65-62364FE94833}" name="Weather" dataDxfId="52">
      <calculatedColumnFormula>_xlfn.IFS(I2=1,"Clean",I2=2,"Misty",I2=3,"Light Rain",I2=4,"Heavy Rain")</calculatedColumnFormula>
    </tableColumn>
    <tableColumn id="11" xr3:uid="{D8940C75-0E7E-46E5-89AA-19971B6FCEE7}" name="Temperature "/>
    <tableColumn id="12" xr3:uid="{7B61EADA-915D-41D6-BFAD-1500E904FA6E}" name="Temperature Situation  " dataDxfId="51">
      <calculatedColumnFormula>_xlfn.IFS(K2&lt;0.1,"Risky",K2&lt;0.35,"Safe",K2&gt;0.35,"Risky")</calculatedColumnFormula>
    </tableColumn>
    <tableColumn id="13" xr3:uid="{4C6645AD-6CB2-48BB-9CB1-60D6476590F7}" name="Blanks" dataDxfId="50">
      <calculatedColumnFormula>COUNTBLANK(A2:K2)</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0DED30B-3551-4558-993E-186388EE0C5E}" name="Table2" displayName="Table2" ref="A1:I611" totalsRowShown="0" headerRowDxfId="46" dataDxfId="44" headerRowBorderDxfId="45" tableBorderDxfId="43" totalsRowBorderDxfId="42">
  <autoFilter ref="A1:I611" xr:uid="{D0DED30B-3551-4558-993E-186388EE0C5E}"/>
  <tableColumns count="9">
    <tableColumn id="1" xr3:uid="{54D3F279-FFE8-4B8B-B596-53FE6FEFE84F}" name="Instant" dataDxfId="41"/>
    <tableColumn id="2" xr3:uid="{2643D5F0-563C-4C0C-B6A5-D39F2C2306B0}" name="atemp" dataDxfId="40"/>
    <tableColumn id="3" xr3:uid="{1E346C8F-1EE1-4932-956A-D297E912893D}" name="Revised Atemp" dataDxfId="39">
      <calculatedColumnFormula>IF(ISBLANK(B2),AVERAGE(B2:B611),B2)</calculatedColumnFormula>
    </tableColumn>
    <tableColumn id="4" xr3:uid="{62292133-2F41-4AD4-A5FA-D27577752119}" name="Humidity" dataDxfId="38"/>
    <tableColumn id="5" xr3:uid="{23BB240F-6990-43DA-9D6A-3BE41F131576}" name="Humidity Check" dataDxfId="37">
      <calculatedColumnFormula>IF(D2&lt;0.7,"Acceptable","Risky")</calculatedColumnFormula>
    </tableColumn>
    <tableColumn id="6" xr3:uid="{CA0FCB37-D2BA-44FC-BD0C-24301A3809A0}" name="Windspeed" dataDxfId="36"/>
    <tableColumn id="7" xr3:uid="{BE6B77E3-8B08-46DB-A738-C996DE5CE51B}" name="Casual" dataDxfId="35"/>
    <tableColumn id="8" xr3:uid="{2B8F99AC-6851-4A86-B6BF-57B6B28D64A9}" name="Registered" dataDxfId="34"/>
    <tableColumn id="9" xr3:uid="{6B5FC00C-59B9-497E-A8B5-9D1F62924AFB}" name="Count"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BFDA17-734D-4F18-82CD-7F7FCEFA46EA}" name="Table4" displayName="Table4" ref="A1:S391" totalsRowShown="0" headerRowDxfId="32" dataDxfId="31" tableBorderDxfId="30">
  <autoFilter ref="A1:S391" xr:uid="{5EBFDA17-734D-4F18-82CD-7F7FCEFA46EA}"/>
  <tableColumns count="19">
    <tableColumn id="1" xr3:uid="{FEEA3169-FC97-4445-B685-3715B29FB60C}" name="Instant" dataDxfId="29"/>
    <tableColumn id="2" xr3:uid="{21DAD055-D6D2-4661-8A86-AEDF375BA914}" name="Date" dataDxfId="28"/>
    <tableColumn id="3" xr3:uid="{07189CA7-BBA3-4E15-B646-463557D31DD6}" name="Month" dataDxfId="27"/>
    <tableColumn id="4" xr3:uid="{12F9E974-AC36-4FE6-8027-88179B10207A}" name="Hour" dataDxfId="26"/>
    <tableColumn id="5" xr3:uid="{6A8A1ACD-80A1-4AE4-8A4D-413D8A99FC16}" name="Holiday" dataDxfId="25"/>
    <tableColumn id="6" xr3:uid="{18E694DA-C46B-40B1-928C-25CBA7862CA2}" name="Weekday" dataDxfId="24"/>
    <tableColumn id="7" xr3:uid="{F8972CCA-9E61-4201-88BD-1963E21B5EC2}" name="Weekend" dataDxfId="23">
      <calculatedColumnFormula>_xlfn.IFS(F2=0,"Yes",F2=6,"Yes",F2&gt;0,"No")</calculatedColumnFormula>
    </tableColumn>
    <tableColumn id="8" xr3:uid="{901CCBBB-DD2D-4F27-904C-69A97DABDE3B}" name="Days" dataDxfId="22">
      <calculatedColumnFormula>TEXT(B2:B391,"dddd")</calculatedColumnFormula>
    </tableColumn>
    <tableColumn id="9" xr3:uid="{8082CCAF-B254-4DFF-9F7C-C58411593E76}" name="Weather Situation" dataDxfId="21"/>
    <tableColumn id="10" xr3:uid="{6383619E-E849-4878-8346-265CFA785336}" name="Weather" dataDxfId="20">
      <calculatedColumnFormula>_xlfn.IFS(I2=1,"Clean",I2=2,"Misty",I2=3,"Light Rain",I2=4,"Heavy Rain")</calculatedColumnFormula>
    </tableColumn>
    <tableColumn id="11" xr3:uid="{1830439F-3C31-4E29-BF32-B57503B57654}" name="Temperature" dataDxfId="19"/>
    <tableColumn id="12" xr3:uid="{68902A6E-5C3E-49FA-BE4D-AFDA584C8900}" name="Temperature Situation" dataDxfId="18">
      <calculatedColumnFormula>_xlfn.IFS(K2&lt;0.1,"Risky",K2&lt;0.35,"Safe",K2&gt;0.35,"Risky")</calculatedColumnFormula>
    </tableColumn>
    <tableColumn id="13" xr3:uid="{585BAD5A-7949-42C6-8847-87DDAAE567D3}" name="atemp" dataDxfId="17"/>
    <tableColumn id="14" xr3:uid="{E9D2696B-7A97-4914-9205-759D7ACDD73B}" name="Humidity" dataDxfId="16"/>
    <tableColumn id="15" xr3:uid="{14DA390C-5D65-40FA-A935-81AD1F99E825}" name="Humidity Check" dataDxfId="15">
      <calculatedColumnFormula>IF(N2&lt;0.7,"Acceptable","Risky")</calculatedColumnFormula>
    </tableColumn>
    <tableColumn id="16" xr3:uid="{D3BB0770-2ED5-471D-A77C-36283CF23CB3}" name="Windspeed" dataDxfId="14"/>
    <tableColumn id="17" xr3:uid="{FAA2267D-25B6-404F-9387-53AE846EF8E5}" name="Casual" dataDxfId="13"/>
    <tableColumn id="18" xr3:uid="{B9521CFB-D4F1-46B7-8512-47BEFFC0A845}" name="Registered" dataDxfId="12"/>
    <tableColumn id="19" xr3:uid="{0E6282BC-1E21-420B-A960-FAFAAED8A183}" name="Count"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1B35FB-2268-4B9A-920E-E57B848BE7D9}" name="Table5" displayName="Table5" ref="A1:E86" totalsRowShown="0">
  <autoFilter ref="A1:E86" xr:uid="{DA1B35FB-2268-4B9A-920E-E57B848BE7D9}"/>
  <tableColumns count="5">
    <tableColumn id="1" xr3:uid="{11360A20-38EA-4183-8604-34CE17E67E1A}" name="Date" dataDxfId="10"/>
    <tableColumn id="2" xr3:uid="{0F0B1D92-F137-4764-9548-4BBA1A7857FE}" name="Instant"/>
    <tableColumn id="3" xr3:uid="{BAED68D3-3CE6-4EC0-A11C-269F333AE1D4}" name="Forecast(Instant)">
      <calculatedColumnFormula>_xlfn.FORECAST.ETS(A2,$B$2:$B$46,$A$2:$A$46,1,1)</calculatedColumnFormula>
    </tableColumn>
    <tableColumn id="4" xr3:uid="{BDC761E8-E2B6-436B-965E-4DBBC68C64CF}" name="Lower Confidence Bound(Instant)" dataDxfId="9">
      <calculatedColumnFormula>C2-_xlfn.FORECAST.ETS.CONFINT(A2,$B$2:$B$46,$A$2:$A$46,0.95,1,1)</calculatedColumnFormula>
    </tableColumn>
    <tableColumn id="5" xr3:uid="{C09A83DF-64F3-4472-983E-28361E65473D}" name="Upper Confidence Bound(Instant)" dataDxfId="8">
      <calculatedColumnFormula>C2+_xlfn.FORECAST.ETS.CONFINT(A2,$B$2:$B$46,$A$2:$A$46,0.95,1,1)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19016FA-8521-423E-859D-4397BC70CEA3}" name="Append1" displayName="Append1" ref="A1:S1000" tableType="queryTable" totalsRowShown="0" headerRowDxfId="7">
  <autoFilter ref="A1:S1000" xr:uid="{F19016FA-8521-423E-859D-4397BC70CEA3}"/>
  <tableColumns count="19">
    <tableColumn id="1" xr3:uid="{2C538A97-D7CC-4359-AE10-90DF25A57DE7}" uniqueName="1" name="Instant" queryTableFieldId="1"/>
    <tableColumn id="2" xr3:uid="{28CA58C0-A21D-418C-AEC6-45D9717C62D7}" uniqueName="2" name="Date" queryTableFieldId="2" dataDxfId="6"/>
    <tableColumn id="3" xr3:uid="{69ECDB1E-3458-432F-8DDE-31699386FCA1}" uniqueName="3" name="Month" queryTableFieldId="3"/>
    <tableColumn id="4" xr3:uid="{C9262341-E1B6-43B3-B911-4C665E9E171F}" uniqueName="4" name="Hour" queryTableFieldId="4"/>
    <tableColumn id="5" xr3:uid="{6B5D0DB1-E060-45BA-9F65-CA2C2B012C8C}" uniqueName="5" name="Holiday" queryTableFieldId="5"/>
    <tableColumn id="6" xr3:uid="{5D759DCD-E226-4451-B740-1BB1B27BC483}" uniqueName="6" name="Weekday" queryTableFieldId="6"/>
    <tableColumn id="7" xr3:uid="{7390385D-531A-4905-9E6C-F4F1A3A8EB76}" uniqueName="7" name="Weekend" queryTableFieldId="7" dataDxfId="5"/>
    <tableColumn id="8" xr3:uid="{6EA240DD-ECF3-4362-921B-A8C1C575D8CA}" uniqueName="8" name="Days" queryTableFieldId="8" dataDxfId="4"/>
    <tableColumn id="9" xr3:uid="{D71E47FE-50D8-4626-9AF5-1AD81FEF6B9B}" uniqueName="9" name="Weather Situation" queryTableFieldId="9"/>
    <tableColumn id="10" xr3:uid="{30B20EAF-3628-46F0-9A49-140B77889A4A}" uniqueName="10" name="Weather" queryTableFieldId="10" dataDxfId="3"/>
    <tableColumn id="11" xr3:uid="{7FAAA9DA-A135-4746-8060-AF4E33665D5E}" uniqueName="11" name="Temperature " queryTableFieldId="11"/>
    <tableColumn id="12" xr3:uid="{DB7B6522-4C2F-4F81-9B1B-EE2D7B3E99CA}" uniqueName="12" name="Temperature Situation  " queryTableFieldId="12" dataDxfId="2"/>
    <tableColumn id="14" xr3:uid="{BA62119E-9612-459C-B4DD-D57B57CEF18C}" uniqueName="14" name="Revised Atemp" queryTableFieldId="14"/>
    <tableColumn id="15" xr3:uid="{DE58FCA9-513C-493A-8DA0-80817403B089}" uniqueName="15" name="Humidity" queryTableFieldId="15"/>
    <tableColumn id="16" xr3:uid="{4DD70FC1-CD7B-45C6-9DE6-1F71B9AA9067}" uniqueName="16" name="Humidity Check" queryTableFieldId="16" dataDxfId="1"/>
    <tableColumn id="17" xr3:uid="{3C636096-954A-4C40-900C-83E3212B2C97}" uniqueName="17" name="Windspeed" queryTableFieldId="17"/>
    <tableColumn id="18" xr3:uid="{37A41D73-E44A-479A-8D6A-32CAC76063B4}" uniqueName="18" name="Casual" queryTableFieldId="18"/>
    <tableColumn id="19" xr3:uid="{65345990-F3D7-4957-9C64-8825D3BCD6AB}" uniqueName="19" name="Registered" queryTableFieldId="19"/>
    <tableColumn id="20" xr3:uid="{7796DF0D-4B13-4230-8A4B-5D6E7E85C894}" uniqueName="20" name="Count"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4C0A45E-E290-4C27-9F1E-8402C8D90F53}" sourceName="Date">
  <state minimalRefreshVersion="6" lastRefreshVersion="6" pivotCacheId="736218531"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B3030DF8-4D5C-4DBB-B251-1C072FA79F31}" cache="NativeTimeline_Date" caption="Date" level="2" selectionLevel="2" scrollPosition="2011-01-01T00:00:00" style="TimeSlicerStyleLight6"/>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png"/><Relationship Id="rId1" Type="http://schemas.openxmlformats.org/officeDocument/2006/relationships/drawing" Target="../drawings/drawing2.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8097E-875F-47AA-920D-7C1AD9C65026}">
  <dimension ref="A1:J611"/>
  <sheetViews>
    <sheetView workbookViewId="0">
      <selection activeCell="N8" sqref="N8"/>
    </sheetView>
  </sheetViews>
  <sheetFormatPr defaultRowHeight="14.4" x14ac:dyDescent="0.3"/>
  <cols>
    <col min="2" max="2" width="13.44140625" customWidth="1"/>
  </cols>
  <sheetData>
    <row r="1" spans="1:10" ht="27" x14ac:dyDescent="0.3">
      <c r="A1" s="64" t="s">
        <v>65</v>
      </c>
      <c r="B1" s="64" t="s">
        <v>66</v>
      </c>
      <c r="C1" s="64" t="s">
        <v>67</v>
      </c>
      <c r="D1" s="64" t="s">
        <v>68</v>
      </c>
      <c r="E1" s="64" t="s">
        <v>69</v>
      </c>
      <c r="F1" s="64" t="s">
        <v>70</v>
      </c>
      <c r="G1" s="64" t="s">
        <v>71</v>
      </c>
      <c r="H1" s="64" t="s">
        <v>72</v>
      </c>
      <c r="I1" s="64" t="s">
        <v>73</v>
      </c>
      <c r="J1" s="64" t="s">
        <v>74</v>
      </c>
    </row>
    <row r="2" spans="1:10" x14ac:dyDescent="0.3">
      <c r="A2" s="65">
        <v>1</v>
      </c>
      <c r="B2" s="66">
        <v>40544</v>
      </c>
      <c r="C2" s="65">
        <v>1</v>
      </c>
      <c r="D2" s="65">
        <v>0</v>
      </c>
      <c r="E2" s="65">
        <v>1</v>
      </c>
      <c r="F2" s="65">
        <v>0</v>
      </c>
      <c r="G2" s="67" t="b">
        <v>0</v>
      </c>
      <c r="H2" s="65">
        <v>6</v>
      </c>
      <c r="I2" s="65">
        <v>1</v>
      </c>
      <c r="J2" s="65">
        <v>0.24</v>
      </c>
    </row>
    <row r="3" spans="1:10" x14ac:dyDescent="0.3">
      <c r="A3" s="65">
        <v>2</v>
      </c>
      <c r="B3" s="66">
        <v>40544</v>
      </c>
      <c r="C3" s="65">
        <v>1</v>
      </c>
      <c r="D3" s="65">
        <v>0</v>
      </c>
      <c r="E3" s="65">
        <v>1</v>
      </c>
      <c r="F3" s="65">
        <v>1</v>
      </c>
      <c r="G3" s="67" t="b">
        <v>0</v>
      </c>
      <c r="H3" s="65">
        <v>6</v>
      </c>
      <c r="I3" s="65">
        <v>1</v>
      </c>
      <c r="J3" s="65">
        <v>0.22</v>
      </c>
    </row>
    <row r="4" spans="1:10" x14ac:dyDescent="0.3">
      <c r="A4" s="65">
        <v>3</v>
      </c>
      <c r="B4" s="66">
        <v>40544</v>
      </c>
      <c r="C4" s="65">
        <v>1</v>
      </c>
      <c r="D4" s="65">
        <v>0</v>
      </c>
      <c r="E4" s="65">
        <v>1</v>
      </c>
      <c r="F4" s="65">
        <v>2</v>
      </c>
      <c r="G4" s="67" t="b">
        <v>0</v>
      </c>
      <c r="H4" s="65">
        <v>6</v>
      </c>
      <c r="I4" s="65">
        <v>1</v>
      </c>
      <c r="J4" s="65">
        <v>0.22</v>
      </c>
    </row>
    <row r="5" spans="1:10" x14ac:dyDescent="0.3">
      <c r="A5" s="65">
        <v>4</v>
      </c>
      <c r="B5" s="66">
        <v>40544</v>
      </c>
      <c r="C5" s="65">
        <v>1</v>
      </c>
      <c r="D5" s="65">
        <v>0</v>
      </c>
      <c r="E5" s="65">
        <v>1</v>
      </c>
      <c r="F5" s="65">
        <v>3</v>
      </c>
      <c r="G5" s="67" t="b">
        <v>0</v>
      </c>
      <c r="H5" s="65">
        <v>6</v>
      </c>
      <c r="I5" s="65">
        <v>1</v>
      </c>
      <c r="J5" s="65">
        <v>0.24</v>
      </c>
    </row>
    <row r="6" spans="1:10" x14ac:dyDescent="0.3">
      <c r="A6" s="65">
        <v>5</v>
      </c>
      <c r="B6" s="66">
        <v>40544</v>
      </c>
      <c r="C6" s="65">
        <v>1</v>
      </c>
      <c r="D6" s="65">
        <v>0</v>
      </c>
      <c r="E6" s="65">
        <v>1</v>
      </c>
      <c r="F6" s="65">
        <v>4</v>
      </c>
      <c r="G6" s="67" t="b">
        <v>0</v>
      </c>
      <c r="H6" s="65">
        <v>6</v>
      </c>
      <c r="I6" s="65">
        <v>1</v>
      </c>
      <c r="J6" s="65">
        <v>0.24</v>
      </c>
    </row>
    <row r="7" spans="1:10" x14ac:dyDescent="0.3">
      <c r="A7" s="65">
        <v>6</v>
      </c>
      <c r="B7" s="66">
        <v>40544</v>
      </c>
      <c r="C7" s="65">
        <v>1</v>
      </c>
      <c r="D7" s="65">
        <v>0</v>
      </c>
      <c r="E7" s="65">
        <v>1</v>
      </c>
      <c r="F7" s="65">
        <v>5</v>
      </c>
      <c r="G7" s="67" t="b">
        <v>0</v>
      </c>
      <c r="H7" s="65">
        <v>6</v>
      </c>
      <c r="I7" s="65">
        <v>2</v>
      </c>
      <c r="J7" s="65">
        <v>0.24</v>
      </c>
    </row>
    <row r="8" spans="1:10" x14ac:dyDescent="0.3">
      <c r="A8" s="65">
        <v>7</v>
      </c>
      <c r="B8" s="66">
        <v>40544</v>
      </c>
      <c r="C8" s="65">
        <v>1</v>
      </c>
      <c r="D8" s="65">
        <v>0</v>
      </c>
      <c r="E8" s="65">
        <v>1</v>
      </c>
      <c r="F8" s="65">
        <v>6</v>
      </c>
      <c r="G8" s="67" t="b">
        <v>0</v>
      </c>
      <c r="H8" s="65">
        <v>6</v>
      </c>
      <c r="I8" s="65">
        <v>1</v>
      </c>
      <c r="J8" s="65">
        <v>0.22</v>
      </c>
    </row>
    <row r="9" spans="1:10" x14ac:dyDescent="0.3">
      <c r="A9" s="65">
        <v>8</v>
      </c>
      <c r="B9" s="66">
        <v>40544</v>
      </c>
      <c r="C9" s="65">
        <v>1</v>
      </c>
      <c r="D9" s="65">
        <v>0</v>
      </c>
      <c r="E9" s="65">
        <v>1</v>
      </c>
      <c r="F9" s="65">
        <v>7</v>
      </c>
      <c r="G9" s="67" t="b">
        <v>0</v>
      </c>
      <c r="H9" s="65">
        <v>6</v>
      </c>
      <c r="I9" s="65">
        <v>1</v>
      </c>
      <c r="J9" s="65">
        <v>0.2</v>
      </c>
    </row>
    <row r="10" spans="1:10" x14ac:dyDescent="0.3">
      <c r="A10" s="65">
        <v>9</v>
      </c>
      <c r="B10" s="66">
        <v>40544</v>
      </c>
      <c r="C10" s="65">
        <v>1</v>
      </c>
      <c r="D10" s="65">
        <v>0</v>
      </c>
      <c r="E10" s="65">
        <v>1</v>
      </c>
      <c r="F10" s="65">
        <v>8</v>
      </c>
      <c r="G10" s="67" t="b">
        <v>0</v>
      </c>
      <c r="H10" s="65">
        <v>6</v>
      </c>
      <c r="I10" s="65">
        <v>1</v>
      </c>
      <c r="J10" s="65">
        <v>0.24</v>
      </c>
    </row>
    <row r="11" spans="1:10" x14ac:dyDescent="0.3">
      <c r="A11" s="65">
        <v>10</v>
      </c>
      <c r="B11" s="66">
        <v>40544</v>
      </c>
      <c r="C11" s="65">
        <v>1</v>
      </c>
      <c r="D11" s="65">
        <v>0</v>
      </c>
      <c r="E11" s="65">
        <v>1</v>
      </c>
      <c r="F11" s="65">
        <v>9</v>
      </c>
      <c r="G11" s="67" t="b">
        <v>0</v>
      </c>
      <c r="H11" s="65">
        <v>6</v>
      </c>
      <c r="I11" s="65">
        <v>1</v>
      </c>
      <c r="J11" s="65">
        <v>0.32</v>
      </c>
    </row>
    <row r="12" spans="1:10" x14ac:dyDescent="0.3">
      <c r="A12" s="65">
        <v>11</v>
      </c>
      <c r="B12" s="66">
        <v>40544</v>
      </c>
      <c r="C12" s="65">
        <v>1</v>
      </c>
      <c r="D12" s="65">
        <v>0</v>
      </c>
      <c r="E12" s="65">
        <v>1</v>
      </c>
      <c r="F12" s="65">
        <v>10</v>
      </c>
      <c r="G12" s="67" t="b">
        <v>0</v>
      </c>
      <c r="H12" s="65">
        <v>6</v>
      </c>
      <c r="I12" s="65">
        <v>1</v>
      </c>
      <c r="J12" s="65">
        <v>0.38</v>
      </c>
    </row>
    <row r="13" spans="1:10" x14ac:dyDescent="0.3">
      <c r="A13" s="65">
        <v>12</v>
      </c>
      <c r="B13" s="66">
        <v>40544</v>
      </c>
      <c r="C13" s="65">
        <v>1</v>
      </c>
      <c r="D13" s="65">
        <v>0</v>
      </c>
      <c r="E13" s="65">
        <v>1</v>
      </c>
      <c r="F13" s="65">
        <v>11</v>
      </c>
      <c r="G13" s="67" t="b">
        <v>0</v>
      </c>
      <c r="H13" s="65">
        <v>6</v>
      </c>
      <c r="I13" s="65">
        <v>1</v>
      </c>
      <c r="J13" s="65">
        <v>0.36</v>
      </c>
    </row>
    <row r="14" spans="1:10" x14ac:dyDescent="0.3">
      <c r="A14" s="65">
        <v>13</v>
      </c>
      <c r="B14" s="66">
        <v>40544</v>
      </c>
      <c r="C14" s="65">
        <v>1</v>
      </c>
      <c r="D14" s="65">
        <v>0</v>
      </c>
      <c r="E14" s="65">
        <v>1</v>
      </c>
      <c r="F14" s="65">
        <v>12</v>
      </c>
      <c r="G14" s="67" t="b">
        <v>0</v>
      </c>
      <c r="H14" s="65">
        <v>6</v>
      </c>
      <c r="I14" s="65">
        <v>1</v>
      </c>
      <c r="J14" s="65">
        <v>0.42</v>
      </c>
    </row>
    <row r="15" spans="1:10" x14ac:dyDescent="0.3">
      <c r="A15" s="65">
        <v>14</v>
      </c>
      <c r="B15" s="66">
        <v>40544</v>
      </c>
      <c r="C15" s="65">
        <v>1</v>
      </c>
      <c r="D15" s="65">
        <v>0</v>
      </c>
      <c r="E15" s="65">
        <v>1</v>
      </c>
      <c r="F15" s="65">
        <v>13</v>
      </c>
      <c r="G15" s="67" t="b">
        <v>0</v>
      </c>
      <c r="H15" s="65">
        <v>6</v>
      </c>
      <c r="I15" s="65">
        <v>2</v>
      </c>
      <c r="J15" s="65">
        <v>0.46</v>
      </c>
    </row>
    <row r="16" spans="1:10" x14ac:dyDescent="0.3">
      <c r="A16" s="65">
        <v>15</v>
      </c>
      <c r="B16" s="66">
        <v>40544</v>
      </c>
      <c r="C16" s="65">
        <v>1</v>
      </c>
      <c r="D16" s="65">
        <v>0</v>
      </c>
      <c r="E16" s="65">
        <v>1</v>
      </c>
      <c r="F16" s="65">
        <v>14</v>
      </c>
      <c r="G16" s="67" t="b">
        <v>0</v>
      </c>
      <c r="H16" s="65">
        <v>6</v>
      </c>
      <c r="I16" s="65">
        <v>2</v>
      </c>
      <c r="J16" s="65">
        <v>0.46</v>
      </c>
    </row>
    <row r="17" spans="1:10" x14ac:dyDescent="0.3">
      <c r="A17" s="65">
        <v>16</v>
      </c>
      <c r="B17" s="66">
        <v>40544</v>
      </c>
      <c r="C17" s="65">
        <v>1</v>
      </c>
      <c r="D17" s="65">
        <v>0</v>
      </c>
      <c r="E17" s="65">
        <v>1</v>
      </c>
      <c r="F17" s="65">
        <v>15</v>
      </c>
      <c r="G17" s="67" t="b">
        <v>0</v>
      </c>
      <c r="H17" s="65">
        <v>6</v>
      </c>
      <c r="I17" s="65">
        <v>2</v>
      </c>
      <c r="J17" s="65">
        <v>0.44</v>
      </c>
    </row>
    <row r="18" spans="1:10" x14ac:dyDescent="0.3">
      <c r="A18" s="65">
        <v>17</v>
      </c>
      <c r="B18" s="66">
        <v>40544</v>
      </c>
      <c r="C18" s="65">
        <v>1</v>
      </c>
      <c r="D18" s="65">
        <v>0</v>
      </c>
      <c r="E18" s="65">
        <v>1</v>
      </c>
      <c r="F18" s="65">
        <v>16</v>
      </c>
      <c r="G18" s="67" t="b">
        <v>0</v>
      </c>
      <c r="H18" s="65">
        <v>6</v>
      </c>
      <c r="I18" s="65">
        <v>2</v>
      </c>
      <c r="J18" s="65">
        <v>0.42</v>
      </c>
    </row>
    <row r="19" spans="1:10" x14ac:dyDescent="0.3">
      <c r="A19" s="65">
        <v>18</v>
      </c>
      <c r="B19" s="66">
        <v>40544</v>
      </c>
      <c r="C19" s="65">
        <v>1</v>
      </c>
      <c r="D19" s="65">
        <v>0</v>
      </c>
      <c r="E19" s="65">
        <v>1</v>
      </c>
      <c r="F19" s="65">
        <v>17</v>
      </c>
      <c r="G19" s="67" t="b">
        <v>0</v>
      </c>
      <c r="H19" s="65">
        <v>6</v>
      </c>
      <c r="I19" s="65">
        <v>2</v>
      </c>
      <c r="J19" s="65">
        <v>0.44</v>
      </c>
    </row>
    <row r="20" spans="1:10" x14ac:dyDescent="0.3">
      <c r="A20" s="65">
        <v>19</v>
      </c>
      <c r="B20" s="66">
        <v>40544</v>
      </c>
      <c r="C20" s="65">
        <v>1</v>
      </c>
      <c r="D20" s="65">
        <v>0</v>
      </c>
      <c r="E20" s="65">
        <v>1</v>
      </c>
      <c r="F20" s="65">
        <v>18</v>
      </c>
      <c r="G20" s="67" t="b">
        <v>0</v>
      </c>
      <c r="H20" s="65">
        <v>6</v>
      </c>
      <c r="I20" s="65">
        <v>3</v>
      </c>
      <c r="J20" s="65">
        <v>0.42</v>
      </c>
    </row>
    <row r="21" spans="1:10" x14ac:dyDescent="0.3">
      <c r="A21" s="65">
        <v>20</v>
      </c>
      <c r="B21" s="66">
        <v>40544</v>
      </c>
      <c r="C21" s="65">
        <v>1</v>
      </c>
      <c r="D21" s="65">
        <v>0</v>
      </c>
      <c r="E21" s="65">
        <v>1</v>
      </c>
      <c r="F21" s="65">
        <v>19</v>
      </c>
      <c r="G21" s="67" t="b">
        <v>0</v>
      </c>
      <c r="H21" s="65">
        <v>6</v>
      </c>
      <c r="I21" s="65">
        <v>3</v>
      </c>
      <c r="J21" s="65">
        <v>0.42</v>
      </c>
    </row>
    <row r="22" spans="1:10" x14ac:dyDescent="0.3">
      <c r="A22" s="65">
        <v>21</v>
      </c>
      <c r="B22" s="66">
        <v>40544</v>
      </c>
      <c r="C22" s="65">
        <v>1</v>
      </c>
      <c r="D22" s="65">
        <v>0</v>
      </c>
      <c r="E22" s="65">
        <v>1</v>
      </c>
      <c r="F22" s="65">
        <v>20</v>
      </c>
      <c r="G22" s="67" t="b">
        <v>0</v>
      </c>
      <c r="H22" s="65">
        <v>6</v>
      </c>
      <c r="I22" s="65">
        <v>2</v>
      </c>
      <c r="J22" s="65">
        <v>0.4</v>
      </c>
    </row>
    <row r="23" spans="1:10" x14ac:dyDescent="0.3">
      <c r="A23" s="65">
        <v>22</v>
      </c>
      <c r="B23" s="66">
        <v>40544</v>
      </c>
      <c r="C23" s="65">
        <v>1</v>
      </c>
      <c r="D23" s="65">
        <v>0</v>
      </c>
      <c r="E23" s="65">
        <v>1</v>
      </c>
      <c r="F23" s="65">
        <v>21</v>
      </c>
      <c r="G23" s="67" t="b">
        <v>0</v>
      </c>
      <c r="H23" s="65">
        <v>6</v>
      </c>
      <c r="I23" s="65">
        <v>2</v>
      </c>
      <c r="J23" s="65">
        <v>0.4</v>
      </c>
    </row>
    <row r="24" spans="1:10" x14ac:dyDescent="0.3">
      <c r="A24" s="65">
        <v>23</v>
      </c>
      <c r="B24" s="66">
        <v>40544</v>
      </c>
      <c r="C24" s="65">
        <v>1</v>
      </c>
      <c r="D24" s="65">
        <v>0</v>
      </c>
      <c r="E24" s="65">
        <v>1</v>
      </c>
      <c r="F24" s="65">
        <v>22</v>
      </c>
      <c r="G24" s="67" t="b">
        <v>0</v>
      </c>
      <c r="H24" s="65">
        <v>6</v>
      </c>
      <c r="I24" s="65">
        <v>2</v>
      </c>
      <c r="J24" s="65">
        <v>0.4</v>
      </c>
    </row>
    <row r="25" spans="1:10" x14ac:dyDescent="0.3">
      <c r="A25" s="65">
        <v>24</v>
      </c>
      <c r="B25" s="66">
        <v>40544</v>
      </c>
      <c r="C25" s="65">
        <v>1</v>
      </c>
      <c r="D25" s="65">
        <v>0</v>
      </c>
      <c r="E25" s="65">
        <v>1</v>
      </c>
      <c r="F25" s="65">
        <v>23</v>
      </c>
      <c r="G25" s="67" t="b">
        <v>0</v>
      </c>
      <c r="H25" s="65">
        <v>6</v>
      </c>
      <c r="I25" s="65">
        <v>2</v>
      </c>
      <c r="J25" s="65">
        <v>0.46</v>
      </c>
    </row>
    <row r="26" spans="1:10" x14ac:dyDescent="0.3">
      <c r="A26" s="65">
        <v>25</v>
      </c>
      <c r="B26" s="66">
        <v>40545</v>
      </c>
      <c r="C26" s="65">
        <v>1</v>
      </c>
      <c r="D26" s="65">
        <v>0</v>
      </c>
      <c r="E26" s="65">
        <v>1</v>
      </c>
      <c r="F26" s="65">
        <v>0</v>
      </c>
      <c r="G26" s="67" t="b">
        <v>0</v>
      </c>
      <c r="H26" s="65">
        <v>0</v>
      </c>
      <c r="I26" s="65">
        <v>2</v>
      </c>
      <c r="J26" s="65">
        <v>0.46</v>
      </c>
    </row>
    <row r="27" spans="1:10" x14ac:dyDescent="0.3">
      <c r="A27" s="65">
        <v>26</v>
      </c>
      <c r="B27" s="66">
        <v>40545</v>
      </c>
      <c r="C27" s="65">
        <v>1</v>
      </c>
      <c r="D27" s="65">
        <v>0</v>
      </c>
      <c r="E27" s="65">
        <v>1</v>
      </c>
      <c r="F27" s="65">
        <v>1</v>
      </c>
      <c r="G27" s="67" t="b">
        <v>0</v>
      </c>
      <c r="H27" s="65">
        <v>0</v>
      </c>
      <c r="I27" s="65">
        <v>2</v>
      </c>
      <c r="J27" s="65">
        <v>0.44</v>
      </c>
    </row>
    <row r="28" spans="1:10" x14ac:dyDescent="0.3">
      <c r="A28" s="65">
        <v>27</v>
      </c>
      <c r="B28" s="66">
        <v>40545</v>
      </c>
      <c r="C28" s="65">
        <v>1</v>
      </c>
      <c r="D28" s="65">
        <v>0</v>
      </c>
      <c r="E28" s="65">
        <v>1</v>
      </c>
      <c r="F28" s="65">
        <v>2</v>
      </c>
      <c r="G28" s="67" t="b">
        <v>0</v>
      </c>
      <c r="H28" s="65">
        <v>0</v>
      </c>
      <c r="I28" s="65">
        <v>2</v>
      </c>
      <c r="J28" s="65">
        <v>0.42</v>
      </c>
    </row>
    <row r="29" spans="1:10" x14ac:dyDescent="0.3">
      <c r="A29" s="65">
        <v>28</v>
      </c>
      <c r="B29" s="66">
        <v>40545</v>
      </c>
      <c r="C29" s="65">
        <v>1</v>
      </c>
      <c r="D29" s="65">
        <v>0</v>
      </c>
      <c r="E29" s="65">
        <v>1</v>
      </c>
      <c r="F29" s="65">
        <v>3</v>
      </c>
      <c r="G29" s="67" t="b">
        <v>0</v>
      </c>
      <c r="H29" s="65">
        <v>0</v>
      </c>
      <c r="I29" s="65">
        <v>2</v>
      </c>
      <c r="J29" s="65">
        <v>0.46</v>
      </c>
    </row>
    <row r="30" spans="1:10" x14ac:dyDescent="0.3">
      <c r="A30" s="65">
        <v>29</v>
      </c>
      <c r="B30" s="66">
        <v>40545</v>
      </c>
      <c r="C30" s="65">
        <v>1</v>
      </c>
      <c r="D30" s="65">
        <v>0</v>
      </c>
      <c r="E30" s="65">
        <v>1</v>
      </c>
      <c r="F30" s="65">
        <v>4</v>
      </c>
      <c r="G30" s="67" t="b">
        <v>0</v>
      </c>
      <c r="H30" s="65">
        <v>0</v>
      </c>
      <c r="I30" s="65">
        <v>2</v>
      </c>
      <c r="J30" s="65">
        <v>0.46</v>
      </c>
    </row>
    <row r="31" spans="1:10" x14ac:dyDescent="0.3">
      <c r="A31" s="65">
        <v>30</v>
      </c>
      <c r="B31" s="66">
        <v>40545</v>
      </c>
      <c r="C31" s="65">
        <v>1</v>
      </c>
      <c r="D31" s="65">
        <v>0</v>
      </c>
      <c r="E31" s="65">
        <v>1</v>
      </c>
      <c r="F31" s="65">
        <v>6</v>
      </c>
      <c r="G31" s="67" t="b">
        <v>0</v>
      </c>
      <c r="H31" s="65">
        <v>0</v>
      </c>
      <c r="I31" s="65">
        <v>3</v>
      </c>
      <c r="J31" s="65">
        <v>0.42</v>
      </c>
    </row>
    <row r="32" spans="1:10" x14ac:dyDescent="0.3">
      <c r="A32" s="65">
        <v>31</v>
      </c>
      <c r="B32" s="66">
        <v>40545</v>
      </c>
      <c r="C32" s="65">
        <v>1</v>
      </c>
      <c r="D32" s="65">
        <v>0</v>
      </c>
      <c r="E32" s="65">
        <v>1</v>
      </c>
      <c r="F32" s="65">
        <v>7</v>
      </c>
      <c r="G32" s="67" t="b">
        <v>0</v>
      </c>
      <c r="H32" s="65">
        <v>0</v>
      </c>
      <c r="I32" s="65">
        <v>2</v>
      </c>
      <c r="J32" s="65">
        <v>0.4</v>
      </c>
    </row>
    <row r="33" spans="1:10" x14ac:dyDescent="0.3">
      <c r="A33" s="65">
        <v>32</v>
      </c>
      <c r="B33" s="66">
        <v>40545</v>
      </c>
      <c r="C33" s="65">
        <v>1</v>
      </c>
      <c r="D33" s="65">
        <v>0</v>
      </c>
      <c r="E33" s="65">
        <v>1</v>
      </c>
      <c r="F33" s="65">
        <v>8</v>
      </c>
      <c r="G33" s="67" t="b">
        <v>0</v>
      </c>
      <c r="H33" s="65">
        <v>0</v>
      </c>
      <c r="I33" s="65">
        <v>3</v>
      </c>
      <c r="J33" s="65">
        <v>0.4</v>
      </c>
    </row>
    <row r="34" spans="1:10" x14ac:dyDescent="0.3">
      <c r="A34" s="65">
        <v>33</v>
      </c>
      <c r="B34" s="66">
        <v>40545</v>
      </c>
      <c r="C34" s="65">
        <v>1</v>
      </c>
      <c r="D34" s="65">
        <v>0</v>
      </c>
      <c r="E34" s="65">
        <v>1</v>
      </c>
      <c r="F34" s="65">
        <v>9</v>
      </c>
      <c r="G34" s="67" t="b">
        <v>0</v>
      </c>
      <c r="H34" s="65">
        <v>0</v>
      </c>
      <c r="I34" s="65">
        <v>2</v>
      </c>
      <c r="J34" s="65">
        <v>0.38</v>
      </c>
    </row>
    <row r="35" spans="1:10" x14ac:dyDescent="0.3">
      <c r="A35" s="65">
        <v>34</v>
      </c>
      <c r="B35" s="66">
        <v>40545</v>
      </c>
      <c r="C35" s="65">
        <v>1</v>
      </c>
      <c r="D35" s="65">
        <v>0</v>
      </c>
      <c r="E35" s="65">
        <v>1</v>
      </c>
      <c r="F35" s="65">
        <v>10</v>
      </c>
      <c r="G35" s="67" t="b">
        <v>0</v>
      </c>
      <c r="H35" s="65">
        <v>0</v>
      </c>
      <c r="I35" s="65">
        <v>2</v>
      </c>
      <c r="J35" s="65">
        <v>0.36</v>
      </c>
    </row>
    <row r="36" spans="1:10" x14ac:dyDescent="0.3">
      <c r="A36" s="65">
        <v>35</v>
      </c>
      <c r="B36" s="66">
        <v>40545</v>
      </c>
      <c r="C36" s="65">
        <v>1</v>
      </c>
      <c r="D36" s="65">
        <v>0</v>
      </c>
      <c r="E36" s="65">
        <v>1</v>
      </c>
      <c r="F36" s="65">
        <v>11</v>
      </c>
      <c r="G36" s="67" t="b">
        <v>0</v>
      </c>
      <c r="H36" s="65">
        <v>0</v>
      </c>
      <c r="I36" s="65">
        <v>2</v>
      </c>
      <c r="J36" s="65">
        <v>0.36</v>
      </c>
    </row>
    <row r="37" spans="1:10" x14ac:dyDescent="0.3">
      <c r="A37" s="65">
        <v>36</v>
      </c>
      <c r="B37" s="66">
        <v>40545</v>
      </c>
      <c r="C37" s="65">
        <v>1</v>
      </c>
      <c r="D37" s="65">
        <v>0</v>
      </c>
      <c r="E37" s="65">
        <v>1</v>
      </c>
      <c r="F37" s="65">
        <v>12</v>
      </c>
      <c r="G37" s="67" t="b">
        <v>0</v>
      </c>
      <c r="H37" s="65">
        <v>0</v>
      </c>
      <c r="I37" s="65">
        <v>2</v>
      </c>
      <c r="J37" s="65">
        <v>0.36</v>
      </c>
    </row>
    <row r="38" spans="1:10" x14ac:dyDescent="0.3">
      <c r="A38" s="65">
        <v>37</v>
      </c>
      <c r="B38" s="66">
        <v>40545</v>
      </c>
      <c r="C38" s="65">
        <v>1</v>
      </c>
      <c r="D38" s="65">
        <v>0</v>
      </c>
      <c r="E38" s="65">
        <v>1</v>
      </c>
      <c r="F38" s="65">
        <v>13</v>
      </c>
      <c r="G38" s="67" t="b">
        <v>0</v>
      </c>
      <c r="H38" s="65">
        <v>0</v>
      </c>
      <c r="I38" s="65">
        <v>2</v>
      </c>
      <c r="J38" s="65">
        <v>0.36</v>
      </c>
    </row>
    <row r="39" spans="1:10" x14ac:dyDescent="0.3">
      <c r="A39" s="65">
        <v>38</v>
      </c>
      <c r="B39" s="66">
        <v>40545</v>
      </c>
      <c r="C39" s="65">
        <v>1</v>
      </c>
      <c r="D39" s="65">
        <v>0</v>
      </c>
      <c r="E39" s="65">
        <v>1</v>
      </c>
      <c r="F39" s="65">
        <v>14</v>
      </c>
      <c r="G39" s="67" t="b">
        <v>0</v>
      </c>
      <c r="H39" s="65">
        <v>0</v>
      </c>
      <c r="I39" s="65">
        <v>3</v>
      </c>
      <c r="J39" s="65">
        <v>0.36</v>
      </c>
    </row>
    <row r="40" spans="1:10" x14ac:dyDescent="0.3">
      <c r="A40" s="65">
        <v>39</v>
      </c>
      <c r="B40" s="66">
        <v>40545</v>
      </c>
      <c r="C40" s="65">
        <v>1</v>
      </c>
      <c r="D40" s="65">
        <v>0</v>
      </c>
      <c r="E40" s="65">
        <v>1</v>
      </c>
      <c r="F40" s="65">
        <v>15</v>
      </c>
      <c r="G40" s="67" t="b">
        <v>0</v>
      </c>
      <c r="H40" s="65">
        <v>0</v>
      </c>
      <c r="I40" s="65">
        <v>3</v>
      </c>
      <c r="J40" s="65">
        <v>0.34</v>
      </c>
    </row>
    <row r="41" spans="1:10" x14ac:dyDescent="0.3">
      <c r="A41" s="65">
        <v>40</v>
      </c>
      <c r="B41" s="66">
        <v>40545</v>
      </c>
      <c r="C41" s="65">
        <v>1</v>
      </c>
      <c r="D41" s="65">
        <v>0</v>
      </c>
      <c r="E41" s="65">
        <v>1</v>
      </c>
      <c r="F41" s="65">
        <v>16</v>
      </c>
      <c r="G41" s="67" t="b">
        <v>0</v>
      </c>
      <c r="H41" s="65">
        <v>0</v>
      </c>
      <c r="I41" s="65">
        <v>3</v>
      </c>
      <c r="J41" s="65">
        <v>0.34</v>
      </c>
    </row>
    <row r="42" spans="1:10" x14ac:dyDescent="0.3">
      <c r="A42" s="65">
        <v>41</v>
      </c>
      <c r="B42" s="66">
        <v>40545</v>
      </c>
      <c r="C42" s="65">
        <v>1</v>
      </c>
      <c r="D42" s="65">
        <v>0</v>
      </c>
      <c r="E42" s="65">
        <v>1</v>
      </c>
      <c r="F42" s="65">
        <v>17</v>
      </c>
      <c r="G42" s="67" t="b">
        <v>0</v>
      </c>
      <c r="H42" s="65">
        <v>0</v>
      </c>
      <c r="I42" s="65">
        <v>1</v>
      </c>
      <c r="J42" s="65">
        <v>0.34</v>
      </c>
    </row>
    <row r="43" spans="1:10" x14ac:dyDescent="0.3">
      <c r="A43" s="65">
        <v>42</v>
      </c>
      <c r="B43" s="66">
        <v>40545</v>
      </c>
      <c r="C43" s="65">
        <v>1</v>
      </c>
      <c r="D43" s="65">
        <v>0</v>
      </c>
      <c r="E43" s="65">
        <v>1</v>
      </c>
      <c r="F43" s="65">
        <v>18</v>
      </c>
      <c r="G43" s="67" t="b">
        <v>0</v>
      </c>
      <c r="H43" s="65">
        <v>0</v>
      </c>
      <c r="I43" s="65">
        <v>2</v>
      </c>
      <c r="J43" s="65">
        <v>0.36</v>
      </c>
    </row>
    <row r="44" spans="1:10" x14ac:dyDescent="0.3">
      <c r="A44" s="65">
        <v>43</v>
      </c>
      <c r="B44" s="66">
        <v>40545</v>
      </c>
      <c r="C44" s="65">
        <v>1</v>
      </c>
      <c r="D44" s="65">
        <v>0</v>
      </c>
      <c r="E44" s="65">
        <v>1</v>
      </c>
      <c r="F44" s="65">
        <v>19</v>
      </c>
      <c r="G44" s="67" t="b">
        <v>0</v>
      </c>
      <c r="H44" s="65">
        <v>0</v>
      </c>
      <c r="I44" s="65">
        <v>1</v>
      </c>
      <c r="J44" s="65">
        <v>0.32</v>
      </c>
    </row>
    <row r="45" spans="1:10" x14ac:dyDescent="0.3">
      <c r="A45" s="65">
        <v>44</v>
      </c>
      <c r="B45" s="66">
        <v>40545</v>
      </c>
      <c r="C45" s="65">
        <v>1</v>
      </c>
      <c r="D45" s="65">
        <v>0</v>
      </c>
      <c r="E45" s="65">
        <v>1</v>
      </c>
      <c r="F45" s="65">
        <v>20</v>
      </c>
      <c r="G45" s="67" t="b">
        <v>0</v>
      </c>
      <c r="H45" s="65">
        <v>0</v>
      </c>
      <c r="I45" s="65">
        <v>1</v>
      </c>
      <c r="J45" s="65">
        <v>0.3</v>
      </c>
    </row>
    <row r="46" spans="1:10" x14ac:dyDescent="0.3">
      <c r="A46" s="65">
        <v>45</v>
      </c>
      <c r="B46" s="66">
        <v>40545</v>
      </c>
      <c r="C46" s="65">
        <v>1</v>
      </c>
      <c r="D46" s="65">
        <v>0</v>
      </c>
      <c r="E46" s="65">
        <v>1</v>
      </c>
      <c r="F46" s="65">
        <v>21</v>
      </c>
      <c r="G46" s="67" t="b">
        <v>0</v>
      </c>
      <c r="H46" s="65">
        <v>0</v>
      </c>
      <c r="I46" s="65">
        <v>1</v>
      </c>
      <c r="J46" s="65">
        <v>0.26</v>
      </c>
    </row>
    <row r="47" spans="1:10" x14ac:dyDescent="0.3">
      <c r="A47" s="65">
        <v>46</v>
      </c>
      <c r="B47" s="66">
        <v>40545</v>
      </c>
      <c r="C47" s="65">
        <v>1</v>
      </c>
      <c r="D47" s="65">
        <v>0</v>
      </c>
      <c r="E47" s="65">
        <v>1</v>
      </c>
      <c r="F47" s="65">
        <v>22</v>
      </c>
      <c r="G47" s="67" t="b">
        <v>0</v>
      </c>
      <c r="H47" s="65">
        <v>0</v>
      </c>
      <c r="I47" s="65">
        <v>1</v>
      </c>
      <c r="J47" s="65">
        <v>0.24</v>
      </c>
    </row>
    <row r="48" spans="1:10" x14ac:dyDescent="0.3">
      <c r="A48" s="65">
        <v>47</v>
      </c>
      <c r="B48" s="66">
        <v>40545</v>
      </c>
      <c r="C48" s="65">
        <v>1</v>
      </c>
      <c r="D48" s="65">
        <v>0</v>
      </c>
      <c r="E48" s="65">
        <v>1</v>
      </c>
      <c r="F48" s="65">
        <v>23</v>
      </c>
      <c r="G48" s="67" t="b">
        <v>0</v>
      </c>
      <c r="H48" s="65">
        <v>0</v>
      </c>
      <c r="I48" s="65">
        <v>1</v>
      </c>
      <c r="J48" s="65">
        <v>0.22</v>
      </c>
    </row>
    <row r="49" spans="1:10" x14ac:dyDescent="0.3">
      <c r="A49" s="65">
        <v>48</v>
      </c>
      <c r="B49" s="66">
        <v>40546</v>
      </c>
      <c r="C49" s="65">
        <v>1</v>
      </c>
      <c r="D49" s="65">
        <v>0</v>
      </c>
      <c r="E49" s="65">
        <v>1</v>
      </c>
      <c r="F49" s="65">
        <v>0</v>
      </c>
      <c r="G49" s="67" t="b">
        <v>0</v>
      </c>
      <c r="H49" s="65">
        <v>1</v>
      </c>
      <c r="I49" s="65">
        <v>1</v>
      </c>
      <c r="J49" s="65">
        <v>0.22</v>
      </c>
    </row>
    <row r="50" spans="1:10" x14ac:dyDescent="0.3">
      <c r="A50" s="65">
        <v>49</v>
      </c>
      <c r="B50" s="66">
        <v>40546</v>
      </c>
      <c r="C50" s="65">
        <v>1</v>
      </c>
      <c r="D50" s="65">
        <v>0</v>
      </c>
      <c r="E50" s="65">
        <v>1</v>
      </c>
      <c r="F50" s="65">
        <v>1</v>
      </c>
      <c r="G50" s="67" t="b">
        <v>0</v>
      </c>
      <c r="H50" s="65">
        <v>1</v>
      </c>
      <c r="I50" s="65">
        <v>1</v>
      </c>
      <c r="J50" s="65">
        <v>0.2</v>
      </c>
    </row>
    <row r="51" spans="1:10" x14ac:dyDescent="0.3">
      <c r="A51" s="65">
        <v>50</v>
      </c>
      <c r="B51" s="66">
        <v>40546</v>
      </c>
      <c r="C51" s="65">
        <v>1</v>
      </c>
      <c r="D51" s="65">
        <v>0</v>
      </c>
      <c r="E51" s="65">
        <v>1</v>
      </c>
      <c r="F51" s="65">
        <v>4</v>
      </c>
      <c r="G51" s="67" t="b">
        <v>0</v>
      </c>
      <c r="H51" s="65">
        <v>1</v>
      </c>
      <c r="I51" s="65">
        <v>1</v>
      </c>
      <c r="J51" s="65">
        <v>0.16</v>
      </c>
    </row>
    <row r="52" spans="1:10" x14ac:dyDescent="0.3">
      <c r="A52" s="65">
        <v>51</v>
      </c>
      <c r="B52" s="66">
        <v>40546</v>
      </c>
      <c r="C52" s="65">
        <v>1</v>
      </c>
      <c r="D52" s="65">
        <v>0</v>
      </c>
      <c r="E52" s="65">
        <v>1</v>
      </c>
      <c r="F52" s="65">
        <v>5</v>
      </c>
      <c r="G52" s="67" t="b">
        <v>0</v>
      </c>
      <c r="H52" s="65">
        <v>1</v>
      </c>
      <c r="I52" s="65">
        <v>1</v>
      </c>
      <c r="J52" s="65">
        <v>0.16</v>
      </c>
    </row>
    <row r="53" spans="1:10" x14ac:dyDescent="0.3">
      <c r="A53" s="65">
        <v>52</v>
      </c>
      <c r="B53" s="66">
        <v>40546</v>
      </c>
      <c r="C53" s="65">
        <v>1</v>
      </c>
      <c r="D53" s="65">
        <v>0</v>
      </c>
      <c r="E53" s="65">
        <v>1</v>
      </c>
      <c r="F53" s="65">
        <v>6</v>
      </c>
      <c r="G53" s="67" t="b">
        <v>0</v>
      </c>
      <c r="H53" s="65">
        <v>1</v>
      </c>
      <c r="I53" s="65">
        <v>1</v>
      </c>
      <c r="J53" s="65">
        <v>0.14000000000000001</v>
      </c>
    </row>
    <row r="54" spans="1:10" x14ac:dyDescent="0.3">
      <c r="A54" s="65">
        <v>53</v>
      </c>
      <c r="B54" s="66">
        <v>40546</v>
      </c>
      <c r="C54" s="65">
        <v>1</v>
      </c>
      <c r="D54" s="65">
        <v>0</v>
      </c>
      <c r="E54" s="65">
        <v>1</v>
      </c>
      <c r="F54" s="65">
        <v>7</v>
      </c>
      <c r="G54" s="67" t="b">
        <v>0</v>
      </c>
      <c r="H54" s="65">
        <v>1</v>
      </c>
      <c r="I54" s="65">
        <v>1</v>
      </c>
      <c r="J54" s="65">
        <v>0.14000000000000001</v>
      </c>
    </row>
    <row r="55" spans="1:10" x14ac:dyDescent="0.3">
      <c r="A55" s="65">
        <v>54</v>
      </c>
      <c r="B55" s="66">
        <v>40546</v>
      </c>
      <c r="C55" s="65">
        <v>1</v>
      </c>
      <c r="D55" s="65">
        <v>0</v>
      </c>
      <c r="E55" s="65">
        <v>1</v>
      </c>
      <c r="F55" s="65">
        <v>8</v>
      </c>
      <c r="G55" s="67" t="b">
        <v>0</v>
      </c>
      <c r="H55" s="65">
        <v>1</v>
      </c>
      <c r="I55" s="65">
        <v>1</v>
      </c>
      <c r="J55" s="65">
        <v>0.14000000000000001</v>
      </c>
    </row>
    <row r="56" spans="1:10" x14ac:dyDescent="0.3">
      <c r="A56" s="65">
        <v>55</v>
      </c>
      <c r="B56" s="66">
        <v>40546</v>
      </c>
      <c r="C56" s="65">
        <v>1</v>
      </c>
      <c r="D56" s="65">
        <v>0</v>
      </c>
      <c r="E56" s="65">
        <v>1</v>
      </c>
      <c r="F56" s="65">
        <v>9</v>
      </c>
      <c r="G56" s="67" t="b">
        <v>0</v>
      </c>
      <c r="H56" s="65">
        <v>1</v>
      </c>
      <c r="I56" s="65">
        <v>1</v>
      </c>
      <c r="J56" s="65">
        <v>0.16</v>
      </c>
    </row>
    <row r="57" spans="1:10" x14ac:dyDescent="0.3">
      <c r="A57" s="65">
        <v>56</v>
      </c>
      <c r="B57" s="66">
        <v>40546</v>
      </c>
      <c r="C57" s="65">
        <v>1</v>
      </c>
      <c r="D57" s="65">
        <v>0</v>
      </c>
      <c r="E57" s="65">
        <v>1</v>
      </c>
      <c r="F57" s="65">
        <v>10</v>
      </c>
      <c r="G57" s="67" t="b">
        <v>0</v>
      </c>
      <c r="H57" s="65">
        <v>1</v>
      </c>
      <c r="I57" s="65">
        <v>1</v>
      </c>
      <c r="J57" s="65">
        <v>0.18</v>
      </c>
    </row>
    <row r="58" spans="1:10" x14ac:dyDescent="0.3">
      <c r="A58" s="65">
        <v>57</v>
      </c>
      <c r="B58" s="66">
        <v>40546</v>
      </c>
      <c r="C58" s="65">
        <v>1</v>
      </c>
      <c r="D58" s="65">
        <v>0</v>
      </c>
      <c r="E58" s="65">
        <v>1</v>
      </c>
      <c r="F58" s="65">
        <v>11</v>
      </c>
      <c r="G58" s="67" t="b">
        <v>0</v>
      </c>
      <c r="H58" s="65">
        <v>1</v>
      </c>
      <c r="I58" s="65">
        <v>1</v>
      </c>
      <c r="J58" s="65">
        <v>0.2</v>
      </c>
    </row>
    <row r="59" spans="1:10" x14ac:dyDescent="0.3">
      <c r="A59" s="65">
        <v>58</v>
      </c>
      <c r="B59" s="66">
        <v>40546</v>
      </c>
      <c r="C59" s="65">
        <v>1</v>
      </c>
      <c r="D59" s="65">
        <v>0</v>
      </c>
      <c r="E59" s="65">
        <v>1</v>
      </c>
      <c r="F59" s="65">
        <v>12</v>
      </c>
      <c r="G59" s="67" t="b">
        <v>0</v>
      </c>
      <c r="H59" s="65">
        <v>1</v>
      </c>
      <c r="I59" s="65">
        <v>1</v>
      </c>
      <c r="J59" s="65">
        <v>0.22</v>
      </c>
    </row>
    <row r="60" spans="1:10" x14ac:dyDescent="0.3">
      <c r="A60" s="65">
        <v>59</v>
      </c>
      <c r="B60" s="66">
        <v>40546</v>
      </c>
      <c r="C60" s="65">
        <v>1</v>
      </c>
      <c r="D60" s="65">
        <v>0</v>
      </c>
      <c r="E60" s="65">
        <v>1</v>
      </c>
      <c r="F60" s="65">
        <v>13</v>
      </c>
      <c r="G60" s="67" t="b">
        <v>0</v>
      </c>
      <c r="H60" s="65">
        <v>1</v>
      </c>
      <c r="I60" s="65">
        <v>1</v>
      </c>
      <c r="J60" s="65">
        <v>0.24</v>
      </c>
    </row>
    <row r="61" spans="1:10" x14ac:dyDescent="0.3">
      <c r="A61" s="65">
        <v>60</v>
      </c>
      <c r="B61" s="66">
        <v>40546</v>
      </c>
      <c r="C61" s="65">
        <v>1</v>
      </c>
      <c r="D61" s="65">
        <v>0</v>
      </c>
      <c r="E61" s="65">
        <v>1</v>
      </c>
      <c r="F61" s="65">
        <v>14</v>
      </c>
      <c r="G61" s="67" t="b">
        <v>0</v>
      </c>
      <c r="H61" s="65">
        <v>1</v>
      </c>
      <c r="I61" s="65">
        <v>1</v>
      </c>
      <c r="J61" s="65">
        <v>0.26</v>
      </c>
    </row>
    <row r="62" spans="1:10" x14ac:dyDescent="0.3">
      <c r="A62" s="65">
        <v>61</v>
      </c>
      <c r="B62" s="66">
        <v>40546</v>
      </c>
      <c r="C62" s="65">
        <v>1</v>
      </c>
      <c r="D62" s="65">
        <v>0</v>
      </c>
      <c r="E62" s="65">
        <v>1</v>
      </c>
      <c r="F62" s="65">
        <v>15</v>
      </c>
      <c r="G62" s="67" t="b">
        <v>0</v>
      </c>
      <c r="H62" s="65">
        <v>1</v>
      </c>
      <c r="I62" s="65">
        <v>1</v>
      </c>
      <c r="J62" s="65">
        <v>0.26</v>
      </c>
    </row>
    <row r="63" spans="1:10" x14ac:dyDescent="0.3">
      <c r="A63" s="65">
        <v>62</v>
      </c>
      <c r="B63" s="66">
        <v>40546</v>
      </c>
      <c r="C63" s="65">
        <v>1</v>
      </c>
      <c r="D63" s="65">
        <v>0</v>
      </c>
      <c r="E63" s="65">
        <v>1</v>
      </c>
      <c r="F63" s="65">
        <v>16</v>
      </c>
      <c r="G63" s="67" t="b">
        <v>0</v>
      </c>
      <c r="H63" s="65">
        <v>1</v>
      </c>
      <c r="I63" s="65">
        <v>1</v>
      </c>
      <c r="J63" s="65">
        <v>0.26</v>
      </c>
    </row>
    <row r="64" spans="1:10" x14ac:dyDescent="0.3">
      <c r="A64" s="65">
        <v>63</v>
      </c>
      <c r="B64" s="66">
        <v>40546</v>
      </c>
      <c r="C64" s="65">
        <v>1</v>
      </c>
      <c r="D64" s="65">
        <v>0</v>
      </c>
      <c r="E64" s="65">
        <v>1</v>
      </c>
      <c r="F64" s="65">
        <v>17</v>
      </c>
      <c r="G64" s="67" t="b">
        <v>0</v>
      </c>
      <c r="H64" s="65">
        <v>1</v>
      </c>
      <c r="I64" s="65">
        <v>1</v>
      </c>
      <c r="J64" s="65">
        <v>0.24</v>
      </c>
    </row>
    <row r="65" spans="1:10" x14ac:dyDescent="0.3">
      <c r="A65" s="65">
        <v>64</v>
      </c>
      <c r="B65" s="66">
        <v>40546</v>
      </c>
      <c r="C65" s="65">
        <v>1</v>
      </c>
      <c r="D65" s="65">
        <v>0</v>
      </c>
      <c r="E65" s="65">
        <v>1</v>
      </c>
      <c r="F65" s="65">
        <v>18</v>
      </c>
      <c r="G65" s="67" t="b">
        <v>0</v>
      </c>
      <c r="H65" s="65">
        <v>1</v>
      </c>
      <c r="I65" s="65">
        <v>1</v>
      </c>
      <c r="J65" s="65">
        <v>0.24</v>
      </c>
    </row>
    <row r="66" spans="1:10" x14ac:dyDescent="0.3">
      <c r="A66" s="65">
        <v>65</v>
      </c>
      <c r="B66" s="66">
        <v>40546</v>
      </c>
      <c r="C66" s="65">
        <v>1</v>
      </c>
      <c r="D66" s="65">
        <v>0</v>
      </c>
      <c r="E66" s="65">
        <v>1</v>
      </c>
      <c r="F66" s="65">
        <v>19</v>
      </c>
      <c r="G66" s="67" t="b">
        <v>0</v>
      </c>
      <c r="H66" s="65">
        <v>1</v>
      </c>
      <c r="I66" s="65">
        <v>1</v>
      </c>
      <c r="J66" s="65">
        <v>0.2</v>
      </c>
    </row>
    <row r="67" spans="1:10" x14ac:dyDescent="0.3">
      <c r="A67" s="65">
        <v>66</v>
      </c>
      <c r="B67" s="66">
        <v>40546</v>
      </c>
      <c r="C67" s="65">
        <v>1</v>
      </c>
      <c r="D67" s="65">
        <v>0</v>
      </c>
      <c r="E67" s="65">
        <v>1</v>
      </c>
      <c r="F67" s="65">
        <v>20</v>
      </c>
      <c r="G67" s="67" t="b">
        <v>0</v>
      </c>
      <c r="H67" s="65">
        <v>1</v>
      </c>
      <c r="I67" s="65">
        <v>1</v>
      </c>
      <c r="J67" s="65">
        <v>0.2</v>
      </c>
    </row>
    <row r="68" spans="1:10" x14ac:dyDescent="0.3">
      <c r="A68" s="65">
        <v>67</v>
      </c>
      <c r="B68" s="66">
        <v>40546</v>
      </c>
      <c r="C68" s="65">
        <v>1</v>
      </c>
      <c r="D68" s="65">
        <v>0</v>
      </c>
      <c r="E68" s="65">
        <v>1</v>
      </c>
      <c r="F68" s="65">
        <v>21</v>
      </c>
      <c r="G68" s="67" t="b">
        <v>0</v>
      </c>
      <c r="H68" s="65">
        <v>1</v>
      </c>
      <c r="I68" s="65">
        <v>1</v>
      </c>
      <c r="J68" s="65">
        <v>0.18</v>
      </c>
    </row>
    <row r="69" spans="1:10" x14ac:dyDescent="0.3">
      <c r="A69" s="65">
        <v>68</v>
      </c>
      <c r="B69" s="66">
        <v>40546</v>
      </c>
      <c r="C69" s="65">
        <v>1</v>
      </c>
      <c r="D69" s="65">
        <v>0</v>
      </c>
      <c r="E69" s="65">
        <v>1</v>
      </c>
      <c r="F69" s="65">
        <v>22</v>
      </c>
      <c r="G69" s="67" t="b">
        <v>0</v>
      </c>
      <c r="H69" s="65">
        <v>1</v>
      </c>
      <c r="I69" s="65">
        <v>1</v>
      </c>
      <c r="J69" s="65">
        <v>0.14000000000000001</v>
      </c>
    </row>
    <row r="70" spans="1:10" x14ac:dyDescent="0.3">
      <c r="A70" s="65">
        <v>69</v>
      </c>
      <c r="B70" s="66">
        <v>40546</v>
      </c>
      <c r="C70" s="65">
        <v>1</v>
      </c>
      <c r="D70" s="65">
        <v>0</v>
      </c>
      <c r="E70" s="65">
        <v>1</v>
      </c>
      <c r="F70" s="65">
        <v>23</v>
      </c>
      <c r="G70" s="67" t="b">
        <v>0</v>
      </c>
      <c r="H70" s="65">
        <v>1</v>
      </c>
      <c r="I70" s="65">
        <v>1</v>
      </c>
      <c r="J70" s="65">
        <v>0.18</v>
      </c>
    </row>
    <row r="71" spans="1:10" x14ac:dyDescent="0.3">
      <c r="A71" s="65">
        <v>70</v>
      </c>
      <c r="B71" s="66">
        <v>40547</v>
      </c>
      <c r="C71" s="65">
        <v>1</v>
      </c>
      <c r="D71" s="65">
        <v>0</v>
      </c>
      <c r="E71" s="65">
        <v>1</v>
      </c>
      <c r="F71" s="65">
        <v>0</v>
      </c>
      <c r="G71" s="67" t="b">
        <v>0</v>
      </c>
      <c r="H71" s="65">
        <v>2</v>
      </c>
      <c r="I71" s="65">
        <v>1</v>
      </c>
      <c r="J71" s="65">
        <v>0.16</v>
      </c>
    </row>
    <row r="72" spans="1:10" x14ac:dyDescent="0.3">
      <c r="A72" s="65">
        <v>71</v>
      </c>
      <c r="B72" s="66">
        <v>40547</v>
      </c>
      <c r="C72" s="65">
        <v>1</v>
      </c>
      <c r="D72" s="65">
        <v>0</v>
      </c>
      <c r="E72" s="65">
        <v>1</v>
      </c>
      <c r="F72" s="65">
        <v>1</v>
      </c>
      <c r="G72" s="67" t="b">
        <v>0</v>
      </c>
      <c r="H72" s="65">
        <v>2</v>
      </c>
      <c r="I72" s="65">
        <v>1</v>
      </c>
      <c r="J72" s="65">
        <v>0.16</v>
      </c>
    </row>
    <row r="73" spans="1:10" x14ac:dyDescent="0.3">
      <c r="A73" s="65">
        <v>72</v>
      </c>
      <c r="B73" s="66">
        <v>40547</v>
      </c>
      <c r="C73" s="65">
        <v>1</v>
      </c>
      <c r="D73" s="65">
        <v>0</v>
      </c>
      <c r="E73" s="65">
        <v>1</v>
      </c>
      <c r="F73" s="65">
        <v>2</v>
      </c>
      <c r="G73" s="67" t="b">
        <v>0</v>
      </c>
      <c r="H73" s="65">
        <v>2</v>
      </c>
      <c r="I73" s="65">
        <v>1</v>
      </c>
      <c r="J73" s="65">
        <v>0.14000000000000001</v>
      </c>
    </row>
    <row r="74" spans="1:10" x14ac:dyDescent="0.3">
      <c r="A74" s="65">
        <v>73</v>
      </c>
      <c r="B74" s="66">
        <v>40547</v>
      </c>
      <c r="C74" s="65">
        <v>1</v>
      </c>
      <c r="D74" s="65">
        <v>0</v>
      </c>
      <c r="E74" s="65">
        <v>1</v>
      </c>
      <c r="F74" s="65">
        <v>4</v>
      </c>
      <c r="G74" s="67" t="b">
        <v>0</v>
      </c>
      <c r="H74" s="65">
        <v>2</v>
      </c>
      <c r="I74" s="65">
        <v>1</v>
      </c>
      <c r="J74" s="65">
        <v>0.14000000000000001</v>
      </c>
    </row>
    <row r="75" spans="1:10" x14ac:dyDescent="0.3">
      <c r="A75" s="65">
        <v>74</v>
      </c>
      <c r="B75" s="66">
        <v>40547</v>
      </c>
      <c r="C75" s="65">
        <v>1</v>
      </c>
      <c r="D75" s="65">
        <v>0</v>
      </c>
      <c r="E75" s="65">
        <v>1</v>
      </c>
      <c r="F75" s="65">
        <v>5</v>
      </c>
      <c r="G75" s="67" t="b">
        <v>0</v>
      </c>
      <c r="H75" s="65">
        <v>2</v>
      </c>
      <c r="I75" s="65">
        <v>1</v>
      </c>
      <c r="J75" s="65">
        <v>0.12</v>
      </c>
    </row>
    <row r="76" spans="1:10" x14ac:dyDescent="0.3">
      <c r="A76" s="65">
        <v>75</v>
      </c>
      <c r="B76" s="66">
        <v>40547</v>
      </c>
      <c r="C76" s="65">
        <v>1</v>
      </c>
      <c r="D76" s="65">
        <v>0</v>
      </c>
      <c r="E76" s="65">
        <v>1</v>
      </c>
      <c r="F76" s="65">
        <v>6</v>
      </c>
      <c r="G76" s="67" t="b">
        <v>0</v>
      </c>
      <c r="H76" s="65">
        <v>2</v>
      </c>
      <c r="I76" s="65">
        <v>1</v>
      </c>
      <c r="J76" s="65">
        <v>0.12</v>
      </c>
    </row>
    <row r="77" spans="1:10" x14ac:dyDescent="0.3">
      <c r="A77" s="65">
        <v>76</v>
      </c>
      <c r="B77" s="66">
        <v>40547</v>
      </c>
      <c r="C77" s="65">
        <v>1</v>
      </c>
      <c r="D77" s="65">
        <v>0</v>
      </c>
      <c r="E77" s="65">
        <v>1</v>
      </c>
      <c r="F77" s="65">
        <v>7</v>
      </c>
      <c r="G77" s="67" t="b">
        <v>0</v>
      </c>
      <c r="H77" s="65">
        <v>2</v>
      </c>
      <c r="I77" s="65">
        <v>1</v>
      </c>
      <c r="J77" s="65">
        <v>0.12</v>
      </c>
    </row>
    <row r="78" spans="1:10" x14ac:dyDescent="0.3">
      <c r="A78" s="65">
        <v>77</v>
      </c>
      <c r="B78" s="66">
        <v>40547</v>
      </c>
      <c r="C78" s="65">
        <v>1</v>
      </c>
      <c r="D78" s="65">
        <v>0</v>
      </c>
      <c r="E78" s="65">
        <v>1</v>
      </c>
      <c r="F78" s="65">
        <v>8</v>
      </c>
      <c r="G78" s="67" t="b">
        <v>0</v>
      </c>
      <c r="H78" s="65">
        <v>2</v>
      </c>
      <c r="I78" s="65">
        <v>1</v>
      </c>
      <c r="J78" s="65">
        <v>0.14000000000000001</v>
      </c>
    </row>
    <row r="79" spans="1:10" x14ac:dyDescent="0.3">
      <c r="A79" s="65">
        <v>78</v>
      </c>
      <c r="B79" s="66">
        <v>40547</v>
      </c>
      <c r="C79" s="65">
        <v>1</v>
      </c>
      <c r="D79" s="65">
        <v>0</v>
      </c>
      <c r="E79" s="65">
        <v>1</v>
      </c>
      <c r="F79" s="65">
        <v>9</v>
      </c>
      <c r="G79" s="67" t="b">
        <v>0</v>
      </c>
      <c r="H79" s="65">
        <v>2</v>
      </c>
      <c r="I79" s="65">
        <v>1</v>
      </c>
      <c r="J79" s="65">
        <v>0.16</v>
      </c>
    </row>
    <row r="80" spans="1:10" x14ac:dyDescent="0.3">
      <c r="A80" s="65">
        <v>79</v>
      </c>
      <c r="B80" s="66">
        <v>40547</v>
      </c>
      <c r="C80" s="65">
        <v>1</v>
      </c>
      <c r="D80" s="65">
        <v>0</v>
      </c>
      <c r="E80" s="65">
        <v>1</v>
      </c>
      <c r="F80" s="65">
        <v>10</v>
      </c>
      <c r="G80" s="67" t="b">
        <v>0</v>
      </c>
      <c r="H80" s="65">
        <v>2</v>
      </c>
      <c r="I80" s="65">
        <v>2</v>
      </c>
      <c r="J80" s="65">
        <v>0.16</v>
      </c>
    </row>
    <row r="81" spans="1:10" x14ac:dyDescent="0.3">
      <c r="A81" s="65">
        <v>80</v>
      </c>
      <c r="B81" s="66">
        <v>40547</v>
      </c>
      <c r="C81" s="65">
        <v>1</v>
      </c>
      <c r="D81" s="65">
        <v>0</v>
      </c>
      <c r="E81" s="65">
        <v>1</v>
      </c>
      <c r="F81" s="65">
        <v>11</v>
      </c>
      <c r="G81" s="67" t="b">
        <v>0</v>
      </c>
      <c r="H81" s="65">
        <v>2</v>
      </c>
      <c r="I81" s="65">
        <v>1</v>
      </c>
      <c r="J81" s="65">
        <v>0.22</v>
      </c>
    </row>
    <row r="82" spans="1:10" x14ac:dyDescent="0.3">
      <c r="A82" s="65">
        <v>81</v>
      </c>
      <c r="B82" s="66">
        <v>40547</v>
      </c>
      <c r="C82" s="65">
        <v>1</v>
      </c>
      <c r="D82" s="65">
        <v>0</v>
      </c>
      <c r="E82" s="65">
        <v>1</v>
      </c>
      <c r="F82" s="65">
        <v>12</v>
      </c>
      <c r="G82" s="67" t="b">
        <v>0</v>
      </c>
      <c r="H82" s="65">
        <v>2</v>
      </c>
      <c r="I82" s="65">
        <v>1</v>
      </c>
      <c r="J82" s="65">
        <v>0.22</v>
      </c>
    </row>
    <row r="83" spans="1:10" x14ac:dyDescent="0.3">
      <c r="A83" s="65">
        <v>82</v>
      </c>
      <c r="B83" s="66">
        <v>40547</v>
      </c>
      <c r="C83" s="65">
        <v>1</v>
      </c>
      <c r="D83" s="65">
        <v>0</v>
      </c>
      <c r="E83" s="65">
        <v>1</v>
      </c>
      <c r="F83" s="65">
        <v>13</v>
      </c>
      <c r="G83" s="67" t="b">
        <v>0</v>
      </c>
      <c r="H83" s="65">
        <v>2</v>
      </c>
      <c r="I83" s="65">
        <v>1</v>
      </c>
      <c r="J83" s="65">
        <v>0.24</v>
      </c>
    </row>
    <row r="84" spans="1:10" x14ac:dyDescent="0.3">
      <c r="A84" s="65">
        <v>83</v>
      </c>
      <c r="B84" s="66">
        <v>40547</v>
      </c>
      <c r="C84" s="65">
        <v>1</v>
      </c>
      <c r="D84" s="65">
        <v>0</v>
      </c>
      <c r="E84" s="65">
        <v>1</v>
      </c>
      <c r="F84" s="65">
        <v>14</v>
      </c>
      <c r="G84" s="67" t="b">
        <v>0</v>
      </c>
      <c r="H84" s="65">
        <v>2</v>
      </c>
      <c r="I84" s="65">
        <v>1</v>
      </c>
      <c r="J84" s="65">
        <v>0.26</v>
      </c>
    </row>
    <row r="85" spans="1:10" x14ac:dyDescent="0.3">
      <c r="A85" s="65">
        <v>84</v>
      </c>
      <c r="B85" s="66">
        <v>40547</v>
      </c>
      <c r="C85" s="65">
        <v>1</v>
      </c>
      <c r="D85" s="65">
        <v>0</v>
      </c>
      <c r="E85" s="65">
        <v>1</v>
      </c>
      <c r="F85" s="65">
        <v>15</v>
      </c>
      <c r="G85" s="67" t="b">
        <v>0</v>
      </c>
      <c r="H85" s="65">
        <v>2</v>
      </c>
      <c r="I85" s="65">
        <v>1</v>
      </c>
      <c r="J85" s="65">
        <v>0.28000000000000003</v>
      </c>
    </row>
    <row r="86" spans="1:10" x14ac:dyDescent="0.3">
      <c r="A86" s="65">
        <v>85</v>
      </c>
      <c r="B86" s="66">
        <v>40547</v>
      </c>
      <c r="C86" s="65">
        <v>1</v>
      </c>
      <c r="D86" s="65">
        <v>0</v>
      </c>
      <c r="E86" s="65">
        <v>1</v>
      </c>
      <c r="F86" s="65">
        <v>16</v>
      </c>
      <c r="G86" s="67" t="b">
        <v>0</v>
      </c>
      <c r="H86" s="65">
        <v>2</v>
      </c>
      <c r="I86" s="65">
        <v>1</v>
      </c>
      <c r="J86" s="65">
        <v>0.3</v>
      </c>
    </row>
    <row r="87" spans="1:10" x14ac:dyDescent="0.3">
      <c r="A87" s="65">
        <v>86</v>
      </c>
      <c r="B87" s="66">
        <v>40547</v>
      </c>
      <c r="C87" s="65">
        <v>1</v>
      </c>
      <c r="D87" s="65">
        <v>0</v>
      </c>
      <c r="E87" s="65">
        <v>1</v>
      </c>
      <c r="F87" s="65">
        <v>17</v>
      </c>
      <c r="G87" s="67" t="b">
        <v>0</v>
      </c>
      <c r="H87" s="65">
        <v>2</v>
      </c>
      <c r="I87" s="65">
        <v>1</v>
      </c>
      <c r="J87" s="65">
        <v>0.28000000000000003</v>
      </c>
    </row>
    <row r="88" spans="1:10" x14ac:dyDescent="0.3">
      <c r="A88" s="65">
        <v>87</v>
      </c>
      <c r="B88" s="66">
        <v>40547</v>
      </c>
      <c r="C88" s="65">
        <v>1</v>
      </c>
      <c r="D88" s="65">
        <v>0</v>
      </c>
      <c r="E88" s="65">
        <v>1</v>
      </c>
      <c r="F88" s="65">
        <v>18</v>
      </c>
      <c r="G88" s="67" t="b">
        <v>0</v>
      </c>
      <c r="H88" s="65">
        <v>2</v>
      </c>
      <c r="I88" s="65">
        <v>1</v>
      </c>
      <c r="J88" s="65">
        <v>0.26</v>
      </c>
    </row>
    <row r="89" spans="1:10" x14ac:dyDescent="0.3">
      <c r="A89" s="65">
        <v>88</v>
      </c>
      <c r="B89" s="66">
        <v>40547</v>
      </c>
      <c r="C89" s="65">
        <v>1</v>
      </c>
      <c r="D89" s="65">
        <v>0</v>
      </c>
      <c r="E89" s="65">
        <v>1</v>
      </c>
      <c r="F89" s="65">
        <v>19</v>
      </c>
      <c r="G89" s="67" t="b">
        <v>0</v>
      </c>
      <c r="H89" s="65">
        <v>2</v>
      </c>
      <c r="I89" s="65">
        <v>1</v>
      </c>
      <c r="J89" s="65">
        <v>0.24</v>
      </c>
    </row>
    <row r="90" spans="1:10" x14ac:dyDescent="0.3">
      <c r="A90" s="65">
        <v>89</v>
      </c>
      <c r="B90" s="66">
        <v>40547</v>
      </c>
      <c r="C90" s="65">
        <v>1</v>
      </c>
      <c r="D90" s="65">
        <v>0</v>
      </c>
      <c r="E90" s="65">
        <v>1</v>
      </c>
      <c r="F90" s="65">
        <v>20</v>
      </c>
      <c r="G90" s="67" t="b">
        <v>0</v>
      </c>
      <c r="H90" s="65">
        <v>2</v>
      </c>
      <c r="I90" s="65">
        <v>1</v>
      </c>
      <c r="J90" s="65">
        <v>0.24</v>
      </c>
    </row>
    <row r="91" spans="1:10" x14ac:dyDescent="0.3">
      <c r="A91" s="65">
        <v>90</v>
      </c>
      <c r="B91" s="66">
        <v>40547</v>
      </c>
      <c r="C91" s="65">
        <v>1</v>
      </c>
      <c r="D91" s="65">
        <v>0</v>
      </c>
      <c r="E91" s="65">
        <v>1</v>
      </c>
      <c r="F91" s="65">
        <v>21</v>
      </c>
      <c r="G91" s="67" t="b">
        <v>0</v>
      </c>
      <c r="H91" s="65">
        <v>2</v>
      </c>
      <c r="I91" s="65">
        <v>1</v>
      </c>
      <c r="J91" s="65">
        <v>0.22</v>
      </c>
    </row>
    <row r="92" spans="1:10" x14ac:dyDescent="0.3">
      <c r="A92" s="65">
        <v>91</v>
      </c>
      <c r="B92" s="66">
        <v>40547</v>
      </c>
      <c r="C92" s="65">
        <v>1</v>
      </c>
      <c r="D92" s="65">
        <v>0</v>
      </c>
      <c r="E92" s="65">
        <v>1</v>
      </c>
      <c r="F92" s="65">
        <v>22</v>
      </c>
      <c r="G92" s="67" t="b">
        <v>0</v>
      </c>
      <c r="H92" s="65">
        <v>2</v>
      </c>
      <c r="I92" s="65">
        <v>1</v>
      </c>
      <c r="J92" s="65">
        <v>0.22</v>
      </c>
    </row>
    <row r="93" spans="1:10" x14ac:dyDescent="0.3">
      <c r="A93" s="65">
        <v>92</v>
      </c>
      <c r="B93" s="66">
        <v>40547</v>
      </c>
      <c r="C93" s="65">
        <v>1</v>
      </c>
      <c r="D93" s="65">
        <v>0</v>
      </c>
      <c r="E93" s="65">
        <v>1</v>
      </c>
      <c r="F93" s="65">
        <v>23</v>
      </c>
      <c r="G93" s="67" t="b">
        <v>0</v>
      </c>
      <c r="H93" s="65">
        <v>2</v>
      </c>
      <c r="I93" s="65">
        <v>1</v>
      </c>
      <c r="J93" s="65">
        <v>0.2</v>
      </c>
    </row>
    <row r="94" spans="1:10" x14ac:dyDescent="0.3">
      <c r="A94" s="65">
        <v>93</v>
      </c>
      <c r="B94" s="66">
        <v>40548</v>
      </c>
      <c r="C94" s="65">
        <v>1</v>
      </c>
      <c r="D94" s="65">
        <v>0</v>
      </c>
      <c r="E94" s="65">
        <v>1</v>
      </c>
      <c r="F94" s="65">
        <v>0</v>
      </c>
      <c r="G94" s="67" t="b">
        <v>0</v>
      </c>
      <c r="H94" s="65">
        <v>3</v>
      </c>
      <c r="I94" s="65">
        <v>1</v>
      </c>
      <c r="J94" s="65">
        <v>0.2</v>
      </c>
    </row>
    <row r="95" spans="1:10" x14ac:dyDescent="0.3">
      <c r="A95" s="65">
        <v>94</v>
      </c>
      <c r="B95" s="66">
        <v>40548</v>
      </c>
      <c r="C95" s="65">
        <v>1</v>
      </c>
      <c r="D95" s="65">
        <v>0</v>
      </c>
      <c r="E95" s="65">
        <v>1</v>
      </c>
      <c r="F95" s="65">
        <v>1</v>
      </c>
      <c r="G95" s="67" t="b">
        <v>0</v>
      </c>
      <c r="H95" s="65">
        <v>3</v>
      </c>
      <c r="I95" s="65">
        <v>1</v>
      </c>
      <c r="J95" s="65">
        <v>0.16</v>
      </c>
    </row>
    <row r="96" spans="1:10" x14ac:dyDescent="0.3">
      <c r="A96" s="65">
        <v>95</v>
      </c>
      <c r="B96" s="66">
        <v>40548</v>
      </c>
      <c r="C96" s="65">
        <v>1</v>
      </c>
      <c r="D96" s="65">
        <v>0</v>
      </c>
      <c r="E96" s="65">
        <v>1</v>
      </c>
      <c r="F96" s="65">
        <v>2</v>
      </c>
      <c r="G96" s="67" t="b">
        <v>0</v>
      </c>
      <c r="H96" s="65">
        <v>3</v>
      </c>
      <c r="I96" s="65">
        <v>1</v>
      </c>
      <c r="J96" s="65">
        <v>0.16</v>
      </c>
    </row>
    <row r="97" spans="1:10" x14ac:dyDescent="0.3">
      <c r="A97" s="65">
        <v>96</v>
      </c>
      <c r="B97" s="66">
        <v>40548</v>
      </c>
      <c r="C97" s="65">
        <v>1</v>
      </c>
      <c r="D97" s="65">
        <v>0</v>
      </c>
      <c r="E97" s="65">
        <v>1</v>
      </c>
      <c r="F97" s="65">
        <v>4</v>
      </c>
      <c r="G97" s="67" t="b">
        <v>0</v>
      </c>
      <c r="H97" s="65">
        <v>3</v>
      </c>
      <c r="I97" s="65">
        <v>1</v>
      </c>
      <c r="J97" s="65">
        <v>0.24</v>
      </c>
    </row>
    <row r="98" spans="1:10" x14ac:dyDescent="0.3">
      <c r="A98" s="65">
        <v>97</v>
      </c>
      <c r="B98" s="66">
        <v>40548</v>
      </c>
      <c r="C98" s="65">
        <v>1</v>
      </c>
      <c r="D98" s="65">
        <v>0</v>
      </c>
      <c r="E98" s="65">
        <v>1</v>
      </c>
      <c r="F98" s="65">
        <v>5</v>
      </c>
      <c r="G98" s="67" t="b">
        <v>0</v>
      </c>
      <c r="H98" s="65">
        <v>3</v>
      </c>
      <c r="I98" s="65">
        <v>1</v>
      </c>
      <c r="J98" s="65">
        <v>0.22</v>
      </c>
    </row>
    <row r="99" spans="1:10" x14ac:dyDescent="0.3">
      <c r="A99" s="65">
        <v>98</v>
      </c>
      <c r="B99" s="66">
        <v>40548</v>
      </c>
      <c r="C99" s="65">
        <v>1</v>
      </c>
      <c r="D99" s="65">
        <v>0</v>
      </c>
      <c r="E99" s="65">
        <v>1</v>
      </c>
      <c r="F99" s="65">
        <v>6</v>
      </c>
      <c r="G99" s="67" t="b">
        <v>0</v>
      </c>
      <c r="H99" s="65">
        <v>3</v>
      </c>
      <c r="I99" s="65">
        <v>1</v>
      </c>
      <c r="J99" s="65">
        <v>0.2</v>
      </c>
    </row>
    <row r="100" spans="1:10" x14ac:dyDescent="0.3">
      <c r="A100" s="65">
        <v>99</v>
      </c>
      <c r="B100" s="66">
        <v>40548</v>
      </c>
      <c r="C100" s="65">
        <v>1</v>
      </c>
      <c r="D100" s="65">
        <v>0</v>
      </c>
      <c r="E100" s="65">
        <v>1</v>
      </c>
      <c r="F100" s="65">
        <v>7</v>
      </c>
      <c r="G100" s="67" t="b">
        <v>0</v>
      </c>
      <c r="H100" s="65">
        <v>3</v>
      </c>
      <c r="I100" s="65">
        <v>1</v>
      </c>
      <c r="J100" s="65">
        <v>0.18</v>
      </c>
    </row>
    <row r="101" spans="1:10" x14ac:dyDescent="0.3">
      <c r="A101" s="65">
        <v>100</v>
      </c>
      <c r="B101" s="66">
        <v>40548</v>
      </c>
      <c r="C101" s="65">
        <v>1</v>
      </c>
      <c r="D101" s="65">
        <v>0</v>
      </c>
      <c r="E101" s="65">
        <v>1</v>
      </c>
      <c r="F101" s="65">
        <v>8</v>
      </c>
      <c r="G101" s="67" t="b">
        <v>0</v>
      </c>
      <c r="H101" s="65">
        <v>3</v>
      </c>
      <c r="I101" s="65">
        <v>1</v>
      </c>
      <c r="J101" s="65">
        <v>0.2</v>
      </c>
    </row>
    <row r="102" spans="1:10" x14ac:dyDescent="0.3">
      <c r="A102" s="65">
        <v>101</v>
      </c>
      <c r="B102" s="66">
        <v>40548</v>
      </c>
      <c r="C102" s="65">
        <v>1</v>
      </c>
      <c r="D102" s="65">
        <v>0</v>
      </c>
      <c r="E102" s="65">
        <v>1</v>
      </c>
      <c r="F102" s="65">
        <v>9</v>
      </c>
      <c r="G102" s="67" t="b">
        <v>0</v>
      </c>
      <c r="H102" s="65">
        <v>3</v>
      </c>
      <c r="I102" s="65">
        <v>1</v>
      </c>
      <c r="J102" s="65">
        <v>0.22</v>
      </c>
    </row>
    <row r="103" spans="1:10" x14ac:dyDescent="0.3">
      <c r="A103" s="65">
        <v>102</v>
      </c>
      <c r="B103" s="66">
        <v>40548</v>
      </c>
      <c r="C103" s="65">
        <v>1</v>
      </c>
      <c r="D103" s="65">
        <v>0</v>
      </c>
      <c r="E103" s="65">
        <v>1</v>
      </c>
      <c r="F103" s="65">
        <v>10</v>
      </c>
      <c r="G103" s="67" t="b">
        <v>0</v>
      </c>
      <c r="H103" s="65">
        <v>3</v>
      </c>
      <c r="I103" s="65">
        <v>1</v>
      </c>
      <c r="J103" s="65">
        <v>0.22</v>
      </c>
    </row>
    <row r="104" spans="1:10" x14ac:dyDescent="0.3">
      <c r="A104" s="65">
        <v>103</v>
      </c>
      <c r="B104" s="66">
        <v>40548</v>
      </c>
      <c r="C104" s="65">
        <v>1</v>
      </c>
      <c r="D104" s="65">
        <v>0</v>
      </c>
      <c r="E104" s="65">
        <v>1</v>
      </c>
      <c r="F104" s="65">
        <v>11</v>
      </c>
      <c r="G104" s="67" t="b">
        <v>0</v>
      </c>
      <c r="H104" s="65">
        <v>3</v>
      </c>
      <c r="I104" s="65">
        <v>1</v>
      </c>
      <c r="J104" s="65">
        <v>0.26</v>
      </c>
    </row>
    <row r="105" spans="1:10" x14ac:dyDescent="0.3">
      <c r="A105" s="65">
        <v>104</v>
      </c>
      <c r="B105" s="66">
        <v>40548</v>
      </c>
      <c r="C105" s="65">
        <v>1</v>
      </c>
      <c r="D105" s="65">
        <v>0</v>
      </c>
      <c r="E105" s="65">
        <v>1</v>
      </c>
      <c r="F105" s="65">
        <v>12</v>
      </c>
      <c r="G105" s="67" t="b">
        <v>0</v>
      </c>
      <c r="H105" s="65">
        <v>3</v>
      </c>
      <c r="I105" s="65">
        <v>1</v>
      </c>
      <c r="J105" s="65">
        <v>0.26</v>
      </c>
    </row>
    <row r="106" spans="1:10" x14ac:dyDescent="0.3">
      <c r="A106" s="65">
        <v>105</v>
      </c>
      <c r="B106" s="66">
        <v>40548</v>
      </c>
      <c r="C106" s="65">
        <v>1</v>
      </c>
      <c r="D106" s="65">
        <v>0</v>
      </c>
      <c r="E106" s="65">
        <v>1</v>
      </c>
      <c r="F106" s="65">
        <v>13</v>
      </c>
      <c r="G106" s="67" t="b">
        <v>0</v>
      </c>
      <c r="H106" s="65">
        <v>3</v>
      </c>
      <c r="I106" s="65">
        <v>1</v>
      </c>
      <c r="J106" s="65">
        <v>0.28000000000000003</v>
      </c>
    </row>
    <row r="107" spans="1:10" x14ac:dyDescent="0.3">
      <c r="A107" s="65">
        <v>106</v>
      </c>
      <c r="B107" s="66">
        <v>40548</v>
      </c>
      <c r="C107" s="65">
        <v>1</v>
      </c>
      <c r="D107" s="65">
        <v>0</v>
      </c>
      <c r="E107" s="65">
        <v>1</v>
      </c>
      <c r="F107" s="65">
        <v>14</v>
      </c>
      <c r="G107" s="67" t="b">
        <v>0</v>
      </c>
      <c r="H107" s="65">
        <v>3</v>
      </c>
      <c r="I107" s="65">
        <v>1</v>
      </c>
      <c r="J107" s="65">
        <v>0.3</v>
      </c>
    </row>
    <row r="108" spans="1:10" x14ac:dyDescent="0.3">
      <c r="A108" s="65">
        <v>107</v>
      </c>
      <c r="B108" s="66">
        <v>40548</v>
      </c>
      <c r="C108" s="65">
        <v>1</v>
      </c>
      <c r="D108" s="65">
        <v>0</v>
      </c>
      <c r="E108" s="65">
        <v>1</v>
      </c>
      <c r="F108" s="65">
        <v>15</v>
      </c>
      <c r="G108" s="67" t="b">
        <v>0</v>
      </c>
      <c r="H108" s="65">
        <v>3</v>
      </c>
      <c r="I108" s="65">
        <v>1</v>
      </c>
      <c r="J108" s="65">
        <v>0.3</v>
      </c>
    </row>
    <row r="109" spans="1:10" x14ac:dyDescent="0.3">
      <c r="A109" s="65">
        <v>108</v>
      </c>
      <c r="B109" s="66">
        <v>40548</v>
      </c>
      <c r="C109" s="65">
        <v>1</v>
      </c>
      <c r="D109" s="65">
        <v>0</v>
      </c>
      <c r="E109" s="65">
        <v>1</v>
      </c>
      <c r="F109" s="65">
        <v>16</v>
      </c>
      <c r="G109" s="67" t="b">
        <v>0</v>
      </c>
      <c r="H109" s="65">
        <v>3</v>
      </c>
      <c r="I109" s="65">
        <v>1</v>
      </c>
      <c r="J109" s="65">
        <v>0.3</v>
      </c>
    </row>
    <row r="110" spans="1:10" x14ac:dyDescent="0.3">
      <c r="A110" s="65">
        <v>109</v>
      </c>
      <c r="B110" s="66">
        <v>40548</v>
      </c>
      <c r="C110" s="65">
        <v>1</v>
      </c>
      <c r="D110" s="65">
        <v>0</v>
      </c>
      <c r="E110" s="65">
        <v>1</v>
      </c>
      <c r="F110" s="65">
        <v>17</v>
      </c>
      <c r="G110" s="67" t="b">
        <v>0</v>
      </c>
      <c r="H110" s="65">
        <v>3</v>
      </c>
      <c r="I110" s="65">
        <v>1</v>
      </c>
      <c r="J110" s="65">
        <v>0.24</v>
      </c>
    </row>
    <row r="111" spans="1:10" x14ac:dyDescent="0.3">
      <c r="A111" s="65">
        <v>110</v>
      </c>
      <c r="B111" s="66">
        <v>40548</v>
      </c>
      <c r="C111" s="65">
        <v>1</v>
      </c>
      <c r="D111" s="65">
        <v>0</v>
      </c>
      <c r="E111" s="65">
        <v>1</v>
      </c>
      <c r="F111" s="65">
        <v>18</v>
      </c>
      <c r="G111" s="67" t="b">
        <v>0</v>
      </c>
      <c r="H111" s="65">
        <v>3</v>
      </c>
      <c r="I111" s="65">
        <v>1</v>
      </c>
      <c r="J111" s="65">
        <v>0.24</v>
      </c>
    </row>
    <row r="112" spans="1:10" x14ac:dyDescent="0.3">
      <c r="A112" s="65">
        <v>111</v>
      </c>
      <c r="B112" s="66">
        <v>40548</v>
      </c>
      <c r="C112" s="65">
        <v>1</v>
      </c>
      <c r="D112" s="65">
        <v>0</v>
      </c>
      <c r="E112" s="65">
        <v>1</v>
      </c>
      <c r="F112" s="65">
        <v>19</v>
      </c>
      <c r="G112" s="67" t="b">
        <v>0</v>
      </c>
      <c r="H112" s="65">
        <v>3</v>
      </c>
      <c r="I112" s="65">
        <v>1</v>
      </c>
      <c r="J112" s="65">
        <v>0.24</v>
      </c>
    </row>
    <row r="113" spans="1:10" x14ac:dyDescent="0.3">
      <c r="A113" s="65">
        <v>112</v>
      </c>
      <c r="B113" s="66">
        <v>40548</v>
      </c>
      <c r="C113" s="65">
        <v>1</v>
      </c>
      <c r="D113" s="65">
        <v>0</v>
      </c>
      <c r="E113" s="65">
        <v>1</v>
      </c>
      <c r="F113" s="65">
        <v>20</v>
      </c>
      <c r="G113" s="67" t="b">
        <v>0</v>
      </c>
      <c r="H113" s="65">
        <v>3</v>
      </c>
      <c r="I113" s="65">
        <v>1</v>
      </c>
      <c r="J113" s="65">
        <v>0.22</v>
      </c>
    </row>
    <row r="114" spans="1:10" x14ac:dyDescent="0.3">
      <c r="A114" s="65">
        <v>113</v>
      </c>
      <c r="B114" s="66">
        <v>40548</v>
      </c>
      <c r="C114" s="65">
        <v>1</v>
      </c>
      <c r="D114" s="65">
        <v>0</v>
      </c>
      <c r="E114" s="65">
        <v>1</v>
      </c>
      <c r="F114" s="65">
        <v>21</v>
      </c>
      <c r="G114" s="67" t="b">
        <v>0</v>
      </c>
      <c r="H114" s="65">
        <v>3</v>
      </c>
      <c r="I114" s="65">
        <v>1</v>
      </c>
      <c r="J114" s="65">
        <v>0.2</v>
      </c>
    </row>
    <row r="115" spans="1:10" x14ac:dyDescent="0.3">
      <c r="A115" s="65">
        <v>114</v>
      </c>
      <c r="B115" s="66">
        <v>40548</v>
      </c>
      <c r="C115" s="65">
        <v>1</v>
      </c>
      <c r="D115" s="65">
        <v>0</v>
      </c>
      <c r="E115" s="65">
        <v>1</v>
      </c>
      <c r="F115" s="65">
        <v>22</v>
      </c>
      <c r="G115" s="67" t="b">
        <v>0</v>
      </c>
      <c r="H115" s="65">
        <v>3</v>
      </c>
      <c r="I115" s="65">
        <v>1</v>
      </c>
      <c r="J115" s="65">
        <v>0.18</v>
      </c>
    </row>
    <row r="116" spans="1:10" x14ac:dyDescent="0.3">
      <c r="A116" s="65">
        <v>115</v>
      </c>
      <c r="B116" s="66">
        <v>40548</v>
      </c>
      <c r="C116" s="65">
        <v>1</v>
      </c>
      <c r="D116" s="65">
        <v>0</v>
      </c>
      <c r="E116" s="65">
        <v>1</v>
      </c>
      <c r="F116" s="65">
        <v>23</v>
      </c>
      <c r="G116" s="67" t="b">
        <v>0</v>
      </c>
      <c r="H116" s="65">
        <v>3</v>
      </c>
      <c r="I116" s="65">
        <v>1</v>
      </c>
      <c r="J116" s="65">
        <v>0.2</v>
      </c>
    </row>
    <row r="117" spans="1:10" x14ac:dyDescent="0.3">
      <c r="A117" s="65">
        <v>116</v>
      </c>
      <c r="B117" s="66">
        <v>40549</v>
      </c>
      <c r="C117" s="65">
        <v>1</v>
      </c>
      <c r="D117" s="65">
        <v>0</v>
      </c>
      <c r="E117" s="65">
        <v>1</v>
      </c>
      <c r="F117" s="65">
        <v>0</v>
      </c>
      <c r="G117" s="67" t="b">
        <v>0</v>
      </c>
      <c r="H117" s="65">
        <v>4</v>
      </c>
      <c r="I117" s="65">
        <v>1</v>
      </c>
      <c r="J117" s="65">
        <v>0.18</v>
      </c>
    </row>
    <row r="118" spans="1:10" x14ac:dyDescent="0.3">
      <c r="A118" s="65">
        <v>117</v>
      </c>
      <c r="B118" s="66">
        <v>40549</v>
      </c>
      <c r="C118" s="65">
        <v>1</v>
      </c>
      <c r="D118" s="65">
        <v>0</v>
      </c>
      <c r="E118" s="65">
        <v>1</v>
      </c>
      <c r="F118" s="65">
        <v>1</v>
      </c>
      <c r="G118" s="67" t="b">
        <v>0</v>
      </c>
      <c r="H118" s="65">
        <v>4</v>
      </c>
      <c r="I118" s="65">
        <v>1</v>
      </c>
      <c r="J118" s="65">
        <v>0.16</v>
      </c>
    </row>
    <row r="119" spans="1:10" x14ac:dyDescent="0.3">
      <c r="A119" s="65">
        <v>118</v>
      </c>
      <c r="B119" s="66">
        <v>40549</v>
      </c>
      <c r="C119" s="65">
        <v>1</v>
      </c>
      <c r="D119" s="65">
        <v>0</v>
      </c>
      <c r="E119" s="65">
        <v>1</v>
      </c>
      <c r="F119" s="65">
        <v>2</v>
      </c>
      <c r="G119" s="67" t="b">
        <v>0</v>
      </c>
      <c r="H119" s="65">
        <v>4</v>
      </c>
      <c r="I119" s="65">
        <v>1</v>
      </c>
      <c r="J119" s="65">
        <v>0.16</v>
      </c>
    </row>
    <row r="120" spans="1:10" x14ac:dyDescent="0.3">
      <c r="A120" s="65">
        <v>119</v>
      </c>
      <c r="B120" s="66">
        <v>40549</v>
      </c>
      <c r="C120" s="65">
        <v>1</v>
      </c>
      <c r="D120" s="65">
        <v>0</v>
      </c>
      <c r="E120" s="65">
        <v>1</v>
      </c>
      <c r="F120" s="65">
        <v>4</v>
      </c>
      <c r="G120" s="67" t="b">
        <v>0</v>
      </c>
      <c r="H120" s="65">
        <v>4</v>
      </c>
      <c r="I120" s="65">
        <v>2</v>
      </c>
      <c r="J120" s="65">
        <v>0.16</v>
      </c>
    </row>
    <row r="121" spans="1:10" x14ac:dyDescent="0.3">
      <c r="A121" s="65">
        <v>120</v>
      </c>
      <c r="B121" s="66">
        <v>40549</v>
      </c>
      <c r="C121" s="65">
        <v>1</v>
      </c>
      <c r="D121" s="65">
        <v>0</v>
      </c>
      <c r="E121" s="65">
        <v>1</v>
      </c>
      <c r="F121" s="65">
        <v>5</v>
      </c>
      <c r="G121" s="67" t="b">
        <v>0</v>
      </c>
      <c r="H121" s="65">
        <v>4</v>
      </c>
      <c r="I121" s="65">
        <v>2</v>
      </c>
      <c r="J121" s="65">
        <v>0.14000000000000001</v>
      </c>
    </row>
    <row r="122" spans="1:10" x14ac:dyDescent="0.3">
      <c r="A122" s="65">
        <v>121</v>
      </c>
      <c r="B122" s="66">
        <v>40549</v>
      </c>
      <c r="C122" s="65">
        <v>1</v>
      </c>
      <c r="D122" s="65">
        <v>0</v>
      </c>
      <c r="E122" s="65">
        <v>1</v>
      </c>
      <c r="F122" s="65">
        <v>6</v>
      </c>
      <c r="G122" s="67" t="b">
        <v>0</v>
      </c>
      <c r="H122" s="65">
        <v>4</v>
      </c>
      <c r="I122" s="65">
        <v>2</v>
      </c>
      <c r="J122" s="65">
        <v>0.14000000000000001</v>
      </c>
    </row>
    <row r="123" spans="1:10" x14ac:dyDescent="0.3">
      <c r="A123" s="65">
        <v>122</v>
      </c>
      <c r="B123" s="66">
        <v>40549</v>
      </c>
      <c r="C123" s="65">
        <v>1</v>
      </c>
      <c r="D123" s="65">
        <v>0</v>
      </c>
      <c r="E123" s="65">
        <v>1</v>
      </c>
      <c r="F123" s="65">
        <v>7</v>
      </c>
      <c r="G123" s="67" t="b">
        <v>0</v>
      </c>
      <c r="H123" s="65">
        <v>4</v>
      </c>
      <c r="I123" s="65">
        <v>2</v>
      </c>
      <c r="J123" s="65">
        <v>0.16</v>
      </c>
    </row>
    <row r="124" spans="1:10" x14ac:dyDescent="0.3">
      <c r="A124" s="65">
        <v>123</v>
      </c>
      <c r="B124" s="66">
        <v>40549</v>
      </c>
      <c r="C124" s="65">
        <v>1</v>
      </c>
      <c r="D124" s="65">
        <v>0</v>
      </c>
      <c r="E124" s="65">
        <v>1</v>
      </c>
      <c r="F124" s="65">
        <v>8</v>
      </c>
      <c r="G124" s="67" t="b">
        <v>0</v>
      </c>
      <c r="H124" s="65">
        <v>4</v>
      </c>
      <c r="I124" s="65">
        <v>1</v>
      </c>
      <c r="J124" s="65">
        <v>0.16</v>
      </c>
    </row>
    <row r="125" spans="1:10" x14ac:dyDescent="0.3">
      <c r="A125" s="65">
        <v>124</v>
      </c>
      <c r="B125" s="66">
        <v>40549</v>
      </c>
      <c r="C125" s="65">
        <v>1</v>
      </c>
      <c r="D125" s="65">
        <v>0</v>
      </c>
      <c r="E125" s="65">
        <v>1</v>
      </c>
      <c r="F125" s="65">
        <v>9</v>
      </c>
      <c r="G125" s="67" t="b">
        <v>0</v>
      </c>
      <c r="H125" s="65">
        <v>4</v>
      </c>
      <c r="I125" s="65">
        <v>2</v>
      </c>
      <c r="J125" s="65">
        <v>0.18</v>
      </c>
    </row>
    <row r="126" spans="1:10" x14ac:dyDescent="0.3">
      <c r="A126" s="65">
        <v>125</v>
      </c>
      <c r="B126" s="66">
        <v>40549</v>
      </c>
      <c r="C126" s="65">
        <v>1</v>
      </c>
      <c r="D126" s="65">
        <v>0</v>
      </c>
      <c r="E126" s="65">
        <v>1</v>
      </c>
      <c r="F126" s="65">
        <v>10</v>
      </c>
      <c r="G126" s="67" t="b">
        <v>0</v>
      </c>
      <c r="H126" s="65">
        <v>4</v>
      </c>
      <c r="I126" s="65">
        <v>1</v>
      </c>
      <c r="J126" s="65">
        <v>0.2</v>
      </c>
    </row>
    <row r="127" spans="1:10" x14ac:dyDescent="0.3">
      <c r="A127" s="65">
        <v>126</v>
      </c>
      <c r="B127" s="66">
        <v>40549</v>
      </c>
      <c r="C127" s="65">
        <v>1</v>
      </c>
      <c r="D127" s="65">
        <v>0</v>
      </c>
      <c r="E127" s="65">
        <v>1</v>
      </c>
      <c r="F127" s="65">
        <v>11</v>
      </c>
      <c r="G127" s="67" t="b">
        <v>0</v>
      </c>
      <c r="H127" s="65">
        <v>4</v>
      </c>
      <c r="I127" s="65">
        <v>1</v>
      </c>
      <c r="J127" s="65">
        <v>0.22</v>
      </c>
    </row>
    <row r="128" spans="1:10" x14ac:dyDescent="0.3">
      <c r="A128" s="65">
        <v>127</v>
      </c>
      <c r="B128" s="66">
        <v>40549</v>
      </c>
      <c r="C128" s="65">
        <v>1</v>
      </c>
      <c r="D128" s="65">
        <v>0</v>
      </c>
      <c r="E128" s="65">
        <v>1</v>
      </c>
      <c r="F128" s="65">
        <v>12</v>
      </c>
      <c r="G128" s="67" t="b">
        <v>0</v>
      </c>
      <c r="H128" s="65">
        <v>4</v>
      </c>
      <c r="I128" s="65">
        <v>1</v>
      </c>
      <c r="J128" s="65">
        <v>0.26</v>
      </c>
    </row>
    <row r="129" spans="1:10" x14ac:dyDescent="0.3">
      <c r="A129" s="65">
        <v>128</v>
      </c>
      <c r="B129" s="66">
        <v>40549</v>
      </c>
      <c r="C129" s="65">
        <v>1</v>
      </c>
      <c r="D129" s="65">
        <v>0</v>
      </c>
      <c r="E129" s="65">
        <v>1</v>
      </c>
      <c r="F129" s="65">
        <v>13</v>
      </c>
      <c r="G129" s="67" t="b">
        <v>0</v>
      </c>
      <c r="H129" s="65">
        <v>4</v>
      </c>
      <c r="I129" s="65">
        <v>1</v>
      </c>
      <c r="J129" s="65">
        <v>0.26</v>
      </c>
    </row>
    <row r="130" spans="1:10" x14ac:dyDescent="0.3">
      <c r="A130" s="65">
        <v>129</v>
      </c>
      <c r="B130" s="66">
        <v>40549</v>
      </c>
      <c r="C130" s="65">
        <v>1</v>
      </c>
      <c r="D130" s="65">
        <v>0</v>
      </c>
      <c r="E130" s="65">
        <v>1</v>
      </c>
      <c r="F130" s="65">
        <v>14</v>
      </c>
      <c r="G130" s="67" t="b">
        <v>0</v>
      </c>
      <c r="H130" s="65">
        <v>4</v>
      </c>
      <c r="I130" s="65">
        <v>1</v>
      </c>
      <c r="J130" s="65">
        <v>0.28000000000000003</v>
      </c>
    </row>
    <row r="131" spans="1:10" x14ac:dyDescent="0.3">
      <c r="A131" s="65">
        <v>130</v>
      </c>
      <c r="B131" s="66">
        <v>40549</v>
      </c>
      <c r="C131" s="65">
        <v>1</v>
      </c>
      <c r="D131" s="65">
        <v>0</v>
      </c>
      <c r="E131" s="65">
        <v>1</v>
      </c>
      <c r="F131" s="65">
        <v>15</v>
      </c>
      <c r="G131" s="67" t="b">
        <v>0</v>
      </c>
      <c r="H131" s="65">
        <v>4</v>
      </c>
      <c r="I131" s="65">
        <v>1</v>
      </c>
      <c r="J131" s="65">
        <v>0.28000000000000003</v>
      </c>
    </row>
    <row r="132" spans="1:10" x14ac:dyDescent="0.3">
      <c r="A132" s="65">
        <v>131</v>
      </c>
      <c r="B132" s="66">
        <v>40549</v>
      </c>
      <c r="C132" s="65">
        <v>1</v>
      </c>
      <c r="D132" s="65">
        <v>0</v>
      </c>
      <c r="E132" s="65">
        <v>1</v>
      </c>
      <c r="F132" s="65">
        <v>16</v>
      </c>
      <c r="G132" s="67" t="b">
        <v>0</v>
      </c>
      <c r="H132" s="65">
        <v>4</v>
      </c>
      <c r="I132" s="65">
        <v>1</v>
      </c>
      <c r="J132" s="65">
        <v>0.26</v>
      </c>
    </row>
    <row r="133" spans="1:10" x14ac:dyDescent="0.3">
      <c r="A133" s="65">
        <v>132</v>
      </c>
      <c r="B133" s="66">
        <v>40549</v>
      </c>
      <c r="C133" s="65">
        <v>1</v>
      </c>
      <c r="D133" s="65">
        <v>0</v>
      </c>
      <c r="E133" s="65">
        <v>1</v>
      </c>
      <c r="F133" s="65">
        <v>17</v>
      </c>
      <c r="G133" s="67" t="b">
        <v>0</v>
      </c>
      <c r="H133" s="65">
        <v>4</v>
      </c>
      <c r="I133" s="65">
        <v>1</v>
      </c>
      <c r="J133" s="65">
        <v>0.22</v>
      </c>
    </row>
    <row r="134" spans="1:10" x14ac:dyDescent="0.3">
      <c r="A134" s="65">
        <v>133</v>
      </c>
      <c r="B134" s="66">
        <v>40549</v>
      </c>
      <c r="C134" s="65">
        <v>1</v>
      </c>
      <c r="D134" s="65">
        <v>0</v>
      </c>
      <c r="E134" s="65">
        <v>1</v>
      </c>
      <c r="F134" s="65">
        <v>18</v>
      </c>
      <c r="G134" s="67" t="b">
        <v>0</v>
      </c>
      <c r="H134" s="65">
        <v>4</v>
      </c>
      <c r="I134" s="65">
        <v>1</v>
      </c>
      <c r="J134" s="65">
        <v>0.22</v>
      </c>
    </row>
    <row r="135" spans="1:10" x14ac:dyDescent="0.3">
      <c r="A135" s="65">
        <v>134</v>
      </c>
      <c r="B135" s="66">
        <v>40549</v>
      </c>
      <c r="C135" s="65">
        <v>1</v>
      </c>
      <c r="D135" s="65">
        <v>0</v>
      </c>
      <c r="E135" s="65">
        <v>1</v>
      </c>
      <c r="F135" s="65">
        <v>19</v>
      </c>
      <c r="G135" s="67" t="b">
        <v>0</v>
      </c>
      <c r="H135" s="65">
        <v>4</v>
      </c>
      <c r="I135" s="65">
        <v>1</v>
      </c>
      <c r="J135" s="65">
        <v>0.22</v>
      </c>
    </row>
    <row r="136" spans="1:10" x14ac:dyDescent="0.3">
      <c r="A136" s="65">
        <v>135</v>
      </c>
      <c r="B136" s="66">
        <v>40549</v>
      </c>
      <c r="C136" s="65">
        <v>1</v>
      </c>
      <c r="D136" s="65">
        <v>0</v>
      </c>
      <c r="E136" s="65">
        <v>1</v>
      </c>
      <c r="F136" s="65">
        <v>20</v>
      </c>
      <c r="G136" s="67" t="b">
        <v>0</v>
      </c>
      <c r="H136" s="65">
        <v>4</v>
      </c>
      <c r="I136" s="65">
        <v>1</v>
      </c>
      <c r="J136" s="65">
        <v>0.2</v>
      </c>
    </row>
    <row r="137" spans="1:10" x14ac:dyDescent="0.3">
      <c r="A137" s="65">
        <v>136</v>
      </c>
      <c r="B137" s="66">
        <v>40549</v>
      </c>
      <c r="C137" s="65">
        <v>1</v>
      </c>
      <c r="D137" s="65">
        <v>0</v>
      </c>
      <c r="E137" s="65">
        <v>1</v>
      </c>
      <c r="F137" s="65">
        <v>21</v>
      </c>
      <c r="G137" s="67" t="b">
        <v>0</v>
      </c>
      <c r="H137" s="65">
        <v>4</v>
      </c>
      <c r="I137" s="65">
        <v>2</v>
      </c>
      <c r="J137" s="65">
        <v>0.22</v>
      </c>
    </row>
    <row r="138" spans="1:10" x14ac:dyDescent="0.3">
      <c r="A138" s="65">
        <v>137</v>
      </c>
      <c r="B138" s="66">
        <v>40549</v>
      </c>
      <c r="C138" s="65">
        <v>1</v>
      </c>
      <c r="D138" s="65">
        <v>0</v>
      </c>
      <c r="E138" s="65">
        <v>1</v>
      </c>
      <c r="F138" s="65">
        <v>22</v>
      </c>
      <c r="G138" s="67" t="b">
        <v>0</v>
      </c>
      <c r="H138" s="65">
        <v>4</v>
      </c>
      <c r="I138" s="65">
        <v>2</v>
      </c>
      <c r="J138" s="65">
        <v>0.22</v>
      </c>
    </row>
    <row r="139" spans="1:10" x14ac:dyDescent="0.3">
      <c r="A139" s="65">
        <v>138</v>
      </c>
      <c r="B139" s="66">
        <v>40549</v>
      </c>
      <c r="C139" s="65">
        <v>1</v>
      </c>
      <c r="D139" s="65">
        <v>0</v>
      </c>
      <c r="E139" s="65">
        <v>1</v>
      </c>
      <c r="F139" s="65">
        <v>23</v>
      </c>
      <c r="G139" s="67" t="b">
        <v>0</v>
      </c>
      <c r="H139" s="65">
        <v>4</v>
      </c>
      <c r="I139" s="65">
        <v>2</v>
      </c>
      <c r="J139" s="65">
        <v>0.2</v>
      </c>
    </row>
    <row r="140" spans="1:10" x14ac:dyDescent="0.3">
      <c r="A140" s="65">
        <v>139</v>
      </c>
      <c r="B140" s="66">
        <v>40550</v>
      </c>
      <c r="C140" s="65">
        <v>1</v>
      </c>
      <c r="D140" s="65">
        <v>0</v>
      </c>
      <c r="E140" s="65">
        <v>1</v>
      </c>
      <c r="F140" s="65">
        <v>0</v>
      </c>
      <c r="G140" s="67" t="b">
        <v>0</v>
      </c>
      <c r="H140" s="65">
        <v>5</v>
      </c>
      <c r="I140" s="65">
        <v>2</v>
      </c>
      <c r="J140" s="65">
        <v>0.2</v>
      </c>
    </row>
    <row r="141" spans="1:10" x14ac:dyDescent="0.3">
      <c r="A141" s="65">
        <v>140</v>
      </c>
      <c r="B141" s="66">
        <v>40550</v>
      </c>
      <c r="C141" s="65">
        <v>1</v>
      </c>
      <c r="D141" s="65">
        <v>0</v>
      </c>
      <c r="E141" s="65">
        <v>1</v>
      </c>
      <c r="F141" s="65">
        <v>1</v>
      </c>
      <c r="G141" s="67" t="b">
        <v>0</v>
      </c>
      <c r="H141" s="65">
        <v>5</v>
      </c>
      <c r="I141" s="65">
        <v>2</v>
      </c>
      <c r="J141" s="65">
        <v>0.2</v>
      </c>
    </row>
    <row r="142" spans="1:10" x14ac:dyDescent="0.3">
      <c r="A142" s="65">
        <v>141</v>
      </c>
      <c r="B142" s="66">
        <v>40550</v>
      </c>
      <c r="C142" s="65">
        <v>1</v>
      </c>
      <c r="D142" s="65">
        <v>0</v>
      </c>
      <c r="E142" s="65">
        <v>1</v>
      </c>
      <c r="F142" s="65">
        <v>2</v>
      </c>
      <c r="G142" s="67" t="b">
        <v>0</v>
      </c>
      <c r="H142" s="65">
        <v>5</v>
      </c>
      <c r="I142" s="65">
        <v>2</v>
      </c>
      <c r="J142" s="65">
        <v>0.2</v>
      </c>
    </row>
    <row r="143" spans="1:10" x14ac:dyDescent="0.3">
      <c r="A143" s="65">
        <v>142</v>
      </c>
      <c r="B143" s="66">
        <v>40550</v>
      </c>
      <c r="C143" s="65">
        <v>1</v>
      </c>
      <c r="D143" s="65">
        <v>0</v>
      </c>
      <c r="E143" s="65">
        <v>1</v>
      </c>
      <c r="F143" s="65">
        <v>4</v>
      </c>
      <c r="G143" s="67" t="b">
        <v>0</v>
      </c>
      <c r="H143" s="65">
        <v>5</v>
      </c>
      <c r="I143" s="65">
        <v>2</v>
      </c>
      <c r="J143" s="65">
        <v>0.2</v>
      </c>
    </row>
    <row r="144" spans="1:10" x14ac:dyDescent="0.3">
      <c r="A144" s="65">
        <v>143</v>
      </c>
      <c r="B144" s="66">
        <v>40550</v>
      </c>
      <c r="C144" s="65">
        <v>1</v>
      </c>
      <c r="D144" s="65">
        <v>0</v>
      </c>
      <c r="E144" s="65">
        <v>1</v>
      </c>
      <c r="F144" s="65">
        <v>5</v>
      </c>
      <c r="G144" s="67" t="b">
        <v>0</v>
      </c>
      <c r="H144" s="65">
        <v>5</v>
      </c>
      <c r="I144" s="65">
        <v>3</v>
      </c>
      <c r="J144" s="65">
        <v>0.22</v>
      </c>
    </row>
    <row r="145" spans="1:10" x14ac:dyDescent="0.3">
      <c r="A145" s="65">
        <v>144</v>
      </c>
      <c r="B145" s="66">
        <v>40550</v>
      </c>
      <c r="C145" s="65">
        <v>1</v>
      </c>
      <c r="D145" s="65">
        <v>0</v>
      </c>
      <c r="E145" s="65">
        <v>1</v>
      </c>
      <c r="F145" s="65">
        <v>6</v>
      </c>
      <c r="G145" s="67" t="b">
        <v>0</v>
      </c>
      <c r="H145" s="65">
        <v>5</v>
      </c>
      <c r="I145" s="65">
        <v>2</v>
      </c>
      <c r="J145" s="65">
        <v>0.2</v>
      </c>
    </row>
    <row r="146" spans="1:10" x14ac:dyDescent="0.3">
      <c r="A146" s="65">
        <v>145</v>
      </c>
      <c r="B146" s="66">
        <v>40550</v>
      </c>
      <c r="C146" s="65">
        <v>1</v>
      </c>
      <c r="D146" s="65">
        <v>0</v>
      </c>
      <c r="E146" s="65">
        <v>1</v>
      </c>
      <c r="F146" s="65">
        <v>7</v>
      </c>
      <c r="G146" s="67" t="b">
        <v>0</v>
      </c>
      <c r="H146" s="65">
        <v>5</v>
      </c>
      <c r="I146" s="65">
        <v>1</v>
      </c>
      <c r="J146" s="65">
        <v>0.2</v>
      </c>
    </row>
    <row r="147" spans="1:10" x14ac:dyDescent="0.3">
      <c r="A147" s="65">
        <v>146</v>
      </c>
      <c r="B147" s="66">
        <v>40550</v>
      </c>
      <c r="C147" s="65">
        <v>1</v>
      </c>
      <c r="D147" s="65">
        <v>0</v>
      </c>
      <c r="E147" s="65">
        <v>1</v>
      </c>
      <c r="F147" s="65">
        <v>8</v>
      </c>
      <c r="G147" s="67" t="b">
        <v>0</v>
      </c>
      <c r="H147" s="65">
        <v>5</v>
      </c>
      <c r="I147" s="65">
        <v>1</v>
      </c>
      <c r="J147" s="65">
        <v>0.2</v>
      </c>
    </row>
    <row r="148" spans="1:10" x14ac:dyDescent="0.3">
      <c r="A148" s="65">
        <v>147</v>
      </c>
      <c r="B148" s="66">
        <v>40550</v>
      </c>
      <c r="C148" s="65">
        <v>1</v>
      </c>
      <c r="D148" s="65">
        <v>0</v>
      </c>
      <c r="E148" s="65">
        <v>1</v>
      </c>
      <c r="F148" s="65">
        <v>9</v>
      </c>
      <c r="G148" s="67" t="b">
        <v>0</v>
      </c>
      <c r="H148" s="65">
        <v>5</v>
      </c>
      <c r="I148" s="65">
        <v>1</v>
      </c>
      <c r="J148" s="65">
        <v>0.2</v>
      </c>
    </row>
    <row r="149" spans="1:10" x14ac:dyDescent="0.3">
      <c r="A149" s="65">
        <v>148</v>
      </c>
      <c r="B149" s="66">
        <v>40550</v>
      </c>
      <c r="C149" s="65">
        <v>1</v>
      </c>
      <c r="D149" s="65">
        <v>0</v>
      </c>
      <c r="E149" s="65">
        <v>1</v>
      </c>
      <c r="F149" s="65">
        <v>10</v>
      </c>
      <c r="G149" s="67" t="b">
        <v>0</v>
      </c>
      <c r="H149" s="65">
        <v>5</v>
      </c>
      <c r="I149" s="65">
        <v>1</v>
      </c>
      <c r="J149" s="65">
        <v>0.22</v>
      </c>
    </row>
    <row r="150" spans="1:10" x14ac:dyDescent="0.3">
      <c r="A150" s="65">
        <v>149</v>
      </c>
      <c r="B150" s="66">
        <v>40550</v>
      </c>
      <c r="C150" s="65">
        <v>1</v>
      </c>
      <c r="D150" s="65">
        <v>0</v>
      </c>
      <c r="E150" s="65">
        <v>1</v>
      </c>
      <c r="F150" s="65">
        <v>11</v>
      </c>
      <c r="G150" s="67" t="b">
        <v>0</v>
      </c>
      <c r="H150" s="65">
        <v>5</v>
      </c>
      <c r="I150" s="65">
        <v>2</v>
      </c>
      <c r="J150" s="65">
        <v>0.2</v>
      </c>
    </row>
    <row r="151" spans="1:10" x14ac:dyDescent="0.3">
      <c r="A151" s="65">
        <v>150</v>
      </c>
      <c r="B151" s="66">
        <v>40550</v>
      </c>
      <c r="C151" s="65">
        <v>1</v>
      </c>
      <c r="D151" s="65">
        <v>0</v>
      </c>
      <c r="E151" s="65">
        <v>1</v>
      </c>
      <c r="F151" s="65">
        <v>12</v>
      </c>
      <c r="G151" s="67" t="b">
        <v>0</v>
      </c>
      <c r="H151" s="65">
        <v>5</v>
      </c>
      <c r="I151" s="65">
        <v>2</v>
      </c>
      <c r="J151" s="65">
        <v>0.2</v>
      </c>
    </row>
    <row r="152" spans="1:10" x14ac:dyDescent="0.3">
      <c r="A152" s="65">
        <v>151</v>
      </c>
      <c r="B152" s="66">
        <v>40550</v>
      </c>
      <c r="C152" s="65">
        <v>1</v>
      </c>
      <c r="D152" s="65">
        <v>0</v>
      </c>
      <c r="E152" s="65">
        <v>1</v>
      </c>
      <c r="F152" s="65">
        <v>13</v>
      </c>
      <c r="G152" s="67" t="b">
        <v>0</v>
      </c>
      <c r="H152" s="65">
        <v>5</v>
      </c>
      <c r="I152" s="65">
        <v>2</v>
      </c>
      <c r="J152" s="65">
        <v>0.2</v>
      </c>
    </row>
    <row r="153" spans="1:10" x14ac:dyDescent="0.3">
      <c r="A153" s="65">
        <v>152</v>
      </c>
      <c r="B153" s="66">
        <v>40550</v>
      </c>
      <c r="C153" s="65">
        <v>1</v>
      </c>
      <c r="D153" s="65">
        <v>0</v>
      </c>
      <c r="E153" s="65">
        <v>1</v>
      </c>
      <c r="F153" s="65">
        <v>14</v>
      </c>
      <c r="G153" s="67" t="b">
        <v>0</v>
      </c>
      <c r="H153" s="65">
        <v>5</v>
      </c>
      <c r="I153" s="65">
        <v>2</v>
      </c>
      <c r="J153" s="65">
        <v>0.2</v>
      </c>
    </row>
    <row r="154" spans="1:10" x14ac:dyDescent="0.3">
      <c r="A154" s="65">
        <v>153</v>
      </c>
      <c r="B154" s="66">
        <v>40550</v>
      </c>
      <c r="C154" s="65">
        <v>1</v>
      </c>
      <c r="D154" s="65">
        <v>0</v>
      </c>
      <c r="E154" s="65">
        <v>1</v>
      </c>
      <c r="F154" s="65">
        <v>15</v>
      </c>
      <c r="G154" s="67" t="b">
        <v>0</v>
      </c>
      <c r="H154" s="65">
        <v>5</v>
      </c>
      <c r="I154" s="65">
        <v>2</v>
      </c>
      <c r="J154" s="65">
        <v>0.2</v>
      </c>
    </row>
    <row r="155" spans="1:10" x14ac:dyDescent="0.3">
      <c r="A155" s="65">
        <v>154</v>
      </c>
      <c r="B155" s="66">
        <v>40550</v>
      </c>
      <c r="C155" s="65">
        <v>1</v>
      </c>
      <c r="D155" s="65">
        <v>0</v>
      </c>
      <c r="E155" s="65">
        <v>1</v>
      </c>
      <c r="F155" s="65">
        <v>16</v>
      </c>
      <c r="G155" s="67" t="b">
        <v>0</v>
      </c>
      <c r="H155" s="65">
        <v>5</v>
      </c>
      <c r="I155" s="65">
        <v>2</v>
      </c>
      <c r="J155" s="65">
        <v>0.2</v>
      </c>
    </row>
    <row r="156" spans="1:10" x14ac:dyDescent="0.3">
      <c r="A156" s="65">
        <v>155</v>
      </c>
      <c r="B156" s="66">
        <v>40550</v>
      </c>
      <c r="C156" s="65">
        <v>1</v>
      </c>
      <c r="D156" s="65">
        <v>0</v>
      </c>
      <c r="E156" s="65">
        <v>1</v>
      </c>
      <c r="F156" s="65">
        <v>17</v>
      </c>
      <c r="G156" s="67" t="b">
        <v>0</v>
      </c>
      <c r="H156" s="65">
        <v>5</v>
      </c>
      <c r="I156" s="65">
        <v>2</v>
      </c>
      <c r="J156" s="65">
        <v>0.2</v>
      </c>
    </row>
    <row r="157" spans="1:10" x14ac:dyDescent="0.3">
      <c r="A157" s="65">
        <v>156</v>
      </c>
      <c r="B157" s="66">
        <v>40550</v>
      </c>
      <c r="C157" s="65">
        <v>1</v>
      </c>
      <c r="D157" s="65">
        <v>0</v>
      </c>
      <c r="E157" s="65">
        <v>1</v>
      </c>
      <c r="F157" s="65">
        <v>18</v>
      </c>
      <c r="G157" s="67" t="b">
        <v>0</v>
      </c>
      <c r="H157" s="65">
        <v>5</v>
      </c>
      <c r="I157" s="65">
        <v>1</v>
      </c>
      <c r="J157" s="65">
        <v>0.2</v>
      </c>
    </row>
    <row r="158" spans="1:10" x14ac:dyDescent="0.3">
      <c r="A158" s="65">
        <v>157</v>
      </c>
      <c r="B158" s="66">
        <v>40550</v>
      </c>
      <c r="C158" s="65">
        <v>1</v>
      </c>
      <c r="D158" s="65">
        <v>0</v>
      </c>
      <c r="E158" s="65">
        <v>1</v>
      </c>
      <c r="F158" s="65">
        <v>19</v>
      </c>
      <c r="G158" s="67" t="b">
        <v>0</v>
      </c>
      <c r="H158" s="65">
        <v>5</v>
      </c>
      <c r="I158" s="65">
        <v>1</v>
      </c>
      <c r="J158" s="65">
        <v>0.16</v>
      </c>
    </row>
    <row r="159" spans="1:10" x14ac:dyDescent="0.3">
      <c r="A159" s="65">
        <v>158</v>
      </c>
      <c r="B159" s="66">
        <v>40550</v>
      </c>
      <c r="C159" s="65">
        <v>1</v>
      </c>
      <c r="D159" s="65">
        <v>0</v>
      </c>
      <c r="E159" s="65">
        <v>1</v>
      </c>
      <c r="F159" s="65">
        <v>20</v>
      </c>
      <c r="G159" s="67" t="b">
        <v>0</v>
      </c>
      <c r="H159" s="65">
        <v>5</v>
      </c>
      <c r="I159" s="65">
        <v>1</v>
      </c>
      <c r="J159" s="65">
        <v>0.18</v>
      </c>
    </row>
    <row r="160" spans="1:10" x14ac:dyDescent="0.3">
      <c r="A160" s="65">
        <v>159</v>
      </c>
      <c r="B160" s="66">
        <v>40550</v>
      </c>
      <c r="C160" s="65">
        <v>1</v>
      </c>
      <c r="D160" s="65">
        <v>0</v>
      </c>
      <c r="E160" s="65">
        <v>1</v>
      </c>
      <c r="F160" s="65">
        <v>21</v>
      </c>
      <c r="G160" s="67" t="b">
        <v>0</v>
      </c>
      <c r="H160" s="65">
        <v>5</v>
      </c>
      <c r="I160" s="65">
        <v>1</v>
      </c>
      <c r="J160" s="65">
        <v>0.18</v>
      </c>
    </row>
    <row r="161" spans="1:10" x14ac:dyDescent="0.3">
      <c r="A161" s="65">
        <v>160</v>
      </c>
      <c r="B161" s="66">
        <v>40550</v>
      </c>
      <c r="C161" s="65">
        <v>1</v>
      </c>
      <c r="D161" s="65">
        <v>0</v>
      </c>
      <c r="E161" s="65">
        <v>1</v>
      </c>
      <c r="F161" s="65">
        <v>22</v>
      </c>
      <c r="G161" s="67" t="b">
        <v>0</v>
      </c>
      <c r="H161" s="65">
        <v>5</v>
      </c>
      <c r="I161" s="65">
        <v>2</v>
      </c>
      <c r="J161" s="65">
        <v>0.18</v>
      </c>
    </row>
    <row r="162" spans="1:10" x14ac:dyDescent="0.3">
      <c r="A162" s="65">
        <v>161</v>
      </c>
      <c r="B162" s="66">
        <v>40550</v>
      </c>
      <c r="C162" s="65">
        <v>1</v>
      </c>
      <c r="D162" s="65">
        <v>0</v>
      </c>
      <c r="E162" s="65">
        <v>1</v>
      </c>
      <c r="F162" s="65">
        <v>23</v>
      </c>
      <c r="G162" s="67" t="b">
        <v>0</v>
      </c>
      <c r="H162" s="65">
        <v>5</v>
      </c>
      <c r="I162" s="65">
        <v>2</v>
      </c>
      <c r="J162" s="65">
        <v>0.18</v>
      </c>
    </row>
    <row r="163" spans="1:10" x14ac:dyDescent="0.3">
      <c r="A163" s="65">
        <v>162</v>
      </c>
      <c r="B163" s="66">
        <v>40551</v>
      </c>
      <c r="C163" s="65">
        <v>1</v>
      </c>
      <c r="D163" s="65">
        <v>0</v>
      </c>
      <c r="E163" s="65">
        <v>1</v>
      </c>
      <c r="F163" s="65">
        <v>0</v>
      </c>
      <c r="G163" s="67" t="b">
        <v>0</v>
      </c>
      <c r="H163" s="65">
        <v>6</v>
      </c>
      <c r="I163" s="65">
        <v>2</v>
      </c>
      <c r="J163" s="65">
        <v>0.18</v>
      </c>
    </row>
    <row r="164" spans="1:10" x14ac:dyDescent="0.3">
      <c r="A164" s="65">
        <v>163</v>
      </c>
      <c r="B164" s="66">
        <v>40551</v>
      </c>
      <c r="C164" s="65">
        <v>1</v>
      </c>
      <c r="D164" s="65">
        <v>0</v>
      </c>
      <c r="E164" s="65">
        <v>1</v>
      </c>
      <c r="F164" s="65">
        <v>1</v>
      </c>
      <c r="G164" s="67" t="b">
        <v>0</v>
      </c>
      <c r="H164" s="65">
        <v>6</v>
      </c>
      <c r="I164" s="65">
        <v>2</v>
      </c>
      <c r="J164" s="65">
        <v>0.18</v>
      </c>
    </row>
    <row r="165" spans="1:10" x14ac:dyDescent="0.3">
      <c r="A165" s="65">
        <v>164</v>
      </c>
      <c r="B165" s="66">
        <v>40551</v>
      </c>
      <c r="C165" s="65">
        <v>1</v>
      </c>
      <c r="D165" s="65">
        <v>0</v>
      </c>
      <c r="E165" s="65">
        <v>1</v>
      </c>
      <c r="F165" s="65">
        <v>2</v>
      </c>
      <c r="G165" s="67" t="b">
        <v>0</v>
      </c>
      <c r="H165" s="65">
        <v>6</v>
      </c>
      <c r="I165" s="65">
        <v>2</v>
      </c>
      <c r="J165" s="65">
        <v>0.18</v>
      </c>
    </row>
    <row r="166" spans="1:10" x14ac:dyDescent="0.3">
      <c r="A166" s="65">
        <v>165</v>
      </c>
      <c r="B166" s="66">
        <v>40551</v>
      </c>
      <c r="C166" s="65">
        <v>1</v>
      </c>
      <c r="D166" s="65">
        <v>0</v>
      </c>
      <c r="E166" s="65">
        <v>1</v>
      </c>
      <c r="F166" s="65">
        <v>3</v>
      </c>
      <c r="G166" s="67" t="b">
        <v>0</v>
      </c>
      <c r="H166" s="65">
        <v>6</v>
      </c>
      <c r="I166" s="65">
        <v>3</v>
      </c>
      <c r="J166" s="65">
        <v>0.18</v>
      </c>
    </row>
    <row r="167" spans="1:10" x14ac:dyDescent="0.3">
      <c r="A167" s="65">
        <v>166</v>
      </c>
      <c r="B167" s="66">
        <v>40551</v>
      </c>
      <c r="C167" s="65">
        <v>1</v>
      </c>
      <c r="D167" s="65">
        <v>0</v>
      </c>
      <c r="E167" s="65">
        <v>1</v>
      </c>
      <c r="F167" s="65">
        <v>4</v>
      </c>
      <c r="G167" s="67" t="b">
        <v>0</v>
      </c>
      <c r="H167" s="65">
        <v>6</v>
      </c>
      <c r="I167" s="65">
        <v>3</v>
      </c>
      <c r="J167" s="65">
        <v>0.18</v>
      </c>
    </row>
    <row r="168" spans="1:10" x14ac:dyDescent="0.3">
      <c r="A168" s="65">
        <v>167</v>
      </c>
      <c r="B168" s="66">
        <v>40551</v>
      </c>
      <c r="C168" s="65">
        <v>1</v>
      </c>
      <c r="D168" s="65">
        <v>0</v>
      </c>
      <c r="E168" s="65">
        <v>1</v>
      </c>
      <c r="F168" s="65">
        <v>5</v>
      </c>
      <c r="G168" s="67" t="b">
        <v>0</v>
      </c>
      <c r="H168" s="65">
        <v>6</v>
      </c>
      <c r="I168" s="65">
        <v>2</v>
      </c>
      <c r="J168" s="65">
        <v>0.16</v>
      </c>
    </row>
    <row r="169" spans="1:10" x14ac:dyDescent="0.3">
      <c r="A169" s="65">
        <v>168</v>
      </c>
      <c r="B169" s="66">
        <v>40551</v>
      </c>
      <c r="C169" s="65">
        <v>1</v>
      </c>
      <c r="D169" s="65">
        <v>0</v>
      </c>
      <c r="E169" s="65">
        <v>1</v>
      </c>
      <c r="F169" s="65">
        <v>6</v>
      </c>
      <c r="G169" s="67" t="b">
        <v>0</v>
      </c>
      <c r="H169" s="65">
        <v>6</v>
      </c>
      <c r="I169" s="65">
        <v>2</v>
      </c>
      <c r="J169" s="65">
        <v>0.16</v>
      </c>
    </row>
    <row r="170" spans="1:10" x14ac:dyDescent="0.3">
      <c r="A170" s="65">
        <v>169</v>
      </c>
      <c r="B170" s="66">
        <v>40551</v>
      </c>
      <c r="C170" s="65">
        <v>1</v>
      </c>
      <c r="D170" s="65">
        <v>0</v>
      </c>
      <c r="E170" s="65">
        <v>1</v>
      </c>
      <c r="F170" s="65">
        <v>7</v>
      </c>
      <c r="G170" s="67" t="b">
        <v>0</v>
      </c>
      <c r="H170" s="65">
        <v>6</v>
      </c>
      <c r="I170" s="65">
        <v>2</v>
      </c>
      <c r="J170" s="65">
        <v>0.16</v>
      </c>
    </row>
    <row r="171" spans="1:10" x14ac:dyDescent="0.3">
      <c r="A171" s="65">
        <v>170</v>
      </c>
      <c r="B171" s="66">
        <v>40551</v>
      </c>
      <c r="C171" s="65">
        <v>1</v>
      </c>
      <c r="D171" s="65">
        <v>0</v>
      </c>
      <c r="E171" s="65">
        <v>1</v>
      </c>
      <c r="F171" s="65">
        <v>8</v>
      </c>
      <c r="G171" s="67" t="b">
        <v>0</v>
      </c>
      <c r="H171" s="65">
        <v>6</v>
      </c>
      <c r="I171" s="65">
        <v>3</v>
      </c>
      <c r="J171" s="65">
        <v>0.16</v>
      </c>
    </row>
    <row r="172" spans="1:10" x14ac:dyDescent="0.3">
      <c r="A172" s="65">
        <v>171</v>
      </c>
      <c r="B172" s="66">
        <v>40551</v>
      </c>
      <c r="C172" s="65">
        <v>1</v>
      </c>
      <c r="D172" s="65">
        <v>0</v>
      </c>
      <c r="E172" s="65">
        <v>1</v>
      </c>
      <c r="F172" s="65">
        <v>9</v>
      </c>
      <c r="G172" s="67" t="b">
        <v>0</v>
      </c>
      <c r="H172" s="65">
        <v>6</v>
      </c>
      <c r="I172" s="65">
        <v>3</v>
      </c>
      <c r="J172" s="65">
        <v>0.16</v>
      </c>
    </row>
    <row r="173" spans="1:10" x14ac:dyDescent="0.3">
      <c r="A173" s="65">
        <v>172</v>
      </c>
      <c r="B173" s="66">
        <v>40551</v>
      </c>
      <c r="C173" s="65">
        <v>1</v>
      </c>
      <c r="D173" s="65">
        <v>0</v>
      </c>
      <c r="E173" s="65">
        <v>1</v>
      </c>
      <c r="F173" s="65">
        <v>10</v>
      </c>
      <c r="G173" s="67" t="b">
        <v>0</v>
      </c>
      <c r="H173" s="65">
        <v>6</v>
      </c>
      <c r="I173" s="65">
        <v>2</v>
      </c>
      <c r="J173" s="65">
        <v>0.18</v>
      </c>
    </row>
    <row r="174" spans="1:10" x14ac:dyDescent="0.3">
      <c r="A174" s="65">
        <v>173</v>
      </c>
      <c r="B174" s="66">
        <v>40551</v>
      </c>
      <c r="C174" s="65">
        <v>1</v>
      </c>
      <c r="D174" s="65">
        <v>0</v>
      </c>
      <c r="E174" s="65">
        <v>1</v>
      </c>
      <c r="F174" s="65">
        <v>11</v>
      </c>
      <c r="G174" s="67" t="b">
        <v>0</v>
      </c>
      <c r="H174" s="65">
        <v>6</v>
      </c>
      <c r="I174" s="65">
        <v>2</v>
      </c>
      <c r="J174" s="65">
        <v>0.2</v>
      </c>
    </row>
    <row r="175" spans="1:10" x14ac:dyDescent="0.3">
      <c r="A175" s="65">
        <v>174</v>
      </c>
      <c r="B175" s="66">
        <v>40551</v>
      </c>
      <c r="C175" s="65">
        <v>1</v>
      </c>
      <c r="D175" s="65">
        <v>0</v>
      </c>
      <c r="E175" s="65">
        <v>1</v>
      </c>
      <c r="F175" s="65">
        <v>12</v>
      </c>
      <c r="G175" s="67" t="b">
        <v>0</v>
      </c>
      <c r="H175" s="65">
        <v>6</v>
      </c>
      <c r="I175" s="65">
        <v>2</v>
      </c>
      <c r="J175" s="65">
        <v>0.2</v>
      </c>
    </row>
    <row r="176" spans="1:10" x14ac:dyDescent="0.3">
      <c r="A176" s="65">
        <v>175</v>
      </c>
      <c r="B176" s="66">
        <v>40551</v>
      </c>
      <c r="C176" s="65">
        <v>1</v>
      </c>
      <c r="D176" s="65">
        <v>0</v>
      </c>
      <c r="E176" s="65">
        <v>1</v>
      </c>
      <c r="F176" s="65">
        <v>13</v>
      </c>
      <c r="G176" s="67" t="b">
        <v>0</v>
      </c>
      <c r="H176" s="65">
        <v>6</v>
      </c>
      <c r="I176" s="65">
        <v>1</v>
      </c>
      <c r="J176" s="65">
        <v>0.2</v>
      </c>
    </row>
    <row r="177" spans="1:10" x14ac:dyDescent="0.3">
      <c r="A177" s="65">
        <v>176</v>
      </c>
      <c r="B177" s="66">
        <v>40551</v>
      </c>
      <c r="C177" s="65">
        <v>1</v>
      </c>
      <c r="D177" s="65">
        <v>0</v>
      </c>
      <c r="E177" s="65">
        <v>1</v>
      </c>
      <c r="F177" s="65">
        <v>14</v>
      </c>
      <c r="G177" s="67" t="b">
        <v>0</v>
      </c>
      <c r="H177" s="65">
        <v>6</v>
      </c>
      <c r="I177" s="65">
        <v>1</v>
      </c>
      <c r="J177" s="65">
        <v>0.2</v>
      </c>
    </row>
    <row r="178" spans="1:10" x14ac:dyDescent="0.3">
      <c r="A178" s="65">
        <v>177</v>
      </c>
      <c r="B178" s="66">
        <v>40551</v>
      </c>
      <c r="C178" s="65">
        <v>1</v>
      </c>
      <c r="D178" s="65">
        <v>0</v>
      </c>
      <c r="E178" s="65">
        <v>1</v>
      </c>
      <c r="F178" s="65">
        <v>15</v>
      </c>
      <c r="G178" s="67" t="b">
        <v>0</v>
      </c>
      <c r="H178" s="65">
        <v>6</v>
      </c>
      <c r="I178" s="65">
        <v>1</v>
      </c>
      <c r="J178" s="65">
        <v>0.2</v>
      </c>
    </row>
    <row r="179" spans="1:10" x14ac:dyDescent="0.3">
      <c r="A179" s="65">
        <v>178</v>
      </c>
      <c r="B179" s="66">
        <v>40551</v>
      </c>
      <c r="C179" s="65">
        <v>1</v>
      </c>
      <c r="D179" s="65">
        <v>0</v>
      </c>
      <c r="E179" s="65">
        <v>1</v>
      </c>
      <c r="F179" s="65">
        <v>16</v>
      </c>
      <c r="G179" s="67" t="b">
        <v>0</v>
      </c>
      <c r="H179" s="65">
        <v>6</v>
      </c>
      <c r="I179" s="65">
        <v>1</v>
      </c>
      <c r="J179" s="65">
        <v>0.18</v>
      </c>
    </row>
    <row r="180" spans="1:10" x14ac:dyDescent="0.3">
      <c r="A180" s="65">
        <v>179</v>
      </c>
      <c r="B180" s="66">
        <v>40551</v>
      </c>
      <c r="C180" s="65">
        <v>1</v>
      </c>
      <c r="D180" s="65">
        <v>0</v>
      </c>
      <c r="E180" s="65">
        <v>1</v>
      </c>
      <c r="F180" s="65">
        <v>17</v>
      </c>
      <c r="G180" s="67" t="b">
        <v>0</v>
      </c>
      <c r="H180" s="65">
        <v>6</v>
      </c>
      <c r="I180" s="65">
        <v>1</v>
      </c>
      <c r="J180" s="65">
        <v>0.16</v>
      </c>
    </row>
    <row r="181" spans="1:10" x14ac:dyDescent="0.3">
      <c r="A181" s="65">
        <v>180</v>
      </c>
      <c r="B181" s="66">
        <v>40551</v>
      </c>
      <c r="C181" s="65">
        <v>1</v>
      </c>
      <c r="D181" s="65">
        <v>0</v>
      </c>
      <c r="E181" s="65">
        <v>1</v>
      </c>
      <c r="F181" s="65">
        <v>18</v>
      </c>
      <c r="G181" s="67" t="b">
        <v>0</v>
      </c>
      <c r="H181" s="65">
        <v>6</v>
      </c>
      <c r="I181" s="65">
        <v>1</v>
      </c>
      <c r="J181" s="65">
        <v>0.14000000000000001</v>
      </c>
    </row>
    <row r="182" spans="1:10" x14ac:dyDescent="0.3">
      <c r="A182" s="65">
        <v>181</v>
      </c>
      <c r="B182" s="66">
        <v>40551</v>
      </c>
      <c r="C182" s="65">
        <v>1</v>
      </c>
      <c r="D182" s="65">
        <v>0</v>
      </c>
      <c r="E182" s="65">
        <v>1</v>
      </c>
      <c r="F182" s="65">
        <v>19</v>
      </c>
      <c r="G182" s="67" t="b">
        <v>0</v>
      </c>
      <c r="H182" s="65">
        <v>6</v>
      </c>
      <c r="I182" s="65">
        <v>1</v>
      </c>
      <c r="J182" s="65">
        <v>0.14000000000000001</v>
      </c>
    </row>
    <row r="183" spans="1:10" x14ac:dyDescent="0.3">
      <c r="A183" s="65">
        <v>182</v>
      </c>
      <c r="B183" s="66">
        <v>40551</v>
      </c>
      <c r="C183" s="65">
        <v>1</v>
      </c>
      <c r="D183" s="65">
        <v>0</v>
      </c>
      <c r="E183" s="65">
        <v>1</v>
      </c>
      <c r="F183" s="65">
        <v>20</v>
      </c>
      <c r="G183" s="67" t="b">
        <v>0</v>
      </c>
      <c r="H183" s="65">
        <v>6</v>
      </c>
      <c r="I183" s="65">
        <v>1</v>
      </c>
      <c r="J183" s="65">
        <v>0.12</v>
      </c>
    </row>
    <row r="184" spans="1:10" x14ac:dyDescent="0.3">
      <c r="A184" s="65">
        <v>183</v>
      </c>
      <c r="B184" s="66">
        <v>40551</v>
      </c>
      <c r="C184" s="65">
        <v>1</v>
      </c>
      <c r="D184" s="65">
        <v>0</v>
      </c>
      <c r="E184" s="65">
        <v>1</v>
      </c>
      <c r="F184" s="65">
        <v>21</v>
      </c>
      <c r="G184" s="67" t="b">
        <v>0</v>
      </c>
      <c r="H184" s="65">
        <v>6</v>
      </c>
      <c r="I184" s="65">
        <v>1</v>
      </c>
      <c r="J184" s="65">
        <v>0.12</v>
      </c>
    </row>
    <row r="185" spans="1:10" x14ac:dyDescent="0.3">
      <c r="A185" s="65">
        <v>184</v>
      </c>
      <c r="B185" s="66">
        <v>40551</v>
      </c>
      <c r="C185" s="65">
        <v>1</v>
      </c>
      <c r="D185" s="65">
        <v>0</v>
      </c>
      <c r="E185" s="65">
        <v>1</v>
      </c>
      <c r="F185" s="65">
        <v>22</v>
      </c>
      <c r="G185" s="67" t="b">
        <v>0</v>
      </c>
      <c r="H185" s="65">
        <v>6</v>
      </c>
      <c r="I185" s="65">
        <v>1</v>
      </c>
      <c r="J185" s="65">
        <v>0.12</v>
      </c>
    </row>
    <row r="186" spans="1:10" x14ac:dyDescent="0.3">
      <c r="A186" s="65">
        <v>185</v>
      </c>
      <c r="B186" s="66">
        <v>40551</v>
      </c>
      <c r="C186" s="65">
        <v>1</v>
      </c>
      <c r="D186" s="65">
        <v>0</v>
      </c>
      <c r="E186" s="65">
        <v>1</v>
      </c>
      <c r="F186" s="65">
        <v>23</v>
      </c>
      <c r="G186" s="67" t="b">
        <v>0</v>
      </c>
      <c r="H186" s="65">
        <v>6</v>
      </c>
      <c r="I186" s="65">
        <v>1</v>
      </c>
      <c r="J186" s="65">
        <v>0.1</v>
      </c>
    </row>
    <row r="187" spans="1:10" x14ac:dyDescent="0.3">
      <c r="A187" s="65">
        <v>186</v>
      </c>
      <c r="B187" s="66">
        <v>40552</v>
      </c>
      <c r="C187" s="65">
        <v>1</v>
      </c>
      <c r="D187" s="65">
        <v>0</v>
      </c>
      <c r="E187" s="65">
        <v>1</v>
      </c>
      <c r="F187" s="65">
        <v>0</v>
      </c>
      <c r="G187" s="67" t="b">
        <v>0</v>
      </c>
      <c r="H187" s="65">
        <v>0</v>
      </c>
      <c r="I187" s="65">
        <v>1</v>
      </c>
      <c r="J187" s="65">
        <v>0.1</v>
      </c>
    </row>
    <row r="188" spans="1:10" x14ac:dyDescent="0.3">
      <c r="A188" s="65">
        <v>187</v>
      </c>
      <c r="B188" s="66">
        <v>40552</v>
      </c>
      <c r="C188" s="65">
        <v>1</v>
      </c>
      <c r="D188" s="65">
        <v>0</v>
      </c>
      <c r="E188" s="65">
        <v>1</v>
      </c>
      <c r="F188" s="65">
        <v>1</v>
      </c>
      <c r="G188" s="67" t="b">
        <v>0</v>
      </c>
      <c r="H188" s="65">
        <v>0</v>
      </c>
      <c r="I188" s="65">
        <v>1</v>
      </c>
      <c r="J188" s="65">
        <v>0.1</v>
      </c>
    </row>
    <row r="189" spans="1:10" x14ac:dyDescent="0.3">
      <c r="A189" s="65">
        <v>188</v>
      </c>
      <c r="B189" s="66">
        <v>40552</v>
      </c>
      <c r="C189" s="65">
        <v>1</v>
      </c>
      <c r="D189" s="65">
        <v>0</v>
      </c>
      <c r="E189" s="65">
        <v>1</v>
      </c>
      <c r="F189" s="65">
        <v>2</v>
      </c>
      <c r="G189" s="67" t="b">
        <v>0</v>
      </c>
      <c r="H189" s="65">
        <v>0</v>
      </c>
      <c r="I189" s="65">
        <v>1</v>
      </c>
      <c r="J189" s="65">
        <v>0.1</v>
      </c>
    </row>
    <row r="190" spans="1:10" x14ac:dyDescent="0.3">
      <c r="A190" s="65">
        <v>189</v>
      </c>
      <c r="B190" s="66">
        <v>40552</v>
      </c>
      <c r="C190" s="65">
        <v>1</v>
      </c>
      <c r="D190" s="65">
        <v>0</v>
      </c>
      <c r="E190" s="65">
        <v>1</v>
      </c>
      <c r="F190" s="65">
        <v>3</v>
      </c>
      <c r="G190" s="67" t="b">
        <v>0</v>
      </c>
      <c r="H190" s="65">
        <v>0</v>
      </c>
      <c r="I190" s="65">
        <v>1</v>
      </c>
      <c r="J190" s="65">
        <v>0.1</v>
      </c>
    </row>
    <row r="191" spans="1:10" x14ac:dyDescent="0.3">
      <c r="A191" s="65">
        <v>190</v>
      </c>
      <c r="B191" s="66">
        <v>40552</v>
      </c>
      <c r="C191" s="65">
        <v>1</v>
      </c>
      <c r="D191" s="65">
        <v>0</v>
      </c>
      <c r="E191" s="65">
        <v>1</v>
      </c>
      <c r="F191" s="65">
        <v>4</v>
      </c>
      <c r="G191" s="67" t="b">
        <v>0</v>
      </c>
      <c r="H191" s="65">
        <v>0</v>
      </c>
      <c r="I191" s="65">
        <v>1</v>
      </c>
      <c r="J191" s="65">
        <v>0.08</v>
      </c>
    </row>
    <row r="192" spans="1:10" x14ac:dyDescent="0.3">
      <c r="A192" s="65">
        <v>191</v>
      </c>
      <c r="B192" s="66">
        <v>40552</v>
      </c>
      <c r="C192" s="65">
        <v>1</v>
      </c>
      <c r="D192" s="65">
        <v>0</v>
      </c>
      <c r="E192" s="65">
        <v>1</v>
      </c>
      <c r="F192" s="65">
        <v>5</v>
      </c>
      <c r="G192" s="67" t="b">
        <v>0</v>
      </c>
      <c r="H192" s="65">
        <v>0</v>
      </c>
      <c r="I192" s="65">
        <v>1</v>
      </c>
      <c r="J192" s="65">
        <v>0.08</v>
      </c>
    </row>
    <row r="193" spans="1:10" x14ac:dyDescent="0.3">
      <c r="A193" s="65">
        <v>192</v>
      </c>
      <c r="B193" s="66">
        <v>40552</v>
      </c>
      <c r="C193" s="65">
        <v>1</v>
      </c>
      <c r="D193" s="65">
        <v>0</v>
      </c>
      <c r="E193" s="65">
        <v>1</v>
      </c>
      <c r="F193" s="65">
        <v>6</v>
      </c>
      <c r="G193" s="67" t="b">
        <v>0</v>
      </c>
      <c r="H193" s="65">
        <v>0</v>
      </c>
      <c r="I193" s="65">
        <v>1</v>
      </c>
      <c r="J193" s="65">
        <v>0.1</v>
      </c>
    </row>
    <row r="194" spans="1:10" x14ac:dyDescent="0.3">
      <c r="A194" s="65">
        <v>193</v>
      </c>
      <c r="B194" s="66">
        <v>40552</v>
      </c>
      <c r="C194" s="65">
        <v>1</v>
      </c>
      <c r="D194" s="65">
        <v>0</v>
      </c>
      <c r="E194" s="65">
        <v>1</v>
      </c>
      <c r="F194" s="65">
        <v>7</v>
      </c>
      <c r="G194" s="67" t="b">
        <v>0</v>
      </c>
      <c r="H194" s="65">
        <v>0</v>
      </c>
      <c r="I194" s="65">
        <v>1</v>
      </c>
      <c r="J194" s="65">
        <v>0.08</v>
      </c>
    </row>
    <row r="195" spans="1:10" x14ac:dyDescent="0.3">
      <c r="A195" s="65">
        <v>194</v>
      </c>
      <c r="B195" s="66">
        <v>40552</v>
      </c>
      <c r="C195" s="65">
        <v>1</v>
      </c>
      <c r="D195" s="65">
        <v>0</v>
      </c>
      <c r="E195" s="65">
        <v>1</v>
      </c>
      <c r="F195" s="65">
        <v>8</v>
      </c>
      <c r="G195" s="67" t="b">
        <v>0</v>
      </c>
      <c r="H195" s="65">
        <v>0</v>
      </c>
      <c r="I195" s="65">
        <v>1</v>
      </c>
      <c r="J195" s="65">
        <v>0.1</v>
      </c>
    </row>
    <row r="196" spans="1:10" x14ac:dyDescent="0.3">
      <c r="A196" s="65">
        <v>195</v>
      </c>
      <c r="B196" s="66">
        <v>40552</v>
      </c>
      <c r="C196" s="65">
        <v>1</v>
      </c>
      <c r="D196" s="65">
        <v>0</v>
      </c>
      <c r="E196" s="65">
        <v>1</v>
      </c>
      <c r="F196" s="65">
        <v>9</v>
      </c>
      <c r="G196" s="67" t="b">
        <v>0</v>
      </c>
      <c r="H196" s="65">
        <v>0</v>
      </c>
      <c r="I196" s="65">
        <v>1</v>
      </c>
      <c r="J196" s="65">
        <v>0.12</v>
      </c>
    </row>
    <row r="197" spans="1:10" x14ac:dyDescent="0.3">
      <c r="A197" s="65">
        <v>196</v>
      </c>
      <c r="B197" s="66">
        <v>40552</v>
      </c>
      <c r="C197" s="65">
        <v>1</v>
      </c>
      <c r="D197" s="65">
        <v>0</v>
      </c>
      <c r="E197" s="65">
        <v>1</v>
      </c>
      <c r="F197" s="65">
        <v>10</v>
      </c>
      <c r="G197" s="67" t="b">
        <v>0</v>
      </c>
      <c r="H197" s="65">
        <v>0</v>
      </c>
      <c r="I197" s="65">
        <v>1</v>
      </c>
      <c r="J197" s="65">
        <v>0.14000000000000001</v>
      </c>
    </row>
    <row r="198" spans="1:10" x14ac:dyDescent="0.3">
      <c r="A198" s="65">
        <v>197</v>
      </c>
      <c r="B198" s="66">
        <v>40552</v>
      </c>
      <c r="C198" s="65">
        <v>1</v>
      </c>
      <c r="D198" s="65">
        <v>0</v>
      </c>
      <c r="E198" s="65">
        <v>1</v>
      </c>
      <c r="F198" s="65">
        <v>11</v>
      </c>
      <c r="G198" s="67" t="b">
        <v>0</v>
      </c>
      <c r="H198" s="65">
        <v>0</v>
      </c>
      <c r="I198" s="65">
        <v>1</v>
      </c>
      <c r="J198" s="65">
        <v>0.16</v>
      </c>
    </row>
    <row r="199" spans="1:10" x14ac:dyDescent="0.3">
      <c r="A199" s="65">
        <v>198</v>
      </c>
      <c r="B199" s="66">
        <v>40552</v>
      </c>
      <c r="C199" s="65">
        <v>1</v>
      </c>
      <c r="D199" s="65">
        <v>0</v>
      </c>
      <c r="E199" s="65">
        <v>1</v>
      </c>
      <c r="F199" s="65">
        <v>12</v>
      </c>
      <c r="G199" s="67" t="b">
        <v>0</v>
      </c>
      <c r="H199" s="65">
        <v>0</v>
      </c>
      <c r="I199" s="65">
        <v>1</v>
      </c>
      <c r="J199" s="65">
        <v>0.18</v>
      </c>
    </row>
    <row r="200" spans="1:10" x14ac:dyDescent="0.3">
      <c r="A200" s="65">
        <v>199</v>
      </c>
      <c r="B200" s="66">
        <v>40552</v>
      </c>
      <c r="C200" s="65">
        <v>1</v>
      </c>
      <c r="D200" s="65">
        <v>0</v>
      </c>
      <c r="E200" s="65">
        <v>1</v>
      </c>
      <c r="F200" s="65">
        <v>13</v>
      </c>
      <c r="G200" s="67" t="b">
        <v>0</v>
      </c>
      <c r="H200" s="65">
        <v>0</v>
      </c>
      <c r="I200" s="65">
        <v>1</v>
      </c>
      <c r="J200" s="65">
        <v>0.2</v>
      </c>
    </row>
    <row r="201" spans="1:10" x14ac:dyDescent="0.3">
      <c r="A201" s="65">
        <v>200</v>
      </c>
      <c r="B201" s="66">
        <v>40552</v>
      </c>
      <c r="C201" s="65">
        <v>1</v>
      </c>
      <c r="D201" s="65">
        <v>0</v>
      </c>
      <c r="E201" s="65">
        <v>1</v>
      </c>
      <c r="F201" s="65">
        <v>14</v>
      </c>
      <c r="G201" s="67" t="b">
        <v>0</v>
      </c>
      <c r="H201" s="65">
        <v>0</v>
      </c>
      <c r="I201" s="65">
        <v>1</v>
      </c>
      <c r="J201" s="65">
        <v>0.22</v>
      </c>
    </row>
    <row r="202" spans="1:10" x14ac:dyDescent="0.3">
      <c r="A202" s="65">
        <v>201</v>
      </c>
      <c r="B202" s="66">
        <v>40552</v>
      </c>
      <c r="C202" s="65">
        <v>1</v>
      </c>
      <c r="D202" s="65">
        <v>0</v>
      </c>
      <c r="E202" s="65">
        <v>1</v>
      </c>
      <c r="F202" s="65">
        <v>15</v>
      </c>
      <c r="G202" s="67" t="b">
        <v>0</v>
      </c>
      <c r="H202" s="65">
        <v>0</v>
      </c>
      <c r="I202" s="65">
        <v>1</v>
      </c>
      <c r="J202" s="65">
        <v>0.22</v>
      </c>
    </row>
    <row r="203" spans="1:10" x14ac:dyDescent="0.3">
      <c r="A203" s="65">
        <v>202</v>
      </c>
      <c r="B203" s="66">
        <v>40552</v>
      </c>
      <c r="C203" s="65">
        <v>1</v>
      </c>
      <c r="D203" s="65">
        <v>0</v>
      </c>
      <c r="E203" s="65">
        <v>1</v>
      </c>
      <c r="F203" s="65">
        <v>16</v>
      </c>
      <c r="G203" s="67" t="b">
        <v>0</v>
      </c>
      <c r="H203" s="65">
        <v>0</v>
      </c>
      <c r="I203" s="65">
        <v>1</v>
      </c>
      <c r="J203" s="65">
        <v>0.2</v>
      </c>
    </row>
    <row r="204" spans="1:10" x14ac:dyDescent="0.3">
      <c r="A204" s="65">
        <v>203</v>
      </c>
      <c r="B204" s="66">
        <v>40552</v>
      </c>
      <c r="C204" s="65">
        <v>1</v>
      </c>
      <c r="D204" s="65">
        <v>0</v>
      </c>
      <c r="E204" s="65">
        <v>1</v>
      </c>
      <c r="F204" s="65">
        <v>17</v>
      </c>
      <c r="G204" s="67" t="b">
        <v>0</v>
      </c>
      <c r="H204" s="65">
        <v>0</v>
      </c>
      <c r="I204" s="65">
        <v>1</v>
      </c>
      <c r="J204" s="65">
        <v>0.18</v>
      </c>
    </row>
    <row r="205" spans="1:10" x14ac:dyDescent="0.3">
      <c r="A205" s="65">
        <v>204</v>
      </c>
      <c r="B205" s="66">
        <v>40552</v>
      </c>
      <c r="C205" s="65">
        <v>1</v>
      </c>
      <c r="D205" s="65">
        <v>0</v>
      </c>
      <c r="E205" s="65">
        <v>1</v>
      </c>
      <c r="F205" s="65">
        <v>18</v>
      </c>
      <c r="G205" s="67" t="b">
        <v>0</v>
      </c>
      <c r="H205" s="65">
        <v>0</v>
      </c>
      <c r="I205" s="65">
        <v>1</v>
      </c>
      <c r="J205" s="65">
        <v>0.16</v>
      </c>
    </row>
    <row r="206" spans="1:10" x14ac:dyDescent="0.3">
      <c r="A206" s="65">
        <v>205</v>
      </c>
      <c r="B206" s="66">
        <v>40552</v>
      </c>
      <c r="C206" s="65">
        <v>1</v>
      </c>
      <c r="D206" s="65">
        <v>0</v>
      </c>
      <c r="E206" s="65">
        <v>1</v>
      </c>
      <c r="F206" s="65">
        <v>19</v>
      </c>
      <c r="G206" s="67" t="b">
        <v>0</v>
      </c>
      <c r="H206" s="65">
        <v>0</v>
      </c>
      <c r="I206" s="65">
        <v>1</v>
      </c>
      <c r="J206" s="65">
        <v>0.16</v>
      </c>
    </row>
    <row r="207" spans="1:10" x14ac:dyDescent="0.3">
      <c r="A207" s="65">
        <v>206</v>
      </c>
      <c r="B207" s="66">
        <v>40552</v>
      </c>
      <c r="C207" s="65">
        <v>1</v>
      </c>
      <c r="D207" s="65">
        <v>0</v>
      </c>
      <c r="E207" s="65">
        <v>1</v>
      </c>
      <c r="F207" s="65">
        <v>20</v>
      </c>
      <c r="G207" s="67" t="b">
        <v>0</v>
      </c>
      <c r="H207" s="65">
        <v>0</v>
      </c>
      <c r="I207" s="65">
        <v>1</v>
      </c>
      <c r="J207" s="65">
        <v>0.14000000000000001</v>
      </c>
    </row>
    <row r="208" spans="1:10" x14ac:dyDescent="0.3">
      <c r="A208" s="65">
        <v>207</v>
      </c>
      <c r="B208" s="66">
        <v>40552</v>
      </c>
      <c r="C208" s="65">
        <v>1</v>
      </c>
      <c r="D208" s="65">
        <v>0</v>
      </c>
      <c r="E208" s="65">
        <v>1</v>
      </c>
      <c r="F208" s="65">
        <v>21</v>
      </c>
      <c r="G208" s="67" t="b">
        <v>0</v>
      </c>
      <c r="H208" s="65">
        <v>0</v>
      </c>
      <c r="I208" s="65">
        <v>1</v>
      </c>
      <c r="J208" s="65">
        <v>0.14000000000000001</v>
      </c>
    </row>
    <row r="209" spans="1:10" x14ac:dyDescent="0.3">
      <c r="A209" s="65">
        <v>208</v>
      </c>
      <c r="B209" s="66">
        <v>40552</v>
      </c>
      <c r="C209" s="65">
        <v>1</v>
      </c>
      <c r="D209" s="65">
        <v>0</v>
      </c>
      <c r="E209" s="65">
        <v>1</v>
      </c>
      <c r="F209" s="65">
        <v>22</v>
      </c>
      <c r="G209" s="67" t="b">
        <v>0</v>
      </c>
      <c r="H209" s="65">
        <v>0</v>
      </c>
      <c r="I209" s="65">
        <v>1</v>
      </c>
      <c r="J209" s="65">
        <v>0.14000000000000001</v>
      </c>
    </row>
    <row r="210" spans="1:10" x14ac:dyDescent="0.3">
      <c r="A210" s="65">
        <v>209</v>
      </c>
      <c r="B210" s="66">
        <v>40552</v>
      </c>
      <c r="C210" s="65">
        <v>1</v>
      </c>
      <c r="D210" s="65">
        <v>0</v>
      </c>
      <c r="E210" s="65">
        <v>1</v>
      </c>
      <c r="F210" s="65">
        <v>23</v>
      </c>
      <c r="G210" s="67" t="b">
        <v>0</v>
      </c>
      <c r="H210" s="65">
        <v>0</v>
      </c>
      <c r="I210" s="65">
        <v>1</v>
      </c>
      <c r="J210" s="65">
        <v>0.12</v>
      </c>
    </row>
    <row r="211" spans="1:10" x14ac:dyDescent="0.3">
      <c r="A211" s="65">
        <v>210</v>
      </c>
      <c r="B211" s="66">
        <v>40553</v>
      </c>
      <c r="C211" s="65">
        <v>1</v>
      </c>
      <c r="D211" s="65">
        <v>0</v>
      </c>
      <c r="E211" s="65">
        <v>1</v>
      </c>
      <c r="F211" s="65">
        <v>0</v>
      </c>
      <c r="G211" s="67" t="b">
        <v>0</v>
      </c>
      <c r="H211" s="65">
        <v>1</v>
      </c>
      <c r="I211" s="65">
        <v>1</v>
      </c>
      <c r="J211" s="65">
        <v>0.12</v>
      </c>
    </row>
    <row r="212" spans="1:10" x14ac:dyDescent="0.3">
      <c r="A212" s="65">
        <v>211</v>
      </c>
      <c r="B212" s="66">
        <v>40553</v>
      </c>
      <c r="C212" s="65">
        <v>1</v>
      </c>
      <c r="D212" s="65">
        <v>0</v>
      </c>
      <c r="E212" s="65">
        <v>1</v>
      </c>
      <c r="F212" s="65">
        <v>1</v>
      </c>
      <c r="G212" s="67" t="b">
        <v>0</v>
      </c>
      <c r="H212" s="65">
        <v>1</v>
      </c>
      <c r="I212" s="65">
        <v>1</v>
      </c>
      <c r="J212" s="65">
        <v>0.12</v>
      </c>
    </row>
    <row r="213" spans="1:10" x14ac:dyDescent="0.3">
      <c r="A213" s="65">
        <v>212</v>
      </c>
      <c r="B213" s="66">
        <v>40553</v>
      </c>
      <c r="C213" s="65">
        <v>1</v>
      </c>
      <c r="D213" s="65">
        <v>0</v>
      </c>
      <c r="E213" s="65">
        <v>1</v>
      </c>
      <c r="F213" s="65">
        <v>2</v>
      </c>
      <c r="G213" s="67" t="b">
        <v>0</v>
      </c>
      <c r="H213" s="65">
        <v>1</v>
      </c>
      <c r="I213" s="65">
        <v>1</v>
      </c>
      <c r="J213" s="65">
        <v>0.12</v>
      </c>
    </row>
    <row r="214" spans="1:10" x14ac:dyDescent="0.3">
      <c r="A214" s="65">
        <v>213</v>
      </c>
      <c r="B214" s="66">
        <v>40553</v>
      </c>
      <c r="C214" s="65">
        <v>1</v>
      </c>
      <c r="D214" s="65">
        <v>0</v>
      </c>
      <c r="E214" s="65">
        <v>1</v>
      </c>
      <c r="F214" s="65">
        <v>3</v>
      </c>
      <c r="G214" s="67" t="b">
        <v>0</v>
      </c>
      <c r="H214" s="65">
        <v>1</v>
      </c>
      <c r="I214" s="65">
        <v>1</v>
      </c>
      <c r="J214" s="65">
        <v>0.12</v>
      </c>
    </row>
    <row r="215" spans="1:10" x14ac:dyDescent="0.3">
      <c r="A215" s="65">
        <v>214</v>
      </c>
      <c r="B215" s="66">
        <v>40553</v>
      </c>
      <c r="C215" s="65">
        <v>1</v>
      </c>
      <c r="D215" s="65">
        <v>0</v>
      </c>
      <c r="E215" s="65">
        <v>1</v>
      </c>
      <c r="F215" s="65">
        <v>4</v>
      </c>
      <c r="G215" s="67" t="b">
        <v>0</v>
      </c>
      <c r="H215" s="65">
        <v>1</v>
      </c>
      <c r="I215" s="65">
        <v>1</v>
      </c>
      <c r="J215" s="65">
        <v>0.1</v>
      </c>
    </row>
    <row r="216" spans="1:10" x14ac:dyDescent="0.3">
      <c r="A216" s="65">
        <v>215</v>
      </c>
      <c r="B216" s="66">
        <v>40553</v>
      </c>
      <c r="C216" s="65">
        <v>1</v>
      </c>
      <c r="D216" s="65">
        <v>0</v>
      </c>
      <c r="E216" s="65">
        <v>1</v>
      </c>
      <c r="F216" s="65">
        <v>5</v>
      </c>
      <c r="G216" s="67" t="b">
        <v>0</v>
      </c>
      <c r="H216" s="65">
        <v>1</v>
      </c>
      <c r="I216" s="65">
        <v>1</v>
      </c>
      <c r="J216" s="65">
        <v>0.1</v>
      </c>
    </row>
    <row r="217" spans="1:10" x14ac:dyDescent="0.3">
      <c r="A217" s="65">
        <v>216</v>
      </c>
      <c r="B217" s="66">
        <v>40553</v>
      </c>
      <c r="C217" s="65">
        <v>1</v>
      </c>
      <c r="D217" s="65">
        <v>0</v>
      </c>
      <c r="E217" s="65">
        <v>1</v>
      </c>
      <c r="F217" s="65">
        <v>6</v>
      </c>
      <c r="G217" s="67" t="b">
        <v>0</v>
      </c>
      <c r="H217" s="65">
        <v>1</v>
      </c>
      <c r="I217" s="65">
        <v>1</v>
      </c>
      <c r="J217" s="65">
        <v>0.12</v>
      </c>
    </row>
    <row r="218" spans="1:10" x14ac:dyDescent="0.3">
      <c r="A218" s="65">
        <v>217</v>
      </c>
      <c r="B218" s="66">
        <v>40553</v>
      </c>
      <c r="C218" s="65">
        <v>1</v>
      </c>
      <c r="D218" s="65">
        <v>0</v>
      </c>
      <c r="E218" s="65">
        <v>1</v>
      </c>
      <c r="F218" s="65">
        <v>7</v>
      </c>
      <c r="G218" s="67" t="b">
        <v>0</v>
      </c>
      <c r="H218" s="65">
        <v>1</v>
      </c>
      <c r="I218" s="65">
        <v>1</v>
      </c>
      <c r="J218" s="65">
        <v>0.12</v>
      </c>
    </row>
    <row r="219" spans="1:10" x14ac:dyDescent="0.3">
      <c r="A219" s="65">
        <v>218</v>
      </c>
      <c r="B219" s="66">
        <v>40553</v>
      </c>
      <c r="C219" s="65">
        <v>1</v>
      </c>
      <c r="D219" s="65">
        <v>0</v>
      </c>
      <c r="E219" s="65">
        <v>1</v>
      </c>
      <c r="F219" s="65">
        <v>8</v>
      </c>
      <c r="G219" s="67" t="b">
        <v>0</v>
      </c>
      <c r="H219" s="65">
        <v>1</v>
      </c>
      <c r="I219" s="65">
        <v>2</v>
      </c>
      <c r="J219" s="65">
        <v>0.12</v>
      </c>
    </row>
    <row r="220" spans="1:10" x14ac:dyDescent="0.3">
      <c r="A220" s="65">
        <v>219</v>
      </c>
      <c r="B220" s="66">
        <v>40553</v>
      </c>
      <c r="C220" s="65">
        <v>1</v>
      </c>
      <c r="D220" s="65">
        <v>0</v>
      </c>
      <c r="E220" s="65">
        <v>1</v>
      </c>
      <c r="F220" s="65">
        <v>9</v>
      </c>
      <c r="G220" s="67" t="b">
        <v>0</v>
      </c>
      <c r="H220" s="65">
        <v>1</v>
      </c>
      <c r="I220" s="65">
        <v>2</v>
      </c>
      <c r="J220" s="65">
        <v>0.14000000000000001</v>
      </c>
    </row>
    <row r="221" spans="1:10" x14ac:dyDescent="0.3">
      <c r="A221" s="65">
        <v>220</v>
      </c>
      <c r="B221" s="66">
        <v>40553</v>
      </c>
      <c r="C221" s="65">
        <v>1</v>
      </c>
      <c r="D221" s="65">
        <v>0</v>
      </c>
      <c r="E221" s="65">
        <v>1</v>
      </c>
      <c r="F221" s="65">
        <v>10</v>
      </c>
      <c r="G221" s="67" t="b">
        <v>0</v>
      </c>
      <c r="H221" s="65">
        <v>1</v>
      </c>
      <c r="I221" s="65">
        <v>2</v>
      </c>
      <c r="J221" s="65">
        <v>0.14000000000000001</v>
      </c>
    </row>
    <row r="222" spans="1:10" x14ac:dyDescent="0.3">
      <c r="A222" s="65">
        <v>221</v>
      </c>
      <c r="B222" s="66">
        <v>40553</v>
      </c>
      <c r="C222" s="65">
        <v>1</v>
      </c>
      <c r="D222" s="65">
        <v>0</v>
      </c>
      <c r="E222" s="65">
        <v>1</v>
      </c>
      <c r="F222" s="65">
        <v>11</v>
      </c>
      <c r="G222" s="67" t="b">
        <v>0</v>
      </c>
      <c r="H222" s="65">
        <v>1</v>
      </c>
      <c r="I222" s="65">
        <v>2</v>
      </c>
      <c r="J222" s="65">
        <v>0.16</v>
      </c>
    </row>
    <row r="223" spans="1:10" x14ac:dyDescent="0.3">
      <c r="A223" s="65">
        <v>222</v>
      </c>
      <c r="B223" s="66">
        <v>40553</v>
      </c>
      <c r="C223" s="65">
        <v>1</v>
      </c>
      <c r="D223" s="65">
        <v>0</v>
      </c>
      <c r="E223" s="65">
        <v>1</v>
      </c>
      <c r="F223" s="65">
        <v>12</v>
      </c>
      <c r="G223" s="67" t="b">
        <v>0</v>
      </c>
      <c r="H223" s="65">
        <v>1</v>
      </c>
      <c r="I223" s="65">
        <v>2</v>
      </c>
      <c r="J223" s="65">
        <v>0.2</v>
      </c>
    </row>
    <row r="224" spans="1:10" x14ac:dyDescent="0.3">
      <c r="A224" s="65">
        <v>223</v>
      </c>
      <c r="B224" s="66">
        <v>40553</v>
      </c>
      <c r="C224" s="65">
        <v>1</v>
      </c>
      <c r="D224" s="65">
        <v>0</v>
      </c>
      <c r="E224" s="65">
        <v>1</v>
      </c>
      <c r="F224" s="65">
        <v>13</v>
      </c>
      <c r="G224" s="67" t="b">
        <v>0</v>
      </c>
      <c r="H224" s="65">
        <v>1</v>
      </c>
      <c r="I224" s="65">
        <v>2</v>
      </c>
      <c r="J224" s="65">
        <v>0.2</v>
      </c>
    </row>
    <row r="225" spans="1:10" x14ac:dyDescent="0.3">
      <c r="A225" s="65">
        <v>224</v>
      </c>
      <c r="B225" s="66">
        <v>40553</v>
      </c>
      <c r="C225" s="65">
        <v>1</v>
      </c>
      <c r="D225" s="65">
        <v>0</v>
      </c>
      <c r="E225" s="65">
        <v>1</v>
      </c>
      <c r="F225" s="65">
        <v>14</v>
      </c>
      <c r="G225" s="67" t="b">
        <v>0</v>
      </c>
      <c r="H225" s="65">
        <v>1</v>
      </c>
      <c r="I225" s="65">
        <v>2</v>
      </c>
      <c r="J225" s="65">
        <v>0.2</v>
      </c>
    </row>
    <row r="226" spans="1:10" x14ac:dyDescent="0.3">
      <c r="A226" s="65">
        <v>225</v>
      </c>
      <c r="B226" s="66">
        <v>40553</v>
      </c>
      <c r="C226" s="65">
        <v>1</v>
      </c>
      <c r="D226" s="65">
        <v>0</v>
      </c>
      <c r="E226" s="65">
        <v>1</v>
      </c>
      <c r="F226" s="65">
        <v>15</v>
      </c>
      <c r="G226" s="67" t="b">
        <v>0</v>
      </c>
      <c r="H226" s="65">
        <v>1</v>
      </c>
      <c r="I226" s="65">
        <v>2</v>
      </c>
      <c r="J226" s="65">
        <v>0.2</v>
      </c>
    </row>
    <row r="227" spans="1:10" x14ac:dyDescent="0.3">
      <c r="A227" s="65">
        <v>226</v>
      </c>
      <c r="B227" s="66">
        <v>40553</v>
      </c>
      <c r="C227" s="65">
        <v>1</v>
      </c>
      <c r="D227" s="65">
        <v>0</v>
      </c>
      <c r="E227" s="65">
        <v>1</v>
      </c>
      <c r="F227" s="65">
        <v>16</v>
      </c>
      <c r="G227" s="67" t="b">
        <v>0</v>
      </c>
      <c r="H227" s="65">
        <v>1</v>
      </c>
      <c r="I227" s="65">
        <v>1</v>
      </c>
      <c r="J227" s="65">
        <v>0.2</v>
      </c>
    </row>
    <row r="228" spans="1:10" x14ac:dyDescent="0.3">
      <c r="A228" s="65">
        <v>227</v>
      </c>
      <c r="B228" s="66">
        <v>40553</v>
      </c>
      <c r="C228" s="65">
        <v>1</v>
      </c>
      <c r="D228" s="65">
        <v>0</v>
      </c>
      <c r="E228" s="65">
        <v>1</v>
      </c>
      <c r="F228" s="65">
        <v>17</v>
      </c>
      <c r="G228" s="67" t="b">
        <v>0</v>
      </c>
      <c r="H228" s="65">
        <v>1</v>
      </c>
      <c r="I228" s="65">
        <v>1</v>
      </c>
      <c r="J228" s="65">
        <v>0.2</v>
      </c>
    </row>
    <row r="229" spans="1:10" x14ac:dyDescent="0.3">
      <c r="A229" s="65">
        <v>228</v>
      </c>
      <c r="B229" s="66">
        <v>40553</v>
      </c>
      <c r="C229" s="65">
        <v>1</v>
      </c>
      <c r="D229" s="65">
        <v>0</v>
      </c>
      <c r="E229" s="65">
        <v>1</v>
      </c>
      <c r="F229" s="65">
        <v>18</v>
      </c>
      <c r="G229" s="67" t="b">
        <v>0</v>
      </c>
      <c r="H229" s="65">
        <v>1</v>
      </c>
      <c r="I229" s="65">
        <v>1</v>
      </c>
      <c r="J229" s="65">
        <v>0.2</v>
      </c>
    </row>
    <row r="230" spans="1:10" x14ac:dyDescent="0.3">
      <c r="A230" s="65">
        <v>229</v>
      </c>
      <c r="B230" s="66">
        <v>40553</v>
      </c>
      <c r="C230" s="65">
        <v>1</v>
      </c>
      <c r="D230" s="65">
        <v>0</v>
      </c>
      <c r="E230" s="65">
        <v>1</v>
      </c>
      <c r="F230" s="65">
        <v>19</v>
      </c>
      <c r="G230" s="67" t="b">
        <v>0</v>
      </c>
      <c r="H230" s="65">
        <v>1</v>
      </c>
      <c r="I230" s="65">
        <v>1</v>
      </c>
      <c r="J230" s="65">
        <v>0.16</v>
      </c>
    </row>
    <row r="231" spans="1:10" x14ac:dyDescent="0.3">
      <c r="A231" s="65">
        <v>230</v>
      </c>
      <c r="B231" s="66">
        <v>40553</v>
      </c>
      <c r="C231" s="65">
        <v>1</v>
      </c>
      <c r="D231" s="65">
        <v>0</v>
      </c>
      <c r="E231" s="65">
        <v>1</v>
      </c>
      <c r="F231" s="65">
        <v>20</v>
      </c>
      <c r="G231" s="67" t="b">
        <v>0</v>
      </c>
      <c r="H231" s="65">
        <v>1</v>
      </c>
      <c r="I231" s="65">
        <v>1</v>
      </c>
      <c r="J231" s="65">
        <v>0.16</v>
      </c>
    </row>
    <row r="232" spans="1:10" x14ac:dyDescent="0.3">
      <c r="A232" s="65">
        <v>231</v>
      </c>
      <c r="B232" s="66">
        <v>40553</v>
      </c>
      <c r="C232" s="65">
        <v>1</v>
      </c>
      <c r="D232" s="65">
        <v>0</v>
      </c>
      <c r="E232" s="65">
        <v>1</v>
      </c>
      <c r="F232" s="65">
        <v>21</v>
      </c>
      <c r="G232" s="67" t="b">
        <v>0</v>
      </c>
      <c r="H232" s="65">
        <v>1</v>
      </c>
      <c r="I232" s="65">
        <v>1</v>
      </c>
      <c r="J232" s="65">
        <v>0.14000000000000001</v>
      </c>
    </row>
    <row r="233" spans="1:10" x14ac:dyDescent="0.3">
      <c r="A233" s="65">
        <v>232</v>
      </c>
      <c r="B233" s="66">
        <v>40553</v>
      </c>
      <c r="C233" s="65">
        <v>1</v>
      </c>
      <c r="D233" s="65">
        <v>0</v>
      </c>
      <c r="E233" s="65">
        <v>1</v>
      </c>
      <c r="F233" s="65">
        <v>22</v>
      </c>
      <c r="G233" s="67" t="b">
        <v>0</v>
      </c>
      <c r="H233" s="65">
        <v>1</v>
      </c>
      <c r="I233" s="65">
        <v>1</v>
      </c>
      <c r="J233" s="65">
        <v>0.14000000000000001</v>
      </c>
    </row>
    <row r="234" spans="1:10" x14ac:dyDescent="0.3">
      <c r="A234" s="65">
        <v>233</v>
      </c>
      <c r="B234" s="66">
        <v>40553</v>
      </c>
      <c r="C234" s="65">
        <v>1</v>
      </c>
      <c r="D234" s="65">
        <v>0</v>
      </c>
      <c r="E234" s="65">
        <v>1</v>
      </c>
      <c r="F234" s="65">
        <v>23</v>
      </c>
      <c r="G234" s="67" t="b">
        <v>0</v>
      </c>
      <c r="H234" s="65">
        <v>1</v>
      </c>
      <c r="I234" s="65">
        <v>1</v>
      </c>
      <c r="J234" s="65">
        <v>0.14000000000000001</v>
      </c>
    </row>
    <row r="235" spans="1:10" x14ac:dyDescent="0.3">
      <c r="A235" s="65">
        <v>234</v>
      </c>
      <c r="B235" s="66">
        <v>40554</v>
      </c>
      <c r="C235" s="65">
        <v>1</v>
      </c>
      <c r="D235" s="65">
        <v>0</v>
      </c>
      <c r="E235" s="65">
        <v>1</v>
      </c>
      <c r="F235" s="65">
        <v>0</v>
      </c>
      <c r="G235" s="67" t="b">
        <v>0</v>
      </c>
      <c r="H235" s="65">
        <v>2</v>
      </c>
      <c r="I235" s="65">
        <v>1</v>
      </c>
      <c r="J235" s="65">
        <v>0.14000000000000001</v>
      </c>
    </row>
    <row r="236" spans="1:10" x14ac:dyDescent="0.3">
      <c r="A236" s="65">
        <v>235</v>
      </c>
      <c r="B236" s="66">
        <v>40554</v>
      </c>
      <c r="C236" s="65">
        <v>1</v>
      </c>
      <c r="D236" s="65">
        <v>0</v>
      </c>
      <c r="E236" s="65">
        <v>1</v>
      </c>
      <c r="F236" s="65">
        <v>1</v>
      </c>
      <c r="G236" s="67" t="b">
        <v>0</v>
      </c>
      <c r="H236" s="65">
        <v>2</v>
      </c>
      <c r="I236" s="65">
        <v>1</v>
      </c>
      <c r="J236" s="65">
        <v>0.14000000000000001</v>
      </c>
    </row>
    <row r="237" spans="1:10" x14ac:dyDescent="0.3">
      <c r="A237" s="65">
        <v>236</v>
      </c>
      <c r="B237" s="66">
        <v>40554</v>
      </c>
      <c r="C237" s="65">
        <v>1</v>
      </c>
      <c r="D237" s="65">
        <v>0</v>
      </c>
      <c r="E237" s="65">
        <v>1</v>
      </c>
      <c r="F237" s="65">
        <v>2</v>
      </c>
      <c r="G237" s="67" t="b">
        <v>0</v>
      </c>
      <c r="H237" s="65">
        <v>2</v>
      </c>
      <c r="I237" s="65">
        <v>2</v>
      </c>
      <c r="J237" s="65">
        <v>0.16</v>
      </c>
    </row>
    <row r="238" spans="1:10" x14ac:dyDescent="0.3">
      <c r="A238" s="65">
        <v>237</v>
      </c>
      <c r="B238" s="66">
        <v>40554</v>
      </c>
      <c r="C238" s="65">
        <v>1</v>
      </c>
      <c r="D238" s="65">
        <v>0</v>
      </c>
      <c r="E238" s="65">
        <v>1</v>
      </c>
      <c r="F238" s="65">
        <v>5</v>
      </c>
      <c r="G238" s="67" t="b">
        <v>0</v>
      </c>
      <c r="H238" s="65">
        <v>2</v>
      </c>
      <c r="I238" s="65">
        <v>2</v>
      </c>
      <c r="J238" s="65">
        <v>0.16</v>
      </c>
    </row>
    <row r="239" spans="1:10" x14ac:dyDescent="0.3">
      <c r="A239" s="65">
        <v>238</v>
      </c>
      <c r="B239" s="66">
        <v>40554</v>
      </c>
      <c r="C239" s="65">
        <v>1</v>
      </c>
      <c r="D239" s="65">
        <v>0</v>
      </c>
      <c r="E239" s="65">
        <v>1</v>
      </c>
      <c r="F239" s="65">
        <v>6</v>
      </c>
      <c r="G239" s="67" t="b">
        <v>0</v>
      </c>
      <c r="H239" s="65">
        <v>2</v>
      </c>
      <c r="I239" s="65">
        <v>2</v>
      </c>
      <c r="J239" s="65">
        <v>0.16</v>
      </c>
    </row>
    <row r="240" spans="1:10" x14ac:dyDescent="0.3">
      <c r="A240" s="65">
        <v>239</v>
      </c>
      <c r="B240" s="66">
        <v>40554</v>
      </c>
      <c r="C240" s="65">
        <v>1</v>
      </c>
      <c r="D240" s="65">
        <v>0</v>
      </c>
      <c r="E240" s="65">
        <v>1</v>
      </c>
      <c r="F240" s="65">
        <v>7</v>
      </c>
      <c r="G240" s="67" t="b">
        <v>0</v>
      </c>
      <c r="H240" s="65">
        <v>2</v>
      </c>
      <c r="I240" s="65">
        <v>2</v>
      </c>
      <c r="J240" s="65">
        <v>0.16</v>
      </c>
    </row>
    <row r="241" spans="1:10" x14ac:dyDescent="0.3">
      <c r="A241" s="65">
        <v>240</v>
      </c>
      <c r="B241" s="66">
        <v>40554</v>
      </c>
      <c r="C241" s="65">
        <v>1</v>
      </c>
      <c r="D241" s="65">
        <v>0</v>
      </c>
      <c r="E241" s="65">
        <v>1</v>
      </c>
      <c r="F241" s="65">
        <v>8</v>
      </c>
      <c r="G241" s="67" t="b">
        <v>0</v>
      </c>
      <c r="H241" s="65">
        <v>2</v>
      </c>
      <c r="I241" s="65">
        <v>2</v>
      </c>
      <c r="J241" s="65">
        <v>0.18</v>
      </c>
    </row>
    <row r="242" spans="1:10" x14ac:dyDescent="0.3">
      <c r="A242" s="65">
        <v>241</v>
      </c>
      <c r="B242" s="66">
        <v>40554</v>
      </c>
      <c r="C242" s="65">
        <v>1</v>
      </c>
      <c r="D242" s="65">
        <v>0</v>
      </c>
      <c r="E242" s="65">
        <v>1</v>
      </c>
      <c r="F242" s="65">
        <v>9</v>
      </c>
      <c r="G242" s="67" t="b">
        <v>0</v>
      </c>
      <c r="H242" s="65">
        <v>2</v>
      </c>
      <c r="I242" s="65">
        <v>2</v>
      </c>
      <c r="J242" s="65">
        <v>0.18</v>
      </c>
    </row>
    <row r="243" spans="1:10" x14ac:dyDescent="0.3">
      <c r="A243" s="65">
        <v>242</v>
      </c>
      <c r="B243" s="66">
        <v>40554</v>
      </c>
      <c r="C243" s="65">
        <v>1</v>
      </c>
      <c r="D243" s="65">
        <v>0</v>
      </c>
      <c r="E243" s="65">
        <v>1</v>
      </c>
      <c r="F243" s="65">
        <v>10</v>
      </c>
      <c r="G243" s="67" t="b">
        <v>0</v>
      </c>
      <c r="H243" s="65">
        <v>2</v>
      </c>
      <c r="I243" s="65">
        <v>2</v>
      </c>
      <c r="J243" s="65">
        <v>0.2</v>
      </c>
    </row>
    <row r="244" spans="1:10" x14ac:dyDescent="0.3">
      <c r="A244" s="65">
        <v>243</v>
      </c>
      <c r="B244" s="66">
        <v>40554</v>
      </c>
      <c r="C244" s="65">
        <v>1</v>
      </c>
      <c r="D244" s="65">
        <v>0</v>
      </c>
      <c r="E244" s="65">
        <v>1</v>
      </c>
      <c r="F244" s="65">
        <v>11</v>
      </c>
      <c r="G244" s="67" t="b">
        <v>0</v>
      </c>
      <c r="H244" s="65">
        <v>2</v>
      </c>
      <c r="I244" s="65">
        <v>2</v>
      </c>
      <c r="J244" s="65">
        <v>0.2</v>
      </c>
    </row>
    <row r="245" spans="1:10" x14ac:dyDescent="0.3">
      <c r="A245" s="65">
        <v>244</v>
      </c>
      <c r="B245" s="66">
        <v>40554</v>
      </c>
      <c r="C245" s="65">
        <v>1</v>
      </c>
      <c r="D245" s="65">
        <v>0</v>
      </c>
      <c r="E245" s="65">
        <v>1</v>
      </c>
      <c r="F245" s="65">
        <v>12</v>
      </c>
      <c r="G245" s="67" t="b">
        <v>0</v>
      </c>
      <c r="H245" s="65">
        <v>2</v>
      </c>
      <c r="I245" s="65">
        <v>2</v>
      </c>
      <c r="J245" s="65">
        <v>0.2</v>
      </c>
    </row>
    <row r="246" spans="1:10" x14ac:dyDescent="0.3">
      <c r="A246" s="65">
        <v>245</v>
      </c>
      <c r="B246" s="66">
        <v>40554</v>
      </c>
      <c r="C246" s="65">
        <v>1</v>
      </c>
      <c r="D246" s="65">
        <v>0</v>
      </c>
      <c r="E246" s="65">
        <v>1</v>
      </c>
      <c r="F246" s="65">
        <v>13</v>
      </c>
      <c r="G246" s="67" t="b">
        <v>0</v>
      </c>
      <c r="H246" s="65">
        <v>2</v>
      </c>
      <c r="I246" s="65">
        <v>2</v>
      </c>
      <c r="J246" s="65">
        <v>0.2</v>
      </c>
    </row>
    <row r="247" spans="1:10" x14ac:dyDescent="0.3">
      <c r="A247" s="65">
        <v>246</v>
      </c>
      <c r="B247" s="66">
        <v>40554</v>
      </c>
      <c r="C247" s="65">
        <v>1</v>
      </c>
      <c r="D247" s="65">
        <v>0</v>
      </c>
      <c r="E247" s="65">
        <v>1</v>
      </c>
      <c r="F247" s="65">
        <v>14</v>
      </c>
      <c r="G247" s="67" t="b">
        <v>0</v>
      </c>
      <c r="H247" s="65">
        <v>2</v>
      </c>
      <c r="I247" s="65">
        <v>2</v>
      </c>
      <c r="J247" s="65">
        <v>0.2</v>
      </c>
    </row>
    <row r="248" spans="1:10" x14ac:dyDescent="0.3">
      <c r="A248" s="65">
        <v>247</v>
      </c>
      <c r="B248" s="66">
        <v>40554</v>
      </c>
      <c r="C248" s="65">
        <v>1</v>
      </c>
      <c r="D248" s="65">
        <v>0</v>
      </c>
      <c r="E248" s="65">
        <v>1</v>
      </c>
      <c r="F248" s="65">
        <v>15</v>
      </c>
      <c r="G248" s="67" t="b">
        <v>0</v>
      </c>
      <c r="H248" s="65">
        <v>2</v>
      </c>
      <c r="I248" s="65">
        <v>2</v>
      </c>
      <c r="J248" s="65">
        <v>0.16</v>
      </c>
    </row>
    <row r="249" spans="1:10" x14ac:dyDescent="0.3">
      <c r="A249" s="65">
        <v>248</v>
      </c>
      <c r="B249" s="66">
        <v>40554</v>
      </c>
      <c r="C249" s="65">
        <v>1</v>
      </c>
      <c r="D249" s="65">
        <v>0</v>
      </c>
      <c r="E249" s="65">
        <v>1</v>
      </c>
      <c r="F249" s="65">
        <v>16</v>
      </c>
      <c r="G249" s="67" t="b">
        <v>0</v>
      </c>
      <c r="H249" s="65">
        <v>2</v>
      </c>
      <c r="I249" s="65">
        <v>2</v>
      </c>
      <c r="J249" s="65">
        <v>0.16</v>
      </c>
    </row>
    <row r="250" spans="1:10" x14ac:dyDescent="0.3">
      <c r="A250" s="65">
        <v>249</v>
      </c>
      <c r="B250" s="66">
        <v>40554</v>
      </c>
      <c r="C250" s="65">
        <v>1</v>
      </c>
      <c r="D250" s="65">
        <v>0</v>
      </c>
      <c r="E250" s="65">
        <v>1</v>
      </c>
      <c r="F250" s="65">
        <v>17</v>
      </c>
      <c r="G250" s="67" t="b">
        <v>0</v>
      </c>
      <c r="H250" s="65">
        <v>2</v>
      </c>
      <c r="I250" s="65">
        <v>2</v>
      </c>
      <c r="J250" s="65">
        <v>0.16</v>
      </c>
    </row>
    <row r="251" spans="1:10" x14ac:dyDescent="0.3">
      <c r="A251" s="65">
        <v>250</v>
      </c>
      <c r="B251" s="66">
        <v>40554</v>
      </c>
      <c r="C251" s="65">
        <v>1</v>
      </c>
      <c r="D251" s="65">
        <v>0</v>
      </c>
      <c r="E251" s="65">
        <v>1</v>
      </c>
      <c r="F251" s="65">
        <v>18</v>
      </c>
      <c r="G251" s="67" t="b">
        <v>0</v>
      </c>
      <c r="H251" s="65">
        <v>2</v>
      </c>
      <c r="I251" s="65">
        <v>3</v>
      </c>
      <c r="J251" s="65">
        <v>0.16</v>
      </c>
    </row>
    <row r="252" spans="1:10" x14ac:dyDescent="0.3">
      <c r="A252" s="65">
        <v>251</v>
      </c>
      <c r="B252" s="66">
        <v>40554</v>
      </c>
      <c r="C252" s="65">
        <v>1</v>
      </c>
      <c r="D252" s="65">
        <v>0</v>
      </c>
      <c r="E252" s="65">
        <v>1</v>
      </c>
      <c r="F252" s="65">
        <v>19</v>
      </c>
      <c r="G252" s="67" t="b">
        <v>0</v>
      </c>
      <c r="H252" s="65">
        <v>2</v>
      </c>
      <c r="I252" s="65">
        <v>3</v>
      </c>
      <c r="J252" s="65">
        <v>0.16</v>
      </c>
    </row>
    <row r="253" spans="1:10" x14ac:dyDescent="0.3">
      <c r="A253" s="65">
        <v>252</v>
      </c>
      <c r="B253" s="66">
        <v>40554</v>
      </c>
      <c r="C253" s="65">
        <v>1</v>
      </c>
      <c r="D253" s="65">
        <v>0</v>
      </c>
      <c r="E253" s="65">
        <v>1</v>
      </c>
      <c r="F253" s="65">
        <v>20</v>
      </c>
      <c r="G253" s="67" t="b">
        <v>0</v>
      </c>
      <c r="H253" s="65">
        <v>2</v>
      </c>
      <c r="I253" s="65">
        <v>3</v>
      </c>
      <c r="J253" s="65">
        <v>0.16</v>
      </c>
    </row>
    <row r="254" spans="1:10" x14ac:dyDescent="0.3">
      <c r="A254" s="65">
        <v>253</v>
      </c>
      <c r="B254" s="66">
        <v>40554</v>
      </c>
      <c r="C254" s="65">
        <v>1</v>
      </c>
      <c r="D254" s="65">
        <v>0</v>
      </c>
      <c r="E254" s="65">
        <v>1</v>
      </c>
      <c r="F254" s="65">
        <v>21</v>
      </c>
      <c r="G254" s="67" t="b">
        <v>0</v>
      </c>
      <c r="H254" s="65">
        <v>2</v>
      </c>
      <c r="I254" s="65">
        <v>3</v>
      </c>
      <c r="J254" s="65">
        <v>0.16</v>
      </c>
    </row>
    <row r="255" spans="1:10" x14ac:dyDescent="0.3">
      <c r="A255" s="65">
        <v>254</v>
      </c>
      <c r="B255" s="66">
        <v>40554</v>
      </c>
      <c r="C255" s="65">
        <v>1</v>
      </c>
      <c r="D255" s="65">
        <v>0</v>
      </c>
      <c r="E255" s="65">
        <v>1</v>
      </c>
      <c r="F255" s="65">
        <v>22</v>
      </c>
      <c r="G255" s="67" t="b">
        <v>0</v>
      </c>
      <c r="H255" s="65">
        <v>2</v>
      </c>
      <c r="I255" s="65">
        <v>3</v>
      </c>
      <c r="J255" s="65">
        <v>0.16</v>
      </c>
    </row>
    <row r="256" spans="1:10" x14ac:dyDescent="0.3">
      <c r="A256" s="65">
        <v>255</v>
      </c>
      <c r="B256" s="66">
        <v>40554</v>
      </c>
      <c r="C256" s="65">
        <v>1</v>
      </c>
      <c r="D256" s="65">
        <v>0</v>
      </c>
      <c r="E256" s="65">
        <v>1</v>
      </c>
      <c r="F256" s="65">
        <v>23</v>
      </c>
      <c r="G256" s="67" t="b">
        <v>0</v>
      </c>
      <c r="H256" s="65">
        <v>2</v>
      </c>
      <c r="I256" s="65">
        <v>3</v>
      </c>
      <c r="J256" s="65">
        <v>0.16</v>
      </c>
    </row>
    <row r="257" spans="1:10" x14ac:dyDescent="0.3">
      <c r="A257" s="65">
        <v>256</v>
      </c>
      <c r="B257" s="66">
        <v>40555</v>
      </c>
      <c r="C257" s="65">
        <v>1</v>
      </c>
      <c r="D257" s="65">
        <v>0</v>
      </c>
      <c r="E257" s="65">
        <v>1</v>
      </c>
      <c r="F257" s="65">
        <v>0</v>
      </c>
      <c r="G257" s="67" t="b">
        <v>0</v>
      </c>
      <c r="H257" s="65">
        <v>3</v>
      </c>
      <c r="I257" s="65">
        <v>2</v>
      </c>
      <c r="J257" s="65">
        <v>0.16</v>
      </c>
    </row>
    <row r="258" spans="1:10" x14ac:dyDescent="0.3">
      <c r="A258" s="65">
        <v>257</v>
      </c>
      <c r="B258" s="66">
        <v>40555</v>
      </c>
      <c r="C258" s="65">
        <v>1</v>
      </c>
      <c r="D258" s="65">
        <v>0</v>
      </c>
      <c r="E258" s="65">
        <v>1</v>
      </c>
      <c r="F258" s="65">
        <v>1</v>
      </c>
      <c r="G258" s="67" t="b">
        <v>0</v>
      </c>
      <c r="H258" s="65">
        <v>3</v>
      </c>
      <c r="I258" s="65">
        <v>2</v>
      </c>
      <c r="J258" s="65">
        <v>0.16</v>
      </c>
    </row>
    <row r="259" spans="1:10" x14ac:dyDescent="0.3">
      <c r="A259" s="65">
        <v>258</v>
      </c>
      <c r="B259" s="66">
        <v>40555</v>
      </c>
      <c r="C259" s="65">
        <v>1</v>
      </c>
      <c r="D259" s="65">
        <v>0</v>
      </c>
      <c r="E259" s="65">
        <v>1</v>
      </c>
      <c r="F259" s="65">
        <v>2</v>
      </c>
      <c r="G259" s="67" t="b">
        <v>0</v>
      </c>
      <c r="H259" s="65">
        <v>3</v>
      </c>
      <c r="I259" s="65">
        <v>1</v>
      </c>
      <c r="J259" s="65">
        <v>0.14000000000000001</v>
      </c>
    </row>
    <row r="260" spans="1:10" x14ac:dyDescent="0.3">
      <c r="A260" s="65">
        <v>259</v>
      </c>
      <c r="B260" s="66">
        <v>40555</v>
      </c>
      <c r="C260" s="65">
        <v>1</v>
      </c>
      <c r="D260" s="65">
        <v>0</v>
      </c>
      <c r="E260" s="65">
        <v>1</v>
      </c>
      <c r="F260" s="65">
        <v>5</v>
      </c>
      <c r="G260" s="67" t="b">
        <v>0</v>
      </c>
      <c r="H260" s="65">
        <v>3</v>
      </c>
      <c r="I260" s="65">
        <v>1</v>
      </c>
      <c r="J260" s="65">
        <v>0.14000000000000001</v>
      </c>
    </row>
    <row r="261" spans="1:10" x14ac:dyDescent="0.3">
      <c r="A261" s="65">
        <v>260</v>
      </c>
      <c r="B261" s="66">
        <v>40555</v>
      </c>
      <c r="C261" s="65">
        <v>1</v>
      </c>
      <c r="D261" s="65">
        <v>0</v>
      </c>
      <c r="E261" s="65">
        <v>1</v>
      </c>
      <c r="F261" s="65">
        <v>6</v>
      </c>
      <c r="G261" s="67" t="b">
        <v>0</v>
      </c>
      <c r="H261" s="65">
        <v>3</v>
      </c>
      <c r="I261" s="65">
        <v>1</v>
      </c>
      <c r="J261" s="65">
        <v>0.12</v>
      </c>
    </row>
    <row r="262" spans="1:10" x14ac:dyDescent="0.3">
      <c r="A262" s="65">
        <v>261</v>
      </c>
      <c r="B262" s="66">
        <v>40555</v>
      </c>
      <c r="C262" s="65">
        <v>1</v>
      </c>
      <c r="D262" s="65">
        <v>0</v>
      </c>
      <c r="E262" s="65">
        <v>1</v>
      </c>
      <c r="F262" s="65">
        <v>7</v>
      </c>
      <c r="G262" s="67" t="b">
        <v>0</v>
      </c>
      <c r="H262" s="65">
        <v>3</v>
      </c>
      <c r="I262" s="65">
        <v>1</v>
      </c>
      <c r="J262" s="65">
        <v>0.14000000000000001</v>
      </c>
    </row>
    <row r="263" spans="1:10" x14ac:dyDescent="0.3">
      <c r="A263" s="65">
        <v>262</v>
      </c>
      <c r="B263" s="66">
        <v>40555</v>
      </c>
      <c r="C263" s="65">
        <v>1</v>
      </c>
      <c r="D263" s="65">
        <v>0</v>
      </c>
      <c r="E263" s="65">
        <v>1</v>
      </c>
      <c r="F263" s="65">
        <v>8</v>
      </c>
      <c r="G263" s="67" t="b">
        <v>0</v>
      </c>
      <c r="H263" s="65">
        <v>3</v>
      </c>
      <c r="I263" s="65">
        <v>1</v>
      </c>
      <c r="J263" s="65">
        <v>0.16</v>
      </c>
    </row>
    <row r="264" spans="1:10" x14ac:dyDescent="0.3">
      <c r="A264" s="65">
        <v>263</v>
      </c>
      <c r="B264" s="66">
        <v>40555</v>
      </c>
      <c r="C264" s="65">
        <v>1</v>
      </c>
      <c r="D264" s="65">
        <v>0</v>
      </c>
      <c r="E264" s="65">
        <v>1</v>
      </c>
      <c r="F264" s="65">
        <v>9</v>
      </c>
      <c r="G264" s="67" t="b">
        <v>0</v>
      </c>
      <c r="H264" s="65">
        <v>3</v>
      </c>
      <c r="I264" s="65">
        <v>1</v>
      </c>
      <c r="J264" s="65">
        <v>0.16</v>
      </c>
    </row>
    <row r="265" spans="1:10" x14ac:dyDescent="0.3">
      <c r="A265" s="65">
        <v>264</v>
      </c>
      <c r="B265" s="66">
        <v>40555</v>
      </c>
      <c r="C265" s="65">
        <v>1</v>
      </c>
      <c r="D265" s="65">
        <v>0</v>
      </c>
      <c r="E265" s="65">
        <v>1</v>
      </c>
      <c r="F265" s="65">
        <v>10</v>
      </c>
      <c r="G265" s="67" t="b">
        <v>0</v>
      </c>
      <c r="H265" s="65">
        <v>3</v>
      </c>
      <c r="I265" s="65">
        <v>1</v>
      </c>
      <c r="J265" s="65">
        <v>0.18</v>
      </c>
    </row>
    <row r="266" spans="1:10" x14ac:dyDescent="0.3">
      <c r="A266" s="65">
        <v>265</v>
      </c>
      <c r="B266" s="66">
        <v>40555</v>
      </c>
      <c r="C266" s="65">
        <v>1</v>
      </c>
      <c r="D266" s="65">
        <v>0</v>
      </c>
      <c r="E266" s="65">
        <v>1</v>
      </c>
      <c r="F266" s="65">
        <v>11</v>
      </c>
      <c r="G266" s="67" t="b">
        <v>0</v>
      </c>
      <c r="H266" s="65">
        <v>3</v>
      </c>
      <c r="I266" s="65">
        <v>1</v>
      </c>
      <c r="J266" s="65">
        <v>0.2</v>
      </c>
    </row>
    <row r="267" spans="1:10" x14ac:dyDescent="0.3">
      <c r="A267" s="65">
        <v>266</v>
      </c>
      <c r="B267" s="66">
        <v>40555</v>
      </c>
      <c r="C267" s="65">
        <v>1</v>
      </c>
      <c r="D267" s="65">
        <v>0</v>
      </c>
      <c r="E267" s="65">
        <v>1</v>
      </c>
      <c r="F267" s="65">
        <v>12</v>
      </c>
      <c r="G267" s="67" t="b">
        <v>0</v>
      </c>
      <c r="H267" s="65">
        <v>3</v>
      </c>
      <c r="I267" s="65">
        <v>1</v>
      </c>
      <c r="J267" s="65">
        <v>0.2</v>
      </c>
    </row>
    <row r="268" spans="1:10" x14ac:dyDescent="0.3">
      <c r="A268" s="65">
        <v>267</v>
      </c>
      <c r="B268" s="66">
        <v>40555</v>
      </c>
      <c r="C268" s="65">
        <v>1</v>
      </c>
      <c r="D268" s="65">
        <v>0</v>
      </c>
      <c r="E268" s="65">
        <v>1</v>
      </c>
      <c r="F268" s="65">
        <v>13</v>
      </c>
      <c r="G268" s="67" t="b">
        <v>0</v>
      </c>
      <c r="H268" s="65">
        <v>3</v>
      </c>
      <c r="I268" s="65">
        <v>1</v>
      </c>
      <c r="J268" s="65">
        <v>0.22</v>
      </c>
    </row>
    <row r="269" spans="1:10" x14ac:dyDescent="0.3">
      <c r="A269" s="65">
        <v>268</v>
      </c>
      <c r="B269" s="66">
        <v>40555</v>
      </c>
      <c r="C269" s="65">
        <v>1</v>
      </c>
      <c r="D269" s="65">
        <v>0</v>
      </c>
      <c r="E269" s="65">
        <v>1</v>
      </c>
      <c r="F269" s="65">
        <v>14</v>
      </c>
      <c r="G269" s="67" t="b">
        <v>0</v>
      </c>
      <c r="H269" s="65">
        <v>3</v>
      </c>
      <c r="I269" s="65">
        <v>1</v>
      </c>
      <c r="J269" s="65">
        <v>0.2</v>
      </c>
    </row>
    <row r="270" spans="1:10" x14ac:dyDescent="0.3">
      <c r="A270" s="65">
        <v>269</v>
      </c>
      <c r="B270" s="66">
        <v>40555</v>
      </c>
      <c r="C270" s="65">
        <v>1</v>
      </c>
      <c r="D270" s="65">
        <v>0</v>
      </c>
      <c r="E270" s="65">
        <v>1</v>
      </c>
      <c r="F270" s="65">
        <v>15</v>
      </c>
      <c r="G270" s="67" t="b">
        <v>0</v>
      </c>
      <c r="H270" s="65">
        <v>3</v>
      </c>
      <c r="I270" s="65">
        <v>1</v>
      </c>
      <c r="J270" s="65">
        <v>0.2</v>
      </c>
    </row>
    <row r="271" spans="1:10" x14ac:dyDescent="0.3">
      <c r="A271" s="65">
        <v>270</v>
      </c>
      <c r="B271" s="66">
        <v>40555</v>
      </c>
      <c r="C271" s="65">
        <v>1</v>
      </c>
      <c r="D271" s="65">
        <v>0</v>
      </c>
      <c r="E271" s="65">
        <v>1</v>
      </c>
      <c r="F271" s="65">
        <v>16</v>
      </c>
      <c r="G271" s="67" t="b">
        <v>0</v>
      </c>
      <c r="H271" s="65">
        <v>3</v>
      </c>
      <c r="I271" s="65">
        <v>1</v>
      </c>
      <c r="J271" s="65">
        <v>0.22</v>
      </c>
    </row>
    <row r="272" spans="1:10" x14ac:dyDescent="0.3">
      <c r="A272" s="65">
        <v>271</v>
      </c>
      <c r="B272" s="66">
        <v>40555</v>
      </c>
      <c r="C272" s="65">
        <v>1</v>
      </c>
      <c r="D272" s="65">
        <v>0</v>
      </c>
      <c r="E272" s="65">
        <v>1</v>
      </c>
      <c r="F272" s="65">
        <v>17</v>
      </c>
      <c r="G272" s="67" t="b">
        <v>0</v>
      </c>
      <c r="H272" s="65">
        <v>3</v>
      </c>
      <c r="I272" s="65">
        <v>1</v>
      </c>
      <c r="J272" s="65">
        <v>0.2</v>
      </c>
    </row>
    <row r="273" spans="1:10" x14ac:dyDescent="0.3">
      <c r="A273" s="65">
        <v>272</v>
      </c>
      <c r="B273" s="66">
        <v>40555</v>
      </c>
      <c r="C273" s="65">
        <v>1</v>
      </c>
      <c r="D273" s="65">
        <v>0</v>
      </c>
      <c r="E273" s="65">
        <v>1</v>
      </c>
      <c r="F273" s="65">
        <v>18</v>
      </c>
      <c r="G273" s="67" t="b">
        <v>0</v>
      </c>
      <c r="H273" s="65">
        <v>3</v>
      </c>
      <c r="I273" s="65">
        <v>1</v>
      </c>
      <c r="J273" s="65">
        <v>0.2</v>
      </c>
    </row>
    <row r="274" spans="1:10" x14ac:dyDescent="0.3">
      <c r="A274" s="65">
        <v>273</v>
      </c>
      <c r="B274" s="66">
        <v>40555</v>
      </c>
      <c r="C274" s="65">
        <v>1</v>
      </c>
      <c r="D274" s="65">
        <v>0</v>
      </c>
      <c r="E274" s="65">
        <v>1</v>
      </c>
      <c r="F274" s="65">
        <v>19</v>
      </c>
      <c r="G274" s="67" t="b">
        <v>0</v>
      </c>
      <c r="H274" s="65">
        <v>3</v>
      </c>
      <c r="I274" s="65">
        <v>1</v>
      </c>
      <c r="J274" s="65">
        <v>0.18</v>
      </c>
    </row>
    <row r="275" spans="1:10" x14ac:dyDescent="0.3">
      <c r="A275" s="65">
        <v>274</v>
      </c>
      <c r="B275" s="66">
        <v>40555</v>
      </c>
      <c r="C275" s="65">
        <v>1</v>
      </c>
      <c r="D275" s="65">
        <v>0</v>
      </c>
      <c r="E275" s="65">
        <v>1</v>
      </c>
      <c r="F275" s="65">
        <v>20</v>
      </c>
      <c r="G275" s="67" t="b">
        <v>0</v>
      </c>
      <c r="H275" s="65">
        <v>3</v>
      </c>
      <c r="I275" s="65">
        <v>1</v>
      </c>
      <c r="J275" s="65">
        <v>0.16</v>
      </c>
    </row>
    <row r="276" spans="1:10" x14ac:dyDescent="0.3">
      <c r="A276" s="65">
        <v>275</v>
      </c>
      <c r="B276" s="66">
        <v>40555</v>
      </c>
      <c r="C276" s="65">
        <v>1</v>
      </c>
      <c r="D276" s="65">
        <v>0</v>
      </c>
      <c r="E276" s="65">
        <v>1</v>
      </c>
      <c r="F276" s="65">
        <v>21</v>
      </c>
      <c r="G276" s="67" t="b">
        <v>0</v>
      </c>
      <c r="H276" s="65">
        <v>3</v>
      </c>
      <c r="I276" s="65">
        <v>1</v>
      </c>
      <c r="J276" s="65">
        <v>0.16</v>
      </c>
    </row>
    <row r="277" spans="1:10" x14ac:dyDescent="0.3">
      <c r="A277" s="65">
        <v>276</v>
      </c>
      <c r="B277" s="66">
        <v>40555</v>
      </c>
      <c r="C277" s="65">
        <v>1</v>
      </c>
      <c r="D277" s="65">
        <v>0</v>
      </c>
      <c r="E277" s="65">
        <v>1</v>
      </c>
      <c r="F277" s="65">
        <v>22</v>
      </c>
      <c r="G277" s="67" t="b">
        <v>0</v>
      </c>
      <c r="H277" s="65">
        <v>3</v>
      </c>
      <c r="I277" s="65">
        <v>1</v>
      </c>
      <c r="J277" s="65">
        <v>0.16</v>
      </c>
    </row>
    <row r="278" spans="1:10" x14ac:dyDescent="0.3">
      <c r="A278" s="65">
        <v>277</v>
      </c>
      <c r="B278" s="66">
        <v>40555</v>
      </c>
      <c r="C278" s="65">
        <v>1</v>
      </c>
      <c r="D278" s="65">
        <v>0</v>
      </c>
      <c r="E278" s="65">
        <v>1</v>
      </c>
      <c r="F278" s="65">
        <v>23</v>
      </c>
      <c r="G278" s="67" t="b">
        <v>0</v>
      </c>
      <c r="H278" s="65">
        <v>3</v>
      </c>
      <c r="I278" s="65">
        <v>1</v>
      </c>
      <c r="J278" s="65">
        <v>0.14000000000000001</v>
      </c>
    </row>
    <row r="279" spans="1:10" x14ac:dyDescent="0.3">
      <c r="A279" s="65">
        <v>278</v>
      </c>
      <c r="B279" s="66">
        <v>40556</v>
      </c>
      <c r="C279" s="65">
        <v>1</v>
      </c>
      <c r="D279" s="65">
        <v>0</v>
      </c>
      <c r="E279" s="65">
        <v>1</v>
      </c>
      <c r="F279" s="65">
        <v>0</v>
      </c>
      <c r="G279" s="67" t="b">
        <v>0</v>
      </c>
      <c r="H279" s="65">
        <v>4</v>
      </c>
      <c r="I279" s="65">
        <v>1</v>
      </c>
      <c r="J279" s="65">
        <v>0.14000000000000001</v>
      </c>
    </row>
    <row r="280" spans="1:10" x14ac:dyDescent="0.3">
      <c r="A280" s="65">
        <v>279</v>
      </c>
      <c r="B280" s="66">
        <v>40556</v>
      </c>
      <c r="C280" s="65">
        <v>1</v>
      </c>
      <c r="D280" s="65">
        <v>0</v>
      </c>
      <c r="E280" s="65">
        <v>1</v>
      </c>
      <c r="F280" s="65">
        <v>1</v>
      </c>
      <c r="G280" s="67" t="b">
        <v>0</v>
      </c>
      <c r="H280" s="65">
        <v>4</v>
      </c>
      <c r="I280" s="65">
        <v>1</v>
      </c>
      <c r="J280" s="65">
        <v>0.14000000000000001</v>
      </c>
    </row>
    <row r="281" spans="1:10" x14ac:dyDescent="0.3">
      <c r="A281" s="65">
        <v>280</v>
      </c>
      <c r="B281" s="66">
        <v>40556</v>
      </c>
      <c r="C281" s="65">
        <v>1</v>
      </c>
      <c r="D281" s="65">
        <v>0</v>
      </c>
      <c r="E281" s="65">
        <v>1</v>
      </c>
      <c r="F281" s="65">
        <v>2</v>
      </c>
      <c r="G281" s="67" t="b">
        <v>0</v>
      </c>
      <c r="H281" s="65">
        <v>4</v>
      </c>
      <c r="I281" s="65">
        <v>1</v>
      </c>
      <c r="J281" s="65">
        <v>0.14000000000000001</v>
      </c>
    </row>
    <row r="282" spans="1:10" x14ac:dyDescent="0.3">
      <c r="A282" s="65">
        <v>281</v>
      </c>
      <c r="B282" s="66">
        <v>40556</v>
      </c>
      <c r="C282" s="65">
        <v>1</v>
      </c>
      <c r="D282" s="65">
        <v>0</v>
      </c>
      <c r="E282" s="65">
        <v>1</v>
      </c>
      <c r="F282" s="65">
        <v>3</v>
      </c>
      <c r="G282" s="67" t="b">
        <v>0</v>
      </c>
      <c r="H282" s="65">
        <v>4</v>
      </c>
      <c r="I282" s="65">
        <v>1</v>
      </c>
      <c r="J282" s="65">
        <v>0.14000000000000001</v>
      </c>
    </row>
    <row r="283" spans="1:10" x14ac:dyDescent="0.3">
      <c r="A283" s="65">
        <v>282</v>
      </c>
      <c r="B283" s="66">
        <v>40556</v>
      </c>
      <c r="C283" s="65">
        <v>1</v>
      </c>
      <c r="D283" s="65">
        <v>0</v>
      </c>
      <c r="E283" s="65">
        <v>1</v>
      </c>
      <c r="F283" s="65">
        <v>4</v>
      </c>
      <c r="G283" s="67" t="b">
        <v>0</v>
      </c>
      <c r="H283" s="65">
        <v>4</v>
      </c>
      <c r="I283" s="65">
        <v>1</v>
      </c>
      <c r="J283" s="65">
        <v>0.14000000000000001</v>
      </c>
    </row>
    <row r="284" spans="1:10" x14ac:dyDescent="0.3">
      <c r="A284" s="65">
        <v>283</v>
      </c>
      <c r="B284" s="66">
        <v>40556</v>
      </c>
      <c r="C284" s="65">
        <v>1</v>
      </c>
      <c r="D284" s="65">
        <v>0</v>
      </c>
      <c r="E284" s="65">
        <v>1</v>
      </c>
      <c r="F284" s="65">
        <v>5</v>
      </c>
      <c r="G284" s="67" t="b">
        <v>0</v>
      </c>
      <c r="H284" s="65">
        <v>4</v>
      </c>
      <c r="I284" s="65">
        <v>1</v>
      </c>
      <c r="J284" s="65">
        <v>0.14000000000000001</v>
      </c>
    </row>
    <row r="285" spans="1:10" x14ac:dyDescent="0.3">
      <c r="A285" s="65">
        <v>284</v>
      </c>
      <c r="B285" s="66">
        <v>40556</v>
      </c>
      <c r="C285" s="65">
        <v>1</v>
      </c>
      <c r="D285" s="65">
        <v>0</v>
      </c>
      <c r="E285" s="65">
        <v>1</v>
      </c>
      <c r="F285" s="65">
        <v>6</v>
      </c>
      <c r="G285" s="67" t="b">
        <v>0</v>
      </c>
      <c r="H285" s="65">
        <v>4</v>
      </c>
      <c r="I285" s="65">
        <v>1</v>
      </c>
      <c r="J285" s="65">
        <v>0.12</v>
      </c>
    </row>
    <row r="286" spans="1:10" x14ac:dyDescent="0.3">
      <c r="A286" s="65">
        <v>285</v>
      </c>
      <c r="B286" s="66">
        <v>40556</v>
      </c>
      <c r="C286" s="65">
        <v>1</v>
      </c>
      <c r="D286" s="65">
        <v>0</v>
      </c>
      <c r="E286" s="65">
        <v>1</v>
      </c>
      <c r="F286" s="65">
        <v>7</v>
      </c>
      <c r="G286" s="67" t="b">
        <v>0</v>
      </c>
      <c r="H286" s="65">
        <v>4</v>
      </c>
      <c r="I286" s="65">
        <v>1</v>
      </c>
      <c r="J286" s="65">
        <v>0.12</v>
      </c>
    </row>
    <row r="287" spans="1:10" x14ac:dyDescent="0.3">
      <c r="A287" s="65">
        <v>286</v>
      </c>
      <c r="B287" s="66">
        <v>40556</v>
      </c>
      <c r="C287" s="65">
        <v>1</v>
      </c>
      <c r="D287" s="65">
        <v>0</v>
      </c>
      <c r="E287" s="65">
        <v>1</v>
      </c>
      <c r="F287" s="65">
        <v>8</v>
      </c>
      <c r="G287" s="67" t="b">
        <v>0</v>
      </c>
      <c r="H287" s="65">
        <v>4</v>
      </c>
      <c r="I287" s="65">
        <v>1</v>
      </c>
      <c r="J287" s="65">
        <v>0.14000000000000001</v>
      </c>
    </row>
    <row r="288" spans="1:10" x14ac:dyDescent="0.3">
      <c r="A288" s="65">
        <v>287</v>
      </c>
      <c r="B288" s="66">
        <v>40556</v>
      </c>
      <c r="C288" s="65">
        <v>1</v>
      </c>
      <c r="D288" s="65">
        <v>0</v>
      </c>
      <c r="E288" s="65">
        <v>1</v>
      </c>
      <c r="F288" s="65">
        <v>9</v>
      </c>
      <c r="G288" s="67" t="b">
        <v>0</v>
      </c>
      <c r="H288" s="65">
        <v>4</v>
      </c>
      <c r="I288" s="65">
        <v>1</v>
      </c>
      <c r="J288" s="65">
        <v>0.14000000000000001</v>
      </c>
    </row>
    <row r="289" spans="1:10" x14ac:dyDescent="0.3">
      <c r="A289" s="65">
        <v>288</v>
      </c>
      <c r="B289" s="66">
        <v>40556</v>
      </c>
      <c r="C289" s="65">
        <v>1</v>
      </c>
      <c r="D289" s="65">
        <v>0</v>
      </c>
      <c r="E289" s="65">
        <v>1</v>
      </c>
      <c r="F289" s="65">
        <v>10</v>
      </c>
      <c r="G289" s="67" t="b">
        <v>0</v>
      </c>
      <c r="H289" s="65">
        <v>4</v>
      </c>
      <c r="I289" s="65">
        <v>2</v>
      </c>
      <c r="J289" s="65">
        <v>0.16</v>
      </c>
    </row>
    <row r="290" spans="1:10" x14ac:dyDescent="0.3">
      <c r="A290" s="65">
        <v>289</v>
      </c>
      <c r="B290" s="66">
        <v>40556</v>
      </c>
      <c r="C290" s="65">
        <v>1</v>
      </c>
      <c r="D290" s="65">
        <v>0</v>
      </c>
      <c r="E290" s="65">
        <v>1</v>
      </c>
      <c r="F290" s="65">
        <v>11</v>
      </c>
      <c r="G290" s="67" t="b">
        <v>0</v>
      </c>
      <c r="H290" s="65">
        <v>4</v>
      </c>
      <c r="I290" s="65">
        <v>2</v>
      </c>
      <c r="J290" s="65">
        <v>0.2</v>
      </c>
    </row>
    <row r="291" spans="1:10" x14ac:dyDescent="0.3">
      <c r="A291" s="65">
        <v>290</v>
      </c>
      <c r="B291" s="66">
        <v>40556</v>
      </c>
      <c r="C291" s="65">
        <v>1</v>
      </c>
      <c r="D291" s="65">
        <v>0</v>
      </c>
      <c r="E291" s="65">
        <v>1</v>
      </c>
      <c r="F291" s="65">
        <v>12</v>
      </c>
      <c r="G291" s="67" t="b">
        <v>0</v>
      </c>
      <c r="H291" s="65">
        <v>4</v>
      </c>
      <c r="I291" s="65">
        <v>1</v>
      </c>
      <c r="J291" s="65">
        <v>0.2</v>
      </c>
    </row>
    <row r="292" spans="1:10" x14ac:dyDescent="0.3">
      <c r="A292" s="65">
        <v>291</v>
      </c>
      <c r="B292" s="66">
        <v>40556</v>
      </c>
      <c r="C292" s="65">
        <v>1</v>
      </c>
      <c r="D292" s="65">
        <v>0</v>
      </c>
      <c r="E292" s="65">
        <v>1</v>
      </c>
      <c r="F292" s="65">
        <v>13</v>
      </c>
      <c r="G292" s="67" t="b">
        <v>0</v>
      </c>
      <c r="H292" s="65">
        <v>4</v>
      </c>
      <c r="I292" s="65">
        <v>1</v>
      </c>
      <c r="J292" s="65">
        <v>0.22</v>
      </c>
    </row>
    <row r="293" spans="1:10" x14ac:dyDescent="0.3">
      <c r="A293" s="65">
        <v>292</v>
      </c>
      <c r="B293" s="66">
        <v>40556</v>
      </c>
      <c r="C293" s="65">
        <v>1</v>
      </c>
      <c r="D293" s="65">
        <v>0</v>
      </c>
      <c r="E293" s="65">
        <v>1</v>
      </c>
      <c r="F293" s="65">
        <v>14</v>
      </c>
      <c r="G293" s="67" t="b">
        <v>0</v>
      </c>
      <c r="H293" s="65">
        <v>4</v>
      </c>
      <c r="I293" s="65">
        <v>1</v>
      </c>
      <c r="J293" s="65">
        <v>0.22</v>
      </c>
    </row>
    <row r="294" spans="1:10" x14ac:dyDescent="0.3">
      <c r="A294" s="65">
        <v>293</v>
      </c>
      <c r="B294" s="66">
        <v>40556</v>
      </c>
      <c r="C294" s="65">
        <v>1</v>
      </c>
      <c r="D294" s="65">
        <v>0</v>
      </c>
      <c r="E294" s="65">
        <v>1</v>
      </c>
      <c r="F294" s="65">
        <v>15</v>
      </c>
      <c r="G294" s="67" t="b">
        <v>0</v>
      </c>
      <c r="H294" s="65">
        <v>4</v>
      </c>
      <c r="I294" s="65">
        <v>1</v>
      </c>
      <c r="J294" s="65">
        <v>0.24</v>
      </c>
    </row>
    <row r="295" spans="1:10" x14ac:dyDescent="0.3">
      <c r="A295" s="65">
        <v>294</v>
      </c>
      <c r="B295" s="66">
        <v>40556</v>
      </c>
      <c r="C295" s="65">
        <v>1</v>
      </c>
      <c r="D295" s="65">
        <v>0</v>
      </c>
      <c r="E295" s="65">
        <v>1</v>
      </c>
      <c r="F295" s="65">
        <v>16</v>
      </c>
      <c r="G295" s="67" t="b">
        <v>0</v>
      </c>
      <c r="H295" s="65">
        <v>4</v>
      </c>
      <c r="I295" s="65">
        <v>1</v>
      </c>
      <c r="J295" s="65">
        <v>0.24</v>
      </c>
    </row>
    <row r="296" spans="1:10" x14ac:dyDescent="0.3">
      <c r="A296" s="65">
        <v>295</v>
      </c>
      <c r="B296" s="66">
        <v>40556</v>
      </c>
      <c r="C296" s="65">
        <v>1</v>
      </c>
      <c r="D296" s="65">
        <v>0</v>
      </c>
      <c r="E296" s="65">
        <v>1</v>
      </c>
      <c r="F296" s="65">
        <v>17</v>
      </c>
      <c r="G296" s="67" t="b">
        <v>0</v>
      </c>
      <c r="H296" s="65">
        <v>4</v>
      </c>
      <c r="I296" s="65">
        <v>1</v>
      </c>
      <c r="J296" s="65">
        <v>0.2</v>
      </c>
    </row>
    <row r="297" spans="1:10" x14ac:dyDescent="0.3">
      <c r="A297" s="65">
        <v>296</v>
      </c>
      <c r="B297" s="66">
        <v>40556</v>
      </c>
      <c r="C297" s="65">
        <v>1</v>
      </c>
      <c r="D297" s="65">
        <v>0</v>
      </c>
      <c r="E297" s="65">
        <v>1</v>
      </c>
      <c r="F297" s="65">
        <v>18</v>
      </c>
      <c r="G297" s="67" t="b">
        <v>0</v>
      </c>
      <c r="H297" s="65">
        <v>4</v>
      </c>
      <c r="I297" s="65">
        <v>1</v>
      </c>
      <c r="J297" s="65">
        <v>0.2</v>
      </c>
    </row>
    <row r="298" spans="1:10" x14ac:dyDescent="0.3">
      <c r="A298" s="65">
        <v>297</v>
      </c>
      <c r="B298" s="66">
        <v>40556</v>
      </c>
      <c r="C298" s="65">
        <v>1</v>
      </c>
      <c r="D298" s="65">
        <v>0</v>
      </c>
      <c r="E298" s="65">
        <v>1</v>
      </c>
      <c r="F298" s="65">
        <v>19</v>
      </c>
      <c r="G298" s="67" t="b">
        <v>0</v>
      </c>
      <c r="H298" s="65">
        <v>4</v>
      </c>
      <c r="I298" s="65">
        <v>1</v>
      </c>
      <c r="J298" s="65">
        <v>0.16</v>
      </c>
    </row>
    <row r="299" spans="1:10" x14ac:dyDescent="0.3">
      <c r="A299" s="65">
        <v>298</v>
      </c>
      <c r="B299" s="66">
        <v>40556</v>
      </c>
      <c r="C299" s="65">
        <v>1</v>
      </c>
      <c r="D299" s="65">
        <v>0</v>
      </c>
      <c r="E299" s="65">
        <v>1</v>
      </c>
      <c r="F299" s="65">
        <v>20</v>
      </c>
      <c r="G299" s="67" t="b">
        <v>0</v>
      </c>
      <c r="H299" s="65">
        <v>4</v>
      </c>
      <c r="I299" s="65">
        <v>1</v>
      </c>
      <c r="J299" s="65">
        <v>0.16</v>
      </c>
    </row>
    <row r="300" spans="1:10" x14ac:dyDescent="0.3">
      <c r="A300" s="65">
        <v>299</v>
      </c>
      <c r="B300" s="66">
        <v>40556</v>
      </c>
      <c r="C300" s="65">
        <v>1</v>
      </c>
      <c r="D300" s="65">
        <v>0</v>
      </c>
      <c r="E300" s="65">
        <v>1</v>
      </c>
      <c r="F300" s="65">
        <v>21</v>
      </c>
      <c r="G300" s="67" t="b">
        <v>0</v>
      </c>
      <c r="H300" s="65">
        <v>4</v>
      </c>
      <c r="I300" s="65">
        <v>1</v>
      </c>
      <c r="J300" s="65">
        <v>0.14000000000000001</v>
      </c>
    </row>
    <row r="301" spans="1:10" x14ac:dyDescent="0.3">
      <c r="A301" s="65">
        <v>300</v>
      </c>
      <c r="B301" s="66">
        <v>40556</v>
      </c>
      <c r="C301" s="65">
        <v>1</v>
      </c>
      <c r="D301" s="65">
        <v>0</v>
      </c>
      <c r="E301" s="65">
        <v>1</v>
      </c>
      <c r="F301" s="65">
        <v>22</v>
      </c>
      <c r="G301" s="67" t="b">
        <v>0</v>
      </c>
      <c r="H301" s="65">
        <v>4</v>
      </c>
      <c r="I301" s="65">
        <v>1</v>
      </c>
      <c r="J301" s="65">
        <v>0.14000000000000001</v>
      </c>
    </row>
    <row r="302" spans="1:10" x14ac:dyDescent="0.3">
      <c r="A302" s="65">
        <v>301</v>
      </c>
      <c r="B302" s="66">
        <v>40556</v>
      </c>
      <c r="C302" s="65">
        <v>1</v>
      </c>
      <c r="D302" s="65">
        <v>0</v>
      </c>
      <c r="E302" s="65">
        <v>1</v>
      </c>
      <c r="F302" s="65">
        <v>23</v>
      </c>
      <c r="G302" s="67" t="b">
        <v>0</v>
      </c>
      <c r="H302" s="65">
        <v>4</v>
      </c>
      <c r="I302" s="65">
        <v>1</v>
      </c>
      <c r="J302" s="65">
        <v>0.12</v>
      </c>
    </row>
    <row r="303" spans="1:10" x14ac:dyDescent="0.3">
      <c r="A303" s="65">
        <v>302</v>
      </c>
      <c r="B303" s="66">
        <v>40557</v>
      </c>
      <c r="C303" s="65">
        <v>1</v>
      </c>
      <c r="D303" s="65">
        <v>0</v>
      </c>
      <c r="E303" s="65">
        <v>1</v>
      </c>
      <c r="F303" s="65">
        <v>0</v>
      </c>
      <c r="G303" s="67" t="b">
        <v>0</v>
      </c>
      <c r="H303" s="65">
        <v>5</v>
      </c>
      <c r="I303" s="65">
        <v>1</v>
      </c>
      <c r="J303" s="65">
        <v>0.12</v>
      </c>
    </row>
    <row r="304" spans="1:10" x14ac:dyDescent="0.3">
      <c r="A304" s="65">
        <v>303</v>
      </c>
      <c r="B304" s="66">
        <v>40557</v>
      </c>
      <c r="C304" s="65">
        <v>1</v>
      </c>
      <c r="D304" s="65">
        <v>0</v>
      </c>
      <c r="E304" s="65">
        <v>1</v>
      </c>
      <c r="F304" s="65">
        <v>1</v>
      </c>
      <c r="G304" s="67" t="b">
        <v>0</v>
      </c>
      <c r="H304" s="65">
        <v>5</v>
      </c>
      <c r="I304" s="65">
        <v>1</v>
      </c>
      <c r="J304" s="65">
        <v>0.1</v>
      </c>
    </row>
    <row r="305" spans="1:10" x14ac:dyDescent="0.3">
      <c r="A305" s="65">
        <v>304</v>
      </c>
      <c r="B305" s="66">
        <v>40557</v>
      </c>
      <c r="C305" s="65">
        <v>1</v>
      </c>
      <c r="D305" s="65">
        <v>0</v>
      </c>
      <c r="E305" s="65">
        <v>1</v>
      </c>
      <c r="F305" s="65">
        <v>2</v>
      </c>
      <c r="G305" s="67" t="b">
        <v>0</v>
      </c>
      <c r="H305" s="65">
        <v>5</v>
      </c>
      <c r="I305" s="65">
        <v>1</v>
      </c>
      <c r="J305" s="65">
        <v>0.1</v>
      </c>
    </row>
    <row r="306" spans="1:10" x14ac:dyDescent="0.3">
      <c r="A306" s="65">
        <v>305</v>
      </c>
      <c r="B306" s="66">
        <v>40557</v>
      </c>
      <c r="C306" s="65">
        <v>1</v>
      </c>
      <c r="D306" s="65">
        <v>0</v>
      </c>
      <c r="E306" s="65">
        <v>1</v>
      </c>
      <c r="F306" s="65">
        <v>3</v>
      </c>
      <c r="G306" s="67" t="b">
        <v>0</v>
      </c>
      <c r="H306" s="65">
        <v>5</v>
      </c>
      <c r="I306" s="65">
        <v>1</v>
      </c>
      <c r="J306" s="65">
        <v>0.1</v>
      </c>
    </row>
    <row r="307" spans="1:10" x14ac:dyDescent="0.3">
      <c r="A307" s="65">
        <v>306</v>
      </c>
      <c r="B307" s="66">
        <v>40557</v>
      </c>
      <c r="C307" s="65">
        <v>1</v>
      </c>
      <c r="D307" s="65">
        <v>0</v>
      </c>
      <c r="E307" s="65">
        <v>1</v>
      </c>
      <c r="F307" s="65">
        <v>5</v>
      </c>
      <c r="G307" s="67" t="b">
        <v>0</v>
      </c>
      <c r="H307" s="65">
        <v>5</v>
      </c>
      <c r="I307" s="65">
        <v>1</v>
      </c>
      <c r="J307" s="65">
        <v>0.1</v>
      </c>
    </row>
    <row r="308" spans="1:10" x14ac:dyDescent="0.3">
      <c r="A308" s="65">
        <v>307</v>
      </c>
      <c r="B308" s="66">
        <v>40557</v>
      </c>
      <c r="C308" s="65">
        <v>1</v>
      </c>
      <c r="D308" s="65">
        <v>0</v>
      </c>
      <c r="E308" s="65">
        <v>1</v>
      </c>
      <c r="F308" s="65">
        <v>6</v>
      </c>
      <c r="G308" s="67" t="b">
        <v>0</v>
      </c>
      <c r="H308" s="65">
        <v>5</v>
      </c>
      <c r="I308" s="65">
        <v>1</v>
      </c>
      <c r="J308" s="65">
        <v>0.1</v>
      </c>
    </row>
    <row r="309" spans="1:10" x14ac:dyDescent="0.3">
      <c r="A309" s="65">
        <v>308</v>
      </c>
      <c r="B309" s="66">
        <v>40557</v>
      </c>
      <c r="C309" s="65">
        <v>1</v>
      </c>
      <c r="D309" s="65">
        <v>0</v>
      </c>
      <c r="E309" s="65">
        <v>1</v>
      </c>
      <c r="F309" s="65">
        <v>7</v>
      </c>
      <c r="G309" s="67" t="b">
        <v>0</v>
      </c>
      <c r="H309" s="65">
        <v>5</v>
      </c>
      <c r="I309" s="65">
        <v>1</v>
      </c>
      <c r="J309" s="65">
        <v>0.1</v>
      </c>
    </row>
    <row r="310" spans="1:10" x14ac:dyDescent="0.3">
      <c r="A310" s="65">
        <v>309</v>
      </c>
      <c r="B310" s="66">
        <v>40557</v>
      </c>
      <c r="C310" s="65">
        <v>1</v>
      </c>
      <c r="D310" s="65">
        <v>0</v>
      </c>
      <c r="E310" s="65">
        <v>1</v>
      </c>
      <c r="F310" s="65">
        <v>8</v>
      </c>
      <c r="G310" s="67" t="b">
        <v>0</v>
      </c>
      <c r="H310" s="65">
        <v>5</v>
      </c>
      <c r="I310" s="65">
        <v>1</v>
      </c>
      <c r="J310" s="65">
        <v>0.12</v>
      </c>
    </row>
    <row r="311" spans="1:10" x14ac:dyDescent="0.3">
      <c r="A311" s="65">
        <v>310</v>
      </c>
      <c r="B311" s="66">
        <v>40557</v>
      </c>
      <c r="C311" s="65">
        <v>1</v>
      </c>
      <c r="D311" s="65">
        <v>0</v>
      </c>
      <c r="E311" s="65">
        <v>1</v>
      </c>
      <c r="F311" s="65">
        <v>9</v>
      </c>
      <c r="G311" s="67" t="b">
        <v>0</v>
      </c>
      <c r="H311" s="65">
        <v>5</v>
      </c>
      <c r="I311" s="65">
        <v>1</v>
      </c>
      <c r="J311" s="65">
        <v>0.14000000000000001</v>
      </c>
    </row>
    <row r="312" spans="1:10" x14ac:dyDescent="0.3">
      <c r="A312" s="65">
        <v>311</v>
      </c>
      <c r="B312" s="66">
        <v>40557</v>
      </c>
      <c r="C312" s="65">
        <v>1</v>
      </c>
      <c r="D312" s="65">
        <v>0</v>
      </c>
      <c r="E312" s="65">
        <v>1</v>
      </c>
      <c r="F312" s="65">
        <v>10</v>
      </c>
      <c r="G312" s="67" t="b">
        <v>0</v>
      </c>
      <c r="H312" s="65">
        <v>5</v>
      </c>
      <c r="I312" s="65">
        <v>1</v>
      </c>
      <c r="J312" s="65">
        <v>0.18</v>
      </c>
    </row>
    <row r="313" spans="1:10" x14ac:dyDescent="0.3">
      <c r="A313" s="65">
        <v>312</v>
      </c>
      <c r="B313" s="66">
        <v>40557</v>
      </c>
      <c r="C313" s="65">
        <v>1</v>
      </c>
      <c r="D313" s="65">
        <v>0</v>
      </c>
      <c r="E313" s="65">
        <v>1</v>
      </c>
      <c r="F313" s="65">
        <v>11</v>
      </c>
      <c r="G313" s="67" t="b">
        <v>0</v>
      </c>
      <c r="H313" s="65">
        <v>5</v>
      </c>
      <c r="I313" s="65">
        <v>1</v>
      </c>
      <c r="J313" s="65">
        <v>0.18</v>
      </c>
    </row>
    <row r="314" spans="1:10" x14ac:dyDescent="0.3">
      <c r="A314" s="65">
        <v>313</v>
      </c>
      <c r="B314" s="66">
        <v>40557</v>
      </c>
      <c r="C314" s="65">
        <v>1</v>
      </c>
      <c r="D314" s="65">
        <v>0</v>
      </c>
      <c r="E314" s="65">
        <v>1</v>
      </c>
      <c r="F314" s="65">
        <v>12</v>
      </c>
      <c r="G314" s="67" t="b">
        <v>0</v>
      </c>
      <c r="H314" s="65">
        <v>5</v>
      </c>
      <c r="I314" s="65">
        <v>1</v>
      </c>
      <c r="J314" s="65">
        <v>0.2</v>
      </c>
    </row>
    <row r="315" spans="1:10" x14ac:dyDescent="0.3">
      <c r="A315" s="65">
        <v>314</v>
      </c>
      <c r="B315" s="66">
        <v>40557</v>
      </c>
      <c r="C315" s="65">
        <v>1</v>
      </c>
      <c r="D315" s="65">
        <v>0</v>
      </c>
      <c r="E315" s="65">
        <v>1</v>
      </c>
      <c r="F315" s="65">
        <v>13</v>
      </c>
      <c r="G315" s="67" t="b">
        <v>0</v>
      </c>
      <c r="H315" s="65">
        <v>5</v>
      </c>
      <c r="I315" s="65">
        <v>1</v>
      </c>
      <c r="J315" s="65">
        <v>0.22</v>
      </c>
    </row>
    <row r="316" spans="1:10" x14ac:dyDescent="0.3">
      <c r="A316" s="65">
        <v>315</v>
      </c>
      <c r="B316" s="66">
        <v>40557</v>
      </c>
      <c r="C316" s="65">
        <v>1</v>
      </c>
      <c r="D316" s="65">
        <v>0</v>
      </c>
      <c r="E316" s="65">
        <v>1</v>
      </c>
      <c r="F316" s="65">
        <v>14</v>
      </c>
      <c r="G316" s="67" t="b">
        <v>0</v>
      </c>
      <c r="H316" s="65">
        <v>5</v>
      </c>
      <c r="I316" s="65">
        <v>1</v>
      </c>
      <c r="J316" s="65">
        <v>0.22</v>
      </c>
    </row>
    <row r="317" spans="1:10" x14ac:dyDescent="0.3">
      <c r="A317" s="65">
        <v>316</v>
      </c>
      <c r="B317" s="66">
        <v>40557</v>
      </c>
      <c r="C317" s="65">
        <v>1</v>
      </c>
      <c r="D317" s="65">
        <v>0</v>
      </c>
      <c r="E317" s="65">
        <v>1</v>
      </c>
      <c r="F317" s="65">
        <v>15</v>
      </c>
      <c r="G317" s="67" t="b">
        <v>0</v>
      </c>
      <c r="H317" s="65">
        <v>5</v>
      </c>
      <c r="I317" s="65">
        <v>1</v>
      </c>
      <c r="J317" s="65">
        <v>0.24</v>
      </c>
    </row>
    <row r="318" spans="1:10" x14ac:dyDescent="0.3">
      <c r="A318" s="65">
        <v>317</v>
      </c>
      <c r="B318" s="66">
        <v>40557</v>
      </c>
      <c r="C318" s="65">
        <v>1</v>
      </c>
      <c r="D318" s="65">
        <v>0</v>
      </c>
      <c r="E318" s="65">
        <v>1</v>
      </c>
      <c r="F318" s="65">
        <v>16</v>
      </c>
      <c r="G318" s="67" t="b">
        <v>0</v>
      </c>
      <c r="H318" s="65">
        <v>5</v>
      </c>
      <c r="I318" s="65">
        <v>1</v>
      </c>
      <c r="J318" s="65">
        <v>0.22</v>
      </c>
    </row>
    <row r="319" spans="1:10" x14ac:dyDescent="0.3">
      <c r="A319" s="65">
        <v>318</v>
      </c>
      <c r="B319" s="66">
        <v>40557</v>
      </c>
      <c r="C319" s="65">
        <v>1</v>
      </c>
      <c r="D319" s="65">
        <v>0</v>
      </c>
      <c r="E319" s="65">
        <v>1</v>
      </c>
      <c r="F319" s="65">
        <v>17</v>
      </c>
      <c r="G319" s="67" t="b">
        <v>0</v>
      </c>
      <c r="H319" s="65">
        <v>5</v>
      </c>
      <c r="I319" s="65">
        <v>1</v>
      </c>
      <c r="J319" s="65">
        <v>0.22</v>
      </c>
    </row>
    <row r="320" spans="1:10" x14ac:dyDescent="0.3">
      <c r="A320" s="65">
        <v>319</v>
      </c>
      <c r="B320" s="66">
        <v>40557</v>
      </c>
      <c r="C320" s="65">
        <v>1</v>
      </c>
      <c r="D320" s="65">
        <v>0</v>
      </c>
      <c r="E320" s="65">
        <v>1</v>
      </c>
      <c r="F320" s="65">
        <v>18</v>
      </c>
      <c r="G320" s="67" t="b">
        <v>0</v>
      </c>
      <c r="H320" s="65">
        <v>5</v>
      </c>
      <c r="I320" s="65">
        <v>1</v>
      </c>
      <c r="J320" s="65">
        <v>0.2</v>
      </c>
    </row>
    <row r="321" spans="1:10" x14ac:dyDescent="0.3">
      <c r="A321" s="65">
        <v>320</v>
      </c>
      <c r="B321" s="66">
        <v>40557</v>
      </c>
      <c r="C321" s="65">
        <v>1</v>
      </c>
      <c r="D321" s="65">
        <v>0</v>
      </c>
      <c r="E321" s="65">
        <v>1</v>
      </c>
      <c r="F321" s="65">
        <v>19</v>
      </c>
      <c r="G321" s="67" t="b">
        <v>0</v>
      </c>
      <c r="H321" s="65">
        <v>5</v>
      </c>
      <c r="I321" s="65">
        <v>1</v>
      </c>
      <c r="J321" s="65">
        <v>0.16</v>
      </c>
    </row>
    <row r="322" spans="1:10" x14ac:dyDescent="0.3">
      <c r="A322" s="65">
        <v>321</v>
      </c>
      <c r="B322" s="66">
        <v>40557</v>
      </c>
      <c r="C322" s="65">
        <v>1</v>
      </c>
      <c r="D322" s="65">
        <v>0</v>
      </c>
      <c r="E322" s="65">
        <v>1</v>
      </c>
      <c r="F322" s="65">
        <v>20</v>
      </c>
      <c r="G322" s="67" t="b">
        <v>0</v>
      </c>
      <c r="H322" s="65">
        <v>5</v>
      </c>
      <c r="I322" s="65">
        <v>1</v>
      </c>
      <c r="J322" s="65">
        <v>0.18</v>
      </c>
    </row>
    <row r="323" spans="1:10" x14ac:dyDescent="0.3">
      <c r="A323" s="65">
        <v>322</v>
      </c>
      <c r="B323" s="66">
        <v>40557</v>
      </c>
      <c r="C323" s="65">
        <v>1</v>
      </c>
      <c r="D323" s="65">
        <v>0</v>
      </c>
      <c r="E323" s="65">
        <v>1</v>
      </c>
      <c r="F323" s="65">
        <v>21</v>
      </c>
      <c r="G323" s="67" t="b">
        <v>0</v>
      </c>
      <c r="H323" s="65">
        <v>5</v>
      </c>
      <c r="I323" s="65">
        <v>1</v>
      </c>
      <c r="J323" s="65">
        <v>0.16</v>
      </c>
    </row>
    <row r="324" spans="1:10" x14ac:dyDescent="0.3">
      <c r="A324" s="65">
        <v>323</v>
      </c>
      <c r="B324" s="66">
        <v>40557</v>
      </c>
      <c r="C324" s="65">
        <v>1</v>
      </c>
      <c r="D324" s="65">
        <v>0</v>
      </c>
      <c r="E324" s="65">
        <v>1</v>
      </c>
      <c r="F324" s="65">
        <v>22</v>
      </c>
      <c r="G324" s="67" t="b">
        <v>0</v>
      </c>
      <c r="H324" s="65">
        <v>5</v>
      </c>
      <c r="I324" s="65">
        <v>2</v>
      </c>
      <c r="J324" s="65">
        <v>0.16</v>
      </c>
    </row>
    <row r="325" spans="1:10" x14ac:dyDescent="0.3">
      <c r="A325" s="65">
        <v>324</v>
      </c>
      <c r="B325" s="66">
        <v>40557</v>
      </c>
      <c r="C325" s="65">
        <v>1</v>
      </c>
      <c r="D325" s="65">
        <v>0</v>
      </c>
      <c r="E325" s="65">
        <v>1</v>
      </c>
      <c r="F325" s="65">
        <v>23</v>
      </c>
      <c r="G325" s="67" t="b">
        <v>0</v>
      </c>
      <c r="H325" s="65">
        <v>5</v>
      </c>
      <c r="I325" s="65">
        <v>2</v>
      </c>
      <c r="J325" s="65">
        <v>0.18</v>
      </c>
    </row>
    <row r="326" spans="1:10" x14ac:dyDescent="0.3">
      <c r="A326" s="65">
        <v>325</v>
      </c>
      <c r="B326" s="66">
        <v>40558</v>
      </c>
      <c r="C326" s="65">
        <v>1</v>
      </c>
      <c r="D326" s="65">
        <v>0</v>
      </c>
      <c r="E326" s="65">
        <v>1</v>
      </c>
      <c r="F326" s="65">
        <v>0</v>
      </c>
      <c r="G326" s="67" t="b">
        <v>0</v>
      </c>
      <c r="H326" s="65">
        <v>6</v>
      </c>
      <c r="I326" s="65">
        <v>1</v>
      </c>
      <c r="J326" s="65">
        <v>0.18</v>
      </c>
    </row>
    <row r="327" spans="1:10" x14ac:dyDescent="0.3">
      <c r="A327" s="65">
        <v>326</v>
      </c>
      <c r="B327" s="66">
        <v>40558</v>
      </c>
      <c r="C327" s="65">
        <v>1</v>
      </c>
      <c r="D327" s="65">
        <v>0</v>
      </c>
      <c r="E327" s="65">
        <v>1</v>
      </c>
      <c r="F327" s="65">
        <v>1</v>
      </c>
      <c r="G327" s="67" t="b">
        <v>0</v>
      </c>
      <c r="H327" s="65">
        <v>6</v>
      </c>
      <c r="I327" s="65">
        <v>2</v>
      </c>
      <c r="J327" s="65">
        <v>0.16</v>
      </c>
    </row>
    <row r="328" spans="1:10" x14ac:dyDescent="0.3">
      <c r="A328" s="65">
        <v>327</v>
      </c>
      <c r="B328" s="66">
        <v>40558</v>
      </c>
      <c r="C328" s="65">
        <v>1</v>
      </c>
      <c r="D328" s="65">
        <v>0</v>
      </c>
      <c r="E328" s="65">
        <v>1</v>
      </c>
      <c r="F328" s="65">
        <v>2</v>
      </c>
      <c r="G328" s="67" t="b">
        <v>0</v>
      </c>
      <c r="H328" s="65">
        <v>6</v>
      </c>
      <c r="I328" s="65">
        <v>2</v>
      </c>
      <c r="J328" s="65">
        <v>0.16</v>
      </c>
    </row>
    <row r="329" spans="1:10" x14ac:dyDescent="0.3">
      <c r="A329" s="65">
        <v>328</v>
      </c>
      <c r="B329" s="66">
        <v>40558</v>
      </c>
      <c r="C329" s="65">
        <v>1</v>
      </c>
      <c r="D329" s="65">
        <v>0</v>
      </c>
      <c r="E329" s="65">
        <v>1</v>
      </c>
      <c r="F329" s="65">
        <v>3</v>
      </c>
      <c r="G329" s="67" t="b">
        <v>0</v>
      </c>
      <c r="H329" s="65">
        <v>6</v>
      </c>
      <c r="I329" s="65">
        <v>2</v>
      </c>
      <c r="J329" s="65">
        <v>0.16</v>
      </c>
    </row>
    <row r="330" spans="1:10" x14ac:dyDescent="0.3">
      <c r="A330" s="65">
        <v>329</v>
      </c>
      <c r="B330" s="66">
        <v>40558</v>
      </c>
      <c r="C330" s="65">
        <v>1</v>
      </c>
      <c r="D330" s="65">
        <v>0</v>
      </c>
      <c r="E330" s="65">
        <v>1</v>
      </c>
      <c r="F330" s="65">
        <v>4</v>
      </c>
      <c r="G330" s="67" t="b">
        <v>0</v>
      </c>
      <c r="H330" s="65">
        <v>6</v>
      </c>
      <c r="I330" s="65">
        <v>2</v>
      </c>
      <c r="J330" s="65">
        <v>0.16</v>
      </c>
    </row>
    <row r="331" spans="1:10" x14ac:dyDescent="0.3">
      <c r="A331" s="65">
        <v>330</v>
      </c>
      <c r="B331" s="66">
        <v>40558</v>
      </c>
      <c r="C331" s="65">
        <v>1</v>
      </c>
      <c r="D331" s="65">
        <v>0</v>
      </c>
      <c r="E331" s="65">
        <v>1</v>
      </c>
      <c r="F331" s="65">
        <v>5</v>
      </c>
      <c r="G331" s="67" t="b">
        <v>0</v>
      </c>
      <c r="H331" s="65">
        <v>6</v>
      </c>
      <c r="I331" s="65">
        <v>1</v>
      </c>
      <c r="J331" s="65">
        <v>0.16</v>
      </c>
    </row>
    <row r="332" spans="1:10" x14ac:dyDescent="0.3">
      <c r="A332" s="65">
        <v>331</v>
      </c>
      <c r="B332" s="66">
        <v>40558</v>
      </c>
      <c r="C332" s="65">
        <v>1</v>
      </c>
      <c r="D332" s="65">
        <v>0</v>
      </c>
      <c r="E332" s="65">
        <v>1</v>
      </c>
      <c r="F332" s="65">
        <v>6</v>
      </c>
      <c r="G332" s="67" t="b">
        <v>0</v>
      </c>
      <c r="H332" s="65">
        <v>6</v>
      </c>
      <c r="I332" s="65">
        <v>1</v>
      </c>
      <c r="J332" s="65">
        <v>0.14000000000000001</v>
      </c>
    </row>
    <row r="333" spans="1:10" x14ac:dyDescent="0.3">
      <c r="A333" s="65">
        <v>332</v>
      </c>
      <c r="B333" s="66">
        <v>40558</v>
      </c>
      <c r="C333" s="65">
        <v>1</v>
      </c>
      <c r="D333" s="65">
        <v>0</v>
      </c>
      <c r="E333" s="65">
        <v>1</v>
      </c>
      <c r="F333" s="65">
        <v>7</v>
      </c>
      <c r="G333" s="67" t="b">
        <v>0</v>
      </c>
      <c r="H333" s="65">
        <v>6</v>
      </c>
      <c r="I333" s="65">
        <v>1</v>
      </c>
      <c r="J333" s="65">
        <v>0.14000000000000001</v>
      </c>
    </row>
    <row r="334" spans="1:10" x14ac:dyDescent="0.3">
      <c r="A334" s="65">
        <v>333</v>
      </c>
      <c r="B334" s="66">
        <v>40558</v>
      </c>
      <c r="C334" s="65">
        <v>1</v>
      </c>
      <c r="D334" s="65">
        <v>0</v>
      </c>
      <c r="E334" s="65">
        <v>1</v>
      </c>
      <c r="F334" s="65">
        <v>8</v>
      </c>
      <c r="G334" s="67" t="b">
        <v>0</v>
      </c>
      <c r="H334" s="65">
        <v>6</v>
      </c>
      <c r="I334" s="65">
        <v>1</v>
      </c>
      <c r="J334" s="65">
        <v>0.14000000000000001</v>
      </c>
    </row>
    <row r="335" spans="1:10" x14ac:dyDescent="0.3">
      <c r="A335" s="65">
        <v>334</v>
      </c>
      <c r="B335" s="66">
        <v>40558</v>
      </c>
      <c r="C335" s="65">
        <v>1</v>
      </c>
      <c r="D335" s="65">
        <v>0</v>
      </c>
      <c r="E335" s="65">
        <v>1</v>
      </c>
      <c r="F335" s="65">
        <v>9</v>
      </c>
      <c r="G335" s="67" t="b">
        <v>0</v>
      </c>
      <c r="H335" s="65">
        <v>6</v>
      </c>
      <c r="I335" s="65">
        <v>1</v>
      </c>
      <c r="J335" s="65">
        <v>0.16</v>
      </c>
    </row>
    <row r="336" spans="1:10" x14ac:dyDescent="0.3">
      <c r="A336" s="65">
        <v>335</v>
      </c>
      <c r="B336" s="66">
        <v>40558</v>
      </c>
      <c r="C336" s="65">
        <v>1</v>
      </c>
      <c r="D336" s="65">
        <v>0</v>
      </c>
      <c r="E336" s="65">
        <v>1</v>
      </c>
      <c r="F336" s="65">
        <v>10</v>
      </c>
      <c r="G336" s="67" t="b">
        <v>0</v>
      </c>
      <c r="H336" s="65">
        <v>6</v>
      </c>
      <c r="I336" s="65">
        <v>1</v>
      </c>
      <c r="J336" s="65">
        <v>0.18</v>
      </c>
    </row>
    <row r="337" spans="1:10" x14ac:dyDescent="0.3">
      <c r="A337" s="65">
        <v>336</v>
      </c>
      <c r="B337" s="66">
        <v>40558</v>
      </c>
      <c r="C337" s="65">
        <v>1</v>
      </c>
      <c r="D337" s="65">
        <v>0</v>
      </c>
      <c r="E337" s="65">
        <v>1</v>
      </c>
      <c r="F337" s="65">
        <v>11</v>
      </c>
      <c r="G337" s="67" t="b">
        <v>0</v>
      </c>
      <c r="H337" s="65">
        <v>6</v>
      </c>
      <c r="I337" s="65">
        <v>1</v>
      </c>
      <c r="J337" s="65">
        <v>0.2</v>
      </c>
    </row>
    <row r="338" spans="1:10" x14ac:dyDescent="0.3">
      <c r="A338" s="65">
        <v>337</v>
      </c>
      <c r="B338" s="66">
        <v>40558</v>
      </c>
      <c r="C338" s="65">
        <v>1</v>
      </c>
      <c r="D338" s="65">
        <v>0</v>
      </c>
      <c r="E338" s="65">
        <v>1</v>
      </c>
      <c r="F338" s="65">
        <v>12</v>
      </c>
      <c r="G338" s="67" t="b">
        <v>0</v>
      </c>
      <c r="H338" s="65">
        <v>6</v>
      </c>
      <c r="I338" s="65">
        <v>1</v>
      </c>
      <c r="J338" s="65">
        <v>0.24</v>
      </c>
    </row>
    <row r="339" spans="1:10" x14ac:dyDescent="0.3">
      <c r="A339" s="65">
        <v>338</v>
      </c>
      <c r="B339" s="66">
        <v>40558</v>
      </c>
      <c r="C339" s="65">
        <v>1</v>
      </c>
      <c r="D339" s="65">
        <v>0</v>
      </c>
      <c r="E339" s="65">
        <v>1</v>
      </c>
      <c r="F339" s="65">
        <v>13</v>
      </c>
      <c r="G339" s="67" t="b">
        <v>0</v>
      </c>
      <c r="H339" s="65">
        <v>6</v>
      </c>
      <c r="I339" s="65">
        <v>1</v>
      </c>
      <c r="J339" s="65">
        <v>0.28000000000000003</v>
      </c>
    </row>
    <row r="340" spans="1:10" x14ac:dyDescent="0.3">
      <c r="A340" s="65">
        <v>339</v>
      </c>
      <c r="B340" s="66">
        <v>40558</v>
      </c>
      <c r="C340" s="65">
        <v>1</v>
      </c>
      <c r="D340" s="65">
        <v>0</v>
      </c>
      <c r="E340" s="65">
        <v>1</v>
      </c>
      <c r="F340" s="65">
        <v>14</v>
      </c>
      <c r="G340" s="67" t="b">
        <v>0</v>
      </c>
      <c r="H340" s="65">
        <v>6</v>
      </c>
      <c r="I340" s="65">
        <v>1</v>
      </c>
      <c r="J340" s="65">
        <v>0.3</v>
      </c>
    </row>
    <row r="341" spans="1:10" x14ac:dyDescent="0.3">
      <c r="A341" s="65">
        <v>340</v>
      </c>
      <c r="B341" s="66">
        <v>40558</v>
      </c>
      <c r="C341" s="65">
        <v>1</v>
      </c>
      <c r="D341" s="65">
        <v>0</v>
      </c>
      <c r="E341" s="65">
        <v>1</v>
      </c>
      <c r="F341" s="65">
        <v>15</v>
      </c>
      <c r="G341" s="67" t="b">
        <v>0</v>
      </c>
      <c r="H341" s="65">
        <v>6</v>
      </c>
      <c r="I341" s="65">
        <v>2</v>
      </c>
      <c r="J341" s="65">
        <v>0.32</v>
      </c>
    </row>
    <row r="342" spans="1:10" x14ac:dyDescent="0.3">
      <c r="A342" s="65">
        <v>341</v>
      </c>
      <c r="B342" s="66">
        <v>40558</v>
      </c>
      <c r="C342" s="65">
        <v>1</v>
      </c>
      <c r="D342" s="65">
        <v>0</v>
      </c>
      <c r="E342" s="65">
        <v>1</v>
      </c>
      <c r="F342" s="65">
        <v>16</v>
      </c>
      <c r="G342" s="67" t="b">
        <v>0</v>
      </c>
      <c r="H342" s="65">
        <v>6</v>
      </c>
      <c r="I342" s="65">
        <v>2</v>
      </c>
      <c r="J342" s="65">
        <v>0.34</v>
      </c>
    </row>
    <row r="343" spans="1:10" x14ac:dyDescent="0.3">
      <c r="A343" s="65">
        <v>342</v>
      </c>
      <c r="B343" s="66">
        <v>40558</v>
      </c>
      <c r="C343" s="65">
        <v>1</v>
      </c>
      <c r="D343" s="65">
        <v>0</v>
      </c>
      <c r="E343" s="65">
        <v>1</v>
      </c>
      <c r="F343" s="65">
        <v>17</v>
      </c>
      <c r="G343" s="67" t="b">
        <v>0</v>
      </c>
      <c r="H343" s="65">
        <v>6</v>
      </c>
      <c r="I343" s="65">
        <v>2</v>
      </c>
      <c r="J343" s="65">
        <v>0.32</v>
      </c>
    </row>
    <row r="344" spans="1:10" x14ac:dyDescent="0.3">
      <c r="A344" s="65">
        <v>343</v>
      </c>
      <c r="B344" s="66">
        <v>40558</v>
      </c>
      <c r="C344" s="65">
        <v>1</v>
      </c>
      <c r="D344" s="65">
        <v>0</v>
      </c>
      <c r="E344" s="65">
        <v>1</v>
      </c>
      <c r="F344" s="65">
        <v>18</v>
      </c>
      <c r="G344" s="67" t="b">
        <v>0</v>
      </c>
      <c r="H344" s="65">
        <v>6</v>
      </c>
      <c r="I344" s="65">
        <v>2</v>
      </c>
      <c r="J344" s="65">
        <v>0.3</v>
      </c>
    </row>
    <row r="345" spans="1:10" x14ac:dyDescent="0.3">
      <c r="A345" s="65">
        <v>344</v>
      </c>
      <c r="B345" s="66">
        <v>40558</v>
      </c>
      <c r="C345" s="65">
        <v>1</v>
      </c>
      <c r="D345" s="65">
        <v>0</v>
      </c>
      <c r="E345" s="65">
        <v>1</v>
      </c>
      <c r="F345" s="65">
        <v>19</v>
      </c>
      <c r="G345" s="67" t="b">
        <v>0</v>
      </c>
      <c r="H345" s="65">
        <v>6</v>
      </c>
      <c r="I345" s="65">
        <v>2</v>
      </c>
      <c r="J345" s="65">
        <v>0.32</v>
      </c>
    </row>
    <row r="346" spans="1:10" x14ac:dyDescent="0.3">
      <c r="A346" s="65">
        <v>345</v>
      </c>
      <c r="B346" s="66">
        <v>40558</v>
      </c>
      <c r="C346" s="65">
        <v>1</v>
      </c>
      <c r="D346" s="65">
        <v>0</v>
      </c>
      <c r="E346" s="65">
        <v>1</v>
      </c>
      <c r="F346" s="65">
        <v>20</v>
      </c>
      <c r="G346" s="67" t="b">
        <v>0</v>
      </c>
      <c r="H346" s="65">
        <v>6</v>
      </c>
      <c r="I346" s="65">
        <v>2</v>
      </c>
      <c r="J346" s="65">
        <v>0.32</v>
      </c>
    </row>
    <row r="347" spans="1:10" x14ac:dyDescent="0.3">
      <c r="A347" s="65">
        <v>346</v>
      </c>
      <c r="B347" s="66">
        <v>40558</v>
      </c>
      <c r="C347" s="65">
        <v>1</v>
      </c>
      <c r="D347" s="65">
        <v>0</v>
      </c>
      <c r="E347" s="65">
        <v>1</v>
      </c>
      <c r="F347" s="65">
        <v>21</v>
      </c>
      <c r="G347" s="67" t="b">
        <v>0</v>
      </c>
      <c r="H347" s="65">
        <v>6</v>
      </c>
      <c r="I347" s="65">
        <v>2</v>
      </c>
      <c r="J347" s="65">
        <v>0.32</v>
      </c>
    </row>
    <row r="348" spans="1:10" x14ac:dyDescent="0.3">
      <c r="A348" s="65">
        <v>347</v>
      </c>
      <c r="B348" s="66">
        <v>40558</v>
      </c>
      <c r="C348" s="65">
        <v>1</v>
      </c>
      <c r="D348" s="65">
        <v>0</v>
      </c>
      <c r="E348" s="65">
        <v>1</v>
      </c>
      <c r="F348" s="65">
        <v>22</v>
      </c>
      <c r="G348" s="67" t="b">
        <v>0</v>
      </c>
      <c r="H348" s="65">
        <v>6</v>
      </c>
      <c r="I348" s="65">
        <v>2</v>
      </c>
      <c r="J348" s="65">
        <v>0.3</v>
      </c>
    </row>
    <row r="349" spans="1:10" x14ac:dyDescent="0.3">
      <c r="A349" s="65">
        <v>348</v>
      </c>
      <c r="B349" s="66">
        <v>40558</v>
      </c>
      <c r="C349" s="65">
        <v>1</v>
      </c>
      <c r="D349" s="65">
        <v>0</v>
      </c>
      <c r="E349" s="65">
        <v>1</v>
      </c>
      <c r="F349" s="65">
        <v>23</v>
      </c>
      <c r="G349" s="67" t="b">
        <v>0</v>
      </c>
      <c r="H349" s="65">
        <v>6</v>
      </c>
      <c r="I349" s="65">
        <v>1</v>
      </c>
      <c r="J349" s="65">
        <v>0.3</v>
      </c>
    </row>
    <row r="350" spans="1:10" x14ac:dyDescent="0.3">
      <c r="A350" s="65">
        <v>349</v>
      </c>
      <c r="B350" s="66">
        <v>40559</v>
      </c>
      <c r="C350" s="65">
        <v>1</v>
      </c>
      <c r="D350" s="65">
        <v>0</v>
      </c>
      <c r="E350" s="65">
        <v>1</v>
      </c>
      <c r="F350" s="65">
        <v>0</v>
      </c>
      <c r="G350" s="67" t="b">
        <v>0</v>
      </c>
      <c r="H350" s="65">
        <v>0</v>
      </c>
      <c r="I350" s="65">
        <v>1</v>
      </c>
      <c r="J350" s="65">
        <v>0.26</v>
      </c>
    </row>
    <row r="351" spans="1:10" x14ac:dyDescent="0.3">
      <c r="A351" s="65">
        <v>350</v>
      </c>
      <c r="B351" s="66">
        <v>40559</v>
      </c>
      <c r="C351" s="65">
        <v>1</v>
      </c>
      <c r="D351" s="65">
        <v>0</v>
      </c>
      <c r="E351" s="65">
        <v>1</v>
      </c>
      <c r="F351" s="65">
        <v>1</v>
      </c>
      <c r="G351" s="67" t="b">
        <v>0</v>
      </c>
      <c r="H351" s="65">
        <v>0</v>
      </c>
      <c r="I351" s="65">
        <v>1</v>
      </c>
      <c r="J351" s="65">
        <v>0.26</v>
      </c>
    </row>
    <row r="352" spans="1:10" x14ac:dyDescent="0.3">
      <c r="A352" s="65">
        <v>351</v>
      </c>
      <c r="B352" s="66">
        <v>40559</v>
      </c>
      <c r="C352" s="65">
        <v>1</v>
      </c>
      <c r="D352" s="65">
        <v>0</v>
      </c>
      <c r="E352" s="65">
        <v>1</v>
      </c>
      <c r="F352" s="65">
        <v>2</v>
      </c>
      <c r="G352" s="67" t="b">
        <v>0</v>
      </c>
      <c r="H352" s="65">
        <v>0</v>
      </c>
      <c r="I352" s="65">
        <v>1</v>
      </c>
      <c r="J352" s="65">
        <v>0.26</v>
      </c>
    </row>
    <row r="353" spans="1:10" x14ac:dyDescent="0.3">
      <c r="A353" s="65">
        <v>352</v>
      </c>
      <c r="B353" s="66">
        <v>40559</v>
      </c>
      <c r="C353" s="65">
        <v>1</v>
      </c>
      <c r="D353" s="65">
        <v>0</v>
      </c>
      <c r="E353" s="65">
        <v>1</v>
      </c>
      <c r="F353" s="65">
        <v>3</v>
      </c>
      <c r="G353" s="67" t="b">
        <v>0</v>
      </c>
      <c r="H353" s="65">
        <v>0</v>
      </c>
      <c r="I353" s="65">
        <v>1</v>
      </c>
      <c r="J353" s="65">
        <v>0.22</v>
      </c>
    </row>
    <row r="354" spans="1:10" x14ac:dyDescent="0.3">
      <c r="A354" s="65">
        <v>353</v>
      </c>
      <c r="B354" s="66">
        <v>40559</v>
      </c>
      <c r="C354" s="65">
        <v>1</v>
      </c>
      <c r="D354" s="65">
        <v>0</v>
      </c>
      <c r="E354" s="65">
        <v>1</v>
      </c>
      <c r="F354" s="65">
        <v>4</v>
      </c>
      <c r="G354" s="67" t="b">
        <v>0</v>
      </c>
      <c r="H354" s="65">
        <v>0</v>
      </c>
      <c r="I354" s="65">
        <v>1</v>
      </c>
      <c r="J354" s="65">
        <v>0.26</v>
      </c>
    </row>
    <row r="355" spans="1:10" x14ac:dyDescent="0.3">
      <c r="A355" s="65">
        <v>354</v>
      </c>
      <c r="B355" s="66">
        <v>40559</v>
      </c>
      <c r="C355" s="65">
        <v>1</v>
      </c>
      <c r="D355" s="65">
        <v>0</v>
      </c>
      <c r="E355" s="65">
        <v>1</v>
      </c>
      <c r="F355" s="65">
        <v>5</v>
      </c>
      <c r="G355" s="67" t="b">
        <v>0</v>
      </c>
      <c r="H355" s="65">
        <v>0</v>
      </c>
      <c r="I355" s="65">
        <v>2</v>
      </c>
      <c r="J355" s="65">
        <v>0.26</v>
      </c>
    </row>
    <row r="356" spans="1:10" x14ac:dyDescent="0.3">
      <c r="A356" s="65">
        <v>355</v>
      </c>
      <c r="B356" s="66">
        <v>40559</v>
      </c>
      <c r="C356" s="65">
        <v>1</v>
      </c>
      <c r="D356" s="65">
        <v>0</v>
      </c>
      <c r="E356" s="65">
        <v>1</v>
      </c>
      <c r="F356" s="65">
        <v>6</v>
      </c>
      <c r="G356" s="67" t="b">
        <v>0</v>
      </c>
      <c r="H356" s="65">
        <v>0</v>
      </c>
      <c r="I356" s="65">
        <v>2</v>
      </c>
      <c r="J356" s="65">
        <v>0.26</v>
      </c>
    </row>
    <row r="357" spans="1:10" x14ac:dyDescent="0.3">
      <c r="A357" s="65">
        <v>356</v>
      </c>
      <c r="B357" s="66">
        <v>40559</v>
      </c>
      <c r="C357" s="65">
        <v>1</v>
      </c>
      <c r="D357" s="65">
        <v>0</v>
      </c>
      <c r="E357" s="65">
        <v>1</v>
      </c>
      <c r="F357" s="65">
        <v>7</v>
      </c>
      <c r="G357" s="67" t="b">
        <v>0</v>
      </c>
      <c r="H357" s="65">
        <v>0</v>
      </c>
      <c r="I357" s="65">
        <v>2</v>
      </c>
      <c r="J357" s="65">
        <v>0.24</v>
      </c>
    </row>
    <row r="358" spans="1:10" x14ac:dyDescent="0.3">
      <c r="A358" s="65">
        <v>357</v>
      </c>
      <c r="B358" s="66">
        <v>40559</v>
      </c>
      <c r="C358" s="65">
        <v>1</v>
      </c>
      <c r="D358" s="65">
        <v>0</v>
      </c>
      <c r="E358" s="65">
        <v>1</v>
      </c>
      <c r="F358" s="65">
        <v>8</v>
      </c>
      <c r="G358" s="67" t="b">
        <v>0</v>
      </c>
      <c r="H358" s="65">
        <v>0</v>
      </c>
      <c r="I358" s="65">
        <v>1</v>
      </c>
      <c r="J358" s="65">
        <v>0.22</v>
      </c>
    </row>
    <row r="359" spans="1:10" x14ac:dyDescent="0.3">
      <c r="A359" s="65">
        <v>358</v>
      </c>
      <c r="B359" s="66">
        <v>40559</v>
      </c>
      <c r="C359" s="65">
        <v>1</v>
      </c>
      <c r="D359" s="65">
        <v>0</v>
      </c>
      <c r="E359" s="65">
        <v>1</v>
      </c>
      <c r="F359" s="65">
        <v>9</v>
      </c>
      <c r="G359" s="67" t="b">
        <v>0</v>
      </c>
      <c r="H359" s="65">
        <v>0</v>
      </c>
      <c r="I359" s="65">
        <v>1</v>
      </c>
      <c r="J359" s="65">
        <v>0.22</v>
      </c>
    </row>
    <row r="360" spans="1:10" x14ac:dyDescent="0.3">
      <c r="A360" s="65">
        <v>359</v>
      </c>
      <c r="B360" s="66">
        <v>40559</v>
      </c>
      <c r="C360" s="65">
        <v>1</v>
      </c>
      <c r="D360" s="65">
        <v>0</v>
      </c>
      <c r="E360" s="65">
        <v>1</v>
      </c>
      <c r="F360" s="65">
        <v>10</v>
      </c>
      <c r="G360" s="67" t="b">
        <v>0</v>
      </c>
      <c r="H360" s="65">
        <v>0</v>
      </c>
      <c r="I360" s="65">
        <v>1</v>
      </c>
      <c r="J360" s="65">
        <v>0.22</v>
      </c>
    </row>
    <row r="361" spans="1:10" x14ac:dyDescent="0.3">
      <c r="A361" s="65">
        <v>360</v>
      </c>
      <c r="B361" s="66">
        <v>40559</v>
      </c>
      <c r="C361" s="65">
        <v>1</v>
      </c>
      <c r="D361" s="65">
        <v>0</v>
      </c>
      <c r="E361" s="65">
        <v>1</v>
      </c>
      <c r="F361" s="65">
        <v>11</v>
      </c>
      <c r="G361" s="67" t="b">
        <v>0</v>
      </c>
      <c r="H361" s="65">
        <v>0</v>
      </c>
      <c r="I361" s="65">
        <v>1</v>
      </c>
      <c r="J361" s="65">
        <v>0.24</v>
      </c>
    </row>
    <row r="362" spans="1:10" x14ac:dyDescent="0.3">
      <c r="A362" s="65">
        <v>361</v>
      </c>
      <c r="B362" s="66">
        <v>40559</v>
      </c>
      <c r="C362" s="65">
        <v>1</v>
      </c>
      <c r="D362" s="65">
        <v>0</v>
      </c>
      <c r="E362" s="65">
        <v>1</v>
      </c>
      <c r="F362" s="65">
        <v>12</v>
      </c>
      <c r="G362" s="67" t="b">
        <v>0</v>
      </c>
      <c r="H362" s="65">
        <v>0</v>
      </c>
      <c r="I362" s="65">
        <v>1</v>
      </c>
      <c r="J362" s="65">
        <v>0.24</v>
      </c>
    </row>
    <row r="363" spans="1:10" x14ac:dyDescent="0.3">
      <c r="A363" s="65">
        <v>362</v>
      </c>
      <c r="B363" s="66">
        <v>40559</v>
      </c>
      <c r="C363" s="65">
        <v>1</v>
      </c>
      <c r="D363" s="65">
        <v>0</v>
      </c>
      <c r="E363" s="65">
        <v>1</v>
      </c>
      <c r="F363" s="65">
        <v>13</v>
      </c>
      <c r="G363" s="67" t="b">
        <v>0</v>
      </c>
      <c r="H363" s="65">
        <v>0</v>
      </c>
      <c r="I363" s="65">
        <v>1</v>
      </c>
      <c r="J363" s="65">
        <v>0.26</v>
      </c>
    </row>
    <row r="364" spans="1:10" x14ac:dyDescent="0.3">
      <c r="A364" s="65">
        <v>363</v>
      </c>
      <c r="B364" s="66">
        <v>40559</v>
      </c>
      <c r="C364" s="65">
        <v>1</v>
      </c>
      <c r="D364" s="65">
        <v>0</v>
      </c>
      <c r="E364" s="65">
        <v>1</v>
      </c>
      <c r="F364" s="65">
        <v>14</v>
      </c>
      <c r="G364" s="67" t="b">
        <v>0</v>
      </c>
      <c r="H364" s="65">
        <v>0</v>
      </c>
      <c r="I364" s="65">
        <v>1</v>
      </c>
      <c r="J364" s="65">
        <v>0.28000000000000003</v>
      </c>
    </row>
    <row r="365" spans="1:10" x14ac:dyDescent="0.3">
      <c r="A365" s="65">
        <v>364</v>
      </c>
      <c r="B365" s="66">
        <v>40559</v>
      </c>
      <c r="C365" s="65">
        <v>1</v>
      </c>
      <c r="D365" s="65">
        <v>0</v>
      </c>
      <c r="E365" s="65">
        <v>1</v>
      </c>
      <c r="F365" s="65">
        <v>15</v>
      </c>
      <c r="G365" s="67" t="b">
        <v>0</v>
      </c>
      <c r="H365" s="65">
        <v>0</v>
      </c>
      <c r="I365" s="65">
        <v>1</v>
      </c>
      <c r="J365" s="65">
        <v>0.26</v>
      </c>
    </row>
    <row r="366" spans="1:10" x14ac:dyDescent="0.3">
      <c r="A366" s="65">
        <v>365</v>
      </c>
      <c r="B366" s="66">
        <v>40559</v>
      </c>
      <c r="C366" s="65">
        <v>1</v>
      </c>
      <c r="D366" s="65">
        <v>0</v>
      </c>
      <c r="E366" s="65">
        <v>1</v>
      </c>
      <c r="F366" s="65">
        <v>16</v>
      </c>
      <c r="G366" s="67" t="b">
        <v>0</v>
      </c>
      <c r="H366" s="65">
        <v>0</v>
      </c>
      <c r="I366" s="65">
        <v>1</v>
      </c>
      <c r="J366" s="65">
        <v>0.24</v>
      </c>
    </row>
    <row r="367" spans="1:10" x14ac:dyDescent="0.3">
      <c r="A367" s="65">
        <v>366</v>
      </c>
      <c r="B367" s="66">
        <v>40559</v>
      </c>
      <c r="C367" s="65">
        <v>1</v>
      </c>
      <c r="D367" s="65">
        <v>0</v>
      </c>
      <c r="E367" s="65">
        <v>1</v>
      </c>
      <c r="F367" s="65">
        <v>17</v>
      </c>
      <c r="G367" s="67" t="b">
        <v>0</v>
      </c>
      <c r="H367" s="65">
        <v>0</v>
      </c>
      <c r="I367" s="65">
        <v>1</v>
      </c>
      <c r="J367" s="65">
        <v>0.22</v>
      </c>
    </row>
    <row r="368" spans="1:10" x14ac:dyDescent="0.3">
      <c r="A368" s="65">
        <v>367</v>
      </c>
      <c r="B368" s="66">
        <v>40559</v>
      </c>
      <c r="C368" s="65">
        <v>1</v>
      </c>
      <c r="D368" s="65">
        <v>0</v>
      </c>
      <c r="E368" s="65">
        <v>1</v>
      </c>
      <c r="F368" s="65">
        <v>18</v>
      </c>
      <c r="G368" s="67" t="b">
        <v>0</v>
      </c>
      <c r="H368" s="65">
        <v>0</v>
      </c>
      <c r="I368" s="65">
        <v>1</v>
      </c>
      <c r="J368" s="65">
        <v>0.2</v>
      </c>
    </row>
    <row r="369" spans="1:10" x14ac:dyDescent="0.3">
      <c r="A369" s="65">
        <v>368</v>
      </c>
      <c r="B369" s="66">
        <v>40559</v>
      </c>
      <c r="C369" s="65">
        <v>1</v>
      </c>
      <c r="D369" s="65">
        <v>0</v>
      </c>
      <c r="E369" s="65">
        <v>1</v>
      </c>
      <c r="F369" s="65">
        <v>19</v>
      </c>
      <c r="G369" s="67" t="b">
        <v>0</v>
      </c>
      <c r="H369" s="65">
        <v>0</v>
      </c>
      <c r="I369" s="65">
        <v>1</v>
      </c>
      <c r="J369" s="65">
        <v>0.18</v>
      </c>
    </row>
    <row r="370" spans="1:10" x14ac:dyDescent="0.3">
      <c r="A370" s="65">
        <v>369</v>
      </c>
      <c r="B370" s="66">
        <v>40559</v>
      </c>
      <c r="C370" s="65">
        <v>1</v>
      </c>
      <c r="D370" s="65">
        <v>0</v>
      </c>
      <c r="E370" s="65">
        <v>1</v>
      </c>
      <c r="F370" s="65">
        <v>20</v>
      </c>
      <c r="G370" s="67" t="b">
        <v>0</v>
      </c>
      <c r="H370" s="65">
        <v>0</v>
      </c>
      <c r="I370" s="65">
        <v>1</v>
      </c>
      <c r="J370" s="65">
        <v>0.18</v>
      </c>
    </row>
    <row r="371" spans="1:10" x14ac:dyDescent="0.3">
      <c r="A371" s="65">
        <v>370</v>
      </c>
      <c r="B371" s="66">
        <v>40559</v>
      </c>
      <c r="C371" s="65">
        <v>1</v>
      </c>
      <c r="D371" s="65">
        <v>0</v>
      </c>
      <c r="E371" s="65">
        <v>1</v>
      </c>
      <c r="F371" s="65">
        <v>21</v>
      </c>
      <c r="G371" s="67" t="b">
        <v>0</v>
      </c>
      <c r="H371" s="65">
        <v>0</v>
      </c>
      <c r="I371" s="65">
        <v>1</v>
      </c>
      <c r="J371" s="65">
        <v>0.18</v>
      </c>
    </row>
    <row r="372" spans="1:10" x14ac:dyDescent="0.3">
      <c r="A372" s="65">
        <v>371</v>
      </c>
      <c r="B372" s="66">
        <v>40559</v>
      </c>
      <c r="C372" s="65">
        <v>1</v>
      </c>
      <c r="D372" s="65">
        <v>0</v>
      </c>
      <c r="E372" s="65">
        <v>1</v>
      </c>
      <c r="F372" s="65">
        <v>22</v>
      </c>
      <c r="G372" s="67" t="b">
        <v>0</v>
      </c>
      <c r="H372" s="65">
        <v>0</v>
      </c>
      <c r="I372" s="65">
        <v>2</v>
      </c>
      <c r="J372" s="65">
        <v>0.2</v>
      </c>
    </row>
    <row r="373" spans="1:10" x14ac:dyDescent="0.3">
      <c r="A373" s="65">
        <v>372</v>
      </c>
      <c r="B373" s="66">
        <v>40559</v>
      </c>
      <c r="C373" s="65">
        <v>1</v>
      </c>
      <c r="D373" s="65">
        <v>0</v>
      </c>
      <c r="E373" s="65">
        <v>1</v>
      </c>
      <c r="F373" s="65">
        <v>23</v>
      </c>
      <c r="G373" s="67" t="b">
        <v>0</v>
      </c>
      <c r="H373" s="65">
        <v>0</v>
      </c>
      <c r="I373" s="65">
        <v>2</v>
      </c>
      <c r="J373" s="65">
        <v>0.2</v>
      </c>
    </row>
    <row r="374" spans="1:10" x14ac:dyDescent="0.3">
      <c r="A374" s="65">
        <v>373</v>
      </c>
      <c r="B374" s="66">
        <v>40560</v>
      </c>
      <c r="C374" s="65">
        <v>1</v>
      </c>
      <c r="D374" s="65">
        <v>0</v>
      </c>
      <c r="E374" s="65">
        <v>1</v>
      </c>
      <c r="F374" s="65">
        <v>0</v>
      </c>
      <c r="G374" s="67" t="b">
        <v>1</v>
      </c>
      <c r="H374" s="65">
        <v>1</v>
      </c>
      <c r="I374" s="65">
        <v>2</v>
      </c>
      <c r="J374" s="65">
        <v>0.2</v>
      </c>
    </row>
    <row r="375" spans="1:10" x14ac:dyDescent="0.3">
      <c r="A375" s="65">
        <v>374</v>
      </c>
      <c r="B375" s="66">
        <v>40560</v>
      </c>
      <c r="C375" s="65">
        <v>1</v>
      </c>
      <c r="D375" s="65">
        <v>0</v>
      </c>
      <c r="E375" s="65">
        <v>1</v>
      </c>
      <c r="F375" s="65">
        <v>1</v>
      </c>
      <c r="G375" s="67" t="b">
        <v>1</v>
      </c>
      <c r="H375" s="65">
        <v>1</v>
      </c>
      <c r="I375" s="65">
        <v>2</v>
      </c>
      <c r="J375" s="65">
        <v>0.2</v>
      </c>
    </row>
    <row r="376" spans="1:10" x14ac:dyDescent="0.3">
      <c r="A376" s="65">
        <v>375</v>
      </c>
      <c r="B376" s="66">
        <v>40560</v>
      </c>
      <c r="C376" s="65">
        <v>1</v>
      </c>
      <c r="D376" s="65">
        <v>0</v>
      </c>
      <c r="E376" s="65">
        <v>1</v>
      </c>
      <c r="F376" s="65">
        <v>2</v>
      </c>
      <c r="G376" s="67" t="b">
        <v>1</v>
      </c>
      <c r="H376" s="65">
        <v>1</v>
      </c>
      <c r="I376" s="65">
        <v>2</v>
      </c>
      <c r="J376" s="65">
        <v>0.18</v>
      </c>
    </row>
    <row r="377" spans="1:10" x14ac:dyDescent="0.3">
      <c r="A377" s="65">
        <v>376</v>
      </c>
      <c r="B377" s="66">
        <v>40560</v>
      </c>
      <c r="C377" s="65">
        <v>1</v>
      </c>
      <c r="D377" s="65">
        <v>0</v>
      </c>
      <c r="E377" s="65">
        <v>1</v>
      </c>
      <c r="F377" s="65">
        <v>3</v>
      </c>
      <c r="G377" s="67" t="b">
        <v>1</v>
      </c>
      <c r="H377" s="65">
        <v>1</v>
      </c>
      <c r="I377" s="65">
        <v>2</v>
      </c>
      <c r="J377" s="65">
        <v>0.18</v>
      </c>
    </row>
    <row r="378" spans="1:10" x14ac:dyDescent="0.3">
      <c r="A378" s="65">
        <v>377</v>
      </c>
      <c r="B378" s="66">
        <v>40560</v>
      </c>
      <c r="C378" s="65">
        <v>1</v>
      </c>
      <c r="D378" s="65">
        <v>0</v>
      </c>
      <c r="E378" s="65">
        <v>1</v>
      </c>
      <c r="F378" s="65">
        <v>4</v>
      </c>
      <c r="G378" s="67" t="b">
        <v>1</v>
      </c>
      <c r="H378" s="65">
        <v>1</v>
      </c>
      <c r="I378" s="65">
        <v>2</v>
      </c>
      <c r="J378" s="65">
        <v>0.18</v>
      </c>
    </row>
    <row r="379" spans="1:10" x14ac:dyDescent="0.3">
      <c r="A379" s="65">
        <v>378</v>
      </c>
      <c r="B379" s="66">
        <v>40560</v>
      </c>
      <c r="C379" s="65">
        <v>1</v>
      </c>
      <c r="D379" s="65">
        <v>0</v>
      </c>
      <c r="E379" s="65">
        <v>1</v>
      </c>
      <c r="F379" s="65">
        <v>5</v>
      </c>
      <c r="G379" s="67" t="b">
        <v>1</v>
      </c>
      <c r="H379" s="65">
        <v>1</v>
      </c>
      <c r="I379" s="65">
        <v>2</v>
      </c>
      <c r="J379" s="65">
        <v>0.18</v>
      </c>
    </row>
    <row r="380" spans="1:10" x14ac:dyDescent="0.3">
      <c r="A380" s="65">
        <v>379</v>
      </c>
      <c r="B380" s="66">
        <v>40560</v>
      </c>
      <c r="C380" s="65">
        <v>1</v>
      </c>
      <c r="D380" s="65">
        <v>0</v>
      </c>
      <c r="E380" s="65">
        <v>1</v>
      </c>
      <c r="F380" s="65">
        <v>6</v>
      </c>
      <c r="G380" s="67" t="b">
        <v>1</v>
      </c>
      <c r="H380" s="65">
        <v>1</v>
      </c>
      <c r="I380" s="65">
        <v>2</v>
      </c>
      <c r="J380" s="65">
        <v>0.18</v>
      </c>
    </row>
    <row r="381" spans="1:10" x14ac:dyDescent="0.3">
      <c r="A381" s="65">
        <v>380</v>
      </c>
      <c r="B381" s="66">
        <v>40560</v>
      </c>
      <c r="C381" s="65">
        <v>1</v>
      </c>
      <c r="D381" s="65">
        <v>0</v>
      </c>
      <c r="E381" s="65">
        <v>1</v>
      </c>
      <c r="F381" s="65">
        <v>7</v>
      </c>
      <c r="G381" s="67" t="b">
        <v>1</v>
      </c>
      <c r="H381" s="65">
        <v>1</v>
      </c>
      <c r="I381" s="65">
        <v>2</v>
      </c>
      <c r="J381" s="65">
        <v>0.16</v>
      </c>
    </row>
    <row r="382" spans="1:10" x14ac:dyDescent="0.3">
      <c r="A382" s="65">
        <v>381</v>
      </c>
      <c r="B382" s="66">
        <v>40560</v>
      </c>
      <c r="C382" s="65">
        <v>1</v>
      </c>
      <c r="D382" s="65">
        <v>0</v>
      </c>
      <c r="E382" s="65">
        <v>1</v>
      </c>
      <c r="F382" s="65">
        <v>8</v>
      </c>
      <c r="G382" s="67" t="b">
        <v>1</v>
      </c>
      <c r="H382" s="65">
        <v>1</v>
      </c>
      <c r="I382" s="65">
        <v>2</v>
      </c>
      <c r="J382" s="65">
        <v>0.16</v>
      </c>
    </row>
    <row r="383" spans="1:10" x14ac:dyDescent="0.3">
      <c r="A383" s="65">
        <v>382</v>
      </c>
      <c r="B383" s="66">
        <v>40560</v>
      </c>
      <c r="C383" s="65">
        <v>1</v>
      </c>
      <c r="D383" s="65">
        <v>0</v>
      </c>
      <c r="E383" s="65">
        <v>1</v>
      </c>
      <c r="F383" s="65">
        <v>9</v>
      </c>
      <c r="G383" s="67" t="b">
        <v>1</v>
      </c>
      <c r="H383" s="65">
        <v>1</v>
      </c>
      <c r="I383" s="65">
        <v>2</v>
      </c>
      <c r="J383" s="65">
        <v>0.16</v>
      </c>
    </row>
    <row r="384" spans="1:10" x14ac:dyDescent="0.3">
      <c r="A384" s="65">
        <v>383</v>
      </c>
      <c r="B384" s="66">
        <v>40560</v>
      </c>
      <c r="C384" s="65">
        <v>1</v>
      </c>
      <c r="D384" s="65">
        <v>0</v>
      </c>
      <c r="E384" s="65">
        <v>1</v>
      </c>
      <c r="F384" s="65">
        <v>10</v>
      </c>
      <c r="G384" s="67" t="b">
        <v>1</v>
      </c>
      <c r="H384" s="65">
        <v>1</v>
      </c>
      <c r="I384" s="65">
        <v>2</v>
      </c>
      <c r="J384" s="65">
        <v>0.16</v>
      </c>
    </row>
    <row r="385" spans="1:10" x14ac:dyDescent="0.3">
      <c r="A385" s="65">
        <v>384</v>
      </c>
      <c r="B385" s="66">
        <v>40560</v>
      </c>
      <c r="C385" s="65">
        <v>1</v>
      </c>
      <c r="D385" s="65">
        <v>0</v>
      </c>
      <c r="E385" s="65">
        <v>1</v>
      </c>
      <c r="F385" s="65">
        <v>11</v>
      </c>
      <c r="G385" s="67" t="b">
        <v>1</v>
      </c>
      <c r="H385" s="65">
        <v>1</v>
      </c>
      <c r="I385" s="65">
        <v>2</v>
      </c>
      <c r="J385" s="65">
        <v>0.16</v>
      </c>
    </row>
    <row r="386" spans="1:10" x14ac:dyDescent="0.3">
      <c r="A386" s="65">
        <v>385</v>
      </c>
      <c r="B386" s="66">
        <v>40560</v>
      </c>
      <c r="C386" s="65">
        <v>1</v>
      </c>
      <c r="D386" s="65">
        <v>0</v>
      </c>
      <c r="E386" s="65">
        <v>1</v>
      </c>
      <c r="F386" s="65">
        <v>12</v>
      </c>
      <c r="G386" s="67" t="b">
        <v>1</v>
      </c>
      <c r="H386" s="65">
        <v>1</v>
      </c>
      <c r="I386" s="65">
        <v>2</v>
      </c>
      <c r="J386" s="65">
        <v>0.18</v>
      </c>
    </row>
    <row r="387" spans="1:10" x14ac:dyDescent="0.3">
      <c r="A387" s="65">
        <v>386</v>
      </c>
      <c r="B387" s="66">
        <v>40560</v>
      </c>
      <c r="C387" s="65">
        <v>1</v>
      </c>
      <c r="D387" s="65">
        <v>0</v>
      </c>
      <c r="E387" s="65">
        <v>1</v>
      </c>
      <c r="F387" s="65">
        <v>13</v>
      </c>
      <c r="G387" s="67" t="b">
        <v>1</v>
      </c>
      <c r="H387" s="65">
        <v>1</v>
      </c>
      <c r="I387" s="65">
        <v>2</v>
      </c>
      <c r="J387" s="65">
        <v>0.18</v>
      </c>
    </row>
    <row r="388" spans="1:10" x14ac:dyDescent="0.3">
      <c r="A388" s="65">
        <v>387</v>
      </c>
      <c r="B388" s="66">
        <v>40560</v>
      </c>
      <c r="C388" s="65">
        <v>1</v>
      </c>
      <c r="D388" s="65">
        <v>0</v>
      </c>
      <c r="E388" s="65">
        <v>1</v>
      </c>
      <c r="F388" s="65">
        <v>14</v>
      </c>
      <c r="G388" s="67" t="b">
        <v>1</v>
      </c>
      <c r="H388" s="65">
        <v>1</v>
      </c>
      <c r="I388" s="65">
        <v>2</v>
      </c>
      <c r="J388" s="65">
        <v>0.18</v>
      </c>
    </row>
    <row r="389" spans="1:10" x14ac:dyDescent="0.3">
      <c r="A389" s="65">
        <v>388</v>
      </c>
      <c r="B389" s="66">
        <v>40560</v>
      </c>
      <c r="C389" s="65">
        <v>1</v>
      </c>
      <c r="D389" s="65">
        <v>0</v>
      </c>
      <c r="E389" s="65">
        <v>1</v>
      </c>
      <c r="F389" s="65">
        <v>15</v>
      </c>
      <c r="G389" s="67" t="b">
        <v>1</v>
      </c>
      <c r="H389" s="65">
        <v>1</v>
      </c>
      <c r="I389" s="65">
        <v>2</v>
      </c>
      <c r="J389" s="65">
        <v>0.2</v>
      </c>
    </row>
    <row r="390" spans="1:10" x14ac:dyDescent="0.3">
      <c r="A390" s="65">
        <v>389</v>
      </c>
      <c r="B390" s="66">
        <v>40560</v>
      </c>
      <c r="C390" s="65">
        <v>1</v>
      </c>
      <c r="D390" s="65">
        <v>0</v>
      </c>
      <c r="E390" s="65">
        <v>1</v>
      </c>
      <c r="F390" s="65">
        <v>16</v>
      </c>
      <c r="G390" s="67" t="b">
        <v>1</v>
      </c>
      <c r="H390" s="65">
        <v>1</v>
      </c>
      <c r="I390" s="65">
        <v>2</v>
      </c>
      <c r="J390" s="65">
        <v>0.2</v>
      </c>
    </row>
    <row r="391" spans="1:10" x14ac:dyDescent="0.3">
      <c r="A391" s="65">
        <v>390</v>
      </c>
      <c r="B391" s="66">
        <v>40560</v>
      </c>
      <c r="C391" s="65">
        <v>1</v>
      </c>
      <c r="D391" s="65">
        <v>0</v>
      </c>
      <c r="E391" s="65">
        <v>1</v>
      </c>
      <c r="F391" s="65">
        <v>17</v>
      </c>
      <c r="G391" s="67" t="b">
        <v>1</v>
      </c>
      <c r="H391" s="65">
        <v>1</v>
      </c>
      <c r="I391" s="65">
        <v>1</v>
      </c>
      <c r="J391" s="65">
        <v>0.2</v>
      </c>
    </row>
    <row r="392" spans="1:10" x14ac:dyDescent="0.3">
      <c r="A392" s="65">
        <v>391</v>
      </c>
      <c r="B392" s="66">
        <v>40560</v>
      </c>
      <c r="C392" s="65">
        <v>1</v>
      </c>
      <c r="D392" s="65">
        <v>0</v>
      </c>
      <c r="E392" s="65">
        <v>1</v>
      </c>
      <c r="F392" s="65">
        <v>18</v>
      </c>
      <c r="G392" s="67" t="b">
        <v>1</v>
      </c>
      <c r="H392" s="65">
        <v>1</v>
      </c>
      <c r="I392" s="65">
        <v>2</v>
      </c>
      <c r="J392" s="65">
        <v>0.18</v>
      </c>
    </row>
    <row r="393" spans="1:10" x14ac:dyDescent="0.3">
      <c r="A393" s="65">
        <v>392</v>
      </c>
      <c r="B393" s="66">
        <v>40560</v>
      </c>
      <c r="C393" s="65">
        <v>1</v>
      </c>
      <c r="D393" s="65">
        <v>0</v>
      </c>
      <c r="E393" s="65">
        <v>1</v>
      </c>
      <c r="F393" s="65">
        <v>19</v>
      </c>
      <c r="G393" s="67" t="b">
        <v>1</v>
      </c>
      <c r="H393" s="65">
        <v>1</v>
      </c>
      <c r="I393" s="65">
        <v>3</v>
      </c>
      <c r="J393" s="65">
        <v>0.18</v>
      </c>
    </row>
    <row r="394" spans="1:10" x14ac:dyDescent="0.3">
      <c r="A394" s="65">
        <v>393</v>
      </c>
      <c r="B394" s="66">
        <v>40560</v>
      </c>
      <c r="C394" s="65">
        <v>1</v>
      </c>
      <c r="D394" s="65">
        <v>0</v>
      </c>
      <c r="E394" s="65">
        <v>1</v>
      </c>
      <c r="F394" s="65">
        <v>20</v>
      </c>
      <c r="G394" s="67" t="b">
        <v>1</v>
      </c>
      <c r="H394" s="65">
        <v>1</v>
      </c>
      <c r="I394" s="65">
        <v>3</v>
      </c>
      <c r="J394" s="65">
        <v>0.16</v>
      </c>
    </row>
    <row r="395" spans="1:10" x14ac:dyDescent="0.3">
      <c r="A395" s="65">
        <v>394</v>
      </c>
      <c r="B395" s="66">
        <v>40560</v>
      </c>
      <c r="C395" s="65">
        <v>1</v>
      </c>
      <c r="D395" s="65">
        <v>0</v>
      </c>
      <c r="E395" s="65">
        <v>1</v>
      </c>
      <c r="F395" s="65">
        <v>21</v>
      </c>
      <c r="G395" s="67" t="b">
        <v>1</v>
      </c>
      <c r="H395" s="65">
        <v>1</v>
      </c>
      <c r="I395" s="65">
        <v>3</v>
      </c>
      <c r="J395" s="65">
        <v>0.16</v>
      </c>
    </row>
    <row r="396" spans="1:10" x14ac:dyDescent="0.3">
      <c r="A396" s="65">
        <v>395</v>
      </c>
      <c r="B396" s="66">
        <v>40560</v>
      </c>
      <c r="C396" s="65">
        <v>1</v>
      </c>
      <c r="D396" s="65">
        <v>0</v>
      </c>
      <c r="E396" s="65">
        <v>1</v>
      </c>
      <c r="F396" s="65">
        <v>22</v>
      </c>
      <c r="G396" s="67" t="b">
        <v>1</v>
      </c>
      <c r="H396" s="65">
        <v>1</v>
      </c>
      <c r="I396" s="65">
        <v>3</v>
      </c>
      <c r="J396" s="65">
        <v>0.14000000000000001</v>
      </c>
    </row>
    <row r="397" spans="1:10" x14ac:dyDescent="0.3">
      <c r="A397" s="65">
        <v>396</v>
      </c>
      <c r="B397" s="66">
        <v>40560</v>
      </c>
      <c r="C397" s="65">
        <v>1</v>
      </c>
      <c r="D397" s="65">
        <v>0</v>
      </c>
      <c r="E397" s="65">
        <v>1</v>
      </c>
      <c r="F397" s="65">
        <v>23</v>
      </c>
      <c r="G397" s="67" t="b">
        <v>1</v>
      </c>
      <c r="H397" s="65">
        <v>1</v>
      </c>
      <c r="I397" s="65">
        <v>3</v>
      </c>
      <c r="J397" s="65">
        <v>0.16</v>
      </c>
    </row>
    <row r="398" spans="1:10" x14ac:dyDescent="0.3">
      <c r="A398" s="65">
        <v>397</v>
      </c>
      <c r="B398" s="66">
        <v>40561</v>
      </c>
      <c r="C398" s="65">
        <v>1</v>
      </c>
      <c r="D398" s="65">
        <v>0</v>
      </c>
      <c r="E398" s="65">
        <v>1</v>
      </c>
      <c r="F398" s="65">
        <v>12</v>
      </c>
      <c r="G398" s="67" t="b">
        <v>0</v>
      </c>
      <c r="H398" s="65">
        <v>2</v>
      </c>
      <c r="I398" s="65">
        <v>2</v>
      </c>
      <c r="J398" s="65">
        <v>0.2</v>
      </c>
    </row>
    <row r="399" spans="1:10" x14ac:dyDescent="0.3">
      <c r="A399" s="65">
        <v>398</v>
      </c>
      <c r="B399" s="66">
        <v>40561</v>
      </c>
      <c r="C399" s="65">
        <v>1</v>
      </c>
      <c r="D399" s="65">
        <v>0</v>
      </c>
      <c r="E399" s="65">
        <v>1</v>
      </c>
      <c r="F399" s="65">
        <v>13</v>
      </c>
      <c r="G399" s="67" t="b">
        <v>0</v>
      </c>
      <c r="H399" s="65">
        <v>2</v>
      </c>
      <c r="I399" s="65">
        <v>2</v>
      </c>
      <c r="J399" s="65">
        <v>0.2</v>
      </c>
    </row>
    <row r="400" spans="1:10" x14ac:dyDescent="0.3">
      <c r="A400" s="65">
        <v>399</v>
      </c>
      <c r="B400" s="66">
        <v>40561</v>
      </c>
      <c r="C400" s="65">
        <v>1</v>
      </c>
      <c r="D400" s="65">
        <v>0</v>
      </c>
      <c r="E400" s="65">
        <v>1</v>
      </c>
      <c r="F400" s="65">
        <v>14</v>
      </c>
      <c r="G400" s="67" t="b">
        <v>0</v>
      </c>
      <c r="H400" s="65">
        <v>2</v>
      </c>
      <c r="I400" s="65">
        <v>2</v>
      </c>
      <c r="J400" s="65">
        <v>0.22</v>
      </c>
    </row>
    <row r="401" spans="1:10" x14ac:dyDescent="0.3">
      <c r="A401" s="65">
        <v>400</v>
      </c>
      <c r="B401" s="66">
        <v>40561</v>
      </c>
      <c r="C401" s="65">
        <v>1</v>
      </c>
      <c r="D401" s="65">
        <v>0</v>
      </c>
      <c r="E401" s="65">
        <v>1</v>
      </c>
      <c r="F401" s="65">
        <v>15</v>
      </c>
      <c r="G401" s="67" t="b">
        <v>0</v>
      </c>
      <c r="H401" s="65">
        <v>2</v>
      </c>
      <c r="I401" s="65">
        <v>2</v>
      </c>
      <c r="J401" s="65">
        <v>0.22</v>
      </c>
    </row>
    <row r="402" spans="1:10" x14ac:dyDescent="0.3">
      <c r="A402" s="65">
        <v>401</v>
      </c>
      <c r="B402" s="66">
        <v>40561</v>
      </c>
      <c r="C402" s="65">
        <v>1</v>
      </c>
      <c r="D402" s="65">
        <v>0</v>
      </c>
      <c r="E402" s="65">
        <v>1</v>
      </c>
      <c r="F402" s="65">
        <v>16</v>
      </c>
      <c r="G402" s="67" t="b">
        <v>0</v>
      </c>
      <c r="H402" s="65">
        <v>2</v>
      </c>
      <c r="I402" s="65">
        <v>2</v>
      </c>
      <c r="J402" s="65">
        <v>0.22</v>
      </c>
    </row>
    <row r="403" spans="1:10" x14ac:dyDescent="0.3">
      <c r="A403" s="65">
        <v>402</v>
      </c>
      <c r="B403" s="66">
        <v>40561</v>
      </c>
      <c r="C403" s="65">
        <v>1</v>
      </c>
      <c r="D403" s="65">
        <v>0</v>
      </c>
      <c r="E403" s="65">
        <v>1</v>
      </c>
      <c r="F403" s="65">
        <v>17</v>
      </c>
      <c r="G403" s="67" t="b">
        <v>0</v>
      </c>
      <c r="H403" s="65">
        <v>2</v>
      </c>
      <c r="I403" s="65">
        <v>2</v>
      </c>
      <c r="J403" s="65">
        <v>0.22</v>
      </c>
    </row>
    <row r="404" spans="1:10" x14ac:dyDescent="0.3">
      <c r="A404" s="65">
        <v>403</v>
      </c>
      <c r="B404" s="66">
        <v>40561</v>
      </c>
      <c r="C404" s="65">
        <v>1</v>
      </c>
      <c r="D404" s="65">
        <v>0</v>
      </c>
      <c r="E404" s="65">
        <v>1</v>
      </c>
      <c r="F404" s="65">
        <v>18</v>
      </c>
      <c r="G404" s="67" t="b">
        <v>0</v>
      </c>
      <c r="H404" s="65">
        <v>2</v>
      </c>
      <c r="I404" s="65">
        <v>2</v>
      </c>
      <c r="J404" s="65">
        <v>0.22</v>
      </c>
    </row>
    <row r="405" spans="1:10" x14ac:dyDescent="0.3">
      <c r="A405" s="65">
        <v>404</v>
      </c>
      <c r="B405" s="66">
        <v>40561</v>
      </c>
      <c r="C405" s="65">
        <v>1</v>
      </c>
      <c r="D405" s="65">
        <v>0</v>
      </c>
      <c r="E405" s="65">
        <v>1</v>
      </c>
      <c r="F405" s="65">
        <v>19</v>
      </c>
      <c r="G405" s="67" t="b">
        <v>0</v>
      </c>
      <c r="H405" s="65">
        <v>2</v>
      </c>
      <c r="I405" s="65">
        <v>2</v>
      </c>
      <c r="J405" s="65">
        <v>0.22</v>
      </c>
    </row>
    <row r="406" spans="1:10" x14ac:dyDescent="0.3">
      <c r="A406" s="65">
        <v>405</v>
      </c>
      <c r="B406" s="66">
        <v>40561</v>
      </c>
      <c r="C406" s="65">
        <v>1</v>
      </c>
      <c r="D406" s="65">
        <v>0</v>
      </c>
      <c r="E406" s="65">
        <v>1</v>
      </c>
      <c r="F406" s="65">
        <v>20</v>
      </c>
      <c r="G406" s="67" t="b">
        <v>0</v>
      </c>
      <c r="H406" s="65">
        <v>2</v>
      </c>
      <c r="I406" s="65">
        <v>2</v>
      </c>
      <c r="J406" s="65">
        <v>0.22</v>
      </c>
    </row>
    <row r="407" spans="1:10" x14ac:dyDescent="0.3">
      <c r="A407" s="65">
        <v>406</v>
      </c>
      <c r="B407" s="66">
        <v>40561</v>
      </c>
      <c r="C407" s="65">
        <v>1</v>
      </c>
      <c r="D407" s="65">
        <v>0</v>
      </c>
      <c r="E407" s="65">
        <v>1</v>
      </c>
      <c r="F407" s="65">
        <v>21</v>
      </c>
      <c r="G407" s="67" t="b">
        <v>0</v>
      </c>
      <c r="H407" s="65">
        <v>2</v>
      </c>
      <c r="I407" s="65">
        <v>2</v>
      </c>
      <c r="J407" s="65">
        <v>0.22</v>
      </c>
    </row>
    <row r="408" spans="1:10" x14ac:dyDescent="0.3">
      <c r="A408" s="65">
        <v>407</v>
      </c>
      <c r="B408" s="66">
        <v>40561</v>
      </c>
      <c r="C408" s="65">
        <v>1</v>
      </c>
      <c r="D408" s="65">
        <v>0</v>
      </c>
      <c r="E408" s="65">
        <v>1</v>
      </c>
      <c r="F408" s="65">
        <v>22</v>
      </c>
      <c r="G408" s="67" t="b">
        <v>0</v>
      </c>
      <c r="H408" s="65">
        <v>2</v>
      </c>
      <c r="I408" s="65">
        <v>2</v>
      </c>
      <c r="J408" s="65">
        <v>0.22</v>
      </c>
    </row>
    <row r="409" spans="1:10" x14ac:dyDescent="0.3">
      <c r="A409" s="65">
        <v>408</v>
      </c>
      <c r="B409" s="66">
        <v>40561</v>
      </c>
      <c r="C409" s="65">
        <v>1</v>
      </c>
      <c r="D409" s="65">
        <v>0</v>
      </c>
      <c r="E409" s="65">
        <v>1</v>
      </c>
      <c r="F409" s="65">
        <v>23</v>
      </c>
      <c r="G409" s="67" t="b">
        <v>0</v>
      </c>
      <c r="H409" s="65">
        <v>2</v>
      </c>
      <c r="I409" s="65">
        <v>2</v>
      </c>
      <c r="J409" s="65">
        <v>0.22</v>
      </c>
    </row>
    <row r="410" spans="1:10" x14ac:dyDescent="0.3">
      <c r="A410" s="65">
        <v>409</v>
      </c>
      <c r="B410" s="66">
        <v>40562</v>
      </c>
      <c r="C410" s="65">
        <v>1</v>
      </c>
      <c r="D410" s="65">
        <v>0</v>
      </c>
      <c r="E410" s="65">
        <v>1</v>
      </c>
      <c r="F410" s="65">
        <v>0</v>
      </c>
      <c r="G410" s="67" t="b">
        <v>0</v>
      </c>
      <c r="H410" s="65">
        <v>3</v>
      </c>
      <c r="I410" s="65">
        <v>2</v>
      </c>
      <c r="J410" s="65">
        <v>0.22</v>
      </c>
    </row>
    <row r="411" spans="1:10" x14ac:dyDescent="0.3">
      <c r="A411" s="65">
        <v>410</v>
      </c>
      <c r="B411" s="66">
        <v>40562</v>
      </c>
      <c r="C411" s="65">
        <v>1</v>
      </c>
      <c r="D411" s="65">
        <v>0</v>
      </c>
      <c r="E411" s="65">
        <v>1</v>
      </c>
      <c r="F411" s="65">
        <v>1</v>
      </c>
      <c r="G411" s="67" t="b">
        <v>0</v>
      </c>
      <c r="H411" s="65">
        <v>3</v>
      </c>
      <c r="I411" s="65">
        <v>3</v>
      </c>
      <c r="J411" s="65">
        <v>0.22</v>
      </c>
    </row>
    <row r="412" spans="1:10" x14ac:dyDescent="0.3">
      <c r="A412" s="65">
        <v>411</v>
      </c>
      <c r="B412" s="66">
        <v>40562</v>
      </c>
      <c r="C412" s="65">
        <v>1</v>
      </c>
      <c r="D412" s="65">
        <v>0</v>
      </c>
      <c r="E412" s="65">
        <v>1</v>
      </c>
      <c r="F412" s="65">
        <v>2</v>
      </c>
      <c r="G412" s="67" t="b">
        <v>0</v>
      </c>
      <c r="H412" s="65">
        <v>3</v>
      </c>
      <c r="I412" s="65">
        <v>3</v>
      </c>
      <c r="J412" s="65">
        <v>0.22</v>
      </c>
    </row>
    <row r="413" spans="1:10" x14ac:dyDescent="0.3">
      <c r="A413" s="65">
        <v>412</v>
      </c>
      <c r="B413" s="66">
        <v>40562</v>
      </c>
      <c r="C413" s="65">
        <v>1</v>
      </c>
      <c r="D413" s="65">
        <v>0</v>
      </c>
      <c r="E413" s="65">
        <v>1</v>
      </c>
      <c r="F413" s="65">
        <v>4</v>
      </c>
      <c r="G413" s="67" t="b">
        <v>0</v>
      </c>
      <c r="H413" s="65">
        <v>3</v>
      </c>
      <c r="I413" s="65">
        <v>3</v>
      </c>
      <c r="J413" s="65">
        <v>0.22</v>
      </c>
    </row>
    <row r="414" spans="1:10" x14ac:dyDescent="0.3">
      <c r="A414" s="65">
        <v>413</v>
      </c>
      <c r="B414" s="66">
        <v>40562</v>
      </c>
      <c r="C414" s="65">
        <v>1</v>
      </c>
      <c r="D414" s="65">
        <v>0</v>
      </c>
      <c r="E414" s="65">
        <v>1</v>
      </c>
      <c r="F414" s="65">
        <v>5</v>
      </c>
      <c r="G414" s="67" t="b">
        <v>0</v>
      </c>
      <c r="H414" s="65">
        <v>3</v>
      </c>
      <c r="I414" s="65">
        <v>2</v>
      </c>
      <c r="J414" s="65">
        <v>0.22</v>
      </c>
    </row>
    <row r="415" spans="1:10" x14ac:dyDescent="0.3">
      <c r="A415" s="65">
        <v>414</v>
      </c>
      <c r="B415" s="66">
        <v>40562</v>
      </c>
      <c r="C415" s="65">
        <v>1</v>
      </c>
      <c r="D415" s="65">
        <v>0</v>
      </c>
      <c r="E415" s="65">
        <v>1</v>
      </c>
      <c r="F415" s="65">
        <v>6</v>
      </c>
      <c r="G415" s="67" t="b">
        <v>0</v>
      </c>
      <c r="H415" s="65">
        <v>3</v>
      </c>
      <c r="I415" s="65">
        <v>2</v>
      </c>
      <c r="J415" s="65">
        <v>0.22</v>
      </c>
    </row>
    <row r="416" spans="1:10" x14ac:dyDescent="0.3">
      <c r="A416" s="65">
        <v>415</v>
      </c>
      <c r="B416" s="66">
        <v>40562</v>
      </c>
      <c r="C416" s="65">
        <v>1</v>
      </c>
      <c r="D416" s="65">
        <v>0</v>
      </c>
      <c r="E416" s="65">
        <v>1</v>
      </c>
      <c r="F416" s="65">
        <v>7</v>
      </c>
      <c r="G416" s="67" t="b">
        <v>0</v>
      </c>
      <c r="H416" s="65">
        <v>3</v>
      </c>
      <c r="I416" s="65">
        <v>2</v>
      </c>
      <c r="J416" s="65">
        <v>0.24</v>
      </c>
    </row>
    <row r="417" spans="1:10" x14ac:dyDescent="0.3">
      <c r="A417" s="65">
        <v>416</v>
      </c>
      <c r="B417" s="66">
        <v>40562</v>
      </c>
      <c r="C417" s="65">
        <v>1</v>
      </c>
      <c r="D417" s="65">
        <v>0</v>
      </c>
      <c r="E417" s="65">
        <v>1</v>
      </c>
      <c r="F417" s="65">
        <v>8</v>
      </c>
      <c r="G417" s="67" t="b">
        <v>0</v>
      </c>
      <c r="H417" s="65">
        <v>3</v>
      </c>
      <c r="I417" s="65">
        <v>2</v>
      </c>
      <c r="J417" s="65">
        <v>0.24</v>
      </c>
    </row>
    <row r="418" spans="1:10" x14ac:dyDescent="0.3">
      <c r="A418" s="65">
        <v>417</v>
      </c>
      <c r="B418" s="66">
        <v>40562</v>
      </c>
      <c r="C418" s="65">
        <v>1</v>
      </c>
      <c r="D418" s="65">
        <v>0</v>
      </c>
      <c r="E418" s="65">
        <v>1</v>
      </c>
      <c r="F418" s="65">
        <v>9</v>
      </c>
      <c r="G418" s="67" t="b">
        <v>0</v>
      </c>
      <c r="H418" s="65">
        <v>3</v>
      </c>
      <c r="I418" s="65">
        <v>2</v>
      </c>
      <c r="J418" s="65">
        <v>0.24</v>
      </c>
    </row>
    <row r="419" spans="1:10" x14ac:dyDescent="0.3">
      <c r="A419" s="65">
        <v>418</v>
      </c>
      <c r="B419" s="66">
        <v>40562</v>
      </c>
      <c r="C419" s="65">
        <v>1</v>
      </c>
      <c r="D419" s="65">
        <v>0</v>
      </c>
      <c r="E419" s="65">
        <v>1</v>
      </c>
      <c r="F419" s="65">
        <v>10</v>
      </c>
      <c r="G419" s="67" t="b">
        <v>0</v>
      </c>
      <c r="H419" s="65">
        <v>3</v>
      </c>
      <c r="I419" s="65">
        <v>2</v>
      </c>
      <c r="J419" s="65">
        <v>0.26</v>
      </c>
    </row>
    <row r="420" spans="1:10" x14ac:dyDescent="0.3">
      <c r="A420" s="65">
        <v>419</v>
      </c>
      <c r="B420" s="66">
        <v>40562</v>
      </c>
      <c r="C420" s="65">
        <v>1</v>
      </c>
      <c r="D420" s="65">
        <v>0</v>
      </c>
      <c r="E420" s="65">
        <v>1</v>
      </c>
      <c r="F420" s="65">
        <v>11</v>
      </c>
      <c r="G420" s="67" t="b">
        <v>0</v>
      </c>
      <c r="H420" s="65">
        <v>3</v>
      </c>
      <c r="I420" s="65">
        <v>2</v>
      </c>
      <c r="J420" s="65">
        <v>0.28000000000000003</v>
      </c>
    </row>
    <row r="421" spans="1:10" x14ac:dyDescent="0.3">
      <c r="A421" s="65">
        <v>420</v>
      </c>
      <c r="B421" s="66">
        <v>40562</v>
      </c>
      <c r="C421" s="65">
        <v>1</v>
      </c>
      <c r="D421" s="65">
        <v>0</v>
      </c>
      <c r="E421" s="65">
        <v>1</v>
      </c>
      <c r="F421" s="65">
        <v>12</v>
      </c>
      <c r="G421" s="67" t="b">
        <v>0</v>
      </c>
      <c r="H421" s="65">
        <v>3</v>
      </c>
      <c r="I421" s="65">
        <v>2</v>
      </c>
      <c r="J421" s="65">
        <v>0.3</v>
      </c>
    </row>
    <row r="422" spans="1:10" x14ac:dyDescent="0.3">
      <c r="A422" s="65">
        <v>421</v>
      </c>
      <c r="B422" s="66">
        <v>40562</v>
      </c>
      <c r="C422" s="65">
        <v>1</v>
      </c>
      <c r="D422" s="65">
        <v>0</v>
      </c>
      <c r="E422" s="65">
        <v>1</v>
      </c>
      <c r="F422" s="65">
        <v>13</v>
      </c>
      <c r="G422" s="67" t="b">
        <v>0</v>
      </c>
      <c r="H422" s="65">
        <v>3</v>
      </c>
      <c r="I422" s="65">
        <v>1</v>
      </c>
      <c r="J422" s="65">
        <v>0.4</v>
      </c>
    </row>
    <row r="423" spans="1:10" x14ac:dyDescent="0.3">
      <c r="A423" s="65">
        <v>422</v>
      </c>
      <c r="B423" s="66">
        <v>40562</v>
      </c>
      <c r="C423" s="65">
        <v>1</v>
      </c>
      <c r="D423" s="65">
        <v>0</v>
      </c>
      <c r="E423" s="65">
        <v>1</v>
      </c>
      <c r="F423" s="65">
        <v>14</v>
      </c>
      <c r="G423" s="67" t="b">
        <v>0</v>
      </c>
      <c r="H423" s="65">
        <v>3</v>
      </c>
      <c r="I423" s="65">
        <v>1</v>
      </c>
      <c r="J423" s="65">
        <v>0.4</v>
      </c>
    </row>
    <row r="424" spans="1:10" x14ac:dyDescent="0.3">
      <c r="A424" s="65">
        <v>423</v>
      </c>
      <c r="B424" s="66">
        <v>40562</v>
      </c>
      <c r="C424" s="65">
        <v>1</v>
      </c>
      <c r="D424" s="65">
        <v>0</v>
      </c>
      <c r="E424" s="65">
        <v>1</v>
      </c>
      <c r="F424" s="65">
        <v>15</v>
      </c>
      <c r="G424" s="67" t="b">
        <v>0</v>
      </c>
      <c r="H424" s="65">
        <v>3</v>
      </c>
      <c r="I424" s="65">
        <v>1</v>
      </c>
      <c r="J424" s="65">
        <v>0.4</v>
      </c>
    </row>
    <row r="425" spans="1:10" x14ac:dyDescent="0.3">
      <c r="A425" s="65">
        <v>424</v>
      </c>
      <c r="B425" s="66">
        <v>40562</v>
      </c>
      <c r="C425" s="65">
        <v>1</v>
      </c>
      <c r="D425" s="65">
        <v>0</v>
      </c>
      <c r="E425" s="65">
        <v>1</v>
      </c>
      <c r="F425" s="65">
        <v>16</v>
      </c>
      <c r="G425" s="67" t="b">
        <v>0</v>
      </c>
      <c r="H425" s="65">
        <v>3</v>
      </c>
      <c r="I425" s="65">
        <v>1</v>
      </c>
      <c r="J425" s="65">
        <v>0.38</v>
      </c>
    </row>
    <row r="426" spans="1:10" x14ac:dyDescent="0.3">
      <c r="A426" s="65">
        <v>425</v>
      </c>
      <c r="B426" s="66">
        <v>40562</v>
      </c>
      <c r="C426" s="65">
        <v>1</v>
      </c>
      <c r="D426" s="65">
        <v>0</v>
      </c>
      <c r="E426" s="65">
        <v>1</v>
      </c>
      <c r="F426" s="65">
        <v>17</v>
      </c>
      <c r="G426" s="67" t="b">
        <v>0</v>
      </c>
      <c r="H426" s="65">
        <v>3</v>
      </c>
      <c r="I426" s="65">
        <v>1</v>
      </c>
      <c r="J426" s="65">
        <v>0.36</v>
      </c>
    </row>
    <row r="427" spans="1:10" x14ac:dyDescent="0.3">
      <c r="A427" s="65">
        <v>426</v>
      </c>
      <c r="B427" s="66">
        <v>40562</v>
      </c>
      <c r="C427" s="65">
        <v>1</v>
      </c>
      <c r="D427" s="65">
        <v>0</v>
      </c>
      <c r="E427" s="65">
        <v>1</v>
      </c>
      <c r="F427" s="65">
        <v>18</v>
      </c>
      <c r="G427" s="67" t="b">
        <v>0</v>
      </c>
      <c r="H427" s="65">
        <v>3</v>
      </c>
      <c r="I427" s="65">
        <v>1</v>
      </c>
      <c r="J427" s="65">
        <v>0.34</v>
      </c>
    </row>
    <row r="428" spans="1:10" x14ac:dyDescent="0.3">
      <c r="A428" s="65">
        <v>427</v>
      </c>
      <c r="B428" s="66">
        <v>40562</v>
      </c>
      <c r="C428" s="65">
        <v>1</v>
      </c>
      <c r="D428" s="65">
        <v>0</v>
      </c>
      <c r="E428" s="65">
        <v>1</v>
      </c>
      <c r="F428" s="65">
        <v>19</v>
      </c>
      <c r="G428" s="67" t="b">
        <v>0</v>
      </c>
      <c r="H428" s="65">
        <v>3</v>
      </c>
      <c r="I428" s="65">
        <v>1</v>
      </c>
      <c r="J428" s="65">
        <v>0.32</v>
      </c>
    </row>
    <row r="429" spans="1:10" x14ac:dyDescent="0.3">
      <c r="A429" s="65">
        <v>428</v>
      </c>
      <c r="B429" s="66">
        <v>40562</v>
      </c>
      <c r="C429" s="65">
        <v>1</v>
      </c>
      <c r="D429" s="65">
        <v>0</v>
      </c>
      <c r="E429" s="65">
        <v>1</v>
      </c>
      <c r="F429" s="65">
        <v>20</v>
      </c>
      <c r="G429" s="67" t="b">
        <v>0</v>
      </c>
      <c r="H429" s="65">
        <v>3</v>
      </c>
      <c r="I429" s="65">
        <v>1</v>
      </c>
      <c r="J429" s="65">
        <v>0.32</v>
      </c>
    </row>
    <row r="430" spans="1:10" x14ac:dyDescent="0.3">
      <c r="A430" s="65">
        <v>429</v>
      </c>
      <c r="B430" s="66">
        <v>40562</v>
      </c>
      <c r="C430" s="65">
        <v>1</v>
      </c>
      <c r="D430" s="65">
        <v>0</v>
      </c>
      <c r="E430" s="65">
        <v>1</v>
      </c>
      <c r="F430" s="65">
        <v>21</v>
      </c>
      <c r="G430" s="67" t="b">
        <v>0</v>
      </c>
      <c r="H430" s="65">
        <v>3</v>
      </c>
      <c r="I430" s="65">
        <v>1</v>
      </c>
      <c r="J430" s="65">
        <v>0.32</v>
      </c>
    </row>
    <row r="431" spans="1:10" x14ac:dyDescent="0.3">
      <c r="A431" s="65">
        <v>430</v>
      </c>
      <c r="B431" s="66">
        <v>40562</v>
      </c>
      <c r="C431" s="65">
        <v>1</v>
      </c>
      <c r="D431" s="65">
        <v>0</v>
      </c>
      <c r="E431" s="65">
        <v>1</v>
      </c>
      <c r="F431" s="65">
        <v>22</v>
      </c>
      <c r="G431" s="67" t="b">
        <v>0</v>
      </c>
      <c r="H431" s="65">
        <v>3</v>
      </c>
      <c r="I431" s="65">
        <v>1</v>
      </c>
      <c r="J431" s="65">
        <v>0.3</v>
      </c>
    </row>
    <row r="432" spans="1:10" x14ac:dyDescent="0.3">
      <c r="A432" s="65">
        <v>431</v>
      </c>
      <c r="B432" s="66">
        <v>40562</v>
      </c>
      <c r="C432" s="65">
        <v>1</v>
      </c>
      <c r="D432" s="65">
        <v>0</v>
      </c>
      <c r="E432" s="65">
        <v>1</v>
      </c>
      <c r="F432" s="65">
        <v>23</v>
      </c>
      <c r="G432" s="67" t="b">
        <v>0</v>
      </c>
      <c r="H432" s="65">
        <v>3</v>
      </c>
      <c r="I432" s="65">
        <v>1</v>
      </c>
      <c r="J432" s="65">
        <v>0.3</v>
      </c>
    </row>
    <row r="433" spans="1:10" x14ac:dyDescent="0.3">
      <c r="A433" s="65">
        <v>432</v>
      </c>
      <c r="B433" s="66">
        <v>40563</v>
      </c>
      <c r="C433" s="65">
        <v>1</v>
      </c>
      <c r="D433" s="65">
        <v>0</v>
      </c>
      <c r="E433" s="65">
        <v>1</v>
      </c>
      <c r="F433" s="65">
        <v>0</v>
      </c>
      <c r="G433" s="67" t="b">
        <v>0</v>
      </c>
      <c r="H433" s="65">
        <v>4</v>
      </c>
      <c r="I433" s="65">
        <v>1</v>
      </c>
      <c r="J433" s="65">
        <v>0.26</v>
      </c>
    </row>
    <row r="434" spans="1:10" x14ac:dyDescent="0.3">
      <c r="A434" s="65">
        <v>433</v>
      </c>
      <c r="B434" s="66">
        <v>40563</v>
      </c>
      <c r="C434" s="65">
        <v>1</v>
      </c>
      <c r="D434" s="65">
        <v>0</v>
      </c>
      <c r="E434" s="65">
        <v>1</v>
      </c>
      <c r="F434" s="65">
        <v>1</v>
      </c>
      <c r="G434" s="67" t="b">
        <v>0</v>
      </c>
      <c r="H434" s="65">
        <v>4</v>
      </c>
      <c r="I434" s="65">
        <v>1</v>
      </c>
      <c r="J434" s="65">
        <v>0.26</v>
      </c>
    </row>
    <row r="435" spans="1:10" x14ac:dyDescent="0.3">
      <c r="A435" s="65">
        <v>434</v>
      </c>
      <c r="B435" s="66">
        <v>40563</v>
      </c>
      <c r="C435" s="65">
        <v>1</v>
      </c>
      <c r="D435" s="65">
        <v>0</v>
      </c>
      <c r="E435" s="65">
        <v>1</v>
      </c>
      <c r="F435" s="65">
        <v>2</v>
      </c>
      <c r="G435" s="67" t="b">
        <v>0</v>
      </c>
      <c r="H435" s="65">
        <v>4</v>
      </c>
      <c r="I435" s="65">
        <v>1</v>
      </c>
      <c r="J435" s="65">
        <v>0.26</v>
      </c>
    </row>
    <row r="436" spans="1:10" x14ac:dyDescent="0.3">
      <c r="A436" s="65">
        <v>435</v>
      </c>
      <c r="B436" s="66">
        <v>40563</v>
      </c>
      <c r="C436" s="65">
        <v>1</v>
      </c>
      <c r="D436" s="65">
        <v>0</v>
      </c>
      <c r="E436" s="65">
        <v>1</v>
      </c>
      <c r="F436" s="65">
        <v>3</v>
      </c>
      <c r="G436" s="67" t="b">
        <v>0</v>
      </c>
      <c r="H436" s="65">
        <v>4</v>
      </c>
      <c r="I436" s="65">
        <v>1</v>
      </c>
      <c r="J436" s="65">
        <v>0.26</v>
      </c>
    </row>
    <row r="437" spans="1:10" x14ac:dyDescent="0.3">
      <c r="A437" s="65">
        <v>436</v>
      </c>
      <c r="B437" s="66">
        <v>40563</v>
      </c>
      <c r="C437" s="65">
        <v>1</v>
      </c>
      <c r="D437" s="65">
        <v>0</v>
      </c>
      <c r="E437" s="65">
        <v>1</v>
      </c>
      <c r="F437" s="65">
        <v>4</v>
      </c>
      <c r="G437" s="67" t="b">
        <v>0</v>
      </c>
      <c r="H437" s="65">
        <v>4</v>
      </c>
      <c r="I437" s="65">
        <v>1</v>
      </c>
      <c r="J437" s="65">
        <v>0.26</v>
      </c>
    </row>
    <row r="438" spans="1:10" x14ac:dyDescent="0.3">
      <c r="A438" s="65">
        <v>437</v>
      </c>
      <c r="B438" s="66">
        <v>40563</v>
      </c>
      <c r="C438" s="65">
        <v>1</v>
      </c>
      <c r="D438" s="65">
        <v>0</v>
      </c>
      <c r="E438" s="65">
        <v>1</v>
      </c>
      <c r="F438" s="65">
        <v>5</v>
      </c>
      <c r="G438" s="67" t="b">
        <v>0</v>
      </c>
      <c r="H438" s="65">
        <v>4</v>
      </c>
      <c r="I438" s="65">
        <v>1</v>
      </c>
      <c r="J438" s="65">
        <v>0.24</v>
      </c>
    </row>
    <row r="439" spans="1:10" x14ac:dyDescent="0.3">
      <c r="A439" s="65">
        <v>438</v>
      </c>
      <c r="B439" s="66">
        <v>40563</v>
      </c>
      <c r="C439" s="65">
        <v>1</v>
      </c>
      <c r="D439" s="65">
        <v>0</v>
      </c>
      <c r="E439" s="65">
        <v>1</v>
      </c>
      <c r="F439" s="65">
        <v>6</v>
      </c>
      <c r="G439" s="67" t="b">
        <v>0</v>
      </c>
      <c r="H439" s="65">
        <v>4</v>
      </c>
      <c r="I439" s="65">
        <v>1</v>
      </c>
      <c r="J439" s="65">
        <v>0.22</v>
      </c>
    </row>
    <row r="440" spans="1:10" x14ac:dyDescent="0.3">
      <c r="A440" s="65">
        <v>439</v>
      </c>
      <c r="B440" s="66">
        <v>40563</v>
      </c>
      <c r="C440" s="65">
        <v>1</v>
      </c>
      <c r="D440" s="65">
        <v>0</v>
      </c>
      <c r="E440" s="65">
        <v>1</v>
      </c>
      <c r="F440" s="65">
        <v>7</v>
      </c>
      <c r="G440" s="67" t="b">
        <v>0</v>
      </c>
      <c r="H440" s="65">
        <v>4</v>
      </c>
      <c r="I440" s="65">
        <v>1</v>
      </c>
      <c r="J440" s="65">
        <v>0.22</v>
      </c>
    </row>
    <row r="441" spans="1:10" x14ac:dyDescent="0.3">
      <c r="A441" s="65">
        <v>440</v>
      </c>
      <c r="B441" s="66">
        <v>40563</v>
      </c>
      <c r="C441" s="65">
        <v>1</v>
      </c>
      <c r="D441" s="65">
        <v>0</v>
      </c>
      <c r="E441" s="65">
        <v>1</v>
      </c>
      <c r="F441" s="65">
        <v>8</v>
      </c>
      <c r="G441" s="67" t="b">
        <v>0</v>
      </c>
      <c r="H441" s="65">
        <v>4</v>
      </c>
      <c r="I441" s="65">
        <v>1</v>
      </c>
      <c r="J441" s="65">
        <v>0.22</v>
      </c>
    </row>
    <row r="442" spans="1:10" x14ac:dyDescent="0.3">
      <c r="A442" s="65">
        <v>441</v>
      </c>
      <c r="B442" s="66">
        <v>40563</v>
      </c>
      <c r="C442" s="65">
        <v>1</v>
      </c>
      <c r="D442" s="65">
        <v>0</v>
      </c>
      <c r="E442" s="65">
        <v>1</v>
      </c>
      <c r="F442" s="65">
        <v>9</v>
      </c>
      <c r="G442" s="67" t="b">
        <v>0</v>
      </c>
      <c r="H442" s="65">
        <v>4</v>
      </c>
      <c r="I442" s="65">
        <v>2</v>
      </c>
      <c r="J442" s="65">
        <v>0.24</v>
      </c>
    </row>
    <row r="443" spans="1:10" x14ac:dyDescent="0.3">
      <c r="A443" s="65">
        <v>442</v>
      </c>
      <c r="B443" s="66">
        <v>40563</v>
      </c>
      <c r="C443" s="65">
        <v>1</v>
      </c>
      <c r="D443" s="65">
        <v>0</v>
      </c>
      <c r="E443" s="65">
        <v>1</v>
      </c>
      <c r="F443" s="65">
        <v>10</v>
      </c>
      <c r="G443" s="67" t="b">
        <v>0</v>
      </c>
      <c r="H443" s="65">
        <v>4</v>
      </c>
      <c r="I443" s="65">
        <v>1</v>
      </c>
      <c r="J443" s="65">
        <v>0.26</v>
      </c>
    </row>
    <row r="444" spans="1:10" x14ac:dyDescent="0.3">
      <c r="A444" s="65">
        <v>443</v>
      </c>
      <c r="B444" s="66">
        <v>40563</v>
      </c>
      <c r="C444" s="65">
        <v>1</v>
      </c>
      <c r="D444" s="65">
        <v>0</v>
      </c>
      <c r="E444" s="65">
        <v>1</v>
      </c>
      <c r="F444" s="65">
        <v>11</v>
      </c>
      <c r="G444" s="67" t="b">
        <v>0</v>
      </c>
      <c r="H444" s="65">
        <v>4</v>
      </c>
      <c r="I444" s="65">
        <v>2</v>
      </c>
      <c r="J444" s="65">
        <v>0.28000000000000003</v>
      </c>
    </row>
    <row r="445" spans="1:10" x14ac:dyDescent="0.3">
      <c r="A445" s="65">
        <v>444</v>
      </c>
      <c r="B445" s="66">
        <v>40563</v>
      </c>
      <c r="C445" s="65">
        <v>1</v>
      </c>
      <c r="D445" s="65">
        <v>0</v>
      </c>
      <c r="E445" s="65">
        <v>1</v>
      </c>
      <c r="F445" s="65">
        <v>12</v>
      </c>
      <c r="G445" s="67" t="b">
        <v>0</v>
      </c>
      <c r="H445" s="65">
        <v>4</v>
      </c>
      <c r="I445" s="65">
        <v>2</v>
      </c>
      <c r="J445" s="65">
        <v>0.3</v>
      </c>
    </row>
    <row r="446" spans="1:10" x14ac:dyDescent="0.3">
      <c r="A446" s="65">
        <v>445</v>
      </c>
      <c r="B446" s="66">
        <v>40563</v>
      </c>
      <c r="C446" s="65">
        <v>1</v>
      </c>
      <c r="D446" s="65">
        <v>0</v>
      </c>
      <c r="E446" s="65">
        <v>1</v>
      </c>
      <c r="F446" s="65">
        <v>13</v>
      </c>
      <c r="G446" s="67" t="b">
        <v>0</v>
      </c>
      <c r="H446" s="65">
        <v>4</v>
      </c>
      <c r="I446" s="65">
        <v>2</v>
      </c>
      <c r="J446" s="65">
        <v>0.28000000000000003</v>
      </c>
    </row>
    <row r="447" spans="1:10" x14ac:dyDescent="0.3">
      <c r="A447" s="65">
        <v>446</v>
      </c>
      <c r="B447" s="66">
        <v>40563</v>
      </c>
      <c r="C447" s="65">
        <v>1</v>
      </c>
      <c r="D447" s="65">
        <v>0</v>
      </c>
      <c r="E447" s="65">
        <v>1</v>
      </c>
      <c r="F447" s="65">
        <v>14</v>
      </c>
      <c r="G447" s="67" t="b">
        <v>0</v>
      </c>
      <c r="H447" s="65">
        <v>4</v>
      </c>
      <c r="I447" s="65">
        <v>2</v>
      </c>
      <c r="J447" s="65">
        <v>0.3</v>
      </c>
    </row>
    <row r="448" spans="1:10" x14ac:dyDescent="0.3">
      <c r="A448" s="65">
        <v>447</v>
      </c>
      <c r="B448" s="66">
        <v>40563</v>
      </c>
      <c r="C448" s="65">
        <v>1</v>
      </c>
      <c r="D448" s="65">
        <v>0</v>
      </c>
      <c r="E448" s="65">
        <v>1</v>
      </c>
      <c r="F448" s="65">
        <v>15</v>
      </c>
      <c r="G448" s="67" t="b">
        <v>0</v>
      </c>
      <c r="H448" s="65">
        <v>4</v>
      </c>
      <c r="I448" s="65">
        <v>2</v>
      </c>
      <c r="J448" s="65">
        <v>0.32</v>
      </c>
    </row>
    <row r="449" spans="1:10" x14ac:dyDescent="0.3">
      <c r="A449" s="65">
        <v>448</v>
      </c>
      <c r="B449" s="66">
        <v>40563</v>
      </c>
      <c r="C449" s="65">
        <v>1</v>
      </c>
      <c r="D449" s="65">
        <v>0</v>
      </c>
      <c r="E449" s="65">
        <v>1</v>
      </c>
      <c r="F449" s="65">
        <v>16</v>
      </c>
      <c r="G449" s="67" t="b">
        <v>0</v>
      </c>
      <c r="H449" s="65">
        <v>4</v>
      </c>
      <c r="I449" s="65">
        <v>2</v>
      </c>
      <c r="J449" s="65">
        <v>0.3</v>
      </c>
    </row>
    <row r="450" spans="1:10" x14ac:dyDescent="0.3">
      <c r="A450" s="65">
        <v>449</v>
      </c>
      <c r="B450" s="66">
        <v>40563</v>
      </c>
      <c r="C450" s="65">
        <v>1</v>
      </c>
      <c r="D450" s="65">
        <v>0</v>
      </c>
      <c r="E450" s="65">
        <v>1</v>
      </c>
      <c r="F450" s="65">
        <v>17</v>
      </c>
      <c r="G450" s="67" t="b">
        <v>0</v>
      </c>
      <c r="H450" s="65">
        <v>4</v>
      </c>
      <c r="I450" s="65">
        <v>2</v>
      </c>
      <c r="J450" s="65">
        <v>0.3</v>
      </c>
    </row>
    <row r="451" spans="1:10" x14ac:dyDescent="0.3">
      <c r="A451" s="65">
        <v>450</v>
      </c>
      <c r="B451" s="66">
        <v>40563</v>
      </c>
      <c r="C451" s="65">
        <v>1</v>
      </c>
      <c r="D451" s="65">
        <v>0</v>
      </c>
      <c r="E451" s="65">
        <v>1</v>
      </c>
      <c r="F451" s="65">
        <v>18</v>
      </c>
      <c r="G451" s="67" t="b">
        <v>0</v>
      </c>
      <c r="H451" s="65">
        <v>4</v>
      </c>
      <c r="I451" s="65">
        <v>2</v>
      </c>
      <c r="J451" s="65">
        <v>0.26</v>
      </c>
    </row>
    <row r="452" spans="1:10" x14ac:dyDescent="0.3">
      <c r="A452" s="65">
        <v>451</v>
      </c>
      <c r="B452" s="66">
        <v>40563</v>
      </c>
      <c r="C452" s="65">
        <v>1</v>
      </c>
      <c r="D452" s="65">
        <v>0</v>
      </c>
      <c r="E452" s="65">
        <v>1</v>
      </c>
      <c r="F452" s="65">
        <v>19</v>
      </c>
      <c r="G452" s="67" t="b">
        <v>0</v>
      </c>
      <c r="H452" s="65">
        <v>4</v>
      </c>
      <c r="I452" s="65">
        <v>1</v>
      </c>
      <c r="J452" s="65">
        <v>0.26</v>
      </c>
    </row>
    <row r="453" spans="1:10" x14ac:dyDescent="0.3">
      <c r="A453" s="65">
        <v>452</v>
      </c>
      <c r="B453" s="66">
        <v>40563</v>
      </c>
      <c r="C453" s="65">
        <v>1</v>
      </c>
      <c r="D453" s="65">
        <v>0</v>
      </c>
      <c r="E453" s="65">
        <v>1</v>
      </c>
      <c r="F453" s="65">
        <v>20</v>
      </c>
      <c r="G453" s="67" t="b">
        <v>0</v>
      </c>
      <c r="H453" s="65">
        <v>4</v>
      </c>
      <c r="I453" s="65">
        <v>2</v>
      </c>
      <c r="J453" s="65">
        <v>0.26</v>
      </c>
    </row>
    <row r="454" spans="1:10" x14ac:dyDescent="0.3">
      <c r="A454" s="65">
        <v>453</v>
      </c>
      <c r="B454" s="66">
        <v>40563</v>
      </c>
      <c r="C454" s="65">
        <v>1</v>
      </c>
      <c r="D454" s="65">
        <v>0</v>
      </c>
      <c r="E454" s="65">
        <v>1</v>
      </c>
      <c r="F454" s="65">
        <v>21</v>
      </c>
      <c r="G454" s="67" t="b">
        <v>0</v>
      </c>
      <c r="H454" s="65">
        <v>4</v>
      </c>
      <c r="I454" s="65">
        <v>2</v>
      </c>
      <c r="J454" s="65">
        <v>0.24</v>
      </c>
    </row>
    <row r="455" spans="1:10" x14ac:dyDescent="0.3">
      <c r="A455" s="65">
        <v>454</v>
      </c>
      <c r="B455" s="66">
        <v>40563</v>
      </c>
      <c r="C455" s="65">
        <v>1</v>
      </c>
      <c r="D455" s="65">
        <v>0</v>
      </c>
      <c r="E455" s="65">
        <v>1</v>
      </c>
      <c r="F455" s="65">
        <v>22</v>
      </c>
      <c r="G455" s="67" t="b">
        <v>0</v>
      </c>
      <c r="H455" s="65">
        <v>4</v>
      </c>
      <c r="I455" s="65">
        <v>2</v>
      </c>
      <c r="J455" s="65">
        <v>0.24</v>
      </c>
    </row>
    <row r="456" spans="1:10" x14ac:dyDescent="0.3">
      <c r="A456" s="65">
        <v>455</v>
      </c>
      <c r="B456" s="66">
        <v>40563</v>
      </c>
      <c r="C456" s="65">
        <v>1</v>
      </c>
      <c r="D456" s="65">
        <v>0</v>
      </c>
      <c r="E456" s="65">
        <v>1</v>
      </c>
      <c r="F456" s="65">
        <v>23</v>
      </c>
      <c r="G456" s="67" t="b">
        <v>0</v>
      </c>
      <c r="H456" s="65">
        <v>4</v>
      </c>
      <c r="I456" s="65">
        <v>2</v>
      </c>
      <c r="J456" s="65">
        <v>0.24</v>
      </c>
    </row>
    <row r="457" spans="1:10" x14ac:dyDescent="0.3">
      <c r="A457" s="65">
        <v>456</v>
      </c>
      <c r="B457" s="66">
        <v>40564</v>
      </c>
      <c r="C457" s="65">
        <v>1</v>
      </c>
      <c r="D457" s="65">
        <v>0</v>
      </c>
      <c r="E457" s="65">
        <v>1</v>
      </c>
      <c r="F457" s="65">
        <v>0</v>
      </c>
      <c r="G457" s="67" t="b">
        <v>0</v>
      </c>
      <c r="H457" s="65">
        <v>5</v>
      </c>
      <c r="I457" s="65">
        <v>2</v>
      </c>
      <c r="J457" s="65">
        <v>0.24</v>
      </c>
    </row>
    <row r="458" spans="1:10" x14ac:dyDescent="0.3">
      <c r="A458" s="65">
        <v>457</v>
      </c>
      <c r="B458" s="66">
        <v>40564</v>
      </c>
      <c r="C458" s="65">
        <v>1</v>
      </c>
      <c r="D458" s="65">
        <v>0</v>
      </c>
      <c r="E458" s="65">
        <v>1</v>
      </c>
      <c r="F458" s="65">
        <v>1</v>
      </c>
      <c r="G458" s="67" t="b">
        <v>0</v>
      </c>
      <c r="H458" s="65">
        <v>5</v>
      </c>
      <c r="I458" s="65">
        <v>2</v>
      </c>
      <c r="J458" s="65">
        <v>0.24</v>
      </c>
    </row>
    <row r="459" spans="1:10" x14ac:dyDescent="0.3">
      <c r="A459" s="65">
        <v>458</v>
      </c>
      <c r="B459" s="66">
        <v>40564</v>
      </c>
      <c r="C459" s="65">
        <v>1</v>
      </c>
      <c r="D459" s="65">
        <v>0</v>
      </c>
      <c r="E459" s="65">
        <v>1</v>
      </c>
      <c r="F459" s="65">
        <v>2</v>
      </c>
      <c r="G459" s="67" t="b">
        <v>0</v>
      </c>
      <c r="H459" s="65">
        <v>5</v>
      </c>
      <c r="I459" s="65">
        <v>3</v>
      </c>
      <c r="J459" s="65">
        <v>0.24</v>
      </c>
    </row>
    <row r="460" spans="1:10" x14ac:dyDescent="0.3">
      <c r="A460" s="65">
        <v>459</v>
      </c>
      <c r="B460" s="66">
        <v>40564</v>
      </c>
      <c r="C460" s="65">
        <v>1</v>
      </c>
      <c r="D460" s="65">
        <v>0</v>
      </c>
      <c r="E460" s="65">
        <v>1</v>
      </c>
      <c r="F460" s="65">
        <v>3</v>
      </c>
      <c r="G460" s="67" t="b">
        <v>0</v>
      </c>
      <c r="H460" s="65">
        <v>5</v>
      </c>
      <c r="I460" s="65">
        <v>3</v>
      </c>
      <c r="J460" s="65">
        <v>0.22</v>
      </c>
    </row>
    <row r="461" spans="1:10" x14ac:dyDescent="0.3">
      <c r="A461" s="65">
        <v>460</v>
      </c>
      <c r="B461" s="66">
        <v>40564</v>
      </c>
      <c r="C461" s="65">
        <v>1</v>
      </c>
      <c r="D461" s="65">
        <v>0</v>
      </c>
      <c r="E461" s="65">
        <v>1</v>
      </c>
      <c r="F461" s="65">
        <v>4</v>
      </c>
      <c r="G461" s="67" t="b">
        <v>0</v>
      </c>
      <c r="H461" s="65">
        <v>5</v>
      </c>
      <c r="I461" s="65">
        <v>2</v>
      </c>
      <c r="J461" s="65">
        <v>0.22</v>
      </c>
    </row>
    <row r="462" spans="1:10" x14ac:dyDescent="0.3">
      <c r="A462" s="65">
        <v>461</v>
      </c>
      <c r="B462" s="66">
        <v>40564</v>
      </c>
      <c r="C462" s="65">
        <v>1</v>
      </c>
      <c r="D462" s="65">
        <v>0</v>
      </c>
      <c r="E462" s="65">
        <v>1</v>
      </c>
      <c r="F462" s="65">
        <v>5</v>
      </c>
      <c r="G462" s="67" t="b">
        <v>0</v>
      </c>
      <c r="H462" s="65">
        <v>5</v>
      </c>
      <c r="I462" s="65">
        <v>1</v>
      </c>
      <c r="J462" s="65">
        <v>0.24</v>
      </c>
    </row>
    <row r="463" spans="1:10" x14ac:dyDescent="0.3">
      <c r="A463" s="65">
        <v>462</v>
      </c>
      <c r="B463" s="66">
        <v>40564</v>
      </c>
      <c r="C463" s="65">
        <v>1</v>
      </c>
      <c r="D463" s="65">
        <v>0</v>
      </c>
      <c r="E463" s="65">
        <v>1</v>
      </c>
      <c r="F463" s="65">
        <v>6</v>
      </c>
      <c r="G463" s="67" t="b">
        <v>0</v>
      </c>
      <c r="H463" s="65">
        <v>5</v>
      </c>
      <c r="I463" s="65">
        <v>1</v>
      </c>
      <c r="J463" s="65">
        <v>0.22</v>
      </c>
    </row>
    <row r="464" spans="1:10" x14ac:dyDescent="0.3">
      <c r="A464" s="65">
        <v>463</v>
      </c>
      <c r="B464" s="66">
        <v>40564</v>
      </c>
      <c r="C464" s="65">
        <v>1</v>
      </c>
      <c r="D464" s="65">
        <v>0</v>
      </c>
      <c r="E464" s="65">
        <v>1</v>
      </c>
      <c r="F464" s="65">
        <v>7</v>
      </c>
      <c r="G464" s="67" t="b">
        <v>0</v>
      </c>
      <c r="H464" s="65">
        <v>5</v>
      </c>
      <c r="I464" s="65">
        <v>1</v>
      </c>
      <c r="J464" s="65">
        <v>0.2</v>
      </c>
    </row>
    <row r="465" spans="1:10" x14ac:dyDescent="0.3">
      <c r="A465" s="65">
        <v>464</v>
      </c>
      <c r="B465" s="66">
        <v>40564</v>
      </c>
      <c r="C465" s="65">
        <v>1</v>
      </c>
      <c r="D465" s="65">
        <v>0</v>
      </c>
      <c r="E465" s="65">
        <v>1</v>
      </c>
      <c r="F465" s="65">
        <v>8</v>
      </c>
      <c r="G465" s="67" t="b">
        <v>0</v>
      </c>
      <c r="H465" s="65">
        <v>5</v>
      </c>
      <c r="I465" s="65">
        <v>1</v>
      </c>
      <c r="J465" s="65">
        <v>0.2</v>
      </c>
    </row>
    <row r="466" spans="1:10" x14ac:dyDescent="0.3">
      <c r="A466" s="65">
        <v>465</v>
      </c>
      <c r="B466" s="66">
        <v>40564</v>
      </c>
      <c r="C466" s="65">
        <v>1</v>
      </c>
      <c r="D466" s="65">
        <v>0</v>
      </c>
      <c r="E466" s="65">
        <v>1</v>
      </c>
      <c r="F466" s="65">
        <v>9</v>
      </c>
      <c r="G466" s="67" t="b">
        <v>0</v>
      </c>
      <c r="H466" s="65">
        <v>5</v>
      </c>
      <c r="I466" s="65">
        <v>1</v>
      </c>
      <c r="J466" s="65">
        <v>0.2</v>
      </c>
    </row>
    <row r="467" spans="1:10" x14ac:dyDescent="0.3">
      <c r="A467" s="65">
        <v>466</v>
      </c>
      <c r="B467" s="66">
        <v>40564</v>
      </c>
      <c r="C467" s="65">
        <v>1</v>
      </c>
      <c r="D467" s="65">
        <v>0</v>
      </c>
      <c r="E467" s="65">
        <v>1</v>
      </c>
      <c r="F467" s="65">
        <v>10</v>
      </c>
      <c r="G467" s="67" t="b">
        <v>0</v>
      </c>
      <c r="H467" s="65">
        <v>5</v>
      </c>
      <c r="I467" s="65">
        <v>1</v>
      </c>
      <c r="J467" s="65">
        <v>0.2</v>
      </c>
    </row>
    <row r="468" spans="1:10" x14ac:dyDescent="0.3">
      <c r="A468" s="65">
        <v>467</v>
      </c>
      <c r="B468" s="66">
        <v>40564</v>
      </c>
      <c r="C468" s="65">
        <v>1</v>
      </c>
      <c r="D468" s="65">
        <v>0</v>
      </c>
      <c r="E468" s="65">
        <v>1</v>
      </c>
      <c r="F468" s="65">
        <v>11</v>
      </c>
      <c r="G468" s="67" t="b">
        <v>0</v>
      </c>
      <c r="H468" s="65">
        <v>5</v>
      </c>
      <c r="I468" s="65">
        <v>1</v>
      </c>
      <c r="J468" s="65">
        <v>0.22</v>
      </c>
    </row>
    <row r="469" spans="1:10" x14ac:dyDescent="0.3">
      <c r="A469" s="65">
        <v>468</v>
      </c>
      <c r="B469" s="66">
        <v>40564</v>
      </c>
      <c r="C469" s="65">
        <v>1</v>
      </c>
      <c r="D469" s="65">
        <v>0</v>
      </c>
      <c r="E469" s="65">
        <v>1</v>
      </c>
      <c r="F469" s="65">
        <v>12</v>
      </c>
      <c r="G469" s="67" t="b">
        <v>0</v>
      </c>
      <c r="H469" s="65">
        <v>5</v>
      </c>
      <c r="I469" s="65">
        <v>1</v>
      </c>
      <c r="J469" s="65">
        <v>0.22</v>
      </c>
    </row>
    <row r="470" spans="1:10" x14ac:dyDescent="0.3">
      <c r="A470" s="65">
        <v>469</v>
      </c>
      <c r="B470" s="66">
        <v>40564</v>
      </c>
      <c r="C470" s="65">
        <v>1</v>
      </c>
      <c r="D470" s="65">
        <v>0</v>
      </c>
      <c r="E470" s="65">
        <v>1</v>
      </c>
      <c r="F470" s="65">
        <v>13</v>
      </c>
      <c r="G470" s="67" t="b">
        <v>0</v>
      </c>
      <c r="H470" s="65">
        <v>5</v>
      </c>
      <c r="I470" s="65">
        <v>1</v>
      </c>
      <c r="J470" s="65">
        <v>0.2</v>
      </c>
    </row>
    <row r="471" spans="1:10" x14ac:dyDescent="0.3">
      <c r="A471" s="65">
        <v>470</v>
      </c>
      <c r="B471" s="66">
        <v>40564</v>
      </c>
      <c r="C471" s="65">
        <v>1</v>
      </c>
      <c r="D471" s="65">
        <v>0</v>
      </c>
      <c r="E471" s="65">
        <v>1</v>
      </c>
      <c r="F471" s="65">
        <v>14</v>
      </c>
      <c r="G471" s="67" t="b">
        <v>0</v>
      </c>
      <c r="H471" s="65">
        <v>5</v>
      </c>
      <c r="I471" s="65">
        <v>1</v>
      </c>
      <c r="J471" s="65">
        <v>0.2</v>
      </c>
    </row>
    <row r="472" spans="1:10" x14ac:dyDescent="0.3">
      <c r="A472" s="65">
        <v>471</v>
      </c>
      <c r="B472" s="66">
        <v>40564</v>
      </c>
      <c r="C472" s="65">
        <v>1</v>
      </c>
      <c r="D472" s="65">
        <v>0</v>
      </c>
      <c r="E472" s="65">
        <v>1</v>
      </c>
      <c r="F472" s="65">
        <v>15</v>
      </c>
      <c r="G472" s="67" t="b">
        <v>0</v>
      </c>
      <c r="H472" s="65">
        <v>5</v>
      </c>
      <c r="I472" s="65">
        <v>1</v>
      </c>
      <c r="J472" s="65">
        <v>0.16</v>
      </c>
    </row>
    <row r="473" spans="1:10" x14ac:dyDescent="0.3">
      <c r="A473" s="65">
        <v>472</v>
      </c>
      <c r="B473" s="66">
        <v>40564</v>
      </c>
      <c r="C473" s="65">
        <v>1</v>
      </c>
      <c r="D473" s="65">
        <v>0</v>
      </c>
      <c r="E473" s="65">
        <v>1</v>
      </c>
      <c r="F473" s="65">
        <v>16</v>
      </c>
      <c r="G473" s="67" t="b">
        <v>0</v>
      </c>
      <c r="H473" s="65">
        <v>5</v>
      </c>
      <c r="I473" s="65">
        <v>1</v>
      </c>
      <c r="J473" s="65">
        <v>0.16</v>
      </c>
    </row>
    <row r="474" spans="1:10" x14ac:dyDescent="0.3">
      <c r="A474" s="65">
        <v>473</v>
      </c>
      <c r="B474" s="66">
        <v>40564</v>
      </c>
      <c r="C474" s="65">
        <v>1</v>
      </c>
      <c r="D474" s="65">
        <v>0</v>
      </c>
      <c r="E474" s="65">
        <v>1</v>
      </c>
      <c r="F474" s="65">
        <v>17</v>
      </c>
      <c r="G474" s="67" t="b">
        <v>0</v>
      </c>
      <c r="H474" s="65">
        <v>5</v>
      </c>
      <c r="I474" s="65">
        <v>1</v>
      </c>
      <c r="J474" s="65">
        <v>0.14000000000000001</v>
      </c>
    </row>
    <row r="475" spans="1:10" x14ac:dyDescent="0.3">
      <c r="A475" s="65">
        <v>474</v>
      </c>
      <c r="B475" s="66">
        <v>40564</v>
      </c>
      <c r="C475" s="65">
        <v>1</v>
      </c>
      <c r="D475" s="65">
        <v>0</v>
      </c>
      <c r="E475" s="65">
        <v>1</v>
      </c>
      <c r="F475" s="65">
        <v>18</v>
      </c>
      <c r="G475" s="67" t="b">
        <v>0</v>
      </c>
      <c r="H475" s="65">
        <v>5</v>
      </c>
      <c r="I475" s="65">
        <v>1</v>
      </c>
      <c r="J475" s="65">
        <v>0.12</v>
      </c>
    </row>
    <row r="476" spans="1:10" x14ac:dyDescent="0.3">
      <c r="A476" s="65">
        <v>475</v>
      </c>
      <c r="B476" s="66">
        <v>40564</v>
      </c>
      <c r="C476" s="65">
        <v>1</v>
      </c>
      <c r="D476" s="65">
        <v>0</v>
      </c>
      <c r="E476" s="65">
        <v>1</v>
      </c>
      <c r="F476" s="65">
        <v>19</v>
      </c>
      <c r="G476" s="67" t="b">
        <v>0</v>
      </c>
      <c r="H476" s="65">
        <v>5</v>
      </c>
      <c r="I476" s="65">
        <v>1</v>
      </c>
      <c r="J476" s="65">
        <v>0.12</v>
      </c>
    </row>
    <row r="477" spans="1:10" x14ac:dyDescent="0.3">
      <c r="A477" s="65">
        <v>476</v>
      </c>
      <c r="B477" s="66">
        <v>40564</v>
      </c>
      <c r="C477" s="65">
        <v>1</v>
      </c>
      <c r="D477" s="65">
        <v>0</v>
      </c>
      <c r="E477" s="65">
        <v>1</v>
      </c>
      <c r="F477" s="65">
        <v>20</v>
      </c>
      <c r="G477" s="67" t="b">
        <v>0</v>
      </c>
      <c r="H477" s="65">
        <v>5</v>
      </c>
      <c r="I477" s="65">
        <v>1</v>
      </c>
      <c r="J477" s="65">
        <v>0.1</v>
      </c>
    </row>
    <row r="478" spans="1:10" x14ac:dyDescent="0.3">
      <c r="A478" s="65">
        <v>477</v>
      </c>
      <c r="B478" s="66">
        <v>40564</v>
      </c>
      <c r="C478" s="65">
        <v>1</v>
      </c>
      <c r="D478" s="65">
        <v>0</v>
      </c>
      <c r="E478" s="65">
        <v>1</v>
      </c>
      <c r="F478" s="65">
        <v>21</v>
      </c>
      <c r="G478" s="67" t="b">
        <v>0</v>
      </c>
      <c r="H478" s="65">
        <v>5</v>
      </c>
      <c r="I478" s="65">
        <v>1</v>
      </c>
      <c r="J478" s="65">
        <v>0.08</v>
      </c>
    </row>
    <row r="479" spans="1:10" x14ac:dyDescent="0.3">
      <c r="A479" s="65">
        <v>478</v>
      </c>
      <c r="B479" s="66">
        <v>40564</v>
      </c>
      <c r="C479" s="65">
        <v>1</v>
      </c>
      <c r="D479" s="65">
        <v>0</v>
      </c>
      <c r="E479" s="65">
        <v>1</v>
      </c>
      <c r="F479" s="65">
        <v>22</v>
      </c>
      <c r="G479" s="67" t="b">
        <v>0</v>
      </c>
      <c r="H479" s="65">
        <v>5</v>
      </c>
      <c r="I479" s="65">
        <v>1</v>
      </c>
      <c r="J479" s="65">
        <v>0.06</v>
      </c>
    </row>
    <row r="480" spans="1:10" x14ac:dyDescent="0.3">
      <c r="A480" s="65">
        <v>479</v>
      </c>
      <c r="B480" s="66">
        <v>40564</v>
      </c>
      <c r="C480" s="65">
        <v>1</v>
      </c>
      <c r="D480" s="65">
        <v>0</v>
      </c>
      <c r="E480" s="65">
        <v>1</v>
      </c>
      <c r="F480" s="65">
        <v>23</v>
      </c>
      <c r="G480" s="67" t="b">
        <v>0</v>
      </c>
      <c r="H480" s="65">
        <v>5</v>
      </c>
      <c r="I480" s="65">
        <v>1</v>
      </c>
      <c r="J480" s="65">
        <v>0.06</v>
      </c>
    </row>
    <row r="481" spans="1:10" x14ac:dyDescent="0.3">
      <c r="A481" s="65">
        <v>480</v>
      </c>
      <c r="B481" s="66">
        <v>40565</v>
      </c>
      <c r="C481" s="65">
        <v>1</v>
      </c>
      <c r="D481" s="65">
        <v>0</v>
      </c>
      <c r="E481" s="65">
        <v>1</v>
      </c>
      <c r="F481" s="65">
        <v>0</v>
      </c>
      <c r="G481" s="67" t="b">
        <v>0</v>
      </c>
      <c r="H481" s="65">
        <v>6</v>
      </c>
      <c r="I481" s="65">
        <v>1</v>
      </c>
      <c r="J481" s="65">
        <v>0.04</v>
      </c>
    </row>
    <row r="482" spans="1:10" x14ac:dyDescent="0.3">
      <c r="A482" s="65">
        <v>481</v>
      </c>
      <c r="B482" s="66">
        <v>40565</v>
      </c>
      <c r="C482" s="65">
        <v>1</v>
      </c>
      <c r="D482" s="65">
        <v>0</v>
      </c>
      <c r="E482" s="65">
        <v>1</v>
      </c>
      <c r="F482" s="65">
        <v>1</v>
      </c>
      <c r="G482" s="67" t="b">
        <v>0</v>
      </c>
      <c r="H482" s="65">
        <v>6</v>
      </c>
      <c r="I482" s="65">
        <v>2</v>
      </c>
      <c r="J482" s="65">
        <v>0.04</v>
      </c>
    </row>
    <row r="483" spans="1:10" x14ac:dyDescent="0.3">
      <c r="A483" s="65">
        <v>482</v>
      </c>
      <c r="B483" s="66">
        <v>40565</v>
      </c>
      <c r="C483" s="65">
        <v>1</v>
      </c>
      <c r="D483" s="65">
        <v>0</v>
      </c>
      <c r="E483" s="65">
        <v>1</v>
      </c>
      <c r="F483" s="65">
        <v>2</v>
      </c>
      <c r="G483" s="67" t="b">
        <v>0</v>
      </c>
      <c r="H483" s="65">
        <v>6</v>
      </c>
      <c r="I483" s="65">
        <v>2</v>
      </c>
      <c r="J483" s="65">
        <v>0.04</v>
      </c>
    </row>
    <row r="484" spans="1:10" x14ac:dyDescent="0.3">
      <c r="A484" s="65">
        <v>483</v>
      </c>
      <c r="B484" s="66">
        <v>40565</v>
      </c>
      <c r="C484" s="65">
        <v>1</v>
      </c>
      <c r="D484" s="65">
        <v>0</v>
      </c>
      <c r="E484" s="65">
        <v>1</v>
      </c>
      <c r="F484" s="65">
        <v>3</v>
      </c>
      <c r="G484" s="67" t="b">
        <v>0</v>
      </c>
      <c r="H484" s="65">
        <v>6</v>
      </c>
      <c r="I484" s="65">
        <v>2</v>
      </c>
      <c r="J484" s="65">
        <v>0.04</v>
      </c>
    </row>
    <row r="485" spans="1:10" x14ac:dyDescent="0.3">
      <c r="A485" s="65">
        <v>484</v>
      </c>
      <c r="B485" s="66">
        <v>40565</v>
      </c>
      <c r="C485" s="65">
        <v>1</v>
      </c>
      <c r="D485" s="65">
        <v>0</v>
      </c>
      <c r="E485" s="65">
        <v>1</v>
      </c>
      <c r="F485" s="65">
        <v>4</v>
      </c>
      <c r="G485" s="67" t="b">
        <v>0</v>
      </c>
      <c r="H485" s="65">
        <v>6</v>
      </c>
      <c r="I485" s="65">
        <v>2</v>
      </c>
      <c r="J485" s="65">
        <v>0.02</v>
      </c>
    </row>
    <row r="486" spans="1:10" x14ac:dyDescent="0.3">
      <c r="A486" s="65">
        <v>485</v>
      </c>
      <c r="B486" s="66">
        <v>40565</v>
      </c>
      <c r="C486" s="65">
        <v>1</v>
      </c>
      <c r="D486" s="65">
        <v>0</v>
      </c>
      <c r="E486" s="65">
        <v>1</v>
      </c>
      <c r="F486" s="65">
        <v>6</v>
      </c>
      <c r="G486" s="67" t="b">
        <v>0</v>
      </c>
      <c r="H486" s="65">
        <v>6</v>
      </c>
      <c r="I486" s="65">
        <v>2</v>
      </c>
      <c r="J486" s="65">
        <v>0.02</v>
      </c>
    </row>
    <row r="487" spans="1:10" x14ac:dyDescent="0.3">
      <c r="A487" s="65">
        <v>486</v>
      </c>
      <c r="B487" s="66">
        <v>40565</v>
      </c>
      <c r="C487" s="65">
        <v>1</v>
      </c>
      <c r="D487" s="65">
        <v>0</v>
      </c>
      <c r="E487" s="65">
        <v>1</v>
      </c>
      <c r="F487" s="65">
        <v>7</v>
      </c>
      <c r="G487" s="67" t="b">
        <v>0</v>
      </c>
      <c r="H487" s="65">
        <v>6</v>
      </c>
      <c r="I487" s="65">
        <v>1</v>
      </c>
      <c r="J487" s="65">
        <v>0.02</v>
      </c>
    </row>
    <row r="488" spans="1:10" x14ac:dyDescent="0.3">
      <c r="A488" s="65">
        <v>487</v>
      </c>
      <c r="B488" s="66">
        <v>40565</v>
      </c>
      <c r="C488" s="65">
        <v>1</v>
      </c>
      <c r="D488" s="65">
        <v>0</v>
      </c>
      <c r="E488" s="65">
        <v>1</v>
      </c>
      <c r="F488" s="65">
        <v>8</v>
      </c>
      <c r="G488" s="67" t="b">
        <v>0</v>
      </c>
      <c r="H488" s="65">
        <v>6</v>
      </c>
      <c r="I488" s="65">
        <v>1</v>
      </c>
      <c r="J488" s="65">
        <v>0.02</v>
      </c>
    </row>
    <row r="489" spans="1:10" x14ac:dyDescent="0.3">
      <c r="A489" s="65">
        <v>488</v>
      </c>
      <c r="B489" s="66">
        <v>40565</v>
      </c>
      <c r="C489" s="65">
        <v>1</v>
      </c>
      <c r="D489" s="65">
        <v>0</v>
      </c>
      <c r="E489" s="65">
        <v>1</v>
      </c>
      <c r="F489" s="65">
        <v>9</v>
      </c>
      <c r="G489" s="67" t="b">
        <v>0</v>
      </c>
      <c r="H489" s="65">
        <v>6</v>
      </c>
      <c r="I489" s="65">
        <v>1</v>
      </c>
      <c r="J489" s="65">
        <v>0.04</v>
      </c>
    </row>
    <row r="490" spans="1:10" x14ac:dyDescent="0.3">
      <c r="A490" s="65">
        <v>489</v>
      </c>
      <c r="B490" s="66">
        <v>40565</v>
      </c>
      <c r="C490" s="65">
        <v>1</v>
      </c>
      <c r="D490" s="65">
        <v>0</v>
      </c>
      <c r="E490" s="65">
        <v>1</v>
      </c>
      <c r="F490" s="65">
        <v>10</v>
      </c>
      <c r="G490" s="67" t="b">
        <v>0</v>
      </c>
      <c r="H490" s="65">
        <v>6</v>
      </c>
      <c r="I490" s="65">
        <v>2</v>
      </c>
      <c r="J490" s="65">
        <v>0.04</v>
      </c>
    </row>
    <row r="491" spans="1:10" x14ac:dyDescent="0.3">
      <c r="A491" s="65">
        <v>490</v>
      </c>
      <c r="B491" s="66">
        <v>40565</v>
      </c>
      <c r="C491" s="65">
        <v>1</v>
      </c>
      <c r="D491" s="65">
        <v>0</v>
      </c>
      <c r="E491" s="65">
        <v>1</v>
      </c>
      <c r="F491" s="65">
        <v>11</v>
      </c>
      <c r="G491" s="67" t="b">
        <v>0</v>
      </c>
      <c r="H491" s="65">
        <v>6</v>
      </c>
      <c r="I491" s="65">
        <v>2</v>
      </c>
      <c r="J491" s="65">
        <v>0.06</v>
      </c>
    </row>
    <row r="492" spans="1:10" x14ac:dyDescent="0.3">
      <c r="A492" s="65">
        <v>491</v>
      </c>
      <c r="B492" s="66">
        <v>40565</v>
      </c>
      <c r="C492" s="65">
        <v>1</v>
      </c>
      <c r="D492" s="65">
        <v>0</v>
      </c>
      <c r="E492" s="65">
        <v>1</v>
      </c>
      <c r="F492" s="65">
        <v>12</v>
      </c>
      <c r="G492" s="67" t="b">
        <v>0</v>
      </c>
      <c r="H492" s="65">
        <v>6</v>
      </c>
      <c r="I492" s="65">
        <v>2</v>
      </c>
      <c r="J492" s="65">
        <v>0.06</v>
      </c>
    </row>
    <row r="493" spans="1:10" x14ac:dyDescent="0.3">
      <c r="A493" s="65">
        <v>492</v>
      </c>
      <c r="B493" s="66">
        <v>40565</v>
      </c>
      <c r="C493" s="65">
        <v>1</v>
      </c>
      <c r="D493" s="65">
        <v>0</v>
      </c>
      <c r="E493" s="65">
        <v>1</v>
      </c>
      <c r="F493" s="65">
        <v>13</v>
      </c>
      <c r="G493" s="67" t="b">
        <v>0</v>
      </c>
      <c r="H493" s="65">
        <v>6</v>
      </c>
      <c r="I493" s="65">
        <v>1</v>
      </c>
      <c r="J493" s="65">
        <v>0.08</v>
      </c>
    </row>
    <row r="494" spans="1:10" x14ac:dyDescent="0.3">
      <c r="A494" s="65">
        <v>493</v>
      </c>
      <c r="B494" s="66">
        <v>40565</v>
      </c>
      <c r="C494" s="65">
        <v>1</v>
      </c>
      <c r="D494" s="65">
        <v>0</v>
      </c>
      <c r="E494" s="65">
        <v>1</v>
      </c>
      <c r="F494" s="65">
        <v>14</v>
      </c>
      <c r="G494" s="67" t="b">
        <v>0</v>
      </c>
      <c r="H494" s="65">
        <v>6</v>
      </c>
      <c r="I494" s="65">
        <v>1</v>
      </c>
      <c r="J494" s="65">
        <v>0.1</v>
      </c>
    </row>
    <row r="495" spans="1:10" x14ac:dyDescent="0.3">
      <c r="A495" s="65">
        <v>494</v>
      </c>
      <c r="B495" s="66">
        <v>40565</v>
      </c>
      <c r="C495" s="65">
        <v>1</v>
      </c>
      <c r="D495" s="65">
        <v>0</v>
      </c>
      <c r="E495" s="65">
        <v>1</v>
      </c>
      <c r="F495" s="65">
        <v>15</v>
      </c>
      <c r="G495" s="67" t="b">
        <v>0</v>
      </c>
      <c r="H495" s="65">
        <v>6</v>
      </c>
      <c r="I495" s="65">
        <v>1</v>
      </c>
      <c r="J495" s="65">
        <v>0.12</v>
      </c>
    </row>
    <row r="496" spans="1:10" x14ac:dyDescent="0.3">
      <c r="A496" s="65">
        <v>495</v>
      </c>
      <c r="B496" s="66">
        <v>40565</v>
      </c>
      <c r="C496" s="65">
        <v>1</v>
      </c>
      <c r="D496" s="65">
        <v>0</v>
      </c>
      <c r="E496" s="65">
        <v>1</v>
      </c>
      <c r="F496" s="65">
        <v>16</v>
      </c>
      <c r="G496" s="67" t="b">
        <v>0</v>
      </c>
      <c r="H496" s="65">
        <v>6</v>
      </c>
      <c r="I496" s="65">
        <v>1</v>
      </c>
      <c r="J496" s="65">
        <v>0.12</v>
      </c>
    </row>
    <row r="497" spans="1:10" x14ac:dyDescent="0.3">
      <c r="A497" s="65">
        <v>496</v>
      </c>
      <c r="B497" s="66">
        <v>40565</v>
      </c>
      <c r="C497" s="65">
        <v>1</v>
      </c>
      <c r="D497" s="65">
        <v>0</v>
      </c>
      <c r="E497" s="65">
        <v>1</v>
      </c>
      <c r="F497" s="65">
        <v>17</v>
      </c>
      <c r="G497" s="67" t="b">
        <v>0</v>
      </c>
      <c r="H497" s="65">
        <v>6</v>
      </c>
      <c r="I497" s="65">
        <v>1</v>
      </c>
      <c r="J497" s="65">
        <v>0.12</v>
      </c>
    </row>
    <row r="498" spans="1:10" x14ac:dyDescent="0.3">
      <c r="A498" s="65">
        <v>497</v>
      </c>
      <c r="B498" s="66">
        <v>40565</v>
      </c>
      <c r="C498" s="65">
        <v>1</v>
      </c>
      <c r="D498" s="65">
        <v>0</v>
      </c>
      <c r="E498" s="65">
        <v>1</v>
      </c>
      <c r="F498" s="65">
        <v>18</v>
      </c>
      <c r="G498" s="67" t="b">
        <v>0</v>
      </c>
      <c r="H498" s="65">
        <v>6</v>
      </c>
      <c r="I498" s="65">
        <v>1</v>
      </c>
      <c r="J498" s="65">
        <v>0.08</v>
      </c>
    </row>
    <row r="499" spans="1:10" x14ac:dyDescent="0.3">
      <c r="A499" s="65">
        <v>498</v>
      </c>
      <c r="B499" s="66">
        <v>40565</v>
      </c>
      <c r="C499" s="65">
        <v>1</v>
      </c>
      <c r="D499" s="65">
        <v>0</v>
      </c>
      <c r="E499" s="65">
        <v>1</v>
      </c>
      <c r="F499" s="65">
        <v>19</v>
      </c>
      <c r="G499" s="67" t="b">
        <v>0</v>
      </c>
      <c r="H499" s="65">
        <v>6</v>
      </c>
      <c r="I499" s="65">
        <v>1</v>
      </c>
      <c r="J499" s="65">
        <v>0.08</v>
      </c>
    </row>
    <row r="500" spans="1:10" x14ac:dyDescent="0.3">
      <c r="A500" s="65">
        <v>499</v>
      </c>
      <c r="B500" s="66">
        <v>40565</v>
      </c>
      <c r="C500" s="65">
        <v>1</v>
      </c>
      <c r="D500" s="65">
        <v>0</v>
      </c>
      <c r="E500" s="65">
        <v>1</v>
      </c>
      <c r="F500" s="65">
        <v>20</v>
      </c>
      <c r="G500" s="67" t="b">
        <v>0</v>
      </c>
      <c r="H500" s="65">
        <v>6</v>
      </c>
      <c r="I500" s="65">
        <v>1</v>
      </c>
      <c r="J500" s="65">
        <v>0.06</v>
      </c>
    </row>
    <row r="501" spans="1:10" x14ac:dyDescent="0.3">
      <c r="A501" s="65">
        <v>500</v>
      </c>
      <c r="B501" s="66">
        <v>40565</v>
      </c>
      <c r="C501" s="65">
        <v>1</v>
      </c>
      <c r="D501" s="65">
        <v>0</v>
      </c>
      <c r="E501" s="65">
        <v>1</v>
      </c>
      <c r="F501" s="65">
        <v>21</v>
      </c>
      <c r="G501" s="67" t="b">
        <v>0</v>
      </c>
      <c r="H501" s="65">
        <v>6</v>
      </c>
      <c r="I501" s="65">
        <v>1</v>
      </c>
      <c r="J501" s="65">
        <v>0.06</v>
      </c>
    </row>
    <row r="502" spans="1:10" x14ac:dyDescent="0.3">
      <c r="A502" s="65">
        <v>501</v>
      </c>
      <c r="B502" s="66">
        <v>40565</v>
      </c>
      <c r="C502" s="65">
        <v>1</v>
      </c>
      <c r="D502" s="65">
        <v>0</v>
      </c>
      <c r="E502" s="65">
        <v>1</v>
      </c>
      <c r="F502" s="65">
        <v>22</v>
      </c>
      <c r="G502" s="67" t="b">
        <v>0</v>
      </c>
      <c r="H502" s="65">
        <v>6</v>
      </c>
      <c r="I502" s="65">
        <v>1</v>
      </c>
      <c r="J502" s="65">
        <v>0.06</v>
      </c>
    </row>
    <row r="503" spans="1:10" x14ac:dyDescent="0.3">
      <c r="A503" s="65">
        <v>502</v>
      </c>
      <c r="B503" s="66">
        <v>40565</v>
      </c>
      <c r="C503" s="65">
        <v>1</v>
      </c>
      <c r="D503" s="65">
        <v>0</v>
      </c>
      <c r="E503" s="65">
        <v>1</v>
      </c>
      <c r="F503" s="65">
        <v>23</v>
      </c>
      <c r="G503" s="67" t="b">
        <v>0</v>
      </c>
      <c r="H503" s="65">
        <v>6</v>
      </c>
      <c r="I503" s="65">
        <v>1</v>
      </c>
      <c r="J503" s="65">
        <v>0.04</v>
      </c>
    </row>
    <row r="504" spans="1:10" x14ac:dyDescent="0.3">
      <c r="A504" s="65">
        <v>503</v>
      </c>
      <c r="B504" s="66">
        <v>40566</v>
      </c>
      <c r="C504" s="65">
        <v>1</v>
      </c>
      <c r="D504" s="65">
        <v>0</v>
      </c>
      <c r="E504" s="65">
        <v>1</v>
      </c>
      <c r="F504" s="65">
        <v>0</v>
      </c>
      <c r="G504" s="67" t="b">
        <v>0</v>
      </c>
      <c r="H504" s="65">
        <v>0</v>
      </c>
      <c r="I504" s="65">
        <v>1</v>
      </c>
      <c r="J504" s="65">
        <v>0.04</v>
      </c>
    </row>
    <row r="505" spans="1:10" x14ac:dyDescent="0.3">
      <c r="A505" s="65">
        <v>504</v>
      </c>
      <c r="B505" s="66">
        <v>40566</v>
      </c>
      <c r="C505" s="65">
        <v>1</v>
      </c>
      <c r="D505" s="65">
        <v>0</v>
      </c>
      <c r="E505" s="65">
        <v>1</v>
      </c>
      <c r="F505" s="65">
        <v>1</v>
      </c>
      <c r="G505" s="67" t="b">
        <v>0</v>
      </c>
      <c r="H505" s="65">
        <v>0</v>
      </c>
      <c r="I505" s="65">
        <v>1</v>
      </c>
      <c r="J505" s="65">
        <v>0.04</v>
      </c>
    </row>
    <row r="506" spans="1:10" x14ac:dyDescent="0.3">
      <c r="A506" s="65">
        <v>505</v>
      </c>
      <c r="B506" s="66">
        <v>40566</v>
      </c>
      <c r="C506" s="65">
        <v>1</v>
      </c>
      <c r="D506" s="65">
        <v>0</v>
      </c>
      <c r="E506" s="65">
        <v>1</v>
      </c>
      <c r="F506" s="65">
        <v>2</v>
      </c>
      <c r="G506" s="67" t="b">
        <v>0</v>
      </c>
      <c r="H506" s="65">
        <v>0</v>
      </c>
      <c r="I506" s="65">
        <v>1</v>
      </c>
      <c r="J506" s="65">
        <v>0.02</v>
      </c>
    </row>
    <row r="507" spans="1:10" x14ac:dyDescent="0.3">
      <c r="A507" s="65">
        <v>506</v>
      </c>
      <c r="B507" s="66">
        <v>40566</v>
      </c>
      <c r="C507" s="65">
        <v>1</v>
      </c>
      <c r="D507" s="65">
        <v>0</v>
      </c>
      <c r="E507" s="65">
        <v>1</v>
      </c>
      <c r="F507" s="65">
        <v>3</v>
      </c>
      <c r="G507" s="67" t="b">
        <v>0</v>
      </c>
      <c r="H507" s="65">
        <v>0</v>
      </c>
      <c r="I507" s="65">
        <v>1</v>
      </c>
      <c r="J507" s="65">
        <v>0.02</v>
      </c>
    </row>
    <row r="508" spans="1:10" x14ac:dyDescent="0.3">
      <c r="A508" s="65">
        <v>507</v>
      </c>
      <c r="B508" s="66">
        <v>40566</v>
      </c>
      <c r="C508" s="65">
        <v>1</v>
      </c>
      <c r="D508" s="65">
        <v>0</v>
      </c>
      <c r="E508" s="65">
        <v>1</v>
      </c>
      <c r="F508" s="65">
        <v>5</v>
      </c>
      <c r="G508" s="67" t="b">
        <v>0</v>
      </c>
      <c r="H508" s="65">
        <v>0</v>
      </c>
      <c r="I508" s="65">
        <v>2</v>
      </c>
      <c r="J508" s="65">
        <v>0.04</v>
      </c>
    </row>
    <row r="509" spans="1:10" x14ac:dyDescent="0.3">
      <c r="A509" s="65">
        <v>508</v>
      </c>
      <c r="B509" s="66">
        <v>40566</v>
      </c>
      <c r="C509" s="65">
        <v>1</v>
      </c>
      <c r="D509" s="65">
        <v>0</v>
      </c>
      <c r="E509" s="65">
        <v>1</v>
      </c>
      <c r="F509" s="65">
        <v>6</v>
      </c>
      <c r="G509" s="67" t="b">
        <v>0</v>
      </c>
      <c r="H509" s="65">
        <v>0</v>
      </c>
      <c r="I509" s="65">
        <v>2</v>
      </c>
      <c r="J509" s="65">
        <v>0.04</v>
      </c>
    </row>
    <row r="510" spans="1:10" x14ac:dyDescent="0.3">
      <c r="A510" s="65">
        <v>509</v>
      </c>
      <c r="B510" s="66">
        <v>40566</v>
      </c>
      <c r="C510" s="65">
        <v>1</v>
      </c>
      <c r="D510" s="65">
        <v>0</v>
      </c>
      <c r="E510" s="65">
        <v>1</v>
      </c>
      <c r="F510" s="65">
        <v>7</v>
      </c>
      <c r="G510" s="67" t="b">
        <v>0</v>
      </c>
      <c r="H510" s="65">
        <v>0</v>
      </c>
      <c r="I510" s="65">
        <v>1</v>
      </c>
      <c r="J510" s="65">
        <v>0.08</v>
      </c>
    </row>
    <row r="511" spans="1:10" x14ac:dyDescent="0.3">
      <c r="A511" s="65">
        <v>510</v>
      </c>
      <c r="B511" s="66">
        <v>40566</v>
      </c>
      <c r="C511" s="65">
        <v>1</v>
      </c>
      <c r="D511" s="65">
        <v>0</v>
      </c>
      <c r="E511" s="65">
        <v>1</v>
      </c>
      <c r="F511" s="65">
        <v>8</v>
      </c>
      <c r="G511" s="67" t="b">
        <v>0</v>
      </c>
      <c r="H511" s="65">
        <v>0</v>
      </c>
      <c r="I511" s="65">
        <v>1</v>
      </c>
      <c r="J511" s="65">
        <v>0.06</v>
      </c>
    </row>
    <row r="512" spans="1:10" x14ac:dyDescent="0.3">
      <c r="A512" s="65">
        <v>511</v>
      </c>
      <c r="B512" s="66">
        <v>40566</v>
      </c>
      <c r="C512" s="65">
        <v>1</v>
      </c>
      <c r="D512" s="65">
        <v>0</v>
      </c>
      <c r="E512" s="65">
        <v>1</v>
      </c>
      <c r="F512" s="65">
        <v>9</v>
      </c>
      <c r="G512" s="67" t="b">
        <v>0</v>
      </c>
      <c r="H512" s="65">
        <v>0</v>
      </c>
      <c r="I512" s="65">
        <v>1</v>
      </c>
      <c r="J512" s="65">
        <v>0.1</v>
      </c>
    </row>
    <row r="513" spans="1:10" x14ac:dyDescent="0.3">
      <c r="A513" s="65">
        <v>512</v>
      </c>
      <c r="B513" s="66">
        <v>40566</v>
      </c>
      <c r="C513" s="65">
        <v>1</v>
      </c>
      <c r="D513" s="65">
        <v>0</v>
      </c>
      <c r="E513" s="65">
        <v>1</v>
      </c>
      <c r="F513" s="65">
        <v>10</v>
      </c>
      <c r="G513" s="67" t="b">
        <v>0</v>
      </c>
      <c r="H513" s="65">
        <v>0</v>
      </c>
      <c r="I513" s="65">
        <v>1</v>
      </c>
      <c r="J513" s="65">
        <v>0.14000000000000001</v>
      </c>
    </row>
    <row r="514" spans="1:10" x14ac:dyDescent="0.3">
      <c r="A514" s="65">
        <v>513</v>
      </c>
      <c r="B514" s="66">
        <v>40566</v>
      </c>
      <c r="C514" s="65">
        <v>1</v>
      </c>
      <c r="D514" s="65">
        <v>0</v>
      </c>
      <c r="E514" s="65">
        <v>1</v>
      </c>
      <c r="F514" s="65">
        <v>11</v>
      </c>
      <c r="G514" s="67" t="b">
        <v>0</v>
      </c>
      <c r="H514" s="65">
        <v>0</v>
      </c>
      <c r="I514" s="65">
        <v>1</v>
      </c>
      <c r="J514" s="65">
        <v>0.14000000000000001</v>
      </c>
    </row>
    <row r="515" spans="1:10" x14ac:dyDescent="0.3">
      <c r="A515" s="65">
        <v>514</v>
      </c>
      <c r="B515" s="66">
        <v>40566</v>
      </c>
      <c r="C515" s="65">
        <v>1</v>
      </c>
      <c r="D515" s="65">
        <v>0</v>
      </c>
      <c r="E515" s="65">
        <v>1</v>
      </c>
      <c r="F515" s="65">
        <v>12</v>
      </c>
      <c r="G515" s="67" t="b">
        <v>0</v>
      </c>
      <c r="H515" s="65">
        <v>0</v>
      </c>
      <c r="I515" s="65">
        <v>1</v>
      </c>
      <c r="J515" s="65">
        <v>0.16</v>
      </c>
    </row>
    <row r="516" spans="1:10" x14ac:dyDescent="0.3">
      <c r="A516" s="65">
        <v>515</v>
      </c>
      <c r="B516" s="66">
        <v>40566</v>
      </c>
      <c r="C516" s="65">
        <v>1</v>
      </c>
      <c r="D516" s="65">
        <v>0</v>
      </c>
      <c r="E516" s="65">
        <v>1</v>
      </c>
      <c r="F516" s="65">
        <v>13</v>
      </c>
      <c r="G516" s="67" t="b">
        <v>0</v>
      </c>
      <c r="H516" s="65">
        <v>0</v>
      </c>
      <c r="I516" s="65">
        <v>1</v>
      </c>
      <c r="J516" s="65">
        <v>0.14000000000000001</v>
      </c>
    </row>
    <row r="517" spans="1:10" x14ac:dyDescent="0.3">
      <c r="A517" s="65">
        <v>516</v>
      </c>
      <c r="B517" s="66">
        <v>40566</v>
      </c>
      <c r="C517" s="65">
        <v>1</v>
      </c>
      <c r="D517" s="65">
        <v>0</v>
      </c>
      <c r="E517" s="65">
        <v>1</v>
      </c>
      <c r="F517" s="65">
        <v>14</v>
      </c>
      <c r="G517" s="67" t="b">
        <v>0</v>
      </c>
      <c r="H517" s="65">
        <v>0</v>
      </c>
      <c r="I517" s="65">
        <v>1</v>
      </c>
      <c r="J517" s="65">
        <v>0.16</v>
      </c>
    </row>
    <row r="518" spans="1:10" x14ac:dyDescent="0.3">
      <c r="A518" s="65">
        <v>517</v>
      </c>
      <c r="B518" s="66">
        <v>40566</v>
      </c>
      <c r="C518" s="65">
        <v>1</v>
      </c>
      <c r="D518" s="65">
        <v>0</v>
      </c>
      <c r="E518" s="65">
        <v>1</v>
      </c>
      <c r="F518" s="65">
        <v>15</v>
      </c>
      <c r="G518" s="67" t="b">
        <v>0</v>
      </c>
      <c r="H518" s="65">
        <v>0</v>
      </c>
      <c r="I518" s="65">
        <v>1</v>
      </c>
      <c r="J518" s="65">
        <v>0.16</v>
      </c>
    </row>
    <row r="519" spans="1:10" x14ac:dyDescent="0.3">
      <c r="A519" s="65">
        <v>518</v>
      </c>
      <c r="B519" s="66">
        <v>40566</v>
      </c>
      <c r="C519" s="65">
        <v>1</v>
      </c>
      <c r="D519" s="65">
        <v>0</v>
      </c>
      <c r="E519" s="65">
        <v>1</v>
      </c>
      <c r="F519" s="65">
        <v>16</v>
      </c>
      <c r="G519" s="67" t="b">
        <v>0</v>
      </c>
      <c r="H519" s="65">
        <v>0</v>
      </c>
      <c r="I519" s="65">
        <v>1</v>
      </c>
      <c r="J519" s="65">
        <v>0.16</v>
      </c>
    </row>
    <row r="520" spans="1:10" x14ac:dyDescent="0.3">
      <c r="A520" s="65">
        <v>519</v>
      </c>
      <c r="B520" s="66">
        <v>40566</v>
      </c>
      <c r="C520" s="65">
        <v>1</v>
      </c>
      <c r="D520" s="65">
        <v>0</v>
      </c>
      <c r="E520" s="65">
        <v>1</v>
      </c>
      <c r="F520" s="65">
        <v>17</v>
      </c>
      <c r="G520" s="67" t="b">
        <v>0</v>
      </c>
      <c r="H520" s="65">
        <v>0</v>
      </c>
      <c r="I520" s="65">
        <v>1</v>
      </c>
      <c r="J520" s="65">
        <v>0.14000000000000001</v>
      </c>
    </row>
    <row r="521" spans="1:10" x14ac:dyDescent="0.3">
      <c r="A521" s="65">
        <v>520</v>
      </c>
      <c r="B521" s="66">
        <v>40566</v>
      </c>
      <c r="C521" s="65">
        <v>1</v>
      </c>
      <c r="D521" s="65">
        <v>0</v>
      </c>
      <c r="E521" s="65">
        <v>1</v>
      </c>
      <c r="F521" s="65">
        <v>18</v>
      </c>
      <c r="G521" s="67" t="b">
        <v>0</v>
      </c>
      <c r="H521" s="65">
        <v>0</v>
      </c>
      <c r="I521" s="65">
        <v>1</v>
      </c>
      <c r="J521" s="65">
        <v>0.12</v>
      </c>
    </row>
    <row r="522" spans="1:10" x14ac:dyDescent="0.3">
      <c r="A522" s="65">
        <v>521</v>
      </c>
      <c r="B522" s="66">
        <v>40566</v>
      </c>
      <c r="C522" s="65">
        <v>1</v>
      </c>
      <c r="D522" s="65">
        <v>0</v>
      </c>
      <c r="E522" s="65">
        <v>1</v>
      </c>
      <c r="F522" s="65">
        <v>19</v>
      </c>
      <c r="G522" s="67" t="b">
        <v>0</v>
      </c>
      <c r="H522" s="65">
        <v>0</v>
      </c>
      <c r="I522" s="65">
        <v>1</v>
      </c>
      <c r="J522" s="65">
        <v>0.12</v>
      </c>
    </row>
    <row r="523" spans="1:10" x14ac:dyDescent="0.3">
      <c r="A523" s="65">
        <v>522</v>
      </c>
      <c r="B523" s="66">
        <v>40566</v>
      </c>
      <c r="C523" s="65">
        <v>1</v>
      </c>
      <c r="D523" s="65">
        <v>0</v>
      </c>
      <c r="E523" s="65">
        <v>1</v>
      </c>
      <c r="F523" s="65">
        <v>20</v>
      </c>
      <c r="G523" s="67" t="b">
        <v>0</v>
      </c>
      <c r="H523" s="65">
        <v>0</v>
      </c>
      <c r="I523" s="65">
        <v>1</v>
      </c>
      <c r="J523" s="65">
        <v>0.1</v>
      </c>
    </row>
    <row r="524" spans="1:10" x14ac:dyDescent="0.3">
      <c r="A524" s="65">
        <v>523</v>
      </c>
      <c r="B524" s="66">
        <v>40566</v>
      </c>
      <c r="C524" s="65">
        <v>1</v>
      </c>
      <c r="D524" s="65">
        <v>0</v>
      </c>
      <c r="E524" s="65">
        <v>1</v>
      </c>
      <c r="F524" s="65">
        <v>21</v>
      </c>
      <c r="G524" s="67" t="b">
        <v>0</v>
      </c>
      <c r="H524" s="65">
        <v>0</v>
      </c>
      <c r="I524" s="65">
        <v>1</v>
      </c>
      <c r="J524" s="65">
        <v>0.1</v>
      </c>
    </row>
    <row r="525" spans="1:10" x14ac:dyDescent="0.3">
      <c r="A525" s="65">
        <v>524</v>
      </c>
      <c r="B525" s="66">
        <v>40566</v>
      </c>
      <c r="C525" s="65">
        <v>1</v>
      </c>
      <c r="D525" s="65">
        <v>0</v>
      </c>
      <c r="E525" s="65">
        <v>1</v>
      </c>
      <c r="F525" s="65">
        <v>22</v>
      </c>
      <c r="G525" s="67" t="b">
        <v>0</v>
      </c>
      <c r="H525" s="65">
        <v>0</v>
      </c>
      <c r="I525" s="65">
        <v>1</v>
      </c>
      <c r="J525" s="65">
        <v>0.08</v>
      </c>
    </row>
    <row r="526" spans="1:10" x14ac:dyDescent="0.3">
      <c r="A526" s="65">
        <v>525</v>
      </c>
      <c r="B526" s="66">
        <v>40566</v>
      </c>
      <c r="C526" s="65">
        <v>1</v>
      </c>
      <c r="D526" s="65">
        <v>0</v>
      </c>
      <c r="E526" s="65">
        <v>1</v>
      </c>
      <c r="F526" s="65">
        <v>23</v>
      </c>
      <c r="G526" s="67" t="b">
        <v>0</v>
      </c>
      <c r="H526" s="65">
        <v>0</v>
      </c>
      <c r="I526" s="65">
        <v>1</v>
      </c>
      <c r="J526" s="65">
        <v>0.06</v>
      </c>
    </row>
    <row r="527" spans="1:10" x14ac:dyDescent="0.3">
      <c r="A527" s="65">
        <v>526</v>
      </c>
      <c r="B527" s="66">
        <v>40567</v>
      </c>
      <c r="C527" s="65">
        <v>1</v>
      </c>
      <c r="D527" s="65">
        <v>0</v>
      </c>
      <c r="E527" s="65">
        <v>1</v>
      </c>
      <c r="F527" s="65">
        <v>0</v>
      </c>
      <c r="G527" s="67" t="b">
        <v>0</v>
      </c>
      <c r="H527" s="65">
        <v>1</v>
      </c>
      <c r="I527" s="65">
        <v>1</v>
      </c>
      <c r="J527" s="65">
        <v>0.06</v>
      </c>
    </row>
    <row r="528" spans="1:10" x14ac:dyDescent="0.3">
      <c r="A528" s="65">
        <v>527</v>
      </c>
      <c r="B528" s="66">
        <v>40567</v>
      </c>
      <c r="C528" s="65">
        <v>1</v>
      </c>
      <c r="D528" s="65">
        <v>0</v>
      </c>
      <c r="E528" s="65">
        <v>1</v>
      </c>
      <c r="F528" s="65">
        <v>1</v>
      </c>
      <c r="G528" s="67" t="b">
        <v>0</v>
      </c>
      <c r="H528" s="65">
        <v>1</v>
      </c>
      <c r="I528" s="65">
        <v>1</v>
      </c>
      <c r="J528" s="65">
        <v>0.04</v>
      </c>
    </row>
    <row r="529" spans="1:10" x14ac:dyDescent="0.3">
      <c r="A529" s="65">
        <v>528</v>
      </c>
      <c r="B529" s="66">
        <v>40567</v>
      </c>
      <c r="C529" s="65">
        <v>1</v>
      </c>
      <c r="D529" s="65">
        <v>0</v>
      </c>
      <c r="E529" s="65">
        <v>1</v>
      </c>
      <c r="F529" s="65">
        <v>3</v>
      </c>
      <c r="G529" s="67" t="b">
        <v>0</v>
      </c>
      <c r="H529" s="65">
        <v>1</v>
      </c>
      <c r="I529" s="65">
        <v>1</v>
      </c>
      <c r="J529" s="65">
        <v>0.04</v>
      </c>
    </row>
    <row r="530" spans="1:10" x14ac:dyDescent="0.3">
      <c r="A530" s="65">
        <v>529</v>
      </c>
      <c r="B530" s="66">
        <v>40567</v>
      </c>
      <c r="C530" s="65">
        <v>1</v>
      </c>
      <c r="D530" s="65">
        <v>0</v>
      </c>
      <c r="E530" s="65">
        <v>1</v>
      </c>
      <c r="F530" s="65">
        <v>4</v>
      </c>
      <c r="G530" s="67" t="b">
        <v>0</v>
      </c>
      <c r="H530" s="65">
        <v>1</v>
      </c>
      <c r="I530" s="65">
        <v>1</v>
      </c>
      <c r="J530" s="65">
        <v>0.02</v>
      </c>
    </row>
    <row r="531" spans="1:10" x14ac:dyDescent="0.3">
      <c r="A531" s="65">
        <v>530</v>
      </c>
      <c r="B531" s="66">
        <v>40567</v>
      </c>
      <c r="C531" s="65">
        <v>1</v>
      </c>
      <c r="D531" s="65">
        <v>0</v>
      </c>
      <c r="E531" s="65">
        <v>1</v>
      </c>
      <c r="F531" s="65">
        <v>5</v>
      </c>
      <c r="G531" s="67" t="b">
        <v>0</v>
      </c>
      <c r="H531" s="65">
        <v>1</v>
      </c>
      <c r="I531" s="65">
        <v>1</v>
      </c>
      <c r="J531" s="65">
        <v>0.02</v>
      </c>
    </row>
    <row r="532" spans="1:10" x14ac:dyDescent="0.3">
      <c r="A532" s="65">
        <v>531</v>
      </c>
      <c r="B532" s="66">
        <v>40567</v>
      </c>
      <c r="C532" s="65">
        <v>1</v>
      </c>
      <c r="D532" s="65">
        <v>0</v>
      </c>
      <c r="E532" s="65">
        <v>1</v>
      </c>
      <c r="F532" s="65">
        <v>6</v>
      </c>
      <c r="G532" s="67" t="b">
        <v>0</v>
      </c>
      <c r="H532" s="65">
        <v>1</v>
      </c>
      <c r="I532" s="65">
        <v>1</v>
      </c>
      <c r="J532" s="65">
        <v>0.02</v>
      </c>
    </row>
    <row r="533" spans="1:10" x14ac:dyDescent="0.3">
      <c r="A533" s="65">
        <v>532</v>
      </c>
      <c r="B533" s="66">
        <v>40567</v>
      </c>
      <c r="C533" s="65">
        <v>1</v>
      </c>
      <c r="D533" s="65">
        <v>0</v>
      </c>
      <c r="E533" s="65">
        <v>1</v>
      </c>
      <c r="F533" s="65">
        <v>7</v>
      </c>
      <c r="G533" s="67" t="b">
        <v>0</v>
      </c>
      <c r="H533" s="65">
        <v>1</v>
      </c>
      <c r="I533" s="65">
        <v>1</v>
      </c>
      <c r="J533" s="65">
        <v>0.02</v>
      </c>
    </row>
    <row r="534" spans="1:10" x14ac:dyDescent="0.3">
      <c r="A534" s="65">
        <v>533</v>
      </c>
      <c r="B534" s="66">
        <v>40567</v>
      </c>
      <c r="C534" s="65">
        <v>1</v>
      </c>
      <c r="D534" s="65">
        <v>0</v>
      </c>
      <c r="E534" s="65">
        <v>1</v>
      </c>
      <c r="F534" s="65">
        <v>8</v>
      </c>
      <c r="G534" s="67" t="b">
        <v>0</v>
      </c>
      <c r="H534" s="65">
        <v>1</v>
      </c>
      <c r="I534" s="65">
        <v>1</v>
      </c>
      <c r="J534" s="65">
        <v>0.04</v>
      </c>
    </row>
    <row r="535" spans="1:10" x14ac:dyDescent="0.3">
      <c r="A535" s="65">
        <v>534</v>
      </c>
      <c r="B535" s="66">
        <v>40567</v>
      </c>
      <c r="C535" s="65">
        <v>1</v>
      </c>
      <c r="D535" s="65">
        <v>0</v>
      </c>
      <c r="E535" s="65">
        <v>1</v>
      </c>
      <c r="F535" s="65">
        <v>9</v>
      </c>
      <c r="G535" s="67" t="b">
        <v>0</v>
      </c>
      <c r="H535" s="65">
        <v>1</v>
      </c>
      <c r="I535" s="65">
        <v>1</v>
      </c>
      <c r="J535" s="65">
        <v>0.06</v>
      </c>
    </row>
    <row r="536" spans="1:10" x14ac:dyDescent="0.3">
      <c r="A536" s="65">
        <v>535</v>
      </c>
      <c r="B536" s="66">
        <v>40567</v>
      </c>
      <c r="C536" s="65">
        <v>1</v>
      </c>
      <c r="D536" s="65">
        <v>0</v>
      </c>
      <c r="E536" s="65">
        <v>1</v>
      </c>
      <c r="F536" s="65">
        <v>10</v>
      </c>
      <c r="G536" s="67" t="b">
        <v>0</v>
      </c>
      <c r="H536" s="65">
        <v>1</v>
      </c>
      <c r="I536" s="65">
        <v>1</v>
      </c>
      <c r="J536" s="65">
        <v>0.1</v>
      </c>
    </row>
    <row r="537" spans="1:10" x14ac:dyDescent="0.3">
      <c r="A537" s="65">
        <v>536</v>
      </c>
      <c r="B537" s="66">
        <v>40567</v>
      </c>
      <c r="C537" s="65">
        <v>1</v>
      </c>
      <c r="D537" s="65">
        <v>0</v>
      </c>
      <c r="E537" s="65">
        <v>1</v>
      </c>
      <c r="F537" s="65">
        <v>11</v>
      </c>
      <c r="G537" s="67" t="b">
        <v>0</v>
      </c>
      <c r="H537" s="65">
        <v>1</v>
      </c>
      <c r="I537" s="65">
        <v>1</v>
      </c>
      <c r="J537" s="65">
        <v>0.1</v>
      </c>
    </row>
    <row r="538" spans="1:10" x14ac:dyDescent="0.3">
      <c r="A538" s="65">
        <v>537</v>
      </c>
      <c r="B538" s="66">
        <v>40567</v>
      </c>
      <c r="C538" s="65">
        <v>1</v>
      </c>
      <c r="D538" s="65">
        <v>0</v>
      </c>
      <c r="E538" s="65">
        <v>1</v>
      </c>
      <c r="F538" s="65">
        <v>12</v>
      </c>
      <c r="G538" s="67" t="b">
        <v>0</v>
      </c>
      <c r="H538" s="65">
        <v>1</v>
      </c>
      <c r="I538" s="65">
        <v>2</v>
      </c>
      <c r="J538" s="65">
        <v>0.12</v>
      </c>
    </row>
    <row r="539" spans="1:10" x14ac:dyDescent="0.3">
      <c r="A539" s="65">
        <v>538</v>
      </c>
      <c r="B539" s="66">
        <v>40567</v>
      </c>
      <c r="C539" s="65">
        <v>1</v>
      </c>
      <c r="D539" s="65">
        <v>0</v>
      </c>
      <c r="E539" s="65">
        <v>1</v>
      </c>
      <c r="F539" s="65">
        <v>13</v>
      </c>
      <c r="G539" s="67" t="b">
        <v>0</v>
      </c>
      <c r="H539" s="65">
        <v>1</v>
      </c>
      <c r="I539" s="65">
        <v>2</v>
      </c>
      <c r="J539" s="65">
        <v>0.14000000000000001</v>
      </c>
    </row>
    <row r="540" spans="1:10" x14ac:dyDescent="0.3">
      <c r="A540" s="65">
        <v>539</v>
      </c>
      <c r="B540" s="66">
        <v>40567</v>
      </c>
      <c r="C540" s="65">
        <v>1</v>
      </c>
      <c r="D540" s="65">
        <v>0</v>
      </c>
      <c r="E540" s="65">
        <v>1</v>
      </c>
      <c r="F540" s="65">
        <v>14</v>
      </c>
      <c r="G540" s="67" t="b">
        <v>0</v>
      </c>
      <c r="H540" s="65">
        <v>1</v>
      </c>
      <c r="I540" s="65">
        <v>2</v>
      </c>
      <c r="J540" s="65">
        <v>0.14000000000000001</v>
      </c>
    </row>
    <row r="541" spans="1:10" x14ac:dyDescent="0.3">
      <c r="A541" s="65">
        <v>540</v>
      </c>
      <c r="B541" s="66">
        <v>40567</v>
      </c>
      <c r="C541" s="65">
        <v>1</v>
      </c>
      <c r="D541" s="65">
        <v>0</v>
      </c>
      <c r="E541" s="65">
        <v>1</v>
      </c>
      <c r="F541" s="65">
        <v>15</v>
      </c>
      <c r="G541" s="67" t="b">
        <v>0</v>
      </c>
      <c r="H541" s="65">
        <v>1</v>
      </c>
      <c r="I541" s="65">
        <v>1</v>
      </c>
      <c r="J541" s="65">
        <v>0.16</v>
      </c>
    </row>
    <row r="542" spans="1:10" x14ac:dyDescent="0.3">
      <c r="A542" s="65">
        <v>541</v>
      </c>
      <c r="B542" s="66">
        <v>40567</v>
      </c>
      <c r="C542" s="65">
        <v>1</v>
      </c>
      <c r="D542" s="65">
        <v>0</v>
      </c>
      <c r="E542" s="65">
        <v>1</v>
      </c>
      <c r="F542" s="65">
        <v>16</v>
      </c>
      <c r="G542" s="67" t="b">
        <v>0</v>
      </c>
      <c r="H542" s="65">
        <v>1</v>
      </c>
      <c r="I542" s="65">
        <v>1</v>
      </c>
      <c r="J542" s="65">
        <v>0.16</v>
      </c>
    </row>
    <row r="543" spans="1:10" x14ac:dyDescent="0.3">
      <c r="A543" s="65">
        <v>542</v>
      </c>
      <c r="B543" s="66">
        <v>40567</v>
      </c>
      <c r="C543" s="65">
        <v>1</v>
      </c>
      <c r="D543" s="65">
        <v>0</v>
      </c>
      <c r="E543" s="65">
        <v>1</v>
      </c>
      <c r="F543" s="65">
        <v>17</v>
      </c>
      <c r="G543" s="67" t="b">
        <v>0</v>
      </c>
      <c r="H543" s="65">
        <v>1</v>
      </c>
      <c r="I543" s="65">
        <v>1</v>
      </c>
      <c r="J543" s="65">
        <v>0.14000000000000001</v>
      </c>
    </row>
    <row r="544" spans="1:10" x14ac:dyDescent="0.3">
      <c r="A544" s="65">
        <v>543</v>
      </c>
      <c r="B544" s="66">
        <v>40567</v>
      </c>
      <c r="C544" s="65">
        <v>1</v>
      </c>
      <c r="D544" s="65">
        <v>0</v>
      </c>
      <c r="E544" s="65">
        <v>1</v>
      </c>
      <c r="F544" s="65">
        <v>18</v>
      </c>
      <c r="G544" s="67" t="b">
        <v>0</v>
      </c>
      <c r="H544" s="65">
        <v>1</v>
      </c>
      <c r="I544" s="65">
        <v>1</v>
      </c>
      <c r="J544" s="65">
        <v>0.14000000000000001</v>
      </c>
    </row>
    <row r="545" spans="1:10" x14ac:dyDescent="0.3">
      <c r="A545" s="65">
        <v>544</v>
      </c>
      <c r="B545" s="66">
        <v>40567</v>
      </c>
      <c r="C545" s="65">
        <v>1</v>
      </c>
      <c r="D545" s="65">
        <v>0</v>
      </c>
      <c r="E545" s="65">
        <v>1</v>
      </c>
      <c r="F545" s="65">
        <v>19</v>
      </c>
      <c r="G545" s="67" t="b">
        <v>0</v>
      </c>
      <c r="H545" s="65">
        <v>1</v>
      </c>
      <c r="I545" s="65">
        <v>1</v>
      </c>
      <c r="J545" s="65">
        <v>0.14000000000000001</v>
      </c>
    </row>
    <row r="546" spans="1:10" x14ac:dyDescent="0.3">
      <c r="A546" s="65">
        <v>545</v>
      </c>
      <c r="B546" s="66">
        <v>40567</v>
      </c>
      <c r="C546" s="65">
        <v>1</v>
      </c>
      <c r="D546" s="65">
        <v>0</v>
      </c>
      <c r="E546" s="65">
        <v>1</v>
      </c>
      <c r="F546" s="65">
        <v>20</v>
      </c>
      <c r="G546" s="67" t="b">
        <v>0</v>
      </c>
      <c r="H546" s="65">
        <v>1</v>
      </c>
      <c r="I546" s="65">
        <v>1</v>
      </c>
      <c r="J546" s="65">
        <v>0.14000000000000001</v>
      </c>
    </row>
    <row r="547" spans="1:10" x14ac:dyDescent="0.3">
      <c r="A547" s="65">
        <v>546</v>
      </c>
      <c r="B547" s="66">
        <v>40567</v>
      </c>
      <c r="C547" s="65">
        <v>1</v>
      </c>
      <c r="D547" s="65">
        <v>0</v>
      </c>
      <c r="E547" s="65">
        <v>1</v>
      </c>
      <c r="F547" s="65">
        <v>21</v>
      </c>
      <c r="G547" s="67" t="b">
        <v>0</v>
      </c>
      <c r="H547" s="65">
        <v>1</v>
      </c>
      <c r="I547" s="65">
        <v>1</v>
      </c>
      <c r="J547" s="65">
        <v>0.14000000000000001</v>
      </c>
    </row>
    <row r="548" spans="1:10" x14ac:dyDescent="0.3">
      <c r="A548" s="65">
        <v>547</v>
      </c>
      <c r="B548" s="66">
        <v>40567</v>
      </c>
      <c r="C548" s="65">
        <v>1</v>
      </c>
      <c r="D548" s="65">
        <v>0</v>
      </c>
      <c r="E548" s="65">
        <v>1</v>
      </c>
      <c r="F548" s="65">
        <v>22</v>
      </c>
      <c r="G548" s="67" t="b">
        <v>0</v>
      </c>
      <c r="H548" s="65">
        <v>1</v>
      </c>
      <c r="I548" s="65">
        <v>2</v>
      </c>
      <c r="J548" s="65">
        <v>0.14000000000000001</v>
      </c>
    </row>
    <row r="549" spans="1:10" x14ac:dyDescent="0.3">
      <c r="A549" s="65">
        <v>548</v>
      </c>
      <c r="B549" s="66">
        <v>40567</v>
      </c>
      <c r="C549" s="65">
        <v>1</v>
      </c>
      <c r="D549" s="65">
        <v>0</v>
      </c>
      <c r="E549" s="65">
        <v>1</v>
      </c>
      <c r="F549" s="65">
        <v>23</v>
      </c>
      <c r="G549" s="67" t="b">
        <v>0</v>
      </c>
      <c r="H549" s="65">
        <v>1</v>
      </c>
      <c r="I549" s="65">
        <v>2</v>
      </c>
      <c r="J549" s="65">
        <v>0.16</v>
      </c>
    </row>
    <row r="550" spans="1:10" x14ac:dyDescent="0.3">
      <c r="A550" s="65">
        <v>549</v>
      </c>
      <c r="B550" s="66">
        <v>40568</v>
      </c>
      <c r="C550" s="65">
        <v>1</v>
      </c>
      <c r="D550" s="65">
        <v>0</v>
      </c>
      <c r="E550" s="65">
        <v>1</v>
      </c>
      <c r="F550" s="65">
        <v>0</v>
      </c>
      <c r="G550" s="67" t="b">
        <v>0</v>
      </c>
      <c r="H550" s="65">
        <v>2</v>
      </c>
      <c r="I550" s="65">
        <v>2</v>
      </c>
      <c r="J550" s="65">
        <v>0.16</v>
      </c>
    </row>
    <row r="551" spans="1:10" x14ac:dyDescent="0.3">
      <c r="A551" s="65">
        <v>550</v>
      </c>
      <c r="B551" s="66">
        <v>40568</v>
      </c>
      <c r="C551" s="65">
        <v>1</v>
      </c>
      <c r="D551" s="65">
        <v>0</v>
      </c>
      <c r="E551" s="65">
        <v>1</v>
      </c>
      <c r="F551" s="65">
        <v>1</v>
      </c>
      <c r="G551" s="67" t="b">
        <v>0</v>
      </c>
      <c r="H551" s="65">
        <v>2</v>
      </c>
      <c r="I551" s="65">
        <v>2</v>
      </c>
      <c r="J551" s="65">
        <v>0.16</v>
      </c>
    </row>
    <row r="552" spans="1:10" x14ac:dyDescent="0.3">
      <c r="A552" s="65">
        <v>551</v>
      </c>
      <c r="B552" s="66">
        <v>40568</v>
      </c>
      <c r="C552" s="65">
        <v>1</v>
      </c>
      <c r="D552" s="65">
        <v>0</v>
      </c>
      <c r="E552" s="65">
        <v>1</v>
      </c>
      <c r="F552" s="65">
        <v>2</v>
      </c>
      <c r="G552" s="67" t="b">
        <v>0</v>
      </c>
      <c r="H552" s="65">
        <v>2</v>
      </c>
      <c r="I552" s="65">
        <v>1</v>
      </c>
      <c r="J552" s="65">
        <v>0.16</v>
      </c>
    </row>
    <row r="553" spans="1:10" x14ac:dyDescent="0.3">
      <c r="A553" s="65">
        <v>552</v>
      </c>
      <c r="B553" s="66">
        <v>40568</v>
      </c>
      <c r="C553" s="65">
        <v>1</v>
      </c>
      <c r="D553" s="65">
        <v>0</v>
      </c>
      <c r="E553" s="65">
        <v>1</v>
      </c>
      <c r="F553" s="65">
        <v>4</v>
      </c>
      <c r="G553" s="67" t="b">
        <v>0</v>
      </c>
      <c r="H553" s="65">
        <v>2</v>
      </c>
      <c r="I553" s="65">
        <v>1</v>
      </c>
      <c r="J553" s="65">
        <v>0.14000000000000001</v>
      </c>
    </row>
    <row r="554" spans="1:10" x14ac:dyDescent="0.3">
      <c r="A554" s="65">
        <v>553</v>
      </c>
      <c r="B554" s="66">
        <v>40568</v>
      </c>
      <c r="C554" s="65">
        <v>1</v>
      </c>
      <c r="D554" s="65">
        <v>0</v>
      </c>
      <c r="E554" s="65">
        <v>1</v>
      </c>
      <c r="F554" s="65">
        <v>5</v>
      </c>
      <c r="G554" s="67" t="b">
        <v>0</v>
      </c>
      <c r="H554" s="65">
        <v>2</v>
      </c>
      <c r="I554" s="65">
        <v>1</v>
      </c>
      <c r="J554" s="65">
        <v>0.14000000000000001</v>
      </c>
    </row>
    <row r="555" spans="1:10" x14ac:dyDescent="0.3">
      <c r="A555" s="65">
        <v>554</v>
      </c>
      <c r="B555" s="66">
        <v>40568</v>
      </c>
      <c r="C555" s="65">
        <v>1</v>
      </c>
      <c r="D555" s="65">
        <v>0</v>
      </c>
      <c r="E555" s="65">
        <v>1</v>
      </c>
      <c r="F555" s="65">
        <v>6</v>
      </c>
      <c r="G555" s="67" t="b">
        <v>0</v>
      </c>
      <c r="H555" s="65">
        <v>2</v>
      </c>
      <c r="I555" s="65">
        <v>1</v>
      </c>
      <c r="J555" s="65">
        <v>0.16</v>
      </c>
    </row>
    <row r="556" spans="1:10" x14ac:dyDescent="0.3">
      <c r="A556" s="65">
        <v>555</v>
      </c>
      <c r="B556" s="66">
        <v>40568</v>
      </c>
      <c r="C556" s="65">
        <v>1</v>
      </c>
      <c r="D556" s="65">
        <v>0</v>
      </c>
      <c r="E556" s="65">
        <v>1</v>
      </c>
      <c r="F556" s="65">
        <v>7</v>
      </c>
      <c r="G556" s="67" t="b">
        <v>0</v>
      </c>
      <c r="H556" s="65">
        <v>2</v>
      </c>
      <c r="I556" s="65">
        <v>1</v>
      </c>
      <c r="J556" s="65">
        <v>0.16</v>
      </c>
    </row>
    <row r="557" spans="1:10" x14ac:dyDescent="0.3">
      <c r="A557" s="65">
        <v>556</v>
      </c>
      <c r="B557" s="66">
        <v>40568</v>
      </c>
      <c r="C557" s="65">
        <v>1</v>
      </c>
      <c r="D557" s="65">
        <v>0</v>
      </c>
      <c r="E557" s="65">
        <v>1</v>
      </c>
      <c r="F557" s="65">
        <v>8</v>
      </c>
      <c r="G557" s="67" t="b">
        <v>0</v>
      </c>
      <c r="H557" s="65">
        <v>2</v>
      </c>
      <c r="I557" s="65">
        <v>2</v>
      </c>
      <c r="J557" s="65">
        <v>0.16</v>
      </c>
    </row>
    <row r="558" spans="1:10" x14ac:dyDescent="0.3">
      <c r="A558" s="65">
        <v>557</v>
      </c>
      <c r="B558" s="66">
        <v>40568</v>
      </c>
      <c r="C558" s="65">
        <v>1</v>
      </c>
      <c r="D558" s="65">
        <v>0</v>
      </c>
      <c r="E558" s="65">
        <v>1</v>
      </c>
      <c r="F558" s="65">
        <v>9</v>
      </c>
      <c r="G558" s="67" t="b">
        <v>0</v>
      </c>
      <c r="H558" s="65">
        <v>2</v>
      </c>
      <c r="I558" s="65">
        <v>2</v>
      </c>
      <c r="J558" s="65">
        <v>0.2</v>
      </c>
    </row>
    <row r="559" spans="1:10" x14ac:dyDescent="0.3">
      <c r="A559" s="65">
        <v>558</v>
      </c>
      <c r="B559" s="66">
        <v>40568</v>
      </c>
      <c r="C559" s="65">
        <v>1</v>
      </c>
      <c r="D559" s="65">
        <v>0</v>
      </c>
      <c r="E559" s="65">
        <v>1</v>
      </c>
      <c r="F559" s="65">
        <v>10</v>
      </c>
      <c r="G559" s="67" t="b">
        <v>0</v>
      </c>
      <c r="H559" s="65">
        <v>2</v>
      </c>
      <c r="I559" s="65">
        <v>2</v>
      </c>
      <c r="J559" s="65">
        <v>0.22</v>
      </c>
    </row>
    <row r="560" spans="1:10" x14ac:dyDescent="0.3">
      <c r="A560" s="65">
        <v>559</v>
      </c>
      <c r="B560" s="66">
        <v>40568</v>
      </c>
      <c r="C560" s="65">
        <v>1</v>
      </c>
      <c r="D560" s="65">
        <v>0</v>
      </c>
      <c r="E560" s="65">
        <v>1</v>
      </c>
      <c r="F560" s="65">
        <v>11</v>
      </c>
      <c r="G560" s="67" t="b">
        <v>0</v>
      </c>
      <c r="H560" s="65">
        <v>2</v>
      </c>
      <c r="I560" s="65">
        <v>2</v>
      </c>
      <c r="J560" s="65">
        <v>0.24</v>
      </c>
    </row>
    <row r="561" spans="1:10" x14ac:dyDescent="0.3">
      <c r="A561" s="65">
        <v>560</v>
      </c>
      <c r="B561" s="66">
        <v>40568</v>
      </c>
      <c r="C561" s="65">
        <v>1</v>
      </c>
      <c r="D561" s="65">
        <v>0</v>
      </c>
      <c r="E561" s="65">
        <v>1</v>
      </c>
      <c r="F561" s="65">
        <v>12</v>
      </c>
      <c r="G561" s="67" t="b">
        <v>0</v>
      </c>
      <c r="H561" s="65">
        <v>2</v>
      </c>
      <c r="I561" s="65">
        <v>2</v>
      </c>
      <c r="J561" s="65">
        <v>0.26</v>
      </c>
    </row>
    <row r="562" spans="1:10" x14ac:dyDescent="0.3">
      <c r="A562" s="65">
        <v>561</v>
      </c>
      <c r="B562" s="66">
        <v>40568</v>
      </c>
      <c r="C562" s="65">
        <v>1</v>
      </c>
      <c r="D562" s="65">
        <v>0</v>
      </c>
      <c r="E562" s="65">
        <v>1</v>
      </c>
      <c r="F562" s="65">
        <v>13</v>
      </c>
      <c r="G562" s="67" t="b">
        <v>0</v>
      </c>
      <c r="H562" s="65">
        <v>2</v>
      </c>
      <c r="I562" s="65">
        <v>2</v>
      </c>
      <c r="J562" s="65">
        <v>0.26</v>
      </c>
    </row>
    <row r="563" spans="1:10" x14ac:dyDescent="0.3">
      <c r="A563" s="65">
        <v>562</v>
      </c>
      <c r="B563" s="66">
        <v>40568</v>
      </c>
      <c r="C563" s="65">
        <v>1</v>
      </c>
      <c r="D563" s="65">
        <v>0</v>
      </c>
      <c r="E563" s="65">
        <v>1</v>
      </c>
      <c r="F563" s="65">
        <v>14</v>
      </c>
      <c r="G563" s="67" t="b">
        <v>0</v>
      </c>
      <c r="H563" s="65">
        <v>2</v>
      </c>
      <c r="I563" s="65">
        <v>2</v>
      </c>
      <c r="J563" s="65">
        <v>0.3</v>
      </c>
    </row>
    <row r="564" spans="1:10" x14ac:dyDescent="0.3">
      <c r="A564" s="65">
        <v>563</v>
      </c>
      <c r="B564" s="66">
        <v>40568</v>
      </c>
      <c r="C564" s="65">
        <v>1</v>
      </c>
      <c r="D564" s="65">
        <v>0</v>
      </c>
      <c r="E564" s="65">
        <v>1</v>
      </c>
      <c r="F564" s="65">
        <v>15</v>
      </c>
      <c r="G564" s="67" t="b">
        <v>0</v>
      </c>
      <c r="H564" s="65">
        <v>2</v>
      </c>
      <c r="I564" s="65">
        <v>2</v>
      </c>
      <c r="J564" s="65">
        <v>0.32</v>
      </c>
    </row>
    <row r="565" spans="1:10" x14ac:dyDescent="0.3">
      <c r="A565" s="65">
        <v>564</v>
      </c>
      <c r="B565" s="66">
        <v>40568</v>
      </c>
      <c r="C565" s="65">
        <v>1</v>
      </c>
      <c r="D565" s="65">
        <v>0</v>
      </c>
      <c r="E565" s="65">
        <v>1</v>
      </c>
      <c r="F565" s="65">
        <v>16</v>
      </c>
      <c r="G565" s="67" t="b">
        <v>0</v>
      </c>
      <c r="H565" s="65">
        <v>2</v>
      </c>
      <c r="I565" s="65">
        <v>2</v>
      </c>
      <c r="J565" s="65">
        <v>0.32</v>
      </c>
    </row>
    <row r="566" spans="1:10" x14ac:dyDescent="0.3">
      <c r="A566" s="65">
        <v>565</v>
      </c>
      <c r="B566" s="66">
        <v>40568</v>
      </c>
      <c r="C566" s="65">
        <v>1</v>
      </c>
      <c r="D566" s="65">
        <v>0</v>
      </c>
      <c r="E566" s="65">
        <v>1</v>
      </c>
      <c r="F566" s="65">
        <v>17</v>
      </c>
      <c r="G566" s="67" t="b">
        <v>0</v>
      </c>
      <c r="H566" s="65">
        <v>2</v>
      </c>
      <c r="I566" s="65">
        <v>1</v>
      </c>
      <c r="J566" s="65">
        <v>0.3</v>
      </c>
    </row>
    <row r="567" spans="1:10" x14ac:dyDescent="0.3">
      <c r="A567" s="65">
        <v>566</v>
      </c>
      <c r="B567" s="66">
        <v>40568</v>
      </c>
      <c r="C567" s="65">
        <v>1</v>
      </c>
      <c r="D567" s="65">
        <v>0</v>
      </c>
      <c r="E567" s="65">
        <v>1</v>
      </c>
      <c r="F567" s="65">
        <v>18</v>
      </c>
      <c r="G567" s="67" t="b">
        <v>0</v>
      </c>
      <c r="H567" s="65">
        <v>2</v>
      </c>
      <c r="I567" s="65">
        <v>2</v>
      </c>
      <c r="J567" s="65">
        <v>0.3</v>
      </c>
    </row>
    <row r="568" spans="1:10" x14ac:dyDescent="0.3">
      <c r="A568" s="65">
        <v>567</v>
      </c>
      <c r="B568" s="66">
        <v>40568</v>
      </c>
      <c r="C568" s="65">
        <v>1</v>
      </c>
      <c r="D568" s="65">
        <v>0</v>
      </c>
      <c r="E568" s="65">
        <v>1</v>
      </c>
      <c r="F568" s="65">
        <v>19</v>
      </c>
      <c r="G568" s="67" t="b">
        <v>0</v>
      </c>
      <c r="H568" s="65">
        <v>2</v>
      </c>
      <c r="I568" s="65">
        <v>2</v>
      </c>
      <c r="J568" s="65">
        <v>0.26</v>
      </c>
    </row>
    <row r="569" spans="1:10" x14ac:dyDescent="0.3">
      <c r="A569" s="65">
        <v>568</v>
      </c>
      <c r="B569" s="66">
        <v>40568</v>
      </c>
      <c r="C569" s="65">
        <v>1</v>
      </c>
      <c r="D569" s="65">
        <v>0</v>
      </c>
      <c r="E569" s="65">
        <v>1</v>
      </c>
      <c r="F569" s="65">
        <v>20</v>
      </c>
      <c r="G569" s="67" t="b">
        <v>0</v>
      </c>
      <c r="H569" s="65">
        <v>2</v>
      </c>
      <c r="I569" s="65">
        <v>1</v>
      </c>
      <c r="J569" s="65">
        <v>0.24</v>
      </c>
    </row>
    <row r="570" spans="1:10" x14ac:dyDescent="0.3">
      <c r="A570" s="65">
        <v>569</v>
      </c>
      <c r="B570" s="66">
        <v>40568</v>
      </c>
      <c r="C570" s="65">
        <v>1</v>
      </c>
      <c r="D570" s="65">
        <v>0</v>
      </c>
      <c r="E570" s="65">
        <v>1</v>
      </c>
      <c r="F570" s="65">
        <v>21</v>
      </c>
      <c r="G570" s="67" t="b">
        <v>0</v>
      </c>
      <c r="H570" s="65">
        <v>2</v>
      </c>
      <c r="I570" s="65">
        <v>1</v>
      </c>
      <c r="J570" s="65">
        <v>0.24</v>
      </c>
    </row>
    <row r="571" spans="1:10" x14ac:dyDescent="0.3">
      <c r="A571" s="65">
        <v>570</v>
      </c>
      <c r="B571" s="66">
        <v>40568</v>
      </c>
      <c r="C571" s="65">
        <v>1</v>
      </c>
      <c r="D571" s="65">
        <v>0</v>
      </c>
      <c r="E571" s="65">
        <v>1</v>
      </c>
      <c r="F571" s="65">
        <v>22</v>
      </c>
      <c r="G571" s="67" t="b">
        <v>0</v>
      </c>
      <c r="H571" s="65">
        <v>2</v>
      </c>
      <c r="I571" s="65">
        <v>1</v>
      </c>
      <c r="J571" s="65">
        <v>0.22</v>
      </c>
    </row>
    <row r="572" spans="1:10" x14ac:dyDescent="0.3">
      <c r="A572" s="65">
        <v>571</v>
      </c>
      <c r="B572" s="66">
        <v>40568</v>
      </c>
      <c r="C572" s="65">
        <v>1</v>
      </c>
      <c r="D572" s="65">
        <v>0</v>
      </c>
      <c r="E572" s="65">
        <v>1</v>
      </c>
      <c r="F572" s="65">
        <v>23</v>
      </c>
      <c r="G572" s="67" t="b">
        <v>0</v>
      </c>
      <c r="H572" s="65">
        <v>2</v>
      </c>
      <c r="I572" s="65">
        <v>2</v>
      </c>
      <c r="J572" s="65">
        <v>0.22</v>
      </c>
    </row>
    <row r="573" spans="1:10" x14ac:dyDescent="0.3">
      <c r="A573" s="65">
        <v>572</v>
      </c>
      <c r="B573" s="66">
        <v>40569</v>
      </c>
      <c r="C573" s="65">
        <v>1</v>
      </c>
      <c r="D573" s="65">
        <v>0</v>
      </c>
      <c r="E573" s="65">
        <v>1</v>
      </c>
      <c r="F573" s="65">
        <v>0</v>
      </c>
      <c r="G573" s="67" t="b">
        <v>0</v>
      </c>
      <c r="H573" s="65">
        <v>3</v>
      </c>
      <c r="I573" s="65">
        <v>2</v>
      </c>
      <c r="J573" s="65">
        <v>0.22</v>
      </c>
    </row>
    <row r="574" spans="1:10" x14ac:dyDescent="0.3">
      <c r="A574" s="65">
        <v>573</v>
      </c>
      <c r="B574" s="66">
        <v>40569</v>
      </c>
      <c r="C574" s="65">
        <v>1</v>
      </c>
      <c r="D574" s="65">
        <v>0</v>
      </c>
      <c r="E574" s="65">
        <v>1</v>
      </c>
      <c r="F574" s="65">
        <v>1</v>
      </c>
      <c r="G574" s="67" t="b">
        <v>0</v>
      </c>
      <c r="H574" s="65">
        <v>3</v>
      </c>
      <c r="I574" s="65">
        <v>2</v>
      </c>
      <c r="J574" s="65">
        <v>0.24</v>
      </c>
    </row>
    <row r="575" spans="1:10" x14ac:dyDescent="0.3">
      <c r="A575" s="65">
        <v>574</v>
      </c>
      <c r="B575" s="66">
        <v>40569</v>
      </c>
      <c r="C575" s="65">
        <v>1</v>
      </c>
      <c r="D575" s="65">
        <v>0</v>
      </c>
      <c r="E575" s="65">
        <v>1</v>
      </c>
      <c r="F575" s="65">
        <v>2</v>
      </c>
      <c r="G575" s="67" t="b">
        <v>0</v>
      </c>
      <c r="H575" s="65">
        <v>3</v>
      </c>
      <c r="I575" s="65">
        <v>3</v>
      </c>
      <c r="J575" s="65">
        <v>0.22</v>
      </c>
    </row>
    <row r="576" spans="1:10" x14ac:dyDescent="0.3">
      <c r="A576" s="65">
        <v>575</v>
      </c>
      <c r="B576" s="66">
        <v>40569</v>
      </c>
      <c r="C576" s="65">
        <v>1</v>
      </c>
      <c r="D576" s="65">
        <v>0</v>
      </c>
      <c r="E576" s="65">
        <v>1</v>
      </c>
      <c r="F576" s="65">
        <v>5</v>
      </c>
      <c r="G576" s="67" t="b">
        <v>0</v>
      </c>
      <c r="H576" s="65">
        <v>3</v>
      </c>
      <c r="I576" s="65">
        <v>3</v>
      </c>
      <c r="J576" s="65">
        <v>0.2</v>
      </c>
    </row>
    <row r="577" spans="1:10" x14ac:dyDescent="0.3">
      <c r="A577" s="65">
        <v>576</v>
      </c>
      <c r="B577" s="66">
        <v>40569</v>
      </c>
      <c r="C577" s="65">
        <v>1</v>
      </c>
      <c r="D577" s="65">
        <v>0</v>
      </c>
      <c r="E577" s="65">
        <v>1</v>
      </c>
      <c r="F577" s="65">
        <v>6</v>
      </c>
      <c r="G577" s="67" t="b">
        <v>0</v>
      </c>
      <c r="H577" s="65">
        <v>3</v>
      </c>
      <c r="I577" s="65">
        <v>3</v>
      </c>
      <c r="J577" s="65">
        <v>0.2</v>
      </c>
    </row>
    <row r="578" spans="1:10" x14ac:dyDescent="0.3">
      <c r="A578" s="65">
        <v>577</v>
      </c>
      <c r="B578" s="66">
        <v>40569</v>
      </c>
      <c r="C578" s="65">
        <v>1</v>
      </c>
      <c r="D578" s="65">
        <v>0</v>
      </c>
      <c r="E578" s="65">
        <v>1</v>
      </c>
      <c r="F578" s="65">
        <v>7</v>
      </c>
      <c r="G578" s="67" t="b">
        <v>0</v>
      </c>
      <c r="H578" s="65">
        <v>3</v>
      </c>
      <c r="I578" s="65">
        <v>3</v>
      </c>
      <c r="J578" s="65">
        <v>0.22</v>
      </c>
    </row>
    <row r="579" spans="1:10" x14ac:dyDescent="0.3">
      <c r="A579" s="65">
        <v>578</v>
      </c>
      <c r="B579" s="66">
        <v>40569</v>
      </c>
      <c r="C579" s="65">
        <v>1</v>
      </c>
      <c r="D579" s="65">
        <v>0</v>
      </c>
      <c r="E579" s="65">
        <v>1</v>
      </c>
      <c r="F579" s="65">
        <v>8</v>
      </c>
      <c r="G579" s="67" t="b">
        <v>0</v>
      </c>
      <c r="H579" s="65">
        <v>3</v>
      </c>
      <c r="I579" s="65">
        <v>3</v>
      </c>
      <c r="J579" s="65">
        <v>0.22</v>
      </c>
    </row>
    <row r="580" spans="1:10" x14ac:dyDescent="0.3">
      <c r="A580" s="65">
        <v>579</v>
      </c>
      <c r="B580" s="66">
        <v>40569</v>
      </c>
      <c r="C580" s="65">
        <v>1</v>
      </c>
      <c r="D580" s="65">
        <v>0</v>
      </c>
      <c r="E580" s="65">
        <v>1</v>
      </c>
      <c r="F580" s="65">
        <v>9</v>
      </c>
      <c r="G580" s="67" t="b">
        <v>0</v>
      </c>
      <c r="H580" s="65">
        <v>3</v>
      </c>
      <c r="I580" s="65">
        <v>3</v>
      </c>
      <c r="J580" s="65">
        <v>0.22</v>
      </c>
    </row>
    <row r="581" spans="1:10" x14ac:dyDescent="0.3">
      <c r="A581" s="65">
        <v>580</v>
      </c>
      <c r="B581" s="66">
        <v>40569</v>
      </c>
      <c r="C581" s="65">
        <v>1</v>
      </c>
      <c r="D581" s="65">
        <v>0</v>
      </c>
      <c r="E581" s="65">
        <v>1</v>
      </c>
      <c r="F581" s="65">
        <v>10</v>
      </c>
      <c r="G581" s="67" t="b">
        <v>0</v>
      </c>
      <c r="H581" s="65">
        <v>3</v>
      </c>
      <c r="I581" s="65">
        <v>3</v>
      </c>
      <c r="J581" s="65">
        <v>0.22</v>
      </c>
    </row>
    <row r="582" spans="1:10" x14ac:dyDescent="0.3">
      <c r="A582" s="65">
        <v>581</v>
      </c>
      <c r="B582" s="66">
        <v>40569</v>
      </c>
      <c r="C582" s="65">
        <v>1</v>
      </c>
      <c r="D582" s="65">
        <v>0</v>
      </c>
      <c r="E582" s="65">
        <v>1</v>
      </c>
      <c r="F582" s="65">
        <v>11</v>
      </c>
      <c r="G582" s="67" t="b">
        <v>0</v>
      </c>
      <c r="H582" s="65">
        <v>3</v>
      </c>
      <c r="I582" s="65">
        <v>3</v>
      </c>
      <c r="J582" s="65">
        <v>0.22</v>
      </c>
    </row>
    <row r="583" spans="1:10" x14ac:dyDescent="0.3">
      <c r="A583" s="65">
        <v>582</v>
      </c>
      <c r="B583" s="66">
        <v>40569</v>
      </c>
      <c r="C583" s="65">
        <v>1</v>
      </c>
      <c r="D583" s="65">
        <v>0</v>
      </c>
      <c r="E583" s="65">
        <v>1</v>
      </c>
      <c r="F583" s="65">
        <v>12</v>
      </c>
      <c r="G583" s="67" t="b">
        <v>0</v>
      </c>
      <c r="H583" s="65">
        <v>3</v>
      </c>
      <c r="I583" s="65">
        <v>3</v>
      </c>
      <c r="J583" s="65">
        <v>0.22</v>
      </c>
    </row>
    <row r="584" spans="1:10" x14ac:dyDescent="0.3">
      <c r="A584" s="65">
        <v>583</v>
      </c>
      <c r="B584" s="66">
        <v>40569</v>
      </c>
      <c r="C584" s="65">
        <v>1</v>
      </c>
      <c r="D584" s="65">
        <v>0</v>
      </c>
      <c r="E584" s="65">
        <v>1</v>
      </c>
      <c r="F584" s="65">
        <v>13</v>
      </c>
      <c r="G584" s="67" t="b">
        <v>0</v>
      </c>
      <c r="H584" s="65">
        <v>3</v>
      </c>
      <c r="I584" s="65">
        <v>3</v>
      </c>
      <c r="J584" s="65">
        <v>0.22</v>
      </c>
    </row>
    <row r="585" spans="1:10" x14ac:dyDescent="0.3">
      <c r="A585" s="65">
        <v>584</v>
      </c>
      <c r="B585" s="66">
        <v>40569</v>
      </c>
      <c r="C585" s="65">
        <v>1</v>
      </c>
      <c r="D585" s="65">
        <v>0</v>
      </c>
      <c r="E585" s="65">
        <v>1</v>
      </c>
      <c r="F585" s="65">
        <v>14</v>
      </c>
      <c r="G585" s="67" t="b">
        <v>0</v>
      </c>
      <c r="H585" s="65">
        <v>3</v>
      </c>
      <c r="I585" s="65">
        <v>3</v>
      </c>
      <c r="J585" s="65">
        <v>0.22</v>
      </c>
    </row>
    <row r="586" spans="1:10" x14ac:dyDescent="0.3">
      <c r="A586" s="65">
        <v>585</v>
      </c>
      <c r="B586" s="66">
        <v>40569</v>
      </c>
      <c r="C586" s="65">
        <v>1</v>
      </c>
      <c r="D586" s="65">
        <v>0</v>
      </c>
      <c r="E586" s="65">
        <v>1</v>
      </c>
      <c r="F586" s="65">
        <v>15</v>
      </c>
      <c r="G586" s="67" t="b">
        <v>0</v>
      </c>
      <c r="H586" s="65">
        <v>3</v>
      </c>
      <c r="I586" s="65">
        <v>3</v>
      </c>
      <c r="J586" s="65">
        <v>0.22</v>
      </c>
    </row>
    <row r="587" spans="1:10" x14ac:dyDescent="0.3">
      <c r="A587" s="65">
        <v>586</v>
      </c>
      <c r="B587" s="66">
        <v>40569</v>
      </c>
      <c r="C587" s="65">
        <v>1</v>
      </c>
      <c r="D587" s="65">
        <v>0</v>
      </c>
      <c r="E587" s="65">
        <v>1</v>
      </c>
      <c r="F587" s="65">
        <v>16</v>
      </c>
      <c r="G587" s="67" t="b">
        <v>0</v>
      </c>
      <c r="H587" s="65">
        <v>3</v>
      </c>
      <c r="I587" s="65">
        <v>4</v>
      </c>
      <c r="J587" s="65">
        <v>0.22</v>
      </c>
    </row>
    <row r="588" spans="1:10" x14ac:dyDescent="0.3">
      <c r="A588" s="65">
        <v>587</v>
      </c>
      <c r="B588" s="66">
        <v>40569</v>
      </c>
      <c r="C588" s="65">
        <v>1</v>
      </c>
      <c r="D588" s="65">
        <v>0</v>
      </c>
      <c r="E588" s="65">
        <v>1</v>
      </c>
      <c r="F588" s="65">
        <v>17</v>
      </c>
      <c r="G588" s="67" t="b">
        <v>0</v>
      </c>
      <c r="H588" s="65">
        <v>3</v>
      </c>
      <c r="I588" s="65">
        <v>3</v>
      </c>
      <c r="J588" s="65">
        <v>0.2</v>
      </c>
    </row>
    <row r="589" spans="1:10" x14ac:dyDescent="0.3">
      <c r="A589" s="65">
        <v>588</v>
      </c>
      <c r="B589" s="66">
        <v>40570</v>
      </c>
      <c r="C589" s="65">
        <v>1</v>
      </c>
      <c r="D589" s="65">
        <v>0</v>
      </c>
      <c r="E589" s="65">
        <v>1</v>
      </c>
      <c r="F589" s="65">
        <v>16</v>
      </c>
      <c r="G589" s="67" t="b">
        <v>0</v>
      </c>
      <c r="H589" s="65">
        <v>4</v>
      </c>
      <c r="I589" s="65">
        <v>1</v>
      </c>
      <c r="J589" s="65">
        <v>0.22</v>
      </c>
    </row>
    <row r="590" spans="1:10" x14ac:dyDescent="0.3">
      <c r="A590" s="65">
        <v>589</v>
      </c>
      <c r="B590" s="66">
        <v>40570</v>
      </c>
      <c r="C590" s="65">
        <v>1</v>
      </c>
      <c r="D590" s="65">
        <v>0</v>
      </c>
      <c r="E590" s="65">
        <v>1</v>
      </c>
      <c r="F590" s="65">
        <v>17</v>
      </c>
      <c r="G590" s="67" t="b">
        <v>0</v>
      </c>
      <c r="H590" s="65">
        <v>4</v>
      </c>
      <c r="I590" s="65">
        <v>1</v>
      </c>
      <c r="J590" s="65">
        <v>0.22</v>
      </c>
    </row>
    <row r="591" spans="1:10" x14ac:dyDescent="0.3">
      <c r="A591" s="65">
        <v>590</v>
      </c>
      <c r="B591" s="66">
        <v>40570</v>
      </c>
      <c r="C591" s="65">
        <v>1</v>
      </c>
      <c r="D591" s="65">
        <v>0</v>
      </c>
      <c r="E591" s="65">
        <v>1</v>
      </c>
      <c r="F591" s="65">
        <v>18</v>
      </c>
      <c r="G591" s="67" t="b">
        <v>0</v>
      </c>
      <c r="H591" s="65">
        <v>4</v>
      </c>
      <c r="I591" s="65">
        <v>1</v>
      </c>
      <c r="J591" s="65">
        <v>0.2</v>
      </c>
    </row>
    <row r="592" spans="1:10" x14ac:dyDescent="0.3">
      <c r="A592" s="65">
        <v>591</v>
      </c>
      <c r="B592" s="66">
        <v>40570</v>
      </c>
      <c r="C592" s="65">
        <v>1</v>
      </c>
      <c r="D592" s="65">
        <v>0</v>
      </c>
      <c r="E592" s="65">
        <v>1</v>
      </c>
      <c r="F592" s="65">
        <v>19</v>
      </c>
      <c r="G592" s="67" t="b">
        <v>0</v>
      </c>
      <c r="H592" s="65">
        <v>4</v>
      </c>
      <c r="I592" s="65">
        <v>1</v>
      </c>
      <c r="J592" s="65">
        <v>0.2</v>
      </c>
    </row>
    <row r="593" spans="1:10" x14ac:dyDescent="0.3">
      <c r="A593" s="65">
        <v>592</v>
      </c>
      <c r="B593" s="66">
        <v>40570</v>
      </c>
      <c r="C593" s="65">
        <v>1</v>
      </c>
      <c r="D593" s="65">
        <v>0</v>
      </c>
      <c r="E593" s="65">
        <v>1</v>
      </c>
      <c r="F593" s="65">
        <v>20</v>
      </c>
      <c r="G593" s="67" t="b">
        <v>0</v>
      </c>
      <c r="H593" s="65">
        <v>4</v>
      </c>
      <c r="I593" s="65">
        <v>1</v>
      </c>
      <c r="J593" s="65">
        <v>0.18</v>
      </c>
    </row>
    <row r="594" spans="1:10" x14ac:dyDescent="0.3">
      <c r="A594" s="65">
        <v>593</v>
      </c>
      <c r="B594" s="66">
        <v>40570</v>
      </c>
      <c r="C594" s="65">
        <v>1</v>
      </c>
      <c r="D594" s="65">
        <v>0</v>
      </c>
      <c r="E594" s="65">
        <v>1</v>
      </c>
      <c r="F594" s="65">
        <v>21</v>
      </c>
      <c r="G594" s="67" t="b">
        <v>0</v>
      </c>
      <c r="H594" s="65">
        <v>4</v>
      </c>
      <c r="I594" s="65">
        <v>1</v>
      </c>
      <c r="J594" s="65">
        <v>0.18</v>
      </c>
    </row>
    <row r="595" spans="1:10" x14ac:dyDescent="0.3">
      <c r="A595" s="65">
        <v>594</v>
      </c>
      <c r="B595" s="66">
        <v>40570</v>
      </c>
      <c r="C595" s="65">
        <v>1</v>
      </c>
      <c r="D595" s="65">
        <v>0</v>
      </c>
      <c r="E595" s="65">
        <v>1</v>
      </c>
      <c r="F595" s="65">
        <v>22</v>
      </c>
      <c r="G595" s="67" t="b">
        <v>0</v>
      </c>
      <c r="H595" s="65">
        <v>4</v>
      </c>
      <c r="I595" s="65">
        <v>1</v>
      </c>
      <c r="J595" s="65">
        <v>0.18</v>
      </c>
    </row>
    <row r="596" spans="1:10" x14ac:dyDescent="0.3">
      <c r="A596" s="65">
        <v>595</v>
      </c>
      <c r="B596" s="66">
        <v>40570</v>
      </c>
      <c r="C596" s="65">
        <v>1</v>
      </c>
      <c r="D596" s="65">
        <v>0</v>
      </c>
      <c r="E596" s="65">
        <v>1</v>
      </c>
      <c r="F596" s="65">
        <v>23</v>
      </c>
      <c r="G596" s="67" t="b">
        <v>0</v>
      </c>
      <c r="H596" s="65">
        <v>4</v>
      </c>
      <c r="I596" s="65">
        <v>1</v>
      </c>
      <c r="J596" s="65">
        <v>0.18</v>
      </c>
    </row>
    <row r="597" spans="1:10" x14ac:dyDescent="0.3">
      <c r="A597" s="65">
        <v>596</v>
      </c>
      <c r="B597" s="66">
        <v>40571</v>
      </c>
      <c r="C597" s="65">
        <v>1</v>
      </c>
      <c r="D597" s="65">
        <v>0</v>
      </c>
      <c r="E597" s="65">
        <v>1</v>
      </c>
      <c r="F597" s="65">
        <v>0</v>
      </c>
      <c r="G597" s="67" t="b">
        <v>0</v>
      </c>
      <c r="H597" s="65">
        <v>5</v>
      </c>
      <c r="I597" s="65">
        <v>2</v>
      </c>
      <c r="J597" s="65">
        <v>0.2</v>
      </c>
    </row>
    <row r="598" spans="1:10" x14ac:dyDescent="0.3">
      <c r="A598" s="65">
        <v>597</v>
      </c>
      <c r="B598" s="66">
        <v>40571</v>
      </c>
      <c r="C598" s="65">
        <v>1</v>
      </c>
      <c r="D598" s="65">
        <v>0</v>
      </c>
      <c r="E598" s="65">
        <v>1</v>
      </c>
      <c r="F598" s="65">
        <v>1</v>
      </c>
      <c r="G598" s="67" t="b">
        <v>0</v>
      </c>
      <c r="H598" s="65">
        <v>5</v>
      </c>
      <c r="I598" s="65">
        <v>2</v>
      </c>
      <c r="J598" s="65">
        <v>0.2</v>
      </c>
    </row>
    <row r="599" spans="1:10" x14ac:dyDescent="0.3">
      <c r="A599" s="65">
        <v>598</v>
      </c>
      <c r="B599" s="66">
        <v>40571</v>
      </c>
      <c r="C599" s="65">
        <v>1</v>
      </c>
      <c r="D599" s="65">
        <v>0</v>
      </c>
      <c r="E599" s="65">
        <v>1</v>
      </c>
      <c r="F599" s="65">
        <v>2</v>
      </c>
      <c r="G599" s="67" t="b">
        <v>0</v>
      </c>
      <c r="H599" s="65">
        <v>5</v>
      </c>
      <c r="I599" s="65">
        <v>2</v>
      </c>
      <c r="J599" s="65">
        <v>0.2</v>
      </c>
    </row>
    <row r="600" spans="1:10" x14ac:dyDescent="0.3">
      <c r="A600" s="65">
        <v>599</v>
      </c>
      <c r="B600" s="66">
        <v>40571</v>
      </c>
      <c r="C600" s="65">
        <v>1</v>
      </c>
      <c r="D600" s="65">
        <v>0</v>
      </c>
      <c r="E600" s="65">
        <v>1</v>
      </c>
      <c r="F600" s="65">
        <v>3</v>
      </c>
      <c r="G600" s="67" t="b">
        <v>0</v>
      </c>
      <c r="H600" s="65">
        <v>5</v>
      </c>
      <c r="I600" s="65">
        <v>2</v>
      </c>
      <c r="J600" s="65">
        <v>0.2</v>
      </c>
    </row>
    <row r="601" spans="1:10" x14ac:dyDescent="0.3">
      <c r="A601" s="65">
        <v>600</v>
      </c>
      <c r="B601" s="66">
        <v>40571</v>
      </c>
      <c r="C601" s="65">
        <v>1</v>
      </c>
      <c r="D601" s="65">
        <v>0</v>
      </c>
      <c r="E601" s="65">
        <v>1</v>
      </c>
      <c r="F601" s="65">
        <v>5</v>
      </c>
      <c r="G601" s="67" t="b">
        <v>0</v>
      </c>
      <c r="H601" s="65">
        <v>5</v>
      </c>
      <c r="I601" s="65">
        <v>2</v>
      </c>
      <c r="J601" s="65">
        <v>0.18</v>
      </c>
    </row>
    <row r="602" spans="1:10" x14ac:dyDescent="0.3">
      <c r="A602" s="65">
        <v>601</v>
      </c>
      <c r="B602" s="66">
        <v>40571</v>
      </c>
      <c r="C602" s="65">
        <v>1</v>
      </c>
      <c r="D602" s="65">
        <v>0</v>
      </c>
      <c r="E602" s="65">
        <v>1</v>
      </c>
      <c r="F602" s="65">
        <v>6</v>
      </c>
      <c r="G602" s="67" t="b">
        <v>0</v>
      </c>
      <c r="H602" s="65">
        <v>5</v>
      </c>
      <c r="I602" s="65">
        <v>2</v>
      </c>
      <c r="J602" s="65">
        <v>0.18</v>
      </c>
    </row>
    <row r="603" spans="1:10" x14ac:dyDescent="0.3">
      <c r="A603" s="65">
        <v>602</v>
      </c>
      <c r="B603" s="66">
        <v>40571</v>
      </c>
      <c r="C603" s="65">
        <v>1</v>
      </c>
      <c r="D603" s="65">
        <v>0</v>
      </c>
      <c r="E603" s="65">
        <v>1</v>
      </c>
      <c r="F603" s="65">
        <v>7</v>
      </c>
      <c r="G603" s="67" t="b">
        <v>0</v>
      </c>
      <c r="H603" s="65">
        <v>5</v>
      </c>
      <c r="I603" s="65">
        <v>2</v>
      </c>
      <c r="J603" s="65">
        <v>0.16</v>
      </c>
    </row>
    <row r="604" spans="1:10" x14ac:dyDescent="0.3">
      <c r="A604" s="65">
        <v>603</v>
      </c>
      <c r="B604" s="66">
        <v>40571</v>
      </c>
      <c r="C604" s="65">
        <v>1</v>
      </c>
      <c r="D604" s="65">
        <v>0</v>
      </c>
      <c r="E604" s="65">
        <v>1</v>
      </c>
      <c r="F604" s="65">
        <v>8</v>
      </c>
      <c r="G604" s="67" t="b">
        <v>0</v>
      </c>
      <c r="H604" s="65">
        <v>5</v>
      </c>
      <c r="I604" s="65">
        <v>2</v>
      </c>
      <c r="J604" s="65">
        <v>0.16</v>
      </c>
    </row>
    <row r="605" spans="1:10" x14ac:dyDescent="0.3">
      <c r="A605" s="65">
        <v>604</v>
      </c>
      <c r="B605" s="66">
        <v>40571</v>
      </c>
      <c r="C605" s="65">
        <v>1</v>
      </c>
      <c r="D605" s="65">
        <v>0</v>
      </c>
      <c r="E605" s="65">
        <v>1</v>
      </c>
      <c r="F605" s="65">
        <v>9</v>
      </c>
      <c r="G605" s="67" t="b">
        <v>0</v>
      </c>
      <c r="H605" s="65">
        <v>5</v>
      </c>
      <c r="I605" s="65">
        <v>3</v>
      </c>
      <c r="J605" s="65">
        <v>0.18</v>
      </c>
    </row>
    <row r="606" spans="1:10" x14ac:dyDescent="0.3">
      <c r="A606" s="65">
        <v>605</v>
      </c>
      <c r="B606" s="66">
        <v>40571</v>
      </c>
      <c r="C606" s="65">
        <v>1</v>
      </c>
      <c r="D606" s="65">
        <v>0</v>
      </c>
      <c r="E606" s="65">
        <v>1</v>
      </c>
      <c r="F606" s="65">
        <v>10</v>
      </c>
      <c r="G606" s="67" t="b">
        <v>0</v>
      </c>
      <c r="H606" s="65">
        <v>5</v>
      </c>
      <c r="I606" s="65">
        <v>3</v>
      </c>
      <c r="J606" s="65">
        <v>0.18</v>
      </c>
    </row>
    <row r="607" spans="1:10" x14ac:dyDescent="0.3">
      <c r="A607" s="65">
        <v>606</v>
      </c>
      <c r="B607" s="66">
        <v>40571</v>
      </c>
      <c r="C607" s="65">
        <v>1</v>
      </c>
      <c r="D607" s="65">
        <v>0</v>
      </c>
      <c r="E607" s="65">
        <v>1</v>
      </c>
      <c r="F607" s="65">
        <v>11</v>
      </c>
      <c r="G607" s="67" t="b">
        <v>0</v>
      </c>
      <c r="H607" s="65">
        <v>5</v>
      </c>
      <c r="I607" s="65">
        <v>3</v>
      </c>
      <c r="J607" s="65">
        <v>0.18</v>
      </c>
    </row>
    <row r="608" spans="1:10" x14ac:dyDescent="0.3">
      <c r="A608" s="65">
        <v>607</v>
      </c>
      <c r="B608" s="66">
        <v>40571</v>
      </c>
      <c r="C608" s="65">
        <v>1</v>
      </c>
      <c r="D608" s="65">
        <v>0</v>
      </c>
      <c r="E608" s="65">
        <v>1</v>
      </c>
      <c r="F608" s="65">
        <v>12</v>
      </c>
      <c r="G608" s="67" t="b">
        <v>0</v>
      </c>
      <c r="H608" s="65">
        <v>5</v>
      </c>
      <c r="I608" s="65">
        <v>3</v>
      </c>
      <c r="J608" s="65">
        <v>0.18</v>
      </c>
    </row>
    <row r="609" spans="1:10" x14ac:dyDescent="0.3">
      <c r="A609" s="65">
        <v>608</v>
      </c>
      <c r="B609" s="66">
        <v>40571</v>
      </c>
      <c r="C609" s="65">
        <v>1</v>
      </c>
      <c r="D609" s="65">
        <v>0</v>
      </c>
      <c r="E609" s="65">
        <v>1</v>
      </c>
      <c r="F609" s="65">
        <v>13</v>
      </c>
      <c r="G609" s="67" t="b">
        <v>0</v>
      </c>
      <c r="H609" s="65">
        <v>5</v>
      </c>
      <c r="I609" s="65">
        <v>3</v>
      </c>
      <c r="J609" s="65">
        <v>0.18</v>
      </c>
    </row>
    <row r="610" spans="1:10" x14ac:dyDescent="0.3">
      <c r="A610" s="65">
        <v>609</v>
      </c>
      <c r="B610" s="66">
        <v>40571</v>
      </c>
      <c r="C610" s="65">
        <v>1</v>
      </c>
      <c r="D610" s="65">
        <v>0</v>
      </c>
      <c r="E610" s="65">
        <v>1</v>
      </c>
      <c r="F610" s="65">
        <v>14</v>
      </c>
      <c r="G610" s="67" t="b">
        <v>0</v>
      </c>
      <c r="H610" s="65">
        <v>5</v>
      </c>
      <c r="I610" s="65">
        <v>3</v>
      </c>
      <c r="J610" s="65">
        <v>0.22</v>
      </c>
    </row>
    <row r="611" spans="1:10" x14ac:dyDescent="0.3">
      <c r="A611" s="65">
        <v>610</v>
      </c>
      <c r="B611" s="66">
        <v>40571</v>
      </c>
      <c r="C611" s="65">
        <v>1</v>
      </c>
      <c r="D611" s="65">
        <v>0</v>
      </c>
      <c r="E611" s="65">
        <v>1</v>
      </c>
      <c r="F611" s="65">
        <v>15</v>
      </c>
      <c r="G611" s="67" t="b">
        <v>0</v>
      </c>
      <c r="H611" s="65">
        <v>5</v>
      </c>
      <c r="I611" s="65">
        <v>2</v>
      </c>
      <c r="J611" s="65">
        <v>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8659A-E0D5-41D6-8510-D97EA9B58547}">
  <sheetPr codeName="Sheet1"/>
  <dimension ref="A1:R611"/>
  <sheetViews>
    <sheetView workbookViewId="0">
      <selection activeCell="E8" sqref="E8"/>
    </sheetView>
  </sheetViews>
  <sheetFormatPr defaultRowHeight="14.4" x14ac:dyDescent="0.3"/>
  <cols>
    <col min="2" max="2" width="14" customWidth="1"/>
    <col min="5" max="5" width="9.33203125" customWidth="1"/>
    <col min="6" max="6" width="10.77734375" customWidth="1"/>
    <col min="7" max="7" width="10.5546875" customWidth="1"/>
    <col min="8" max="8" width="11.21875" customWidth="1"/>
    <col min="9" max="9" width="10.77734375" customWidth="1"/>
    <col min="10" max="10" width="10.33203125" customWidth="1"/>
    <col min="11" max="11" width="11.77734375" customWidth="1"/>
    <col min="12" max="12" width="12.5546875" customWidth="1"/>
  </cols>
  <sheetData>
    <row r="1" spans="1:18" s="15" customFormat="1" ht="33.6" customHeight="1" x14ac:dyDescent="0.3">
      <c r="A1" s="15" t="s">
        <v>11</v>
      </c>
      <c r="B1" s="15" t="s">
        <v>10</v>
      </c>
      <c r="C1" s="15" t="s">
        <v>21</v>
      </c>
      <c r="D1" s="15" t="s">
        <v>9</v>
      </c>
      <c r="E1" s="15" t="s">
        <v>5</v>
      </c>
      <c r="F1" s="15" t="s">
        <v>4</v>
      </c>
      <c r="G1" s="24" t="s">
        <v>22</v>
      </c>
      <c r="H1" s="24" t="s">
        <v>25</v>
      </c>
      <c r="I1" s="15" t="s">
        <v>3</v>
      </c>
      <c r="J1" s="24" t="s">
        <v>6</v>
      </c>
      <c r="K1" s="15" t="s">
        <v>7</v>
      </c>
      <c r="L1" s="24" t="s">
        <v>24</v>
      </c>
      <c r="M1" s="24" t="s">
        <v>1</v>
      </c>
    </row>
    <row r="2" spans="1:18" x14ac:dyDescent="0.3">
      <c r="A2">
        <v>1</v>
      </c>
      <c r="B2" s="46">
        <v>40544</v>
      </c>
      <c r="C2">
        <v>1</v>
      </c>
      <c r="D2">
        <v>0</v>
      </c>
      <c r="E2" t="b">
        <v>0</v>
      </c>
      <c r="F2">
        <v>6</v>
      </c>
      <c r="G2" s="20" t="str">
        <f t="shared" ref="G2:G65" si="0">_xlfn.IFS(F2=0,"Yes",F2=6,"Yes",F2&gt;0,"No")</f>
        <v>Yes</v>
      </c>
      <c r="H2" s="20" t="str">
        <f t="shared" ref="H2:H65" si="1">TEXT(B2:B611,"dddd")</f>
        <v>Saturday</v>
      </c>
      <c r="I2">
        <v>1</v>
      </c>
      <c r="J2" s="20" t="str">
        <f>_xlfn.IFS(I2=1,"Clean",I2=2,"Misty",I2=3,"Light Rain",I2=4,"Heavy Rain")</f>
        <v>Clean</v>
      </c>
      <c r="K2">
        <v>0.24</v>
      </c>
      <c r="L2" s="20" t="s">
        <v>23</v>
      </c>
      <c r="M2" s="20">
        <f t="shared" ref="M2:M65" si="2">COUNTBLANK(A2:K2)</f>
        <v>0</v>
      </c>
    </row>
    <row r="3" spans="1:18" x14ac:dyDescent="0.3">
      <c r="A3">
        <v>2</v>
      </c>
      <c r="B3" s="46">
        <v>40544</v>
      </c>
      <c r="C3">
        <v>1</v>
      </c>
      <c r="D3">
        <v>1</v>
      </c>
      <c r="E3" t="b">
        <v>0</v>
      </c>
      <c r="F3">
        <v>6</v>
      </c>
      <c r="G3" s="20" t="str">
        <f t="shared" si="0"/>
        <v>Yes</v>
      </c>
      <c r="H3" s="20" t="str">
        <f t="shared" si="1"/>
        <v>Saturday</v>
      </c>
      <c r="I3">
        <v>1</v>
      </c>
      <c r="J3" s="20" t="str">
        <f t="shared" ref="J3:J66" si="3">_xlfn.IFS(I3=1,"Clean",I3=2,"Misty",I3=3,"Light Rain",I3=4,"Heavy Rain")</f>
        <v>Clean</v>
      </c>
      <c r="K3">
        <v>0.22</v>
      </c>
      <c r="L3" s="20" t="str">
        <f t="shared" ref="L3:L66" si="4">_xlfn.IFS(K3&lt;0.1,"Risky",K3&lt;0.35,"Safe",K3&gt;0.35,"Risky")</f>
        <v>Safe</v>
      </c>
      <c r="M3" s="20">
        <f t="shared" si="2"/>
        <v>0</v>
      </c>
    </row>
    <row r="4" spans="1:18" x14ac:dyDescent="0.3">
      <c r="A4">
        <v>3</v>
      </c>
      <c r="B4" s="46">
        <v>40544</v>
      </c>
      <c r="C4">
        <v>1</v>
      </c>
      <c r="D4">
        <v>2</v>
      </c>
      <c r="E4" t="b">
        <v>0</v>
      </c>
      <c r="F4">
        <v>6</v>
      </c>
      <c r="G4" s="20" t="str">
        <f t="shared" si="0"/>
        <v>Yes</v>
      </c>
      <c r="H4" s="20" t="str">
        <f t="shared" si="1"/>
        <v>Saturday</v>
      </c>
      <c r="I4">
        <v>1</v>
      </c>
      <c r="J4" s="20" t="str">
        <f t="shared" si="3"/>
        <v>Clean</v>
      </c>
      <c r="K4">
        <v>0.22</v>
      </c>
      <c r="L4" s="20" t="str">
        <f t="shared" si="4"/>
        <v>Safe</v>
      </c>
      <c r="M4" s="20">
        <f t="shared" si="2"/>
        <v>0</v>
      </c>
    </row>
    <row r="5" spans="1:18" x14ac:dyDescent="0.3">
      <c r="A5">
        <v>4</v>
      </c>
      <c r="B5" s="46">
        <v>40544</v>
      </c>
      <c r="C5">
        <v>1</v>
      </c>
      <c r="D5">
        <v>3</v>
      </c>
      <c r="E5" t="b">
        <v>0</v>
      </c>
      <c r="F5">
        <v>6</v>
      </c>
      <c r="G5" s="20" t="str">
        <f t="shared" si="0"/>
        <v>Yes</v>
      </c>
      <c r="H5" s="20" t="str">
        <f t="shared" si="1"/>
        <v>Saturday</v>
      </c>
      <c r="I5">
        <v>1</v>
      </c>
      <c r="J5" s="20" t="str">
        <f t="shared" si="3"/>
        <v>Clean</v>
      </c>
      <c r="K5">
        <v>0.24</v>
      </c>
      <c r="L5" s="20" t="str">
        <f t="shared" si="4"/>
        <v>Safe</v>
      </c>
      <c r="M5" s="20">
        <f t="shared" si="2"/>
        <v>0</v>
      </c>
    </row>
    <row r="6" spans="1:18" x14ac:dyDescent="0.3">
      <c r="A6">
        <v>5</v>
      </c>
      <c r="B6" s="46">
        <v>40544</v>
      </c>
      <c r="C6">
        <v>1</v>
      </c>
      <c r="D6">
        <v>4</v>
      </c>
      <c r="E6" t="b">
        <v>0</v>
      </c>
      <c r="F6">
        <v>6</v>
      </c>
      <c r="G6" s="20" t="str">
        <f t="shared" si="0"/>
        <v>Yes</v>
      </c>
      <c r="H6" s="20" t="str">
        <f t="shared" si="1"/>
        <v>Saturday</v>
      </c>
      <c r="I6">
        <v>1</v>
      </c>
      <c r="J6" s="20" t="str">
        <f t="shared" si="3"/>
        <v>Clean</v>
      </c>
      <c r="K6">
        <v>0.24</v>
      </c>
      <c r="L6" s="20" t="str">
        <f t="shared" si="4"/>
        <v>Safe</v>
      </c>
      <c r="M6" s="20">
        <f t="shared" si="2"/>
        <v>0</v>
      </c>
      <c r="O6" t="s">
        <v>0</v>
      </c>
    </row>
    <row r="7" spans="1:18" x14ac:dyDescent="0.3">
      <c r="A7">
        <v>6</v>
      </c>
      <c r="B7" s="46">
        <v>40544</v>
      </c>
      <c r="C7">
        <v>1</v>
      </c>
      <c r="D7">
        <v>5</v>
      </c>
      <c r="E7" t="b">
        <v>0</v>
      </c>
      <c r="F7">
        <v>6</v>
      </c>
      <c r="G7" s="20" t="str">
        <f t="shared" si="0"/>
        <v>Yes</v>
      </c>
      <c r="H7" s="20" t="str">
        <f t="shared" si="1"/>
        <v>Saturday</v>
      </c>
      <c r="I7">
        <v>2</v>
      </c>
      <c r="J7" s="20" t="str">
        <f t="shared" si="3"/>
        <v>Misty</v>
      </c>
      <c r="K7">
        <v>0.24</v>
      </c>
      <c r="L7" s="20" t="str">
        <f t="shared" si="4"/>
        <v>Safe</v>
      </c>
      <c r="M7" s="20">
        <f t="shared" si="2"/>
        <v>0</v>
      </c>
      <c r="O7" s="6"/>
    </row>
    <row r="8" spans="1:18" x14ac:dyDescent="0.3">
      <c r="A8">
        <v>7</v>
      </c>
      <c r="B8" s="46">
        <v>40544</v>
      </c>
      <c r="C8">
        <v>1</v>
      </c>
      <c r="D8">
        <v>6</v>
      </c>
      <c r="E8" t="b">
        <v>0</v>
      </c>
      <c r="F8">
        <v>6</v>
      </c>
      <c r="G8" s="20" t="str">
        <f t="shared" si="0"/>
        <v>Yes</v>
      </c>
      <c r="H8" s="20" t="str">
        <f t="shared" si="1"/>
        <v>Saturday</v>
      </c>
      <c r="I8">
        <v>1</v>
      </c>
      <c r="J8" s="20" t="str">
        <f t="shared" si="3"/>
        <v>Clean</v>
      </c>
      <c r="K8">
        <v>0.22</v>
      </c>
      <c r="L8" s="20" t="str">
        <f t="shared" si="4"/>
        <v>Safe</v>
      </c>
      <c r="M8" s="20">
        <f t="shared" si="2"/>
        <v>0</v>
      </c>
    </row>
    <row r="9" spans="1:18" x14ac:dyDescent="0.3">
      <c r="A9">
        <v>8</v>
      </c>
      <c r="B9" s="46">
        <v>40544</v>
      </c>
      <c r="C9">
        <v>1</v>
      </c>
      <c r="D9">
        <v>7</v>
      </c>
      <c r="E9" t="b">
        <v>0</v>
      </c>
      <c r="F9">
        <v>6</v>
      </c>
      <c r="G9" s="20" t="str">
        <f t="shared" si="0"/>
        <v>Yes</v>
      </c>
      <c r="H9" s="20" t="str">
        <f t="shared" si="1"/>
        <v>Saturday</v>
      </c>
      <c r="I9">
        <v>1</v>
      </c>
      <c r="J9" s="20" t="str">
        <f t="shared" si="3"/>
        <v>Clean</v>
      </c>
      <c r="K9">
        <v>0.2</v>
      </c>
      <c r="L9" s="20" t="str">
        <f t="shared" si="4"/>
        <v>Safe</v>
      </c>
      <c r="M9" s="20">
        <f t="shared" si="2"/>
        <v>0</v>
      </c>
      <c r="R9" s="6"/>
    </row>
    <row r="10" spans="1:18" x14ac:dyDescent="0.3">
      <c r="A10">
        <v>9</v>
      </c>
      <c r="B10" s="46">
        <v>40544</v>
      </c>
      <c r="C10">
        <v>1</v>
      </c>
      <c r="D10">
        <v>8</v>
      </c>
      <c r="E10" t="b">
        <v>0</v>
      </c>
      <c r="F10">
        <v>6</v>
      </c>
      <c r="G10" s="20" t="str">
        <f t="shared" si="0"/>
        <v>Yes</v>
      </c>
      <c r="H10" s="20" t="str">
        <f t="shared" si="1"/>
        <v>Saturday</v>
      </c>
      <c r="I10">
        <v>1</v>
      </c>
      <c r="J10" s="20" t="str">
        <f t="shared" si="3"/>
        <v>Clean</v>
      </c>
      <c r="K10">
        <v>0.24</v>
      </c>
      <c r="L10" s="20" t="str">
        <f t="shared" si="4"/>
        <v>Safe</v>
      </c>
      <c r="M10" s="20">
        <f t="shared" si="2"/>
        <v>0</v>
      </c>
    </row>
    <row r="11" spans="1:18" x14ac:dyDescent="0.3">
      <c r="A11">
        <v>10</v>
      </c>
      <c r="B11" s="46">
        <v>40544</v>
      </c>
      <c r="C11">
        <v>1</v>
      </c>
      <c r="D11">
        <v>9</v>
      </c>
      <c r="E11" t="b">
        <v>0</v>
      </c>
      <c r="F11">
        <v>6</v>
      </c>
      <c r="G11" s="20" t="str">
        <f t="shared" si="0"/>
        <v>Yes</v>
      </c>
      <c r="H11" s="20" t="str">
        <f t="shared" si="1"/>
        <v>Saturday</v>
      </c>
      <c r="I11">
        <v>1</v>
      </c>
      <c r="J11" s="20" t="str">
        <f t="shared" si="3"/>
        <v>Clean</v>
      </c>
      <c r="K11">
        <v>0.32</v>
      </c>
      <c r="L11" s="20" t="str">
        <f t="shared" si="4"/>
        <v>Safe</v>
      </c>
      <c r="M11" s="20">
        <f t="shared" si="2"/>
        <v>0</v>
      </c>
    </row>
    <row r="12" spans="1:18" x14ac:dyDescent="0.3">
      <c r="A12">
        <v>11</v>
      </c>
      <c r="B12" s="46">
        <v>40544</v>
      </c>
      <c r="C12">
        <v>1</v>
      </c>
      <c r="D12">
        <v>10</v>
      </c>
      <c r="E12" t="b">
        <v>0</v>
      </c>
      <c r="F12">
        <v>6</v>
      </c>
      <c r="G12" s="20" t="str">
        <f t="shared" si="0"/>
        <v>Yes</v>
      </c>
      <c r="H12" s="20" t="str">
        <f t="shared" si="1"/>
        <v>Saturday</v>
      </c>
      <c r="I12">
        <v>1</v>
      </c>
      <c r="J12" s="20" t="str">
        <f t="shared" si="3"/>
        <v>Clean</v>
      </c>
      <c r="K12">
        <v>0.38</v>
      </c>
      <c r="L12" s="20" t="str">
        <f t="shared" si="4"/>
        <v>Risky</v>
      </c>
      <c r="M12" s="20">
        <f t="shared" si="2"/>
        <v>0</v>
      </c>
    </row>
    <row r="13" spans="1:18" x14ac:dyDescent="0.3">
      <c r="A13">
        <v>12</v>
      </c>
      <c r="B13" s="46">
        <v>40544</v>
      </c>
      <c r="C13">
        <v>1</v>
      </c>
      <c r="D13">
        <v>11</v>
      </c>
      <c r="E13" t="b">
        <v>0</v>
      </c>
      <c r="F13">
        <v>6</v>
      </c>
      <c r="G13" s="20" t="str">
        <f t="shared" si="0"/>
        <v>Yes</v>
      </c>
      <c r="H13" s="20" t="str">
        <f t="shared" si="1"/>
        <v>Saturday</v>
      </c>
      <c r="I13">
        <v>1</v>
      </c>
      <c r="J13" s="20" t="str">
        <f t="shared" si="3"/>
        <v>Clean</v>
      </c>
      <c r="K13">
        <v>0.36</v>
      </c>
      <c r="L13" s="20" t="str">
        <f t="shared" si="4"/>
        <v>Risky</v>
      </c>
      <c r="M13" s="20">
        <f t="shared" si="2"/>
        <v>0</v>
      </c>
    </row>
    <row r="14" spans="1:18" x14ac:dyDescent="0.3">
      <c r="A14">
        <v>13</v>
      </c>
      <c r="B14" s="46">
        <v>40544</v>
      </c>
      <c r="C14">
        <v>1</v>
      </c>
      <c r="D14">
        <v>12</v>
      </c>
      <c r="E14" t="b">
        <v>0</v>
      </c>
      <c r="F14">
        <v>6</v>
      </c>
      <c r="G14" s="20" t="str">
        <f t="shared" si="0"/>
        <v>Yes</v>
      </c>
      <c r="H14" s="20" t="str">
        <f t="shared" si="1"/>
        <v>Saturday</v>
      </c>
      <c r="I14">
        <v>1</v>
      </c>
      <c r="J14" s="20" t="str">
        <f t="shared" si="3"/>
        <v>Clean</v>
      </c>
      <c r="K14">
        <v>0.42</v>
      </c>
      <c r="L14" s="20" t="str">
        <f t="shared" si="4"/>
        <v>Risky</v>
      </c>
      <c r="M14" s="20">
        <f t="shared" si="2"/>
        <v>0</v>
      </c>
    </row>
    <row r="15" spans="1:18" x14ac:dyDescent="0.3">
      <c r="A15">
        <v>14</v>
      </c>
      <c r="B15" s="46">
        <v>40544</v>
      </c>
      <c r="C15">
        <v>1</v>
      </c>
      <c r="D15">
        <v>13</v>
      </c>
      <c r="E15" t="b">
        <v>0</v>
      </c>
      <c r="F15">
        <v>6</v>
      </c>
      <c r="G15" s="20" t="str">
        <f t="shared" si="0"/>
        <v>Yes</v>
      </c>
      <c r="H15" s="20" t="str">
        <f t="shared" si="1"/>
        <v>Saturday</v>
      </c>
      <c r="I15">
        <v>2</v>
      </c>
      <c r="J15" s="20" t="str">
        <f t="shared" si="3"/>
        <v>Misty</v>
      </c>
      <c r="K15">
        <v>0.46</v>
      </c>
      <c r="L15" s="20" t="str">
        <f t="shared" si="4"/>
        <v>Risky</v>
      </c>
      <c r="M15" s="20">
        <f t="shared" si="2"/>
        <v>0</v>
      </c>
    </row>
    <row r="16" spans="1:18" x14ac:dyDescent="0.3">
      <c r="A16">
        <v>15</v>
      </c>
      <c r="B16" s="46">
        <v>40544</v>
      </c>
      <c r="C16">
        <v>1</v>
      </c>
      <c r="D16">
        <v>14</v>
      </c>
      <c r="E16" t="b">
        <v>0</v>
      </c>
      <c r="F16">
        <v>6</v>
      </c>
      <c r="G16" s="20" t="str">
        <f t="shared" si="0"/>
        <v>Yes</v>
      </c>
      <c r="H16" s="20" t="str">
        <f t="shared" si="1"/>
        <v>Saturday</v>
      </c>
      <c r="I16">
        <v>2</v>
      </c>
      <c r="J16" s="20" t="str">
        <f t="shared" si="3"/>
        <v>Misty</v>
      </c>
      <c r="K16">
        <v>0.46</v>
      </c>
      <c r="L16" s="20" t="str">
        <f t="shared" si="4"/>
        <v>Risky</v>
      </c>
      <c r="M16" s="20">
        <f t="shared" si="2"/>
        <v>0</v>
      </c>
    </row>
    <row r="17" spans="1:13" x14ac:dyDescent="0.3">
      <c r="A17">
        <v>16</v>
      </c>
      <c r="B17" s="46">
        <v>40544</v>
      </c>
      <c r="C17">
        <v>1</v>
      </c>
      <c r="D17">
        <v>15</v>
      </c>
      <c r="E17" t="b">
        <v>0</v>
      </c>
      <c r="F17">
        <v>6</v>
      </c>
      <c r="G17" s="20" t="str">
        <f t="shared" si="0"/>
        <v>Yes</v>
      </c>
      <c r="H17" s="20" t="str">
        <f t="shared" si="1"/>
        <v>Saturday</v>
      </c>
      <c r="I17">
        <v>2</v>
      </c>
      <c r="J17" s="20" t="str">
        <f t="shared" si="3"/>
        <v>Misty</v>
      </c>
      <c r="K17">
        <v>0.44</v>
      </c>
      <c r="L17" s="20" t="str">
        <f t="shared" si="4"/>
        <v>Risky</v>
      </c>
      <c r="M17" s="20">
        <f t="shared" si="2"/>
        <v>0</v>
      </c>
    </row>
    <row r="18" spans="1:13" x14ac:dyDescent="0.3">
      <c r="A18">
        <v>17</v>
      </c>
      <c r="B18" s="46">
        <v>40544</v>
      </c>
      <c r="C18">
        <v>1</v>
      </c>
      <c r="D18">
        <v>16</v>
      </c>
      <c r="E18" t="b">
        <v>0</v>
      </c>
      <c r="F18">
        <v>6</v>
      </c>
      <c r="G18" s="20" t="str">
        <f t="shared" si="0"/>
        <v>Yes</v>
      </c>
      <c r="H18" s="20" t="str">
        <f t="shared" si="1"/>
        <v>Saturday</v>
      </c>
      <c r="I18">
        <v>2</v>
      </c>
      <c r="J18" s="20" t="str">
        <f t="shared" si="3"/>
        <v>Misty</v>
      </c>
      <c r="K18">
        <v>0.42</v>
      </c>
      <c r="L18" s="20" t="str">
        <f t="shared" si="4"/>
        <v>Risky</v>
      </c>
      <c r="M18" s="20">
        <f t="shared" si="2"/>
        <v>0</v>
      </c>
    </row>
    <row r="19" spans="1:13" x14ac:dyDescent="0.3">
      <c r="A19">
        <v>18</v>
      </c>
      <c r="B19" s="46">
        <v>40544</v>
      </c>
      <c r="C19">
        <v>1</v>
      </c>
      <c r="D19">
        <v>17</v>
      </c>
      <c r="E19" t="b">
        <v>0</v>
      </c>
      <c r="F19">
        <v>6</v>
      </c>
      <c r="G19" s="20" t="str">
        <f t="shared" si="0"/>
        <v>Yes</v>
      </c>
      <c r="H19" s="20" t="str">
        <f t="shared" si="1"/>
        <v>Saturday</v>
      </c>
      <c r="I19">
        <v>2</v>
      </c>
      <c r="J19" s="20" t="str">
        <f t="shared" si="3"/>
        <v>Misty</v>
      </c>
      <c r="K19">
        <v>0.44</v>
      </c>
      <c r="L19" s="20" t="str">
        <f t="shared" si="4"/>
        <v>Risky</v>
      </c>
      <c r="M19" s="20">
        <f t="shared" si="2"/>
        <v>0</v>
      </c>
    </row>
    <row r="20" spans="1:13" x14ac:dyDescent="0.3">
      <c r="A20">
        <v>19</v>
      </c>
      <c r="B20" s="46">
        <v>40544</v>
      </c>
      <c r="C20">
        <v>1</v>
      </c>
      <c r="D20">
        <v>18</v>
      </c>
      <c r="E20" t="b">
        <v>0</v>
      </c>
      <c r="F20">
        <v>6</v>
      </c>
      <c r="G20" s="20" t="str">
        <f t="shared" si="0"/>
        <v>Yes</v>
      </c>
      <c r="H20" s="20" t="str">
        <f t="shared" si="1"/>
        <v>Saturday</v>
      </c>
      <c r="I20">
        <v>3</v>
      </c>
      <c r="J20" s="20" t="str">
        <f t="shared" si="3"/>
        <v>Light Rain</v>
      </c>
      <c r="K20">
        <v>0.42</v>
      </c>
      <c r="L20" s="20" t="str">
        <f t="shared" si="4"/>
        <v>Risky</v>
      </c>
      <c r="M20" s="20">
        <f t="shared" si="2"/>
        <v>0</v>
      </c>
    </row>
    <row r="21" spans="1:13" x14ac:dyDescent="0.3">
      <c r="A21">
        <v>20</v>
      </c>
      <c r="B21" s="46">
        <v>40544</v>
      </c>
      <c r="C21">
        <v>1</v>
      </c>
      <c r="D21">
        <v>19</v>
      </c>
      <c r="E21" t="b">
        <v>0</v>
      </c>
      <c r="F21">
        <v>6</v>
      </c>
      <c r="G21" s="20" t="str">
        <f t="shared" si="0"/>
        <v>Yes</v>
      </c>
      <c r="H21" s="20" t="str">
        <f t="shared" si="1"/>
        <v>Saturday</v>
      </c>
      <c r="I21">
        <v>3</v>
      </c>
      <c r="J21" s="20" t="str">
        <f t="shared" si="3"/>
        <v>Light Rain</v>
      </c>
      <c r="K21">
        <v>0.42</v>
      </c>
      <c r="L21" s="20" t="str">
        <f t="shared" si="4"/>
        <v>Risky</v>
      </c>
      <c r="M21" s="20">
        <f t="shared" si="2"/>
        <v>0</v>
      </c>
    </row>
    <row r="22" spans="1:13" x14ac:dyDescent="0.3">
      <c r="A22">
        <v>21</v>
      </c>
      <c r="B22" s="46">
        <v>40544</v>
      </c>
      <c r="C22">
        <v>1</v>
      </c>
      <c r="D22">
        <v>20</v>
      </c>
      <c r="E22" t="b">
        <v>0</v>
      </c>
      <c r="F22">
        <v>6</v>
      </c>
      <c r="G22" s="20" t="str">
        <f t="shared" si="0"/>
        <v>Yes</v>
      </c>
      <c r="H22" s="20" t="str">
        <f t="shared" si="1"/>
        <v>Saturday</v>
      </c>
      <c r="I22">
        <v>2</v>
      </c>
      <c r="J22" s="20" t="str">
        <f t="shared" si="3"/>
        <v>Misty</v>
      </c>
      <c r="K22">
        <v>0.4</v>
      </c>
      <c r="L22" s="20" t="str">
        <f t="shared" si="4"/>
        <v>Risky</v>
      </c>
      <c r="M22" s="20">
        <f t="shared" si="2"/>
        <v>0</v>
      </c>
    </row>
    <row r="23" spans="1:13" x14ac:dyDescent="0.3">
      <c r="A23">
        <v>22</v>
      </c>
      <c r="B23" s="46">
        <v>40544</v>
      </c>
      <c r="C23">
        <v>1</v>
      </c>
      <c r="D23">
        <v>21</v>
      </c>
      <c r="E23" t="b">
        <v>0</v>
      </c>
      <c r="F23">
        <v>6</v>
      </c>
      <c r="G23" s="20" t="str">
        <f t="shared" si="0"/>
        <v>Yes</v>
      </c>
      <c r="H23" s="20" t="str">
        <f t="shared" si="1"/>
        <v>Saturday</v>
      </c>
      <c r="I23">
        <v>2</v>
      </c>
      <c r="J23" s="20" t="str">
        <f t="shared" si="3"/>
        <v>Misty</v>
      </c>
      <c r="K23">
        <v>0.4</v>
      </c>
      <c r="L23" s="20" t="str">
        <f t="shared" si="4"/>
        <v>Risky</v>
      </c>
      <c r="M23" s="20">
        <f t="shared" si="2"/>
        <v>0</v>
      </c>
    </row>
    <row r="24" spans="1:13" x14ac:dyDescent="0.3">
      <c r="A24">
        <v>23</v>
      </c>
      <c r="B24" s="46">
        <v>40544</v>
      </c>
      <c r="C24">
        <v>1</v>
      </c>
      <c r="D24">
        <v>22</v>
      </c>
      <c r="E24" t="b">
        <v>0</v>
      </c>
      <c r="F24">
        <v>6</v>
      </c>
      <c r="G24" s="20" t="str">
        <f t="shared" si="0"/>
        <v>Yes</v>
      </c>
      <c r="H24" s="20" t="str">
        <f t="shared" si="1"/>
        <v>Saturday</v>
      </c>
      <c r="I24">
        <v>2</v>
      </c>
      <c r="J24" s="20" t="str">
        <f t="shared" si="3"/>
        <v>Misty</v>
      </c>
      <c r="K24">
        <v>0.4</v>
      </c>
      <c r="L24" s="20" t="str">
        <f t="shared" si="4"/>
        <v>Risky</v>
      </c>
      <c r="M24" s="20">
        <f t="shared" si="2"/>
        <v>0</v>
      </c>
    </row>
    <row r="25" spans="1:13" x14ac:dyDescent="0.3">
      <c r="A25">
        <v>24</v>
      </c>
      <c r="B25" s="46">
        <v>40544</v>
      </c>
      <c r="C25">
        <v>1</v>
      </c>
      <c r="D25">
        <v>23</v>
      </c>
      <c r="E25" t="b">
        <v>0</v>
      </c>
      <c r="F25">
        <v>6</v>
      </c>
      <c r="G25" s="20" t="str">
        <f t="shared" si="0"/>
        <v>Yes</v>
      </c>
      <c r="H25" s="20" t="str">
        <f t="shared" si="1"/>
        <v>Saturday</v>
      </c>
      <c r="I25">
        <v>2</v>
      </c>
      <c r="J25" s="20" t="str">
        <f t="shared" si="3"/>
        <v>Misty</v>
      </c>
      <c r="K25">
        <v>0.46</v>
      </c>
      <c r="L25" s="20" t="str">
        <f t="shared" si="4"/>
        <v>Risky</v>
      </c>
      <c r="M25" s="20">
        <f t="shared" si="2"/>
        <v>0</v>
      </c>
    </row>
    <row r="26" spans="1:13" x14ac:dyDescent="0.3">
      <c r="A26">
        <v>25</v>
      </c>
      <c r="B26" s="46">
        <v>40545</v>
      </c>
      <c r="C26">
        <v>1</v>
      </c>
      <c r="D26">
        <v>0</v>
      </c>
      <c r="E26" t="b">
        <v>0</v>
      </c>
      <c r="F26">
        <v>0</v>
      </c>
      <c r="G26" s="20" t="str">
        <f t="shared" si="0"/>
        <v>Yes</v>
      </c>
      <c r="H26" s="20" t="str">
        <f t="shared" si="1"/>
        <v>Sunday</v>
      </c>
      <c r="I26">
        <v>2</v>
      </c>
      <c r="J26" s="20" t="str">
        <f t="shared" si="3"/>
        <v>Misty</v>
      </c>
      <c r="K26">
        <v>0.46</v>
      </c>
      <c r="L26" s="20" t="str">
        <f t="shared" si="4"/>
        <v>Risky</v>
      </c>
      <c r="M26" s="20">
        <f t="shared" si="2"/>
        <v>0</v>
      </c>
    </row>
    <row r="27" spans="1:13" x14ac:dyDescent="0.3">
      <c r="A27">
        <v>26</v>
      </c>
      <c r="B27" s="46">
        <v>40545</v>
      </c>
      <c r="C27">
        <v>1</v>
      </c>
      <c r="D27">
        <v>1</v>
      </c>
      <c r="E27" t="b">
        <v>0</v>
      </c>
      <c r="F27">
        <v>0</v>
      </c>
      <c r="G27" s="20" t="str">
        <f t="shared" si="0"/>
        <v>Yes</v>
      </c>
      <c r="H27" s="20" t="str">
        <f t="shared" si="1"/>
        <v>Sunday</v>
      </c>
      <c r="I27">
        <v>2</v>
      </c>
      <c r="J27" s="20" t="str">
        <f t="shared" si="3"/>
        <v>Misty</v>
      </c>
      <c r="K27">
        <v>0.44</v>
      </c>
      <c r="L27" s="20" t="str">
        <f t="shared" si="4"/>
        <v>Risky</v>
      </c>
      <c r="M27" s="20">
        <f t="shared" si="2"/>
        <v>0</v>
      </c>
    </row>
    <row r="28" spans="1:13" x14ac:dyDescent="0.3">
      <c r="A28">
        <v>27</v>
      </c>
      <c r="B28" s="46">
        <v>40545</v>
      </c>
      <c r="C28">
        <v>1</v>
      </c>
      <c r="D28">
        <v>2</v>
      </c>
      <c r="E28" t="b">
        <v>0</v>
      </c>
      <c r="F28">
        <v>0</v>
      </c>
      <c r="G28" s="20" t="str">
        <f t="shared" si="0"/>
        <v>Yes</v>
      </c>
      <c r="H28" s="20" t="str">
        <f t="shared" si="1"/>
        <v>Sunday</v>
      </c>
      <c r="I28">
        <v>2</v>
      </c>
      <c r="J28" s="20" t="str">
        <f t="shared" si="3"/>
        <v>Misty</v>
      </c>
      <c r="K28">
        <v>0.42</v>
      </c>
      <c r="L28" s="20" t="str">
        <f t="shared" si="4"/>
        <v>Risky</v>
      </c>
      <c r="M28" s="20">
        <f t="shared" si="2"/>
        <v>0</v>
      </c>
    </row>
    <row r="29" spans="1:13" x14ac:dyDescent="0.3">
      <c r="A29">
        <v>28</v>
      </c>
      <c r="B29" s="46">
        <v>40545</v>
      </c>
      <c r="C29">
        <v>1</v>
      </c>
      <c r="D29">
        <v>3</v>
      </c>
      <c r="E29" t="b">
        <v>0</v>
      </c>
      <c r="F29">
        <v>0</v>
      </c>
      <c r="G29" s="20" t="str">
        <f t="shared" si="0"/>
        <v>Yes</v>
      </c>
      <c r="H29" s="20" t="str">
        <f t="shared" si="1"/>
        <v>Sunday</v>
      </c>
      <c r="I29">
        <v>2</v>
      </c>
      <c r="J29" s="20" t="str">
        <f t="shared" si="3"/>
        <v>Misty</v>
      </c>
      <c r="K29">
        <v>0.46</v>
      </c>
      <c r="L29" s="20" t="str">
        <f t="shared" si="4"/>
        <v>Risky</v>
      </c>
      <c r="M29" s="20">
        <f t="shared" si="2"/>
        <v>0</v>
      </c>
    </row>
    <row r="30" spans="1:13" x14ac:dyDescent="0.3">
      <c r="A30">
        <v>29</v>
      </c>
      <c r="B30" s="46">
        <v>40545</v>
      </c>
      <c r="C30">
        <v>1</v>
      </c>
      <c r="D30">
        <v>4</v>
      </c>
      <c r="E30" t="b">
        <v>0</v>
      </c>
      <c r="F30">
        <v>0</v>
      </c>
      <c r="G30" s="20" t="str">
        <f t="shared" si="0"/>
        <v>Yes</v>
      </c>
      <c r="H30" s="20" t="str">
        <f t="shared" si="1"/>
        <v>Sunday</v>
      </c>
      <c r="I30">
        <v>2</v>
      </c>
      <c r="J30" s="20" t="str">
        <f t="shared" si="3"/>
        <v>Misty</v>
      </c>
      <c r="K30">
        <v>0.46</v>
      </c>
      <c r="L30" s="20" t="str">
        <f t="shared" si="4"/>
        <v>Risky</v>
      </c>
      <c r="M30" s="20">
        <f t="shared" si="2"/>
        <v>0</v>
      </c>
    </row>
    <row r="31" spans="1:13" x14ac:dyDescent="0.3">
      <c r="A31">
        <v>30</v>
      </c>
      <c r="B31" s="46">
        <v>40545</v>
      </c>
      <c r="C31">
        <v>1</v>
      </c>
      <c r="D31">
        <v>6</v>
      </c>
      <c r="E31" t="b">
        <v>0</v>
      </c>
      <c r="F31">
        <v>0</v>
      </c>
      <c r="G31" s="20" t="str">
        <f t="shared" si="0"/>
        <v>Yes</v>
      </c>
      <c r="H31" s="20" t="str">
        <f t="shared" si="1"/>
        <v>Sunday</v>
      </c>
      <c r="I31">
        <v>3</v>
      </c>
      <c r="J31" s="20" t="str">
        <f t="shared" si="3"/>
        <v>Light Rain</v>
      </c>
      <c r="K31">
        <v>0.42</v>
      </c>
      <c r="L31" s="20" t="str">
        <f t="shared" si="4"/>
        <v>Risky</v>
      </c>
      <c r="M31" s="20">
        <f t="shared" si="2"/>
        <v>0</v>
      </c>
    </row>
    <row r="32" spans="1:13" x14ac:dyDescent="0.3">
      <c r="A32">
        <v>31</v>
      </c>
      <c r="B32" s="46">
        <v>40545</v>
      </c>
      <c r="C32">
        <v>1</v>
      </c>
      <c r="D32">
        <v>7</v>
      </c>
      <c r="E32" t="b">
        <v>0</v>
      </c>
      <c r="F32">
        <v>0</v>
      </c>
      <c r="G32" s="20" t="str">
        <f t="shared" si="0"/>
        <v>Yes</v>
      </c>
      <c r="H32" s="20" t="str">
        <f t="shared" si="1"/>
        <v>Sunday</v>
      </c>
      <c r="I32">
        <v>2</v>
      </c>
      <c r="J32" s="20" t="str">
        <f t="shared" si="3"/>
        <v>Misty</v>
      </c>
      <c r="K32">
        <v>0.4</v>
      </c>
      <c r="L32" s="20" t="str">
        <f t="shared" si="4"/>
        <v>Risky</v>
      </c>
      <c r="M32" s="20">
        <f t="shared" si="2"/>
        <v>0</v>
      </c>
    </row>
    <row r="33" spans="1:13" x14ac:dyDescent="0.3">
      <c r="A33">
        <v>32</v>
      </c>
      <c r="B33" s="46">
        <v>40545</v>
      </c>
      <c r="C33">
        <v>1</v>
      </c>
      <c r="D33">
        <v>8</v>
      </c>
      <c r="E33" t="b">
        <v>0</v>
      </c>
      <c r="F33">
        <v>0</v>
      </c>
      <c r="G33" s="20" t="str">
        <f t="shared" si="0"/>
        <v>Yes</v>
      </c>
      <c r="H33" s="20" t="str">
        <f t="shared" si="1"/>
        <v>Sunday</v>
      </c>
      <c r="I33">
        <v>3</v>
      </c>
      <c r="J33" s="20" t="str">
        <f t="shared" si="3"/>
        <v>Light Rain</v>
      </c>
      <c r="K33">
        <v>0.4</v>
      </c>
      <c r="L33" s="20" t="str">
        <f t="shared" si="4"/>
        <v>Risky</v>
      </c>
      <c r="M33" s="20">
        <f t="shared" si="2"/>
        <v>0</v>
      </c>
    </row>
    <row r="34" spans="1:13" x14ac:dyDescent="0.3">
      <c r="A34">
        <v>33</v>
      </c>
      <c r="B34" s="46">
        <v>40545</v>
      </c>
      <c r="C34">
        <v>1</v>
      </c>
      <c r="D34">
        <v>9</v>
      </c>
      <c r="E34" t="b">
        <v>0</v>
      </c>
      <c r="F34">
        <v>0</v>
      </c>
      <c r="G34" s="20" t="str">
        <f t="shared" si="0"/>
        <v>Yes</v>
      </c>
      <c r="H34" s="20" t="str">
        <f t="shared" si="1"/>
        <v>Sunday</v>
      </c>
      <c r="I34">
        <v>2</v>
      </c>
      <c r="J34" s="20" t="str">
        <f t="shared" si="3"/>
        <v>Misty</v>
      </c>
      <c r="K34">
        <v>0.38</v>
      </c>
      <c r="L34" s="20" t="str">
        <f t="shared" si="4"/>
        <v>Risky</v>
      </c>
      <c r="M34" s="20">
        <f t="shared" si="2"/>
        <v>0</v>
      </c>
    </row>
    <row r="35" spans="1:13" x14ac:dyDescent="0.3">
      <c r="A35">
        <v>34</v>
      </c>
      <c r="B35" s="46">
        <v>40545</v>
      </c>
      <c r="C35">
        <v>1</v>
      </c>
      <c r="D35">
        <v>10</v>
      </c>
      <c r="E35" t="b">
        <v>0</v>
      </c>
      <c r="F35">
        <v>0</v>
      </c>
      <c r="G35" s="20" t="str">
        <f t="shared" si="0"/>
        <v>Yes</v>
      </c>
      <c r="H35" s="20" t="str">
        <f t="shared" si="1"/>
        <v>Sunday</v>
      </c>
      <c r="I35">
        <v>2</v>
      </c>
      <c r="J35" s="20" t="str">
        <f t="shared" si="3"/>
        <v>Misty</v>
      </c>
      <c r="K35">
        <v>0.36</v>
      </c>
      <c r="L35" s="20" t="str">
        <f t="shared" si="4"/>
        <v>Risky</v>
      </c>
      <c r="M35" s="20">
        <f t="shared" si="2"/>
        <v>0</v>
      </c>
    </row>
    <row r="36" spans="1:13" x14ac:dyDescent="0.3">
      <c r="A36">
        <v>35</v>
      </c>
      <c r="B36" s="46">
        <v>40545</v>
      </c>
      <c r="C36">
        <v>1</v>
      </c>
      <c r="D36">
        <v>11</v>
      </c>
      <c r="E36" t="b">
        <v>0</v>
      </c>
      <c r="F36">
        <v>0</v>
      </c>
      <c r="G36" s="20" t="str">
        <f t="shared" si="0"/>
        <v>Yes</v>
      </c>
      <c r="H36" s="20" t="str">
        <f t="shared" si="1"/>
        <v>Sunday</v>
      </c>
      <c r="I36">
        <v>2</v>
      </c>
      <c r="J36" s="20" t="str">
        <f t="shared" si="3"/>
        <v>Misty</v>
      </c>
      <c r="K36">
        <v>0.36</v>
      </c>
      <c r="L36" s="20" t="str">
        <f t="shared" si="4"/>
        <v>Risky</v>
      </c>
      <c r="M36" s="20">
        <f t="shared" si="2"/>
        <v>0</v>
      </c>
    </row>
    <row r="37" spans="1:13" x14ac:dyDescent="0.3">
      <c r="A37">
        <v>36</v>
      </c>
      <c r="B37" s="46">
        <v>40545</v>
      </c>
      <c r="C37">
        <v>1</v>
      </c>
      <c r="D37">
        <v>12</v>
      </c>
      <c r="E37" t="b">
        <v>0</v>
      </c>
      <c r="F37">
        <v>0</v>
      </c>
      <c r="G37" s="20" t="str">
        <f t="shared" si="0"/>
        <v>Yes</v>
      </c>
      <c r="H37" s="20" t="str">
        <f t="shared" si="1"/>
        <v>Sunday</v>
      </c>
      <c r="I37">
        <v>2</v>
      </c>
      <c r="J37" s="20" t="str">
        <f t="shared" si="3"/>
        <v>Misty</v>
      </c>
      <c r="K37">
        <v>0.36</v>
      </c>
      <c r="L37" s="20" t="str">
        <f t="shared" si="4"/>
        <v>Risky</v>
      </c>
      <c r="M37" s="20">
        <f t="shared" si="2"/>
        <v>0</v>
      </c>
    </row>
    <row r="38" spans="1:13" x14ac:dyDescent="0.3">
      <c r="A38">
        <v>37</v>
      </c>
      <c r="B38" s="46">
        <v>40545</v>
      </c>
      <c r="C38">
        <v>1</v>
      </c>
      <c r="D38">
        <v>13</v>
      </c>
      <c r="E38" t="b">
        <v>0</v>
      </c>
      <c r="F38">
        <v>0</v>
      </c>
      <c r="G38" s="20" t="str">
        <f t="shared" si="0"/>
        <v>Yes</v>
      </c>
      <c r="H38" s="20" t="str">
        <f t="shared" si="1"/>
        <v>Sunday</v>
      </c>
      <c r="I38">
        <v>2</v>
      </c>
      <c r="J38" s="20" t="str">
        <f t="shared" si="3"/>
        <v>Misty</v>
      </c>
      <c r="K38">
        <v>0.36</v>
      </c>
      <c r="L38" s="20" t="str">
        <f t="shared" si="4"/>
        <v>Risky</v>
      </c>
      <c r="M38" s="20">
        <f t="shared" si="2"/>
        <v>0</v>
      </c>
    </row>
    <row r="39" spans="1:13" x14ac:dyDescent="0.3">
      <c r="A39">
        <v>38</v>
      </c>
      <c r="B39" s="46">
        <v>40545</v>
      </c>
      <c r="C39">
        <v>1</v>
      </c>
      <c r="D39">
        <v>14</v>
      </c>
      <c r="E39" t="b">
        <v>0</v>
      </c>
      <c r="F39">
        <v>0</v>
      </c>
      <c r="G39" s="20" t="str">
        <f t="shared" si="0"/>
        <v>Yes</v>
      </c>
      <c r="H39" s="20" t="str">
        <f t="shared" si="1"/>
        <v>Sunday</v>
      </c>
      <c r="I39">
        <v>3</v>
      </c>
      <c r="J39" s="20" t="str">
        <f t="shared" si="3"/>
        <v>Light Rain</v>
      </c>
      <c r="K39">
        <v>0.36</v>
      </c>
      <c r="L39" s="20" t="str">
        <f t="shared" si="4"/>
        <v>Risky</v>
      </c>
      <c r="M39" s="20">
        <f t="shared" si="2"/>
        <v>0</v>
      </c>
    </row>
    <row r="40" spans="1:13" x14ac:dyDescent="0.3">
      <c r="A40">
        <v>39</v>
      </c>
      <c r="B40" s="46">
        <v>40545</v>
      </c>
      <c r="C40">
        <v>1</v>
      </c>
      <c r="D40">
        <v>15</v>
      </c>
      <c r="E40" t="b">
        <v>0</v>
      </c>
      <c r="F40">
        <v>0</v>
      </c>
      <c r="G40" s="20" t="str">
        <f t="shared" si="0"/>
        <v>Yes</v>
      </c>
      <c r="H40" s="20" t="str">
        <f t="shared" si="1"/>
        <v>Sunday</v>
      </c>
      <c r="I40">
        <v>3</v>
      </c>
      <c r="J40" s="20" t="str">
        <f t="shared" si="3"/>
        <v>Light Rain</v>
      </c>
      <c r="K40">
        <v>0.34</v>
      </c>
      <c r="L40" s="20" t="str">
        <f t="shared" si="4"/>
        <v>Safe</v>
      </c>
      <c r="M40" s="20">
        <f t="shared" si="2"/>
        <v>0</v>
      </c>
    </row>
    <row r="41" spans="1:13" x14ac:dyDescent="0.3">
      <c r="A41">
        <v>40</v>
      </c>
      <c r="B41" s="46">
        <v>40545</v>
      </c>
      <c r="C41">
        <v>1</v>
      </c>
      <c r="D41">
        <v>16</v>
      </c>
      <c r="E41" t="b">
        <v>0</v>
      </c>
      <c r="F41">
        <v>0</v>
      </c>
      <c r="G41" s="20" t="str">
        <f t="shared" si="0"/>
        <v>Yes</v>
      </c>
      <c r="H41" s="20" t="str">
        <f t="shared" si="1"/>
        <v>Sunday</v>
      </c>
      <c r="I41">
        <v>3</v>
      </c>
      <c r="J41" s="20" t="str">
        <f t="shared" si="3"/>
        <v>Light Rain</v>
      </c>
      <c r="K41">
        <v>0.34</v>
      </c>
      <c r="L41" s="20" t="str">
        <f t="shared" si="4"/>
        <v>Safe</v>
      </c>
      <c r="M41" s="20">
        <f t="shared" si="2"/>
        <v>0</v>
      </c>
    </row>
    <row r="42" spans="1:13" x14ac:dyDescent="0.3">
      <c r="A42">
        <v>41</v>
      </c>
      <c r="B42" s="46">
        <v>40545</v>
      </c>
      <c r="C42">
        <v>1</v>
      </c>
      <c r="D42">
        <v>17</v>
      </c>
      <c r="E42" t="b">
        <v>0</v>
      </c>
      <c r="F42">
        <v>0</v>
      </c>
      <c r="G42" s="20" t="str">
        <f t="shared" si="0"/>
        <v>Yes</v>
      </c>
      <c r="H42" s="20" t="str">
        <f t="shared" si="1"/>
        <v>Sunday</v>
      </c>
      <c r="I42">
        <v>1</v>
      </c>
      <c r="J42" s="20" t="str">
        <f t="shared" si="3"/>
        <v>Clean</v>
      </c>
      <c r="K42">
        <v>0.34</v>
      </c>
      <c r="L42" s="20" t="str">
        <f t="shared" si="4"/>
        <v>Safe</v>
      </c>
      <c r="M42" s="20">
        <f t="shared" si="2"/>
        <v>0</v>
      </c>
    </row>
    <row r="43" spans="1:13" x14ac:dyDescent="0.3">
      <c r="A43">
        <v>42</v>
      </c>
      <c r="B43" s="46">
        <v>40545</v>
      </c>
      <c r="C43">
        <v>1</v>
      </c>
      <c r="D43">
        <v>18</v>
      </c>
      <c r="E43" t="b">
        <v>0</v>
      </c>
      <c r="F43">
        <v>0</v>
      </c>
      <c r="G43" s="20" t="str">
        <f t="shared" si="0"/>
        <v>Yes</v>
      </c>
      <c r="H43" s="20" t="str">
        <f t="shared" si="1"/>
        <v>Sunday</v>
      </c>
      <c r="I43">
        <v>2</v>
      </c>
      <c r="J43" s="20" t="str">
        <f t="shared" si="3"/>
        <v>Misty</v>
      </c>
      <c r="K43">
        <v>0.36</v>
      </c>
      <c r="L43" s="20" t="str">
        <f t="shared" si="4"/>
        <v>Risky</v>
      </c>
      <c r="M43" s="20">
        <f t="shared" si="2"/>
        <v>0</v>
      </c>
    </row>
    <row r="44" spans="1:13" x14ac:dyDescent="0.3">
      <c r="A44">
        <v>43</v>
      </c>
      <c r="B44" s="46">
        <v>40545</v>
      </c>
      <c r="C44">
        <v>1</v>
      </c>
      <c r="D44">
        <v>19</v>
      </c>
      <c r="E44" t="b">
        <v>0</v>
      </c>
      <c r="F44">
        <v>0</v>
      </c>
      <c r="G44" s="20" t="str">
        <f t="shared" si="0"/>
        <v>Yes</v>
      </c>
      <c r="H44" s="20" t="str">
        <f t="shared" si="1"/>
        <v>Sunday</v>
      </c>
      <c r="I44">
        <v>1</v>
      </c>
      <c r="J44" s="20" t="str">
        <f t="shared" si="3"/>
        <v>Clean</v>
      </c>
      <c r="K44">
        <v>0.32</v>
      </c>
      <c r="L44" s="20" t="str">
        <f t="shared" si="4"/>
        <v>Safe</v>
      </c>
      <c r="M44" s="20">
        <f t="shared" si="2"/>
        <v>0</v>
      </c>
    </row>
    <row r="45" spans="1:13" x14ac:dyDescent="0.3">
      <c r="A45">
        <v>44</v>
      </c>
      <c r="B45" s="46">
        <v>40545</v>
      </c>
      <c r="C45">
        <v>1</v>
      </c>
      <c r="D45">
        <v>20</v>
      </c>
      <c r="E45" t="b">
        <v>0</v>
      </c>
      <c r="F45">
        <v>0</v>
      </c>
      <c r="G45" s="20" t="str">
        <f t="shared" si="0"/>
        <v>Yes</v>
      </c>
      <c r="H45" s="20" t="str">
        <f t="shared" si="1"/>
        <v>Sunday</v>
      </c>
      <c r="I45">
        <v>1</v>
      </c>
      <c r="J45" s="20" t="str">
        <f t="shared" si="3"/>
        <v>Clean</v>
      </c>
      <c r="K45">
        <v>0.3</v>
      </c>
      <c r="L45" s="20" t="str">
        <f t="shared" si="4"/>
        <v>Safe</v>
      </c>
      <c r="M45" s="20">
        <f t="shared" si="2"/>
        <v>0</v>
      </c>
    </row>
    <row r="46" spans="1:13" x14ac:dyDescent="0.3">
      <c r="A46">
        <v>45</v>
      </c>
      <c r="B46" s="46">
        <v>40545</v>
      </c>
      <c r="C46">
        <v>1</v>
      </c>
      <c r="D46">
        <v>21</v>
      </c>
      <c r="E46" t="b">
        <v>0</v>
      </c>
      <c r="F46">
        <v>0</v>
      </c>
      <c r="G46" s="20" t="str">
        <f t="shared" si="0"/>
        <v>Yes</v>
      </c>
      <c r="H46" s="20" t="str">
        <f t="shared" si="1"/>
        <v>Sunday</v>
      </c>
      <c r="I46">
        <v>1</v>
      </c>
      <c r="J46" s="20" t="str">
        <f t="shared" si="3"/>
        <v>Clean</v>
      </c>
      <c r="K46">
        <v>0.26</v>
      </c>
      <c r="L46" s="20" t="str">
        <f t="shared" si="4"/>
        <v>Safe</v>
      </c>
      <c r="M46" s="20">
        <f t="shared" si="2"/>
        <v>0</v>
      </c>
    </row>
    <row r="47" spans="1:13" x14ac:dyDescent="0.3">
      <c r="A47">
        <v>46</v>
      </c>
      <c r="B47" s="46">
        <v>40545</v>
      </c>
      <c r="C47">
        <v>1</v>
      </c>
      <c r="D47">
        <v>22</v>
      </c>
      <c r="E47" t="b">
        <v>0</v>
      </c>
      <c r="F47">
        <v>0</v>
      </c>
      <c r="G47" s="20" t="str">
        <f t="shared" si="0"/>
        <v>Yes</v>
      </c>
      <c r="H47" s="20" t="str">
        <f t="shared" si="1"/>
        <v>Sunday</v>
      </c>
      <c r="I47">
        <v>1</v>
      </c>
      <c r="J47" s="20" t="str">
        <f t="shared" si="3"/>
        <v>Clean</v>
      </c>
      <c r="K47">
        <v>0.24</v>
      </c>
      <c r="L47" s="20" t="str">
        <f t="shared" si="4"/>
        <v>Safe</v>
      </c>
      <c r="M47" s="20">
        <f t="shared" si="2"/>
        <v>0</v>
      </c>
    </row>
    <row r="48" spans="1:13" x14ac:dyDescent="0.3">
      <c r="A48">
        <v>47</v>
      </c>
      <c r="B48" s="46">
        <v>40545</v>
      </c>
      <c r="C48">
        <v>1</v>
      </c>
      <c r="D48">
        <v>23</v>
      </c>
      <c r="E48" t="b">
        <v>0</v>
      </c>
      <c r="F48">
        <v>0</v>
      </c>
      <c r="G48" s="20" t="str">
        <f t="shared" si="0"/>
        <v>Yes</v>
      </c>
      <c r="H48" s="20" t="str">
        <f t="shared" si="1"/>
        <v>Sunday</v>
      </c>
      <c r="I48">
        <v>1</v>
      </c>
      <c r="J48" s="20" t="str">
        <f t="shared" si="3"/>
        <v>Clean</v>
      </c>
      <c r="K48">
        <v>0.22</v>
      </c>
      <c r="L48" s="20" t="str">
        <f t="shared" si="4"/>
        <v>Safe</v>
      </c>
      <c r="M48" s="20">
        <f t="shared" si="2"/>
        <v>0</v>
      </c>
    </row>
    <row r="49" spans="1:13" x14ac:dyDescent="0.3">
      <c r="A49">
        <v>48</v>
      </c>
      <c r="B49" s="46">
        <v>40546</v>
      </c>
      <c r="C49">
        <v>1</v>
      </c>
      <c r="D49">
        <v>0</v>
      </c>
      <c r="E49" t="b">
        <v>0</v>
      </c>
      <c r="F49">
        <v>1</v>
      </c>
      <c r="G49" s="20" t="str">
        <f t="shared" si="0"/>
        <v>No</v>
      </c>
      <c r="H49" s="20" t="str">
        <f t="shared" si="1"/>
        <v>Monday</v>
      </c>
      <c r="I49">
        <v>1</v>
      </c>
      <c r="J49" s="20" t="str">
        <f t="shared" si="3"/>
        <v>Clean</v>
      </c>
      <c r="K49">
        <v>0.22</v>
      </c>
      <c r="L49" s="20" t="str">
        <f t="shared" si="4"/>
        <v>Safe</v>
      </c>
      <c r="M49" s="20">
        <f t="shared" si="2"/>
        <v>0</v>
      </c>
    </row>
    <row r="50" spans="1:13" x14ac:dyDescent="0.3">
      <c r="A50">
        <v>49</v>
      </c>
      <c r="B50" s="46">
        <v>40546</v>
      </c>
      <c r="C50">
        <v>1</v>
      </c>
      <c r="D50">
        <v>1</v>
      </c>
      <c r="E50" t="b">
        <v>0</v>
      </c>
      <c r="F50">
        <v>1</v>
      </c>
      <c r="G50" s="20" t="str">
        <f t="shared" si="0"/>
        <v>No</v>
      </c>
      <c r="H50" s="20" t="str">
        <f t="shared" si="1"/>
        <v>Monday</v>
      </c>
      <c r="I50">
        <v>1</v>
      </c>
      <c r="J50" s="20" t="str">
        <f t="shared" si="3"/>
        <v>Clean</v>
      </c>
      <c r="K50">
        <v>0.2</v>
      </c>
      <c r="L50" s="20" t="str">
        <f t="shared" si="4"/>
        <v>Safe</v>
      </c>
      <c r="M50" s="20">
        <f t="shared" si="2"/>
        <v>0</v>
      </c>
    </row>
    <row r="51" spans="1:13" x14ac:dyDescent="0.3">
      <c r="A51">
        <v>50</v>
      </c>
      <c r="B51" s="46">
        <v>40546</v>
      </c>
      <c r="C51">
        <v>1</v>
      </c>
      <c r="D51">
        <v>4</v>
      </c>
      <c r="E51" t="b">
        <v>0</v>
      </c>
      <c r="F51">
        <v>1</v>
      </c>
      <c r="G51" s="20" t="str">
        <f t="shared" si="0"/>
        <v>No</v>
      </c>
      <c r="H51" s="20" t="str">
        <f t="shared" si="1"/>
        <v>Monday</v>
      </c>
      <c r="I51">
        <v>1</v>
      </c>
      <c r="J51" s="20" t="str">
        <f t="shared" si="3"/>
        <v>Clean</v>
      </c>
      <c r="K51">
        <v>0.16</v>
      </c>
      <c r="L51" s="20" t="str">
        <f t="shared" si="4"/>
        <v>Safe</v>
      </c>
      <c r="M51" s="20">
        <f t="shared" si="2"/>
        <v>0</v>
      </c>
    </row>
    <row r="52" spans="1:13" x14ac:dyDescent="0.3">
      <c r="A52">
        <v>51</v>
      </c>
      <c r="B52" s="46">
        <v>40546</v>
      </c>
      <c r="C52">
        <v>1</v>
      </c>
      <c r="D52">
        <v>5</v>
      </c>
      <c r="E52" t="b">
        <v>0</v>
      </c>
      <c r="F52">
        <v>1</v>
      </c>
      <c r="G52" s="20" t="str">
        <f t="shared" si="0"/>
        <v>No</v>
      </c>
      <c r="H52" s="20" t="str">
        <f t="shared" si="1"/>
        <v>Monday</v>
      </c>
      <c r="I52">
        <v>1</v>
      </c>
      <c r="J52" s="20" t="str">
        <f t="shared" si="3"/>
        <v>Clean</v>
      </c>
      <c r="K52">
        <v>0.16</v>
      </c>
      <c r="L52" s="20" t="str">
        <f t="shared" si="4"/>
        <v>Safe</v>
      </c>
      <c r="M52" s="20">
        <f t="shared" si="2"/>
        <v>0</v>
      </c>
    </row>
    <row r="53" spans="1:13" x14ac:dyDescent="0.3">
      <c r="A53">
        <v>52</v>
      </c>
      <c r="B53" s="46">
        <v>40546</v>
      </c>
      <c r="C53">
        <v>1</v>
      </c>
      <c r="D53">
        <v>6</v>
      </c>
      <c r="E53" t="b">
        <v>0</v>
      </c>
      <c r="F53">
        <v>1</v>
      </c>
      <c r="G53" s="20" t="str">
        <f t="shared" si="0"/>
        <v>No</v>
      </c>
      <c r="H53" s="20" t="str">
        <f t="shared" si="1"/>
        <v>Monday</v>
      </c>
      <c r="I53">
        <v>1</v>
      </c>
      <c r="J53" s="20" t="str">
        <f t="shared" si="3"/>
        <v>Clean</v>
      </c>
      <c r="K53">
        <v>0.14000000000000001</v>
      </c>
      <c r="L53" s="20" t="str">
        <f t="shared" si="4"/>
        <v>Safe</v>
      </c>
      <c r="M53" s="20">
        <f t="shared" si="2"/>
        <v>0</v>
      </c>
    </row>
    <row r="54" spans="1:13" x14ac:dyDescent="0.3">
      <c r="A54">
        <v>53</v>
      </c>
      <c r="B54" s="46">
        <v>40546</v>
      </c>
      <c r="C54">
        <v>1</v>
      </c>
      <c r="D54">
        <v>7</v>
      </c>
      <c r="E54" t="b">
        <v>0</v>
      </c>
      <c r="F54">
        <v>1</v>
      </c>
      <c r="G54" s="20" t="str">
        <f t="shared" si="0"/>
        <v>No</v>
      </c>
      <c r="H54" s="20" t="str">
        <f t="shared" si="1"/>
        <v>Monday</v>
      </c>
      <c r="I54">
        <v>1</v>
      </c>
      <c r="J54" s="20" t="str">
        <f t="shared" si="3"/>
        <v>Clean</v>
      </c>
      <c r="K54">
        <v>0.14000000000000001</v>
      </c>
      <c r="L54" s="20" t="str">
        <f t="shared" si="4"/>
        <v>Safe</v>
      </c>
      <c r="M54" s="20">
        <f t="shared" si="2"/>
        <v>0</v>
      </c>
    </row>
    <row r="55" spans="1:13" x14ac:dyDescent="0.3">
      <c r="A55">
        <v>54</v>
      </c>
      <c r="B55" s="46">
        <v>40546</v>
      </c>
      <c r="C55">
        <v>1</v>
      </c>
      <c r="D55">
        <v>8</v>
      </c>
      <c r="E55" t="b">
        <v>0</v>
      </c>
      <c r="F55">
        <v>1</v>
      </c>
      <c r="G55" s="20" t="str">
        <f t="shared" si="0"/>
        <v>No</v>
      </c>
      <c r="H55" s="20" t="str">
        <f t="shared" si="1"/>
        <v>Monday</v>
      </c>
      <c r="I55">
        <v>1</v>
      </c>
      <c r="J55" s="20" t="str">
        <f t="shared" si="3"/>
        <v>Clean</v>
      </c>
      <c r="K55">
        <v>0.14000000000000001</v>
      </c>
      <c r="L55" s="20" t="str">
        <f t="shared" si="4"/>
        <v>Safe</v>
      </c>
      <c r="M55" s="20">
        <f t="shared" si="2"/>
        <v>0</v>
      </c>
    </row>
    <row r="56" spans="1:13" x14ac:dyDescent="0.3">
      <c r="A56">
        <v>55</v>
      </c>
      <c r="B56" s="46">
        <v>40546</v>
      </c>
      <c r="C56">
        <v>1</v>
      </c>
      <c r="D56">
        <v>9</v>
      </c>
      <c r="E56" t="b">
        <v>0</v>
      </c>
      <c r="F56">
        <v>1</v>
      </c>
      <c r="G56" s="20" t="str">
        <f t="shared" si="0"/>
        <v>No</v>
      </c>
      <c r="H56" s="20" t="str">
        <f t="shared" si="1"/>
        <v>Monday</v>
      </c>
      <c r="I56">
        <v>1</v>
      </c>
      <c r="J56" s="20" t="str">
        <f t="shared" si="3"/>
        <v>Clean</v>
      </c>
      <c r="K56">
        <v>0.16</v>
      </c>
      <c r="L56" s="20" t="str">
        <f t="shared" si="4"/>
        <v>Safe</v>
      </c>
      <c r="M56" s="20">
        <f t="shared" si="2"/>
        <v>0</v>
      </c>
    </row>
    <row r="57" spans="1:13" x14ac:dyDescent="0.3">
      <c r="A57">
        <v>56</v>
      </c>
      <c r="B57" s="46">
        <v>40546</v>
      </c>
      <c r="C57">
        <v>1</v>
      </c>
      <c r="D57">
        <v>10</v>
      </c>
      <c r="E57" t="b">
        <v>0</v>
      </c>
      <c r="F57">
        <v>1</v>
      </c>
      <c r="G57" s="20" t="str">
        <f t="shared" si="0"/>
        <v>No</v>
      </c>
      <c r="H57" s="20" t="str">
        <f t="shared" si="1"/>
        <v>Monday</v>
      </c>
      <c r="I57">
        <v>1</v>
      </c>
      <c r="J57" s="20" t="str">
        <f t="shared" si="3"/>
        <v>Clean</v>
      </c>
      <c r="K57">
        <v>0.18</v>
      </c>
      <c r="L57" s="20" t="str">
        <f t="shared" si="4"/>
        <v>Safe</v>
      </c>
      <c r="M57" s="20">
        <f t="shared" si="2"/>
        <v>0</v>
      </c>
    </row>
    <row r="58" spans="1:13" x14ac:dyDescent="0.3">
      <c r="A58">
        <v>57</v>
      </c>
      <c r="B58" s="46">
        <v>40546</v>
      </c>
      <c r="C58">
        <v>1</v>
      </c>
      <c r="D58">
        <v>11</v>
      </c>
      <c r="E58" t="b">
        <v>0</v>
      </c>
      <c r="F58">
        <v>1</v>
      </c>
      <c r="G58" s="20" t="str">
        <f t="shared" si="0"/>
        <v>No</v>
      </c>
      <c r="H58" s="20" t="str">
        <f t="shared" si="1"/>
        <v>Monday</v>
      </c>
      <c r="I58">
        <v>1</v>
      </c>
      <c r="J58" s="20" t="str">
        <f t="shared" si="3"/>
        <v>Clean</v>
      </c>
      <c r="K58">
        <v>0.2</v>
      </c>
      <c r="L58" s="20" t="str">
        <f t="shared" si="4"/>
        <v>Safe</v>
      </c>
      <c r="M58" s="20">
        <f t="shared" si="2"/>
        <v>0</v>
      </c>
    </row>
    <row r="59" spans="1:13" x14ac:dyDescent="0.3">
      <c r="A59">
        <v>58</v>
      </c>
      <c r="B59" s="46">
        <v>40546</v>
      </c>
      <c r="C59">
        <v>1</v>
      </c>
      <c r="D59">
        <v>12</v>
      </c>
      <c r="E59" t="b">
        <v>0</v>
      </c>
      <c r="F59">
        <v>1</v>
      </c>
      <c r="G59" s="20" t="str">
        <f t="shared" si="0"/>
        <v>No</v>
      </c>
      <c r="H59" s="20" t="str">
        <f t="shared" si="1"/>
        <v>Monday</v>
      </c>
      <c r="I59">
        <v>1</v>
      </c>
      <c r="J59" s="20" t="str">
        <f t="shared" si="3"/>
        <v>Clean</v>
      </c>
      <c r="K59">
        <v>0.22</v>
      </c>
      <c r="L59" s="20" t="str">
        <f t="shared" si="4"/>
        <v>Safe</v>
      </c>
      <c r="M59" s="20">
        <f t="shared" si="2"/>
        <v>0</v>
      </c>
    </row>
    <row r="60" spans="1:13" x14ac:dyDescent="0.3">
      <c r="A60">
        <v>59</v>
      </c>
      <c r="B60" s="46">
        <v>40546</v>
      </c>
      <c r="C60">
        <v>1</v>
      </c>
      <c r="D60">
        <v>13</v>
      </c>
      <c r="E60" t="b">
        <v>0</v>
      </c>
      <c r="F60">
        <v>1</v>
      </c>
      <c r="G60" s="20" t="str">
        <f t="shared" si="0"/>
        <v>No</v>
      </c>
      <c r="H60" s="20" t="str">
        <f t="shared" si="1"/>
        <v>Monday</v>
      </c>
      <c r="I60">
        <v>1</v>
      </c>
      <c r="J60" s="20" t="str">
        <f t="shared" si="3"/>
        <v>Clean</v>
      </c>
      <c r="K60">
        <v>0.24</v>
      </c>
      <c r="L60" s="20" t="str">
        <f t="shared" si="4"/>
        <v>Safe</v>
      </c>
      <c r="M60" s="20">
        <f t="shared" si="2"/>
        <v>0</v>
      </c>
    </row>
    <row r="61" spans="1:13" x14ac:dyDescent="0.3">
      <c r="A61">
        <v>60</v>
      </c>
      <c r="B61" s="46">
        <v>40546</v>
      </c>
      <c r="C61">
        <v>1</v>
      </c>
      <c r="D61">
        <v>14</v>
      </c>
      <c r="E61" t="b">
        <v>0</v>
      </c>
      <c r="F61">
        <v>1</v>
      </c>
      <c r="G61" s="20" t="str">
        <f t="shared" si="0"/>
        <v>No</v>
      </c>
      <c r="H61" s="20" t="str">
        <f t="shared" si="1"/>
        <v>Monday</v>
      </c>
      <c r="I61">
        <v>1</v>
      </c>
      <c r="J61" s="20" t="str">
        <f t="shared" si="3"/>
        <v>Clean</v>
      </c>
      <c r="K61">
        <v>0.26</v>
      </c>
      <c r="L61" s="20" t="str">
        <f t="shared" si="4"/>
        <v>Safe</v>
      </c>
      <c r="M61" s="20">
        <f t="shared" si="2"/>
        <v>0</v>
      </c>
    </row>
    <row r="62" spans="1:13" x14ac:dyDescent="0.3">
      <c r="A62">
        <v>61</v>
      </c>
      <c r="B62" s="46">
        <v>40546</v>
      </c>
      <c r="C62">
        <v>1</v>
      </c>
      <c r="D62">
        <v>15</v>
      </c>
      <c r="E62" t="b">
        <v>0</v>
      </c>
      <c r="F62">
        <v>1</v>
      </c>
      <c r="G62" s="20" t="str">
        <f t="shared" si="0"/>
        <v>No</v>
      </c>
      <c r="H62" s="20" t="str">
        <f t="shared" si="1"/>
        <v>Monday</v>
      </c>
      <c r="I62">
        <v>1</v>
      </c>
      <c r="J62" s="20" t="str">
        <f t="shared" si="3"/>
        <v>Clean</v>
      </c>
      <c r="K62">
        <v>0.26</v>
      </c>
      <c r="L62" s="20" t="str">
        <f t="shared" si="4"/>
        <v>Safe</v>
      </c>
      <c r="M62" s="20">
        <f t="shared" si="2"/>
        <v>0</v>
      </c>
    </row>
    <row r="63" spans="1:13" x14ac:dyDescent="0.3">
      <c r="A63">
        <v>62</v>
      </c>
      <c r="B63" s="46">
        <v>40546</v>
      </c>
      <c r="C63">
        <v>1</v>
      </c>
      <c r="D63">
        <v>16</v>
      </c>
      <c r="E63" t="b">
        <v>0</v>
      </c>
      <c r="F63">
        <v>1</v>
      </c>
      <c r="G63" s="20" t="str">
        <f t="shared" si="0"/>
        <v>No</v>
      </c>
      <c r="H63" s="20" t="str">
        <f t="shared" si="1"/>
        <v>Monday</v>
      </c>
      <c r="I63">
        <v>1</v>
      </c>
      <c r="J63" s="20" t="str">
        <f t="shared" si="3"/>
        <v>Clean</v>
      </c>
      <c r="K63">
        <v>0.26</v>
      </c>
      <c r="L63" s="20" t="str">
        <f t="shared" si="4"/>
        <v>Safe</v>
      </c>
      <c r="M63" s="20">
        <f t="shared" si="2"/>
        <v>0</v>
      </c>
    </row>
    <row r="64" spans="1:13" x14ac:dyDescent="0.3">
      <c r="A64">
        <v>63</v>
      </c>
      <c r="B64" s="46">
        <v>40546</v>
      </c>
      <c r="C64">
        <v>1</v>
      </c>
      <c r="D64">
        <v>17</v>
      </c>
      <c r="E64" t="b">
        <v>0</v>
      </c>
      <c r="F64">
        <v>1</v>
      </c>
      <c r="G64" s="20" t="str">
        <f t="shared" si="0"/>
        <v>No</v>
      </c>
      <c r="H64" s="20" t="str">
        <f t="shared" si="1"/>
        <v>Monday</v>
      </c>
      <c r="I64">
        <v>1</v>
      </c>
      <c r="J64" s="20" t="str">
        <f t="shared" si="3"/>
        <v>Clean</v>
      </c>
      <c r="K64">
        <v>0.24</v>
      </c>
      <c r="L64" s="20" t="str">
        <f t="shared" si="4"/>
        <v>Safe</v>
      </c>
      <c r="M64" s="20">
        <f t="shared" si="2"/>
        <v>0</v>
      </c>
    </row>
    <row r="65" spans="1:13" x14ac:dyDescent="0.3">
      <c r="A65">
        <v>64</v>
      </c>
      <c r="B65" s="46">
        <v>40546</v>
      </c>
      <c r="C65">
        <v>1</v>
      </c>
      <c r="D65">
        <v>18</v>
      </c>
      <c r="E65" t="b">
        <v>0</v>
      </c>
      <c r="F65">
        <v>1</v>
      </c>
      <c r="G65" s="20" t="str">
        <f t="shared" si="0"/>
        <v>No</v>
      </c>
      <c r="H65" s="20" t="str">
        <f t="shared" si="1"/>
        <v>Monday</v>
      </c>
      <c r="I65">
        <v>1</v>
      </c>
      <c r="J65" s="20" t="str">
        <f t="shared" si="3"/>
        <v>Clean</v>
      </c>
      <c r="K65">
        <v>0.24</v>
      </c>
      <c r="L65" s="20" t="str">
        <f t="shared" si="4"/>
        <v>Safe</v>
      </c>
      <c r="M65" s="20">
        <f t="shared" si="2"/>
        <v>0</v>
      </c>
    </row>
    <row r="66" spans="1:13" x14ac:dyDescent="0.3">
      <c r="A66">
        <v>65</v>
      </c>
      <c r="B66" s="46">
        <v>40546</v>
      </c>
      <c r="C66">
        <v>1</v>
      </c>
      <c r="D66">
        <v>19</v>
      </c>
      <c r="E66" t="b">
        <v>0</v>
      </c>
      <c r="F66">
        <v>1</v>
      </c>
      <c r="G66" s="20" t="str">
        <f t="shared" ref="G66:G129" si="5">_xlfn.IFS(F66=0,"Yes",F66=6,"Yes",F66&gt;0,"No")</f>
        <v>No</v>
      </c>
      <c r="H66" s="20" t="str">
        <f t="shared" ref="H66:H129" si="6">TEXT(B66:B675,"dddd")</f>
        <v>Monday</v>
      </c>
      <c r="I66">
        <v>1</v>
      </c>
      <c r="J66" s="20" t="str">
        <f t="shared" si="3"/>
        <v>Clean</v>
      </c>
      <c r="K66">
        <v>0.2</v>
      </c>
      <c r="L66" s="20" t="str">
        <f t="shared" si="4"/>
        <v>Safe</v>
      </c>
      <c r="M66" s="20">
        <f t="shared" ref="M66:M129" si="7">COUNTBLANK(A66:K66)</f>
        <v>0</v>
      </c>
    </row>
    <row r="67" spans="1:13" x14ac:dyDescent="0.3">
      <c r="A67">
        <v>66</v>
      </c>
      <c r="B67" s="46">
        <v>40546</v>
      </c>
      <c r="C67">
        <v>1</v>
      </c>
      <c r="D67">
        <v>20</v>
      </c>
      <c r="E67" t="b">
        <v>0</v>
      </c>
      <c r="F67">
        <v>1</v>
      </c>
      <c r="G67" s="20" t="str">
        <f t="shared" si="5"/>
        <v>No</v>
      </c>
      <c r="H67" s="20" t="str">
        <f t="shared" si="6"/>
        <v>Monday</v>
      </c>
      <c r="I67">
        <v>1</v>
      </c>
      <c r="J67" s="20" t="str">
        <f t="shared" ref="J67:J130" si="8">_xlfn.IFS(I67=1,"Clean",I67=2,"Misty",I67=3,"Light Rain",I67=4,"Heavy Rain")</f>
        <v>Clean</v>
      </c>
      <c r="K67">
        <v>0.2</v>
      </c>
      <c r="L67" s="20" t="str">
        <f t="shared" ref="L67:L130" si="9">_xlfn.IFS(K67&lt;0.1,"Risky",K67&lt;0.35,"Safe",K67&gt;0.35,"Risky")</f>
        <v>Safe</v>
      </c>
      <c r="M67" s="20">
        <f t="shared" si="7"/>
        <v>0</v>
      </c>
    </row>
    <row r="68" spans="1:13" x14ac:dyDescent="0.3">
      <c r="A68">
        <v>67</v>
      </c>
      <c r="B68" s="46">
        <v>40546</v>
      </c>
      <c r="C68">
        <v>1</v>
      </c>
      <c r="D68">
        <v>21</v>
      </c>
      <c r="E68" t="b">
        <v>0</v>
      </c>
      <c r="F68">
        <v>1</v>
      </c>
      <c r="G68" s="20" t="str">
        <f t="shared" si="5"/>
        <v>No</v>
      </c>
      <c r="H68" s="20" t="str">
        <f t="shared" si="6"/>
        <v>Monday</v>
      </c>
      <c r="I68">
        <v>1</v>
      </c>
      <c r="J68" s="20" t="str">
        <f t="shared" si="8"/>
        <v>Clean</v>
      </c>
      <c r="K68">
        <v>0.18</v>
      </c>
      <c r="L68" s="20" t="str">
        <f t="shared" si="9"/>
        <v>Safe</v>
      </c>
      <c r="M68" s="20">
        <f t="shared" si="7"/>
        <v>0</v>
      </c>
    </row>
    <row r="69" spans="1:13" x14ac:dyDescent="0.3">
      <c r="A69">
        <v>68</v>
      </c>
      <c r="B69" s="46">
        <v>40546</v>
      </c>
      <c r="C69">
        <v>1</v>
      </c>
      <c r="D69">
        <v>22</v>
      </c>
      <c r="E69" t="b">
        <v>0</v>
      </c>
      <c r="F69">
        <v>1</v>
      </c>
      <c r="G69" s="20" t="str">
        <f t="shared" si="5"/>
        <v>No</v>
      </c>
      <c r="H69" s="20" t="str">
        <f t="shared" si="6"/>
        <v>Monday</v>
      </c>
      <c r="I69">
        <v>1</v>
      </c>
      <c r="J69" s="20" t="str">
        <f t="shared" si="8"/>
        <v>Clean</v>
      </c>
      <c r="K69">
        <v>0.14000000000000001</v>
      </c>
      <c r="L69" s="20" t="str">
        <f t="shared" si="9"/>
        <v>Safe</v>
      </c>
      <c r="M69" s="20">
        <f t="shared" si="7"/>
        <v>0</v>
      </c>
    </row>
    <row r="70" spans="1:13" x14ac:dyDescent="0.3">
      <c r="A70">
        <v>69</v>
      </c>
      <c r="B70" s="46">
        <v>40546</v>
      </c>
      <c r="C70">
        <v>1</v>
      </c>
      <c r="D70">
        <v>23</v>
      </c>
      <c r="E70" t="b">
        <v>0</v>
      </c>
      <c r="F70">
        <v>1</v>
      </c>
      <c r="G70" s="20" t="str">
        <f t="shared" si="5"/>
        <v>No</v>
      </c>
      <c r="H70" s="20" t="str">
        <f t="shared" si="6"/>
        <v>Monday</v>
      </c>
      <c r="I70">
        <v>1</v>
      </c>
      <c r="J70" s="20" t="str">
        <f t="shared" si="8"/>
        <v>Clean</v>
      </c>
      <c r="K70">
        <v>0.18</v>
      </c>
      <c r="L70" s="20" t="str">
        <f t="shared" si="9"/>
        <v>Safe</v>
      </c>
      <c r="M70" s="20">
        <f t="shared" si="7"/>
        <v>0</v>
      </c>
    </row>
    <row r="71" spans="1:13" x14ac:dyDescent="0.3">
      <c r="A71">
        <v>70</v>
      </c>
      <c r="B71" s="46">
        <v>40547</v>
      </c>
      <c r="C71">
        <v>1</v>
      </c>
      <c r="D71">
        <v>0</v>
      </c>
      <c r="E71" t="b">
        <v>0</v>
      </c>
      <c r="F71">
        <v>2</v>
      </c>
      <c r="G71" s="20" t="str">
        <f t="shared" si="5"/>
        <v>No</v>
      </c>
      <c r="H71" s="20" t="str">
        <f t="shared" si="6"/>
        <v>Tuesday</v>
      </c>
      <c r="I71">
        <v>1</v>
      </c>
      <c r="J71" s="20" t="str">
        <f t="shared" si="8"/>
        <v>Clean</v>
      </c>
      <c r="K71">
        <v>0.16</v>
      </c>
      <c r="L71" s="20" t="str">
        <f t="shared" si="9"/>
        <v>Safe</v>
      </c>
      <c r="M71" s="20">
        <f t="shared" si="7"/>
        <v>0</v>
      </c>
    </row>
    <row r="72" spans="1:13" x14ac:dyDescent="0.3">
      <c r="A72">
        <v>71</v>
      </c>
      <c r="B72" s="46">
        <v>40547</v>
      </c>
      <c r="C72">
        <v>1</v>
      </c>
      <c r="D72">
        <v>1</v>
      </c>
      <c r="E72" t="b">
        <v>0</v>
      </c>
      <c r="F72">
        <v>2</v>
      </c>
      <c r="G72" s="20" t="str">
        <f t="shared" si="5"/>
        <v>No</v>
      </c>
      <c r="H72" s="20" t="str">
        <f t="shared" si="6"/>
        <v>Tuesday</v>
      </c>
      <c r="I72">
        <v>1</v>
      </c>
      <c r="J72" s="20" t="str">
        <f t="shared" si="8"/>
        <v>Clean</v>
      </c>
      <c r="K72">
        <v>0.16</v>
      </c>
      <c r="L72" s="20" t="str">
        <f t="shared" si="9"/>
        <v>Safe</v>
      </c>
      <c r="M72" s="20">
        <f t="shared" si="7"/>
        <v>0</v>
      </c>
    </row>
    <row r="73" spans="1:13" x14ac:dyDescent="0.3">
      <c r="A73">
        <v>72</v>
      </c>
      <c r="B73" s="46">
        <v>40547</v>
      </c>
      <c r="C73">
        <v>1</v>
      </c>
      <c r="D73">
        <v>2</v>
      </c>
      <c r="E73" t="b">
        <v>0</v>
      </c>
      <c r="F73">
        <v>2</v>
      </c>
      <c r="G73" s="20" t="str">
        <f t="shared" si="5"/>
        <v>No</v>
      </c>
      <c r="H73" s="20" t="str">
        <f t="shared" si="6"/>
        <v>Tuesday</v>
      </c>
      <c r="I73">
        <v>1</v>
      </c>
      <c r="J73" s="20" t="str">
        <f t="shared" si="8"/>
        <v>Clean</v>
      </c>
      <c r="K73">
        <v>0.14000000000000001</v>
      </c>
      <c r="L73" s="20" t="str">
        <f t="shared" si="9"/>
        <v>Safe</v>
      </c>
      <c r="M73" s="20">
        <f t="shared" si="7"/>
        <v>0</v>
      </c>
    </row>
    <row r="74" spans="1:13" x14ac:dyDescent="0.3">
      <c r="A74">
        <v>73</v>
      </c>
      <c r="B74" s="46">
        <v>40547</v>
      </c>
      <c r="C74">
        <v>1</v>
      </c>
      <c r="D74">
        <v>4</v>
      </c>
      <c r="E74" t="b">
        <v>0</v>
      </c>
      <c r="F74">
        <v>2</v>
      </c>
      <c r="G74" s="20" t="str">
        <f t="shared" si="5"/>
        <v>No</v>
      </c>
      <c r="H74" s="20" t="str">
        <f t="shared" si="6"/>
        <v>Tuesday</v>
      </c>
      <c r="I74">
        <v>1</v>
      </c>
      <c r="J74" s="20" t="str">
        <f t="shared" si="8"/>
        <v>Clean</v>
      </c>
      <c r="K74">
        <v>0.14000000000000001</v>
      </c>
      <c r="L74" s="20" t="str">
        <f t="shared" si="9"/>
        <v>Safe</v>
      </c>
      <c r="M74" s="20">
        <f t="shared" si="7"/>
        <v>0</v>
      </c>
    </row>
    <row r="75" spans="1:13" x14ac:dyDescent="0.3">
      <c r="A75">
        <v>74</v>
      </c>
      <c r="B75" s="46">
        <v>40547</v>
      </c>
      <c r="C75">
        <v>1</v>
      </c>
      <c r="D75">
        <v>5</v>
      </c>
      <c r="E75" t="b">
        <v>0</v>
      </c>
      <c r="F75">
        <v>2</v>
      </c>
      <c r="G75" s="20" t="str">
        <f t="shared" si="5"/>
        <v>No</v>
      </c>
      <c r="H75" s="20" t="str">
        <f t="shared" si="6"/>
        <v>Tuesday</v>
      </c>
      <c r="I75">
        <v>1</v>
      </c>
      <c r="J75" s="20" t="str">
        <f t="shared" si="8"/>
        <v>Clean</v>
      </c>
      <c r="K75">
        <v>0.12</v>
      </c>
      <c r="L75" s="20" t="str">
        <f t="shared" si="9"/>
        <v>Safe</v>
      </c>
      <c r="M75" s="20">
        <f t="shared" si="7"/>
        <v>0</v>
      </c>
    </row>
    <row r="76" spans="1:13" x14ac:dyDescent="0.3">
      <c r="A76">
        <v>75</v>
      </c>
      <c r="B76" s="46">
        <v>40547</v>
      </c>
      <c r="C76">
        <v>1</v>
      </c>
      <c r="D76">
        <v>6</v>
      </c>
      <c r="E76" t="b">
        <v>0</v>
      </c>
      <c r="F76">
        <v>2</v>
      </c>
      <c r="G76" s="20" t="str">
        <f t="shared" si="5"/>
        <v>No</v>
      </c>
      <c r="H76" s="20" t="str">
        <f t="shared" si="6"/>
        <v>Tuesday</v>
      </c>
      <c r="I76">
        <v>1</v>
      </c>
      <c r="J76" s="20" t="str">
        <f t="shared" si="8"/>
        <v>Clean</v>
      </c>
      <c r="K76">
        <v>0.12</v>
      </c>
      <c r="L76" s="20" t="str">
        <f t="shared" si="9"/>
        <v>Safe</v>
      </c>
      <c r="M76" s="20">
        <f t="shared" si="7"/>
        <v>0</v>
      </c>
    </row>
    <row r="77" spans="1:13" x14ac:dyDescent="0.3">
      <c r="A77">
        <v>76</v>
      </c>
      <c r="B77" s="46">
        <v>40547</v>
      </c>
      <c r="C77">
        <v>1</v>
      </c>
      <c r="D77">
        <v>7</v>
      </c>
      <c r="E77" t="b">
        <v>0</v>
      </c>
      <c r="F77">
        <v>2</v>
      </c>
      <c r="G77" s="20" t="str">
        <f t="shared" si="5"/>
        <v>No</v>
      </c>
      <c r="H77" s="20" t="str">
        <f t="shared" si="6"/>
        <v>Tuesday</v>
      </c>
      <c r="I77">
        <v>1</v>
      </c>
      <c r="J77" s="20" t="str">
        <f t="shared" si="8"/>
        <v>Clean</v>
      </c>
      <c r="K77">
        <v>0.12</v>
      </c>
      <c r="L77" s="20" t="str">
        <f t="shared" si="9"/>
        <v>Safe</v>
      </c>
      <c r="M77" s="20">
        <f t="shared" si="7"/>
        <v>0</v>
      </c>
    </row>
    <row r="78" spans="1:13" x14ac:dyDescent="0.3">
      <c r="A78">
        <v>77</v>
      </c>
      <c r="B78" s="46">
        <v>40547</v>
      </c>
      <c r="C78">
        <v>1</v>
      </c>
      <c r="D78">
        <v>8</v>
      </c>
      <c r="E78" t="b">
        <v>0</v>
      </c>
      <c r="F78">
        <v>2</v>
      </c>
      <c r="G78" s="20" t="str">
        <f t="shared" si="5"/>
        <v>No</v>
      </c>
      <c r="H78" s="20" t="str">
        <f t="shared" si="6"/>
        <v>Tuesday</v>
      </c>
      <c r="I78">
        <v>1</v>
      </c>
      <c r="J78" s="20" t="str">
        <f t="shared" si="8"/>
        <v>Clean</v>
      </c>
      <c r="K78">
        <v>0.14000000000000001</v>
      </c>
      <c r="L78" s="20" t="str">
        <f t="shared" si="9"/>
        <v>Safe</v>
      </c>
      <c r="M78" s="20">
        <f t="shared" si="7"/>
        <v>0</v>
      </c>
    </row>
    <row r="79" spans="1:13" x14ac:dyDescent="0.3">
      <c r="A79">
        <v>78</v>
      </c>
      <c r="B79" s="46">
        <v>40547</v>
      </c>
      <c r="C79">
        <v>1</v>
      </c>
      <c r="D79">
        <v>9</v>
      </c>
      <c r="E79" t="b">
        <v>0</v>
      </c>
      <c r="F79">
        <v>2</v>
      </c>
      <c r="G79" s="20" t="str">
        <f t="shared" si="5"/>
        <v>No</v>
      </c>
      <c r="H79" s="20" t="str">
        <f t="shared" si="6"/>
        <v>Tuesday</v>
      </c>
      <c r="I79">
        <v>1</v>
      </c>
      <c r="J79" s="20" t="str">
        <f t="shared" si="8"/>
        <v>Clean</v>
      </c>
      <c r="K79">
        <v>0.16</v>
      </c>
      <c r="L79" s="20" t="str">
        <f t="shared" si="9"/>
        <v>Safe</v>
      </c>
      <c r="M79" s="20">
        <f t="shared" si="7"/>
        <v>0</v>
      </c>
    </row>
    <row r="80" spans="1:13" x14ac:dyDescent="0.3">
      <c r="A80">
        <v>79</v>
      </c>
      <c r="B80" s="46">
        <v>40547</v>
      </c>
      <c r="C80">
        <v>1</v>
      </c>
      <c r="D80">
        <v>10</v>
      </c>
      <c r="E80" t="b">
        <v>0</v>
      </c>
      <c r="F80">
        <v>2</v>
      </c>
      <c r="G80" s="20" t="str">
        <f t="shared" si="5"/>
        <v>No</v>
      </c>
      <c r="H80" s="20" t="str">
        <f t="shared" si="6"/>
        <v>Tuesday</v>
      </c>
      <c r="I80">
        <v>2</v>
      </c>
      <c r="J80" s="20" t="str">
        <f t="shared" si="8"/>
        <v>Misty</v>
      </c>
      <c r="K80">
        <v>0.16</v>
      </c>
      <c r="L80" s="20" t="str">
        <f t="shared" si="9"/>
        <v>Safe</v>
      </c>
      <c r="M80" s="20">
        <f t="shared" si="7"/>
        <v>0</v>
      </c>
    </row>
    <row r="81" spans="1:13" x14ac:dyDescent="0.3">
      <c r="A81">
        <v>80</v>
      </c>
      <c r="B81" s="46">
        <v>40547</v>
      </c>
      <c r="C81">
        <v>1</v>
      </c>
      <c r="D81">
        <v>11</v>
      </c>
      <c r="E81" t="b">
        <v>0</v>
      </c>
      <c r="F81">
        <v>2</v>
      </c>
      <c r="G81" s="20" t="str">
        <f t="shared" si="5"/>
        <v>No</v>
      </c>
      <c r="H81" s="20" t="str">
        <f t="shared" si="6"/>
        <v>Tuesday</v>
      </c>
      <c r="I81">
        <v>1</v>
      </c>
      <c r="J81" s="20" t="str">
        <f t="shared" si="8"/>
        <v>Clean</v>
      </c>
      <c r="K81">
        <v>0.22</v>
      </c>
      <c r="L81" s="20" t="str">
        <f t="shared" si="9"/>
        <v>Safe</v>
      </c>
      <c r="M81" s="20">
        <f t="shared" si="7"/>
        <v>0</v>
      </c>
    </row>
    <row r="82" spans="1:13" x14ac:dyDescent="0.3">
      <c r="A82">
        <v>81</v>
      </c>
      <c r="B82" s="46">
        <v>40547</v>
      </c>
      <c r="C82">
        <v>1</v>
      </c>
      <c r="D82">
        <v>12</v>
      </c>
      <c r="E82" t="b">
        <v>0</v>
      </c>
      <c r="F82">
        <v>2</v>
      </c>
      <c r="G82" s="20" t="str">
        <f t="shared" si="5"/>
        <v>No</v>
      </c>
      <c r="H82" s="20" t="str">
        <f t="shared" si="6"/>
        <v>Tuesday</v>
      </c>
      <c r="I82">
        <v>1</v>
      </c>
      <c r="J82" s="20" t="str">
        <f t="shared" si="8"/>
        <v>Clean</v>
      </c>
      <c r="K82">
        <v>0.22</v>
      </c>
      <c r="L82" s="20" t="str">
        <f t="shared" si="9"/>
        <v>Safe</v>
      </c>
      <c r="M82" s="20">
        <f t="shared" si="7"/>
        <v>0</v>
      </c>
    </row>
    <row r="83" spans="1:13" x14ac:dyDescent="0.3">
      <c r="A83">
        <v>82</v>
      </c>
      <c r="B83" s="46">
        <v>40547</v>
      </c>
      <c r="C83">
        <v>1</v>
      </c>
      <c r="D83">
        <v>13</v>
      </c>
      <c r="E83" t="b">
        <v>0</v>
      </c>
      <c r="F83">
        <v>2</v>
      </c>
      <c r="G83" s="20" t="str">
        <f t="shared" si="5"/>
        <v>No</v>
      </c>
      <c r="H83" s="20" t="str">
        <f t="shared" si="6"/>
        <v>Tuesday</v>
      </c>
      <c r="I83">
        <v>1</v>
      </c>
      <c r="J83" s="20" t="str">
        <f t="shared" si="8"/>
        <v>Clean</v>
      </c>
      <c r="K83">
        <v>0.24</v>
      </c>
      <c r="L83" s="20" t="str">
        <f t="shared" si="9"/>
        <v>Safe</v>
      </c>
      <c r="M83" s="20">
        <f t="shared" si="7"/>
        <v>0</v>
      </c>
    </row>
    <row r="84" spans="1:13" x14ac:dyDescent="0.3">
      <c r="A84">
        <v>83</v>
      </c>
      <c r="B84" s="46">
        <v>40547</v>
      </c>
      <c r="C84">
        <v>1</v>
      </c>
      <c r="D84">
        <v>14</v>
      </c>
      <c r="E84" t="b">
        <v>0</v>
      </c>
      <c r="F84">
        <v>2</v>
      </c>
      <c r="G84" s="20" t="str">
        <f t="shared" si="5"/>
        <v>No</v>
      </c>
      <c r="H84" s="20" t="str">
        <f t="shared" si="6"/>
        <v>Tuesday</v>
      </c>
      <c r="I84">
        <v>1</v>
      </c>
      <c r="J84" s="20" t="str">
        <f t="shared" si="8"/>
        <v>Clean</v>
      </c>
      <c r="K84">
        <v>0.26</v>
      </c>
      <c r="L84" s="20" t="str">
        <f t="shared" si="9"/>
        <v>Safe</v>
      </c>
      <c r="M84" s="20">
        <f t="shared" si="7"/>
        <v>0</v>
      </c>
    </row>
    <row r="85" spans="1:13" x14ac:dyDescent="0.3">
      <c r="A85">
        <v>84</v>
      </c>
      <c r="B85" s="46">
        <v>40547</v>
      </c>
      <c r="C85">
        <v>1</v>
      </c>
      <c r="D85">
        <v>15</v>
      </c>
      <c r="E85" t="b">
        <v>0</v>
      </c>
      <c r="F85">
        <v>2</v>
      </c>
      <c r="G85" s="20" t="str">
        <f t="shared" si="5"/>
        <v>No</v>
      </c>
      <c r="H85" s="20" t="str">
        <f t="shared" si="6"/>
        <v>Tuesday</v>
      </c>
      <c r="I85">
        <v>1</v>
      </c>
      <c r="J85" s="20" t="str">
        <f t="shared" si="8"/>
        <v>Clean</v>
      </c>
      <c r="K85">
        <v>0.28000000000000003</v>
      </c>
      <c r="L85" s="20" t="str">
        <f t="shared" si="9"/>
        <v>Safe</v>
      </c>
      <c r="M85" s="20">
        <f t="shared" si="7"/>
        <v>0</v>
      </c>
    </row>
    <row r="86" spans="1:13" x14ac:dyDescent="0.3">
      <c r="A86">
        <v>85</v>
      </c>
      <c r="B86" s="46">
        <v>40547</v>
      </c>
      <c r="C86">
        <v>1</v>
      </c>
      <c r="D86">
        <v>16</v>
      </c>
      <c r="E86" t="b">
        <v>0</v>
      </c>
      <c r="F86">
        <v>2</v>
      </c>
      <c r="G86" s="20" t="str">
        <f t="shared" si="5"/>
        <v>No</v>
      </c>
      <c r="H86" s="20" t="str">
        <f t="shared" si="6"/>
        <v>Tuesday</v>
      </c>
      <c r="I86">
        <v>1</v>
      </c>
      <c r="J86" s="20" t="str">
        <f t="shared" si="8"/>
        <v>Clean</v>
      </c>
      <c r="K86">
        <v>0.3</v>
      </c>
      <c r="L86" s="20" t="str">
        <f t="shared" si="9"/>
        <v>Safe</v>
      </c>
      <c r="M86" s="20">
        <f t="shared" si="7"/>
        <v>0</v>
      </c>
    </row>
    <row r="87" spans="1:13" x14ac:dyDescent="0.3">
      <c r="A87">
        <v>86</v>
      </c>
      <c r="B87" s="46">
        <v>40547</v>
      </c>
      <c r="C87">
        <v>1</v>
      </c>
      <c r="D87">
        <v>17</v>
      </c>
      <c r="E87" t="b">
        <v>0</v>
      </c>
      <c r="F87">
        <v>2</v>
      </c>
      <c r="G87" s="20" t="str">
        <f t="shared" si="5"/>
        <v>No</v>
      </c>
      <c r="H87" s="20" t="str">
        <f t="shared" si="6"/>
        <v>Tuesday</v>
      </c>
      <c r="I87">
        <v>1</v>
      </c>
      <c r="J87" s="20" t="str">
        <f t="shared" si="8"/>
        <v>Clean</v>
      </c>
      <c r="K87">
        <v>0.28000000000000003</v>
      </c>
      <c r="L87" s="20" t="str">
        <f t="shared" si="9"/>
        <v>Safe</v>
      </c>
      <c r="M87" s="20">
        <f t="shared" si="7"/>
        <v>0</v>
      </c>
    </row>
    <row r="88" spans="1:13" x14ac:dyDescent="0.3">
      <c r="A88">
        <v>87</v>
      </c>
      <c r="B88" s="46">
        <v>40547</v>
      </c>
      <c r="C88">
        <v>1</v>
      </c>
      <c r="D88">
        <v>18</v>
      </c>
      <c r="E88" t="b">
        <v>0</v>
      </c>
      <c r="F88">
        <v>2</v>
      </c>
      <c r="G88" s="20" t="str">
        <f t="shared" si="5"/>
        <v>No</v>
      </c>
      <c r="H88" s="20" t="str">
        <f t="shared" si="6"/>
        <v>Tuesday</v>
      </c>
      <c r="I88">
        <v>1</v>
      </c>
      <c r="J88" s="20" t="str">
        <f t="shared" si="8"/>
        <v>Clean</v>
      </c>
      <c r="K88">
        <v>0.26</v>
      </c>
      <c r="L88" s="20" t="str">
        <f t="shared" si="9"/>
        <v>Safe</v>
      </c>
      <c r="M88" s="20">
        <f t="shared" si="7"/>
        <v>0</v>
      </c>
    </row>
    <row r="89" spans="1:13" x14ac:dyDescent="0.3">
      <c r="A89">
        <v>88</v>
      </c>
      <c r="B89" s="46">
        <v>40547</v>
      </c>
      <c r="C89">
        <v>1</v>
      </c>
      <c r="D89">
        <v>19</v>
      </c>
      <c r="E89" t="b">
        <v>0</v>
      </c>
      <c r="F89">
        <v>2</v>
      </c>
      <c r="G89" s="20" t="str">
        <f t="shared" si="5"/>
        <v>No</v>
      </c>
      <c r="H89" s="20" t="str">
        <f t="shared" si="6"/>
        <v>Tuesday</v>
      </c>
      <c r="I89">
        <v>1</v>
      </c>
      <c r="J89" s="20" t="str">
        <f t="shared" si="8"/>
        <v>Clean</v>
      </c>
      <c r="K89">
        <v>0.24</v>
      </c>
      <c r="L89" s="20" t="str">
        <f t="shared" si="9"/>
        <v>Safe</v>
      </c>
      <c r="M89" s="20">
        <f t="shared" si="7"/>
        <v>0</v>
      </c>
    </row>
    <row r="90" spans="1:13" x14ac:dyDescent="0.3">
      <c r="A90">
        <v>89</v>
      </c>
      <c r="B90" s="46">
        <v>40547</v>
      </c>
      <c r="C90">
        <v>1</v>
      </c>
      <c r="D90">
        <v>20</v>
      </c>
      <c r="E90" t="b">
        <v>0</v>
      </c>
      <c r="F90">
        <v>2</v>
      </c>
      <c r="G90" s="20" t="str">
        <f t="shared" si="5"/>
        <v>No</v>
      </c>
      <c r="H90" s="20" t="str">
        <f t="shared" si="6"/>
        <v>Tuesday</v>
      </c>
      <c r="I90">
        <v>1</v>
      </c>
      <c r="J90" s="20" t="str">
        <f t="shared" si="8"/>
        <v>Clean</v>
      </c>
      <c r="K90">
        <v>0.24</v>
      </c>
      <c r="L90" s="20" t="str">
        <f t="shared" si="9"/>
        <v>Safe</v>
      </c>
      <c r="M90" s="20">
        <f t="shared" si="7"/>
        <v>0</v>
      </c>
    </row>
    <row r="91" spans="1:13" x14ac:dyDescent="0.3">
      <c r="A91">
        <v>90</v>
      </c>
      <c r="B91" s="46">
        <v>40547</v>
      </c>
      <c r="C91">
        <v>1</v>
      </c>
      <c r="D91">
        <v>21</v>
      </c>
      <c r="E91" t="b">
        <v>0</v>
      </c>
      <c r="F91">
        <v>2</v>
      </c>
      <c r="G91" s="20" t="str">
        <f t="shared" si="5"/>
        <v>No</v>
      </c>
      <c r="H91" s="20" t="str">
        <f t="shared" si="6"/>
        <v>Tuesday</v>
      </c>
      <c r="I91">
        <v>1</v>
      </c>
      <c r="J91" s="20" t="str">
        <f t="shared" si="8"/>
        <v>Clean</v>
      </c>
      <c r="K91">
        <v>0.22</v>
      </c>
      <c r="L91" s="20" t="str">
        <f t="shared" si="9"/>
        <v>Safe</v>
      </c>
      <c r="M91" s="20">
        <f t="shared" si="7"/>
        <v>0</v>
      </c>
    </row>
    <row r="92" spans="1:13" x14ac:dyDescent="0.3">
      <c r="A92">
        <v>91</v>
      </c>
      <c r="B92" s="46">
        <v>40547</v>
      </c>
      <c r="C92">
        <v>1</v>
      </c>
      <c r="D92">
        <v>22</v>
      </c>
      <c r="E92" t="b">
        <v>0</v>
      </c>
      <c r="F92">
        <v>2</v>
      </c>
      <c r="G92" s="20" t="str">
        <f t="shared" si="5"/>
        <v>No</v>
      </c>
      <c r="H92" s="20" t="str">
        <f t="shared" si="6"/>
        <v>Tuesday</v>
      </c>
      <c r="I92">
        <v>1</v>
      </c>
      <c r="J92" s="20" t="str">
        <f t="shared" si="8"/>
        <v>Clean</v>
      </c>
      <c r="K92">
        <v>0.22</v>
      </c>
      <c r="L92" s="20" t="str">
        <f t="shared" si="9"/>
        <v>Safe</v>
      </c>
      <c r="M92" s="20">
        <f t="shared" si="7"/>
        <v>0</v>
      </c>
    </row>
    <row r="93" spans="1:13" x14ac:dyDescent="0.3">
      <c r="A93">
        <v>92</v>
      </c>
      <c r="B93" s="46">
        <v>40547</v>
      </c>
      <c r="C93">
        <v>1</v>
      </c>
      <c r="D93">
        <v>23</v>
      </c>
      <c r="E93" t="b">
        <v>0</v>
      </c>
      <c r="F93">
        <v>2</v>
      </c>
      <c r="G93" s="20" t="str">
        <f t="shared" si="5"/>
        <v>No</v>
      </c>
      <c r="H93" s="20" t="str">
        <f t="shared" si="6"/>
        <v>Tuesday</v>
      </c>
      <c r="I93">
        <v>1</v>
      </c>
      <c r="J93" s="20" t="str">
        <f t="shared" si="8"/>
        <v>Clean</v>
      </c>
      <c r="K93">
        <v>0.2</v>
      </c>
      <c r="L93" s="20" t="str">
        <f t="shared" si="9"/>
        <v>Safe</v>
      </c>
      <c r="M93" s="20">
        <f t="shared" si="7"/>
        <v>0</v>
      </c>
    </row>
    <row r="94" spans="1:13" x14ac:dyDescent="0.3">
      <c r="A94">
        <v>93</v>
      </c>
      <c r="B94" s="46">
        <v>40548</v>
      </c>
      <c r="C94">
        <v>1</v>
      </c>
      <c r="D94">
        <v>0</v>
      </c>
      <c r="E94" t="b">
        <v>0</v>
      </c>
      <c r="F94">
        <v>3</v>
      </c>
      <c r="G94" s="20" t="str">
        <f t="shared" si="5"/>
        <v>No</v>
      </c>
      <c r="H94" s="20" t="str">
        <f t="shared" si="6"/>
        <v>Wednesday</v>
      </c>
      <c r="I94">
        <v>1</v>
      </c>
      <c r="J94" s="20" t="str">
        <f t="shared" si="8"/>
        <v>Clean</v>
      </c>
      <c r="K94">
        <v>0.2</v>
      </c>
      <c r="L94" s="20" t="str">
        <f t="shared" si="9"/>
        <v>Safe</v>
      </c>
      <c r="M94" s="20">
        <f t="shared" si="7"/>
        <v>0</v>
      </c>
    </row>
    <row r="95" spans="1:13" x14ac:dyDescent="0.3">
      <c r="A95">
        <v>94</v>
      </c>
      <c r="B95" s="46">
        <v>40548</v>
      </c>
      <c r="C95">
        <v>1</v>
      </c>
      <c r="D95">
        <v>1</v>
      </c>
      <c r="E95" t="b">
        <v>0</v>
      </c>
      <c r="F95">
        <v>3</v>
      </c>
      <c r="G95" s="20" t="str">
        <f t="shared" si="5"/>
        <v>No</v>
      </c>
      <c r="H95" s="20" t="str">
        <f t="shared" si="6"/>
        <v>Wednesday</v>
      </c>
      <c r="I95">
        <v>1</v>
      </c>
      <c r="J95" s="20" t="str">
        <f t="shared" si="8"/>
        <v>Clean</v>
      </c>
      <c r="K95">
        <v>0.16</v>
      </c>
      <c r="L95" s="20" t="str">
        <f t="shared" si="9"/>
        <v>Safe</v>
      </c>
      <c r="M95" s="20">
        <f t="shared" si="7"/>
        <v>0</v>
      </c>
    </row>
    <row r="96" spans="1:13" x14ac:dyDescent="0.3">
      <c r="A96">
        <v>95</v>
      </c>
      <c r="B96" s="46">
        <v>40548</v>
      </c>
      <c r="C96">
        <v>1</v>
      </c>
      <c r="D96">
        <v>2</v>
      </c>
      <c r="E96" t="b">
        <v>0</v>
      </c>
      <c r="F96">
        <v>3</v>
      </c>
      <c r="G96" s="20" t="str">
        <f t="shared" si="5"/>
        <v>No</v>
      </c>
      <c r="H96" s="20" t="str">
        <f t="shared" si="6"/>
        <v>Wednesday</v>
      </c>
      <c r="I96">
        <v>1</v>
      </c>
      <c r="J96" s="20" t="str">
        <f t="shared" si="8"/>
        <v>Clean</v>
      </c>
      <c r="K96">
        <v>0.16</v>
      </c>
      <c r="L96" s="20" t="str">
        <f t="shared" si="9"/>
        <v>Safe</v>
      </c>
      <c r="M96" s="20">
        <f t="shared" si="7"/>
        <v>0</v>
      </c>
    </row>
    <row r="97" spans="1:13" x14ac:dyDescent="0.3">
      <c r="A97">
        <v>96</v>
      </c>
      <c r="B97" s="46">
        <v>40548</v>
      </c>
      <c r="C97">
        <v>1</v>
      </c>
      <c r="D97">
        <v>4</v>
      </c>
      <c r="E97" t="b">
        <v>0</v>
      </c>
      <c r="F97">
        <v>3</v>
      </c>
      <c r="G97" s="20" t="str">
        <f t="shared" si="5"/>
        <v>No</v>
      </c>
      <c r="H97" s="20" t="str">
        <f t="shared" si="6"/>
        <v>Wednesday</v>
      </c>
      <c r="I97">
        <v>1</v>
      </c>
      <c r="J97" s="20" t="str">
        <f t="shared" si="8"/>
        <v>Clean</v>
      </c>
      <c r="K97">
        <v>0.24</v>
      </c>
      <c r="L97" s="20" t="str">
        <f t="shared" si="9"/>
        <v>Safe</v>
      </c>
      <c r="M97" s="20">
        <f t="shared" si="7"/>
        <v>0</v>
      </c>
    </row>
    <row r="98" spans="1:13" x14ac:dyDescent="0.3">
      <c r="A98">
        <v>97</v>
      </c>
      <c r="B98" s="46">
        <v>40548</v>
      </c>
      <c r="C98">
        <v>1</v>
      </c>
      <c r="D98">
        <v>5</v>
      </c>
      <c r="E98" t="b">
        <v>0</v>
      </c>
      <c r="F98">
        <v>3</v>
      </c>
      <c r="G98" s="20" t="str">
        <f t="shared" si="5"/>
        <v>No</v>
      </c>
      <c r="H98" s="20" t="str">
        <f t="shared" si="6"/>
        <v>Wednesday</v>
      </c>
      <c r="I98">
        <v>1</v>
      </c>
      <c r="J98" s="20" t="str">
        <f t="shared" si="8"/>
        <v>Clean</v>
      </c>
      <c r="K98">
        <v>0.22</v>
      </c>
      <c r="L98" s="20" t="str">
        <f t="shared" si="9"/>
        <v>Safe</v>
      </c>
      <c r="M98" s="20">
        <f t="shared" si="7"/>
        <v>0</v>
      </c>
    </row>
    <row r="99" spans="1:13" x14ac:dyDescent="0.3">
      <c r="A99">
        <v>98</v>
      </c>
      <c r="B99" s="46">
        <v>40548</v>
      </c>
      <c r="C99">
        <v>1</v>
      </c>
      <c r="D99">
        <v>6</v>
      </c>
      <c r="E99" t="b">
        <v>0</v>
      </c>
      <c r="F99">
        <v>3</v>
      </c>
      <c r="G99" s="20" t="str">
        <f t="shared" si="5"/>
        <v>No</v>
      </c>
      <c r="H99" s="20" t="str">
        <f t="shared" si="6"/>
        <v>Wednesday</v>
      </c>
      <c r="I99">
        <v>1</v>
      </c>
      <c r="J99" s="20" t="str">
        <f t="shared" si="8"/>
        <v>Clean</v>
      </c>
      <c r="K99">
        <v>0.2</v>
      </c>
      <c r="L99" s="20" t="str">
        <f t="shared" si="9"/>
        <v>Safe</v>
      </c>
      <c r="M99" s="20">
        <f t="shared" si="7"/>
        <v>0</v>
      </c>
    </row>
    <row r="100" spans="1:13" x14ac:dyDescent="0.3">
      <c r="A100">
        <v>99</v>
      </c>
      <c r="B100" s="46">
        <v>40548</v>
      </c>
      <c r="C100">
        <v>1</v>
      </c>
      <c r="D100">
        <v>7</v>
      </c>
      <c r="E100" t="b">
        <v>0</v>
      </c>
      <c r="F100">
        <v>3</v>
      </c>
      <c r="G100" s="20" t="str">
        <f t="shared" si="5"/>
        <v>No</v>
      </c>
      <c r="H100" s="20" t="str">
        <f t="shared" si="6"/>
        <v>Wednesday</v>
      </c>
      <c r="I100">
        <v>1</v>
      </c>
      <c r="J100" s="20" t="str">
        <f t="shared" si="8"/>
        <v>Clean</v>
      </c>
      <c r="K100">
        <v>0.18</v>
      </c>
      <c r="L100" s="20" t="str">
        <f t="shared" si="9"/>
        <v>Safe</v>
      </c>
      <c r="M100" s="20">
        <f t="shared" si="7"/>
        <v>0</v>
      </c>
    </row>
    <row r="101" spans="1:13" x14ac:dyDescent="0.3">
      <c r="A101">
        <v>100</v>
      </c>
      <c r="B101" s="46">
        <v>40548</v>
      </c>
      <c r="C101">
        <v>1</v>
      </c>
      <c r="D101">
        <v>8</v>
      </c>
      <c r="E101" t="b">
        <v>0</v>
      </c>
      <c r="F101">
        <v>3</v>
      </c>
      <c r="G101" s="20" t="str">
        <f t="shared" si="5"/>
        <v>No</v>
      </c>
      <c r="H101" s="20" t="str">
        <f t="shared" si="6"/>
        <v>Wednesday</v>
      </c>
      <c r="I101">
        <v>1</v>
      </c>
      <c r="J101" s="20" t="str">
        <f t="shared" si="8"/>
        <v>Clean</v>
      </c>
      <c r="K101">
        <v>0.2</v>
      </c>
      <c r="L101" s="20" t="str">
        <f t="shared" si="9"/>
        <v>Safe</v>
      </c>
      <c r="M101" s="20">
        <f t="shared" si="7"/>
        <v>0</v>
      </c>
    </row>
    <row r="102" spans="1:13" x14ac:dyDescent="0.3">
      <c r="A102">
        <v>101</v>
      </c>
      <c r="B102" s="46">
        <v>40548</v>
      </c>
      <c r="C102">
        <v>1</v>
      </c>
      <c r="D102">
        <v>9</v>
      </c>
      <c r="E102" t="b">
        <v>0</v>
      </c>
      <c r="F102">
        <v>3</v>
      </c>
      <c r="G102" s="20" t="str">
        <f t="shared" si="5"/>
        <v>No</v>
      </c>
      <c r="H102" s="20" t="str">
        <f t="shared" si="6"/>
        <v>Wednesday</v>
      </c>
      <c r="I102">
        <v>1</v>
      </c>
      <c r="J102" s="20" t="str">
        <f t="shared" si="8"/>
        <v>Clean</v>
      </c>
      <c r="K102">
        <v>0.22</v>
      </c>
      <c r="L102" s="20" t="str">
        <f t="shared" si="9"/>
        <v>Safe</v>
      </c>
      <c r="M102" s="20">
        <f t="shared" si="7"/>
        <v>0</v>
      </c>
    </row>
    <row r="103" spans="1:13" x14ac:dyDescent="0.3">
      <c r="A103">
        <v>102</v>
      </c>
      <c r="B103" s="46">
        <v>40548</v>
      </c>
      <c r="C103">
        <v>1</v>
      </c>
      <c r="D103">
        <v>10</v>
      </c>
      <c r="E103" t="b">
        <v>0</v>
      </c>
      <c r="F103">
        <v>3</v>
      </c>
      <c r="G103" s="20" t="str">
        <f t="shared" si="5"/>
        <v>No</v>
      </c>
      <c r="H103" s="20" t="str">
        <f t="shared" si="6"/>
        <v>Wednesday</v>
      </c>
      <c r="I103">
        <v>1</v>
      </c>
      <c r="J103" s="20" t="str">
        <f t="shared" si="8"/>
        <v>Clean</v>
      </c>
      <c r="K103">
        <v>0.22</v>
      </c>
      <c r="L103" s="20" t="str">
        <f t="shared" si="9"/>
        <v>Safe</v>
      </c>
      <c r="M103" s="20">
        <f t="shared" si="7"/>
        <v>0</v>
      </c>
    </row>
    <row r="104" spans="1:13" x14ac:dyDescent="0.3">
      <c r="A104">
        <v>103</v>
      </c>
      <c r="B104" s="46">
        <v>40548</v>
      </c>
      <c r="C104">
        <v>1</v>
      </c>
      <c r="D104">
        <v>11</v>
      </c>
      <c r="E104" t="b">
        <v>0</v>
      </c>
      <c r="F104">
        <v>3</v>
      </c>
      <c r="G104" s="20" t="str">
        <f t="shared" si="5"/>
        <v>No</v>
      </c>
      <c r="H104" s="20" t="str">
        <f t="shared" si="6"/>
        <v>Wednesday</v>
      </c>
      <c r="I104">
        <v>1</v>
      </c>
      <c r="J104" s="20" t="str">
        <f t="shared" si="8"/>
        <v>Clean</v>
      </c>
      <c r="K104">
        <v>0.26</v>
      </c>
      <c r="L104" s="20" t="str">
        <f t="shared" si="9"/>
        <v>Safe</v>
      </c>
      <c r="M104" s="20">
        <f t="shared" si="7"/>
        <v>0</v>
      </c>
    </row>
    <row r="105" spans="1:13" x14ac:dyDescent="0.3">
      <c r="A105">
        <v>104</v>
      </c>
      <c r="B105" s="46">
        <v>40548</v>
      </c>
      <c r="C105">
        <v>1</v>
      </c>
      <c r="D105">
        <v>12</v>
      </c>
      <c r="E105" t="b">
        <v>0</v>
      </c>
      <c r="F105">
        <v>3</v>
      </c>
      <c r="G105" s="20" t="str">
        <f t="shared" si="5"/>
        <v>No</v>
      </c>
      <c r="H105" s="20" t="str">
        <f t="shared" si="6"/>
        <v>Wednesday</v>
      </c>
      <c r="I105">
        <v>1</v>
      </c>
      <c r="J105" s="20" t="str">
        <f t="shared" si="8"/>
        <v>Clean</v>
      </c>
      <c r="K105">
        <v>0.26</v>
      </c>
      <c r="L105" s="20" t="str">
        <f t="shared" si="9"/>
        <v>Safe</v>
      </c>
      <c r="M105" s="20">
        <f t="shared" si="7"/>
        <v>0</v>
      </c>
    </row>
    <row r="106" spans="1:13" x14ac:dyDescent="0.3">
      <c r="A106">
        <v>105</v>
      </c>
      <c r="B106" s="46">
        <v>40548</v>
      </c>
      <c r="C106">
        <v>1</v>
      </c>
      <c r="D106">
        <v>13</v>
      </c>
      <c r="E106" t="b">
        <v>0</v>
      </c>
      <c r="F106">
        <v>3</v>
      </c>
      <c r="G106" s="20" t="str">
        <f t="shared" si="5"/>
        <v>No</v>
      </c>
      <c r="H106" s="20" t="str">
        <f t="shared" si="6"/>
        <v>Wednesday</v>
      </c>
      <c r="I106">
        <v>1</v>
      </c>
      <c r="J106" s="20" t="str">
        <f t="shared" si="8"/>
        <v>Clean</v>
      </c>
      <c r="K106">
        <v>0.28000000000000003</v>
      </c>
      <c r="L106" s="20" t="str">
        <f t="shared" si="9"/>
        <v>Safe</v>
      </c>
      <c r="M106" s="20">
        <f t="shared" si="7"/>
        <v>0</v>
      </c>
    </row>
    <row r="107" spans="1:13" x14ac:dyDescent="0.3">
      <c r="A107">
        <v>106</v>
      </c>
      <c r="B107" s="46">
        <v>40548</v>
      </c>
      <c r="C107">
        <v>1</v>
      </c>
      <c r="D107">
        <v>14</v>
      </c>
      <c r="E107" t="b">
        <v>0</v>
      </c>
      <c r="F107">
        <v>3</v>
      </c>
      <c r="G107" s="20" t="str">
        <f t="shared" si="5"/>
        <v>No</v>
      </c>
      <c r="H107" s="20" t="str">
        <f t="shared" si="6"/>
        <v>Wednesday</v>
      </c>
      <c r="I107">
        <v>1</v>
      </c>
      <c r="J107" s="20" t="str">
        <f t="shared" si="8"/>
        <v>Clean</v>
      </c>
      <c r="K107">
        <v>0.3</v>
      </c>
      <c r="L107" s="20" t="str">
        <f t="shared" si="9"/>
        <v>Safe</v>
      </c>
      <c r="M107" s="20">
        <f t="shared" si="7"/>
        <v>0</v>
      </c>
    </row>
    <row r="108" spans="1:13" x14ac:dyDescent="0.3">
      <c r="A108">
        <v>107</v>
      </c>
      <c r="B108" s="46">
        <v>40548</v>
      </c>
      <c r="C108">
        <v>1</v>
      </c>
      <c r="D108">
        <v>15</v>
      </c>
      <c r="E108" t="b">
        <v>0</v>
      </c>
      <c r="F108">
        <v>3</v>
      </c>
      <c r="G108" s="20" t="str">
        <f t="shared" si="5"/>
        <v>No</v>
      </c>
      <c r="H108" s="20" t="str">
        <f t="shared" si="6"/>
        <v>Wednesday</v>
      </c>
      <c r="I108">
        <v>1</v>
      </c>
      <c r="J108" s="20" t="str">
        <f t="shared" si="8"/>
        <v>Clean</v>
      </c>
      <c r="K108">
        <v>0.3</v>
      </c>
      <c r="L108" s="20" t="str">
        <f t="shared" si="9"/>
        <v>Safe</v>
      </c>
      <c r="M108" s="20">
        <f t="shared" si="7"/>
        <v>0</v>
      </c>
    </row>
    <row r="109" spans="1:13" x14ac:dyDescent="0.3">
      <c r="A109">
        <v>108</v>
      </c>
      <c r="B109" s="46">
        <v>40548</v>
      </c>
      <c r="C109">
        <v>1</v>
      </c>
      <c r="D109">
        <v>16</v>
      </c>
      <c r="E109" t="b">
        <v>0</v>
      </c>
      <c r="F109">
        <v>3</v>
      </c>
      <c r="G109" s="20" t="str">
        <f t="shared" si="5"/>
        <v>No</v>
      </c>
      <c r="H109" s="20" t="str">
        <f t="shared" si="6"/>
        <v>Wednesday</v>
      </c>
      <c r="I109">
        <v>1</v>
      </c>
      <c r="J109" s="20" t="str">
        <f t="shared" si="8"/>
        <v>Clean</v>
      </c>
      <c r="K109">
        <v>0.3</v>
      </c>
      <c r="L109" s="20" t="str">
        <f t="shared" si="9"/>
        <v>Safe</v>
      </c>
      <c r="M109" s="20">
        <f t="shared" si="7"/>
        <v>0</v>
      </c>
    </row>
    <row r="110" spans="1:13" x14ac:dyDescent="0.3">
      <c r="A110">
        <v>109</v>
      </c>
      <c r="B110" s="46">
        <v>40548</v>
      </c>
      <c r="C110">
        <v>1</v>
      </c>
      <c r="D110">
        <v>17</v>
      </c>
      <c r="E110" t="b">
        <v>0</v>
      </c>
      <c r="F110">
        <v>3</v>
      </c>
      <c r="G110" s="20" t="str">
        <f t="shared" si="5"/>
        <v>No</v>
      </c>
      <c r="H110" s="20" t="str">
        <f t="shared" si="6"/>
        <v>Wednesday</v>
      </c>
      <c r="I110">
        <v>1</v>
      </c>
      <c r="J110" s="20" t="str">
        <f t="shared" si="8"/>
        <v>Clean</v>
      </c>
      <c r="K110">
        <v>0.24</v>
      </c>
      <c r="L110" s="20" t="str">
        <f t="shared" si="9"/>
        <v>Safe</v>
      </c>
      <c r="M110" s="20">
        <f t="shared" si="7"/>
        <v>0</v>
      </c>
    </row>
    <row r="111" spans="1:13" x14ac:dyDescent="0.3">
      <c r="A111">
        <v>110</v>
      </c>
      <c r="B111" s="46">
        <v>40548</v>
      </c>
      <c r="C111">
        <v>1</v>
      </c>
      <c r="D111">
        <v>18</v>
      </c>
      <c r="E111" t="b">
        <v>0</v>
      </c>
      <c r="F111">
        <v>3</v>
      </c>
      <c r="G111" s="20" t="str">
        <f t="shared" si="5"/>
        <v>No</v>
      </c>
      <c r="H111" s="20" t="str">
        <f t="shared" si="6"/>
        <v>Wednesday</v>
      </c>
      <c r="I111">
        <v>1</v>
      </c>
      <c r="J111" s="20" t="str">
        <f t="shared" si="8"/>
        <v>Clean</v>
      </c>
      <c r="K111">
        <v>0.24</v>
      </c>
      <c r="L111" s="20" t="str">
        <f t="shared" si="9"/>
        <v>Safe</v>
      </c>
      <c r="M111" s="20">
        <f t="shared" si="7"/>
        <v>0</v>
      </c>
    </row>
    <row r="112" spans="1:13" x14ac:dyDescent="0.3">
      <c r="A112">
        <v>111</v>
      </c>
      <c r="B112" s="46">
        <v>40548</v>
      </c>
      <c r="C112">
        <v>1</v>
      </c>
      <c r="D112">
        <v>19</v>
      </c>
      <c r="E112" t="b">
        <v>0</v>
      </c>
      <c r="F112">
        <v>3</v>
      </c>
      <c r="G112" s="20" t="str">
        <f t="shared" si="5"/>
        <v>No</v>
      </c>
      <c r="H112" s="20" t="str">
        <f t="shared" si="6"/>
        <v>Wednesday</v>
      </c>
      <c r="I112">
        <v>1</v>
      </c>
      <c r="J112" s="20" t="str">
        <f t="shared" si="8"/>
        <v>Clean</v>
      </c>
      <c r="K112">
        <v>0.24</v>
      </c>
      <c r="L112" s="20" t="str">
        <f t="shared" si="9"/>
        <v>Safe</v>
      </c>
      <c r="M112" s="20">
        <f t="shared" si="7"/>
        <v>0</v>
      </c>
    </row>
    <row r="113" spans="1:13" x14ac:dyDescent="0.3">
      <c r="A113">
        <v>112</v>
      </c>
      <c r="B113" s="46">
        <v>40548</v>
      </c>
      <c r="C113">
        <v>1</v>
      </c>
      <c r="D113">
        <v>20</v>
      </c>
      <c r="E113" t="b">
        <v>0</v>
      </c>
      <c r="F113">
        <v>3</v>
      </c>
      <c r="G113" s="20" t="str">
        <f t="shared" si="5"/>
        <v>No</v>
      </c>
      <c r="H113" s="20" t="str">
        <f t="shared" si="6"/>
        <v>Wednesday</v>
      </c>
      <c r="I113">
        <v>1</v>
      </c>
      <c r="J113" s="20" t="str">
        <f t="shared" si="8"/>
        <v>Clean</v>
      </c>
      <c r="K113">
        <v>0.22</v>
      </c>
      <c r="L113" s="20" t="str">
        <f t="shared" si="9"/>
        <v>Safe</v>
      </c>
      <c r="M113" s="20">
        <f t="shared" si="7"/>
        <v>0</v>
      </c>
    </row>
    <row r="114" spans="1:13" x14ac:dyDescent="0.3">
      <c r="A114">
        <v>113</v>
      </c>
      <c r="B114" s="46">
        <v>40548</v>
      </c>
      <c r="C114">
        <v>1</v>
      </c>
      <c r="D114">
        <v>21</v>
      </c>
      <c r="E114" t="b">
        <v>0</v>
      </c>
      <c r="F114">
        <v>3</v>
      </c>
      <c r="G114" s="20" t="str">
        <f t="shared" si="5"/>
        <v>No</v>
      </c>
      <c r="H114" s="20" t="str">
        <f t="shared" si="6"/>
        <v>Wednesday</v>
      </c>
      <c r="I114">
        <v>1</v>
      </c>
      <c r="J114" s="20" t="str">
        <f t="shared" si="8"/>
        <v>Clean</v>
      </c>
      <c r="K114">
        <v>0.2</v>
      </c>
      <c r="L114" s="20" t="str">
        <f t="shared" si="9"/>
        <v>Safe</v>
      </c>
      <c r="M114" s="20">
        <f t="shared" si="7"/>
        <v>0</v>
      </c>
    </row>
    <row r="115" spans="1:13" x14ac:dyDescent="0.3">
      <c r="A115">
        <v>114</v>
      </c>
      <c r="B115" s="46">
        <v>40548</v>
      </c>
      <c r="C115">
        <v>1</v>
      </c>
      <c r="D115">
        <v>22</v>
      </c>
      <c r="E115" t="b">
        <v>0</v>
      </c>
      <c r="F115">
        <v>3</v>
      </c>
      <c r="G115" s="20" t="str">
        <f t="shared" si="5"/>
        <v>No</v>
      </c>
      <c r="H115" s="20" t="str">
        <f t="shared" si="6"/>
        <v>Wednesday</v>
      </c>
      <c r="I115">
        <v>1</v>
      </c>
      <c r="J115" s="20" t="str">
        <f t="shared" si="8"/>
        <v>Clean</v>
      </c>
      <c r="K115">
        <v>0.18</v>
      </c>
      <c r="L115" s="20" t="str">
        <f t="shared" si="9"/>
        <v>Safe</v>
      </c>
      <c r="M115" s="20">
        <f t="shared" si="7"/>
        <v>0</v>
      </c>
    </row>
    <row r="116" spans="1:13" x14ac:dyDescent="0.3">
      <c r="A116">
        <v>115</v>
      </c>
      <c r="B116" s="46">
        <v>40548</v>
      </c>
      <c r="C116">
        <v>1</v>
      </c>
      <c r="D116">
        <v>23</v>
      </c>
      <c r="E116" t="b">
        <v>0</v>
      </c>
      <c r="F116">
        <v>3</v>
      </c>
      <c r="G116" s="20" t="str">
        <f t="shared" si="5"/>
        <v>No</v>
      </c>
      <c r="H116" s="20" t="str">
        <f t="shared" si="6"/>
        <v>Wednesday</v>
      </c>
      <c r="I116">
        <v>1</v>
      </c>
      <c r="J116" s="20" t="str">
        <f t="shared" si="8"/>
        <v>Clean</v>
      </c>
      <c r="K116">
        <v>0.2</v>
      </c>
      <c r="L116" s="20" t="str">
        <f t="shared" si="9"/>
        <v>Safe</v>
      </c>
      <c r="M116" s="20">
        <f t="shared" si="7"/>
        <v>0</v>
      </c>
    </row>
    <row r="117" spans="1:13" x14ac:dyDescent="0.3">
      <c r="A117">
        <v>116</v>
      </c>
      <c r="B117" s="46">
        <v>40549</v>
      </c>
      <c r="C117">
        <v>1</v>
      </c>
      <c r="D117">
        <v>0</v>
      </c>
      <c r="E117" t="b">
        <v>0</v>
      </c>
      <c r="F117">
        <v>4</v>
      </c>
      <c r="G117" s="20" t="str">
        <f t="shared" si="5"/>
        <v>No</v>
      </c>
      <c r="H117" s="20" t="str">
        <f t="shared" si="6"/>
        <v>Thursday</v>
      </c>
      <c r="I117">
        <v>1</v>
      </c>
      <c r="J117" s="20" t="str">
        <f t="shared" si="8"/>
        <v>Clean</v>
      </c>
      <c r="K117">
        <v>0.18</v>
      </c>
      <c r="L117" s="20" t="str">
        <f t="shared" si="9"/>
        <v>Safe</v>
      </c>
      <c r="M117" s="20">
        <f t="shared" si="7"/>
        <v>0</v>
      </c>
    </row>
    <row r="118" spans="1:13" x14ac:dyDescent="0.3">
      <c r="A118">
        <v>117</v>
      </c>
      <c r="B118" s="46">
        <v>40549</v>
      </c>
      <c r="C118">
        <v>1</v>
      </c>
      <c r="D118">
        <v>1</v>
      </c>
      <c r="E118" t="b">
        <v>0</v>
      </c>
      <c r="F118">
        <v>4</v>
      </c>
      <c r="G118" s="20" t="str">
        <f t="shared" si="5"/>
        <v>No</v>
      </c>
      <c r="H118" s="20" t="str">
        <f t="shared" si="6"/>
        <v>Thursday</v>
      </c>
      <c r="I118">
        <v>1</v>
      </c>
      <c r="J118" s="20" t="str">
        <f t="shared" si="8"/>
        <v>Clean</v>
      </c>
      <c r="K118">
        <v>0.16</v>
      </c>
      <c r="L118" s="20" t="str">
        <f t="shared" si="9"/>
        <v>Safe</v>
      </c>
      <c r="M118" s="20">
        <f t="shared" si="7"/>
        <v>0</v>
      </c>
    </row>
    <row r="119" spans="1:13" x14ac:dyDescent="0.3">
      <c r="A119">
        <v>118</v>
      </c>
      <c r="B119" s="46">
        <v>40549</v>
      </c>
      <c r="C119">
        <v>1</v>
      </c>
      <c r="D119">
        <v>2</v>
      </c>
      <c r="E119" t="b">
        <v>0</v>
      </c>
      <c r="F119">
        <v>4</v>
      </c>
      <c r="G119" s="20" t="str">
        <f t="shared" si="5"/>
        <v>No</v>
      </c>
      <c r="H119" s="20" t="str">
        <f t="shared" si="6"/>
        <v>Thursday</v>
      </c>
      <c r="I119">
        <v>1</v>
      </c>
      <c r="J119" s="20" t="str">
        <f t="shared" si="8"/>
        <v>Clean</v>
      </c>
      <c r="K119">
        <v>0.16</v>
      </c>
      <c r="L119" s="20" t="str">
        <f t="shared" si="9"/>
        <v>Safe</v>
      </c>
      <c r="M119" s="20">
        <f t="shared" si="7"/>
        <v>0</v>
      </c>
    </row>
    <row r="120" spans="1:13" x14ac:dyDescent="0.3">
      <c r="A120">
        <v>119</v>
      </c>
      <c r="B120" s="46">
        <v>40549</v>
      </c>
      <c r="C120">
        <v>1</v>
      </c>
      <c r="D120">
        <v>4</v>
      </c>
      <c r="E120" t="b">
        <v>0</v>
      </c>
      <c r="F120">
        <v>4</v>
      </c>
      <c r="G120" s="20" t="str">
        <f t="shared" si="5"/>
        <v>No</v>
      </c>
      <c r="H120" s="20" t="str">
        <f t="shared" si="6"/>
        <v>Thursday</v>
      </c>
      <c r="I120">
        <v>2</v>
      </c>
      <c r="J120" s="20" t="str">
        <f t="shared" si="8"/>
        <v>Misty</v>
      </c>
      <c r="K120">
        <v>0.16</v>
      </c>
      <c r="L120" s="20" t="str">
        <f t="shared" si="9"/>
        <v>Safe</v>
      </c>
      <c r="M120" s="20">
        <f t="shared" si="7"/>
        <v>0</v>
      </c>
    </row>
    <row r="121" spans="1:13" x14ac:dyDescent="0.3">
      <c r="A121">
        <v>120</v>
      </c>
      <c r="B121" s="46">
        <v>40549</v>
      </c>
      <c r="C121">
        <v>1</v>
      </c>
      <c r="D121">
        <v>5</v>
      </c>
      <c r="E121" t="b">
        <v>0</v>
      </c>
      <c r="F121">
        <v>4</v>
      </c>
      <c r="G121" s="20" t="str">
        <f t="shared" si="5"/>
        <v>No</v>
      </c>
      <c r="H121" s="20" t="str">
        <f t="shared" si="6"/>
        <v>Thursday</v>
      </c>
      <c r="I121">
        <v>2</v>
      </c>
      <c r="J121" s="20" t="str">
        <f t="shared" si="8"/>
        <v>Misty</v>
      </c>
      <c r="K121">
        <v>0.14000000000000001</v>
      </c>
      <c r="L121" s="20" t="str">
        <f t="shared" si="9"/>
        <v>Safe</v>
      </c>
      <c r="M121" s="20">
        <f t="shared" si="7"/>
        <v>0</v>
      </c>
    </row>
    <row r="122" spans="1:13" x14ac:dyDescent="0.3">
      <c r="A122">
        <v>121</v>
      </c>
      <c r="B122" s="46">
        <v>40549</v>
      </c>
      <c r="C122">
        <v>1</v>
      </c>
      <c r="D122">
        <v>6</v>
      </c>
      <c r="E122" t="b">
        <v>0</v>
      </c>
      <c r="F122">
        <v>4</v>
      </c>
      <c r="G122" s="20" t="str">
        <f t="shared" si="5"/>
        <v>No</v>
      </c>
      <c r="H122" s="20" t="str">
        <f t="shared" si="6"/>
        <v>Thursday</v>
      </c>
      <c r="I122">
        <v>2</v>
      </c>
      <c r="J122" s="20" t="str">
        <f t="shared" si="8"/>
        <v>Misty</v>
      </c>
      <c r="K122">
        <v>0.14000000000000001</v>
      </c>
      <c r="L122" s="20" t="str">
        <f t="shared" si="9"/>
        <v>Safe</v>
      </c>
      <c r="M122" s="20">
        <f t="shared" si="7"/>
        <v>0</v>
      </c>
    </row>
    <row r="123" spans="1:13" x14ac:dyDescent="0.3">
      <c r="A123">
        <v>122</v>
      </c>
      <c r="B123" s="46">
        <v>40549</v>
      </c>
      <c r="C123">
        <v>1</v>
      </c>
      <c r="D123">
        <v>7</v>
      </c>
      <c r="E123" t="b">
        <v>0</v>
      </c>
      <c r="F123">
        <v>4</v>
      </c>
      <c r="G123" s="20" t="str">
        <f t="shared" si="5"/>
        <v>No</v>
      </c>
      <c r="H123" s="20" t="str">
        <f t="shared" si="6"/>
        <v>Thursday</v>
      </c>
      <c r="I123">
        <v>2</v>
      </c>
      <c r="J123" s="20" t="str">
        <f t="shared" si="8"/>
        <v>Misty</v>
      </c>
      <c r="K123">
        <v>0.16</v>
      </c>
      <c r="L123" s="20" t="str">
        <f t="shared" si="9"/>
        <v>Safe</v>
      </c>
      <c r="M123" s="20">
        <f t="shared" si="7"/>
        <v>0</v>
      </c>
    </row>
    <row r="124" spans="1:13" x14ac:dyDescent="0.3">
      <c r="A124">
        <v>123</v>
      </c>
      <c r="B124" s="46">
        <v>40549</v>
      </c>
      <c r="C124">
        <v>1</v>
      </c>
      <c r="D124">
        <v>8</v>
      </c>
      <c r="E124" t="b">
        <v>0</v>
      </c>
      <c r="F124">
        <v>4</v>
      </c>
      <c r="G124" s="20" t="str">
        <f t="shared" si="5"/>
        <v>No</v>
      </c>
      <c r="H124" s="20" t="str">
        <f t="shared" si="6"/>
        <v>Thursday</v>
      </c>
      <c r="I124">
        <v>1</v>
      </c>
      <c r="J124" s="20" t="str">
        <f t="shared" si="8"/>
        <v>Clean</v>
      </c>
      <c r="K124">
        <v>0.16</v>
      </c>
      <c r="L124" s="20" t="str">
        <f t="shared" si="9"/>
        <v>Safe</v>
      </c>
      <c r="M124" s="20">
        <f t="shared" si="7"/>
        <v>0</v>
      </c>
    </row>
    <row r="125" spans="1:13" x14ac:dyDescent="0.3">
      <c r="A125">
        <v>124</v>
      </c>
      <c r="B125" s="46">
        <v>40549</v>
      </c>
      <c r="C125">
        <v>1</v>
      </c>
      <c r="D125">
        <v>9</v>
      </c>
      <c r="E125" t="b">
        <v>0</v>
      </c>
      <c r="F125">
        <v>4</v>
      </c>
      <c r="G125" s="20" t="str">
        <f t="shared" si="5"/>
        <v>No</v>
      </c>
      <c r="H125" s="20" t="str">
        <f t="shared" si="6"/>
        <v>Thursday</v>
      </c>
      <c r="I125">
        <v>2</v>
      </c>
      <c r="J125" s="20" t="str">
        <f t="shared" si="8"/>
        <v>Misty</v>
      </c>
      <c r="K125">
        <v>0.18</v>
      </c>
      <c r="L125" s="20" t="str">
        <f t="shared" si="9"/>
        <v>Safe</v>
      </c>
      <c r="M125" s="20">
        <f t="shared" si="7"/>
        <v>0</v>
      </c>
    </row>
    <row r="126" spans="1:13" x14ac:dyDescent="0.3">
      <c r="A126">
        <v>125</v>
      </c>
      <c r="B126" s="46">
        <v>40549</v>
      </c>
      <c r="C126">
        <v>1</v>
      </c>
      <c r="D126">
        <v>10</v>
      </c>
      <c r="E126" t="b">
        <v>0</v>
      </c>
      <c r="F126">
        <v>4</v>
      </c>
      <c r="G126" s="20" t="str">
        <f t="shared" si="5"/>
        <v>No</v>
      </c>
      <c r="H126" s="20" t="str">
        <f t="shared" si="6"/>
        <v>Thursday</v>
      </c>
      <c r="I126">
        <v>1</v>
      </c>
      <c r="J126" s="20" t="str">
        <f t="shared" si="8"/>
        <v>Clean</v>
      </c>
      <c r="K126">
        <v>0.2</v>
      </c>
      <c r="L126" s="20" t="str">
        <f t="shared" si="9"/>
        <v>Safe</v>
      </c>
      <c r="M126" s="20">
        <f t="shared" si="7"/>
        <v>0</v>
      </c>
    </row>
    <row r="127" spans="1:13" x14ac:dyDescent="0.3">
      <c r="A127">
        <v>126</v>
      </c>
      <c r="B127" s="46">
        <v>40549</v>
      </c>
      <c r="C127">
        <v>1</v>
      </c>
      <c r="D127">
        <v>11</v>
      </c>
      <c r="E127" t="b">
        <v>0</v>
      </c>
      <c r="F127">
        <v>4</v>
      </c>
      <c r="G127" s="20" t="str">
        <f t="shared" si="5"/>
        <v>No</v>
      </c>
      <c r="H127" s="20" t="str">
        <f t="shared" si="6"/>
        <v>Thursday</v>
      </c>
      <c r="I127">
        <v>1</v>
      </c>
      <c r="J127" s="20" t="str">
        <f t="shared" si="8"/>
        <v>Clean</v>
      </c>
      <c r="K127">
        <v>0.22</v>
      </c>
      <c r="L127" s="20" t="str">
        <f t="shared" si="9"/>
        <v>Safe</v>
      </c>
      <c r="M127" s="20">
        <f t="shared" si="7"/>
        <v>0</v>
      </c>
    </row>
    <row r="128" spans="1:13" x14ac:dyDescent="0.3">
      <c r="A128">
        <v>127</v>
      </c>
      <c r="B128" s="46">
        <v>40549</v>
      </c>
      <c r="C128">
        <v>1</v>
      </c>
      <c r="D128">
        <v>12</v>
      </c>
      <c r="E128" t="b">
        <v>0</v>
      </c>
      <c r="F128">
        <v>4</v>
      </c>
      <c r="G128" s="20" t="str">
        <f t="shared" si="5"/>
        <v>No</v>
      </c>
      <c r="H128" s="20" t="str">
        <f t="shared" si="6"/>
        <v>Thursday</v>
      </c>
      <c r="I128">
        <v>1</v>
      </c>
      <c r="J128" s="20" t="str">
        <f t="shared" si="8"/>
        <v>Clean</v>
      </c>
      <c r="K128">
        <v>0.26</v>
      </c>
      <c r="L128" s="20" t="str">
        <f t="shared" si="9"/>
        <v>Safe</v>
      </c>
      <c r="M128" s="20">
        <f t="shared" si="7"/>
        <v>0</v>
      </c>
    </row>
    <row r="129" spans="1:13" x14ac:dyDescent="0.3">
      <c r="A129">
        <v>128</v>
      </c>
      <c r="B129" s="46">
        <v>40549</v>
      </c>
      <c r="C129">
        <v>1</v>
      </c>
      <c r="D129">
        <v>13</v>
      </c>
      <c r="E129" t="b">
        <v>0</v>
      </c>
      <c r="F129">
        <v>4</v>
      </c>
      <c r="G129" s="20" t="str">
        <f t="shared" si="5"/>
        <v>No</v>
      </c>
      <c r="H129" s="20" t="str">
        <f t="shared" si="6"/>
        <v>Thursday</v>
      </c>
      <c r="I129">
        <v>1</v>
      </c>
      <c r="J129" s="20" t="str">
        <f t="shared" si="8"/>
        <v>Clean</v>
      </c>
      <c r="K129">
        <v>0.26</v>
      </c>
      <c r="L129" s="20" t="str">
        <f t="shared" si="9"/>
        <v>Safe</v>
      </c>
      <c r="M129" s="20">
        <f t="shared" si="7"/>
        <v>0</v>
      </c>
    </row>
    <row r="130" spans="1:13" x14ac:dyDescent="0.3">
      <c r="A130">
        <v>129</v>
      </c>
      <c r="B130" s="46">
        <v>40549</v>
      </c>
      <c r="C130">
        <v>1</v>
      </c>
      <c r="D130">
        <v>14</v>
      </c>
      <c r="E130" t="b">
        <v>0</v>
      </c>
      <c r="F130">
        <v>4</v>
      </c>
      <c r="G130" s="20" t="str">
        <f t="shared" ref="G130:G193" si="10">_xlfn.IFS(F130=0,"Yes",F130=6,"Yes",F130&gt;0,"No")</f>
        <v>No</v>
      </c>
      <c r="H130" s="20" t="str">
        <f t="shared" ref="H130:H193" si="11">TEXT(B130:B739,"dddd")</f>
        <v>Thursday</v>
      </c>
      <c r="I130">
        <v>1</v>
      </c>
      <c r="J130" s="20" t="str">
        <f t="shared" si="8"/>
        <v>Clean</v>
      </c>
      <c r="K130">
        <v>0.28000000000000003</v>
      </c>
      <c r="L130" s="20" t="str">
        <f t="shared" si="9"/>
        <v>Safe</v>
      </c>
      <c r="M130" s="20">
        <f t="shared" ref="M130:M193" si="12">COUNTBLANK(A130:K130)</f>
        <v>0</v>
      </c>
    </row>
    <row r="131" spans="1:13" x14ac:dyDescent="0.3">
      <c r="A131">
        <v>130</v>
      </c>
      <c r="B131" s="46">
        <v>40549</v>
      </c>
      <c r="C131">
        <v>1</v>
      </c>
      <c r="D131">
        <v>15</v>
      </c>
      <c r="E131" t="b">
        <v>0</v>
      </c>
      <c r="F131">
        <v>4</v>
      </c>
      <c r="G131" s="20" t="str">
        <f t="shared" si="10"/>
        <v>No</v>
      </c>
      <c r="H131" s="20" t="str">
        <f t="shared" si="11"/>
        <v>Thursday</v>
      </c>
      <c r="I131">
        <v>1</v>
      </c>
      <c r="J131" s="20" t="str">
        <f t="shared" ref="J131:J194" si="13">_xlfn.IFS(I131=1,"Clean",I131=2,"Misty",I131=3,"Light Rain",I131=4,"Heavy Rain")</f>
        <v>Clean</v>
      </c>
      <c r="K131">
        <v>0.28000000000000003</v>
      </c>
      <c r="L131" s="20" t="str">
        <f t="shared" ref="L131:L194" si="14">_xlfn.IFS(K131&lt;0.1,"Risky",K131&lt;0.35,"Safe",K131&gt;0.35,"Risky")</f>
        <v>Safe</v>
      </c>
      <c r="M131" s="20">
        <f t="shared" si="12"/>
        <v>0</v>
      </c>
    </row>
    <row r="132" spans="1:13" x14ac:dyDescent="0.3">
      <c r="A132">
        <v>131</v>
      </c>
      <c r="B132" s="46">
        <v>40549</v>
      </c>
      <c r="C132">
        <v>1</v>
      </c>
      <c r="D132">
        <v>16</v>
      </c>
      <c r="E132" t="b">
        <v>0</v>
      </c>
      <c r="F132">
        <v>4</v>
      </c>
      <c r="G132" s="20" t="str">
        <f t="shared" si="10"/>
        <v>No</v>
      </c>
      <c r="H132" s="20" t="str">
        <f t="shared" si="11"/>
        <v>Thursday</v>
      </c>
      <c r="I132">
        <v>1</v>
      </c>
      <c r="J132" s="20" t="str">
        <f t="shared" si="13"/>
        <v>Clean</v>
      </c>
      <c r="K132">
        <v>0.26</v>
      </c>
      <c r="L132" s="20" t="str">
        <f t="shared" si="14"/>
        <v>Safe</v>
      </c>
      <c r="M132" s="20">
        <f t="shared" si="12"/>
        <v>0</v>
      </c>
    </row>
    <row r="133" spans="1:13" x14ac:dyDescent="0.3">
      <c r="A133">
        <v>132</v>
      </c>
      <c r="B133" s="46">
        <v>40549</v>
      </c>
      <c r="C133">
        <v>1</v>
      </c>
      <c r="D133">
        <v>17</v>
      </c>
      <c r="E133" t="b">
        <v>0</v>
      </c>
      <c r="F133">
        <v>4</v>
      </c>
      <c r="G133" s="20" t="str">
        <f t="shared" si="10"/>
        <v>No</v>
      </c>
      <c r="H133" s="20" t="str">
        <f t="shared" si="11"/>
        <v>Thursday</v>
      </c>
      <c r="I133">
        <v>1</v>
      </c>
      <c r="J133" s="20" t="str">
        <f t="shared" si="13"/>
        <v>Clean</v>
      </c>
      <c r="K133">
        <v>0.22</v>
      </c>
      <c r="L133" s="20" t="str">
        <f t="shared" si="14"/>
        <v>Safe</v>
      </c>
      <c r="M133" s="20">
        <f t="shared" si="12"/>
        <v>0</v>
      </c>
    </row>
    <row r="134" spans="1:13" x14ac:dyDescent="0.3">
      <c r="A134">
        <v>133</v>
      </c>
      <c r="B134" s="46">
        <v>40549</v>
      </c>
      <c r="C134">
        <v>1</v>
      </c>
      <c r="D134">
        <v>18</v>
      </c>
      <c r="E134" t="b">
        <v>0</v>
      </c>
      <c r="F134">
        <v>4</v>
      </c>
      <c r="G134" s="20" t="str">
        <f t="shared" si="10"/>
        <v>No</v>
      </c>
      <c r="H134" s="20" t="str">
        <f t="shared" si="11"/>
        <v>Thursday</v>
      </c>
      <c r="I134">
        <v>1</v>
      </c>
      <c r="J134" s="20" t="str">
        <f t="shared" si="13"/>
        <v>Clean</v>
      </c>
      <c r="K134">
        <v>0.22</v>
      </c>
      <c r="L134" s="20" t="str">
        <f t="shared" si="14"/>
        <v>Safe</v>
      </c>
      <c r="M134" s="20">
        <f t="shared" si="12"/>
        <v>0</v>
      </c>
    </row>
    <row r="135" spans="1:13" x14ac:dyDescent="0.3">
      <c r="A135">
        <v>134</v>
      </c>
      <c r="B135" s="46">
        <v>40549</v>
      </c>
      <c r="C135">
        <v>1</v>
      </c>
      <c r="D135">
        <v>19</v>
      </c>
      <c r="E135" t="b">
        <v>0</v>
      </c>
      <c r="F135">
        <v>4</v>
      </c>
      <c r="G135" s="20" t="str">
        <f t="shared" si="10"/>
        <v>No</v>
      </c>
      <c r="H135" s="20" t="str">
        <f t="shared" si="11"/>
        <v>Thursday</v>
      </c>
      <c r="I135">
        <v>1</v>
      </c>
      <c r="J135" s="20" t="str">
        <f t="shared" si="13"/>
        <v>Clean</v>
      </c>
      <c r="K135">
        <v>0.22</v>
      </c>
      <c r="L135" s="20" t="str">
        <f t="shared" si="14"/>
        <v>Safe</v>
      </c>
      <c r="M135" s="20">
        <f t="shared" si="12"/>
        <v>0</v>
      </c>
    </row>
    <row r="136" spans="1:13" x14ac:dyDescent="0.3">
      <c r="A136">
        <v>135</v>
      </c>
      <c r="B136" s="46">
        <v>40549</v>
      </c>
      <c r="C136">
        <v>1</v>
      </c>
      <c r="D136">
        <v>20</v>
      </c>
      <c r="E136" t="b">
        <v>0</v>
      </c>
      <c r="F136">
        <v>4</v>
      </c>
      <c r="G136" s="20" t="str">
        <f t="shared" si="10"/>
        <v>No</v>
      </c>
      <c r="H136" s="20" t="str">
        <f t="shared" si="11"/>
        <v>Thursday</v>
      </c>
      <c r="I136">
        <v>1</v>
      </c>
      <c r="J136" s="20" t="str">
        <f t="shared" si="13"/>
        <v>Clean</v>
      </c>
      <c r="K136">
        <v>0.2</v>
      </c>
      <c r="L136" s="20" t="str">
        <f t="shared" si="14"/>
        <v>Safe</v>
      </c>
      <c r="M136" s="20">
        <f t="shared" si="12"/>
        <v>0</v>
      </c>
    </row>
    <row r="137" spans="1:13" x14ac:dyDescent="0.3">
      <c r="A137">
        <v>136</v>
      </c>
      <c r="B137" s="46">
        <v>40549</v>
      </c>
      <c r="C137">
        <v>1</v>
      </c>
      <c r="D137">
        <v>21</v>
      </c>
      <c r="E137" t="b">
        <v>0</v>
      </c>
      <c r="F137">
        <v>4</v>
      </c>
      <c r="G137" s="20" t="str">
        <f t="shared" si="10"/>
        <v>No</v>
      </c>
      <c r="H137" s="20" t="str">
        <f t="shared" si="11"/>
        <v>Thursday</v>
      </c>
      <c r="I137">
        <v>2</v>
      </c>
      <c r="J137" s="20" t="str">
        <f t="shared" si="13"/>
        <v>Misty</v>
      </c>
      <c r="K137">
        <v>0.22</v>
      </c>
      <c r="L137" s="20" t="str">
        <f t="shared" si="14"/>
        <v>Safe</v>
      </c>
      <c r="M137" s="20">
        <f t="shared" si="12"/>
        <v>0</v>
      </c>
    </row>
    <row r="138" spans="1:13" x14ac:dyDescent="0.3">
      <c r="A138">
        <v>137</v>
      </c>
      <c r="B138" s="46">
        <v>40549</v>
      </c>
      <c r="C138">
        <v>1</v>
      </c>
      <c r="D138">
        <v>22</v>
      </c>
      <c r="E138" t="b">
        <v>0</v>
      </c>
      <c r="F138">
        <v>4</v>
      </c>
      <c r="G138" s="20" t="str">
        <f t="shared" si="10"/>
        <v>No</v>
      </c>
      <c r="H138" s="20" t="str">
        <f t="shared" si="11"/>
        <v>Thursday</v>
      </c>
      <c r="I138">
        <v>2</v>
      </c>
      <c r="J138" s="20" t="str">
        <f t="shared" si="13"/>
        <v>Misty</v>
      </c>
      <c r="K138">
        <v>0.22</v>
      </c>
      <c r="L138" s="20" t="str">
        <f t="shared" si="14"/>
        <v>Safe</v>
      </c>
      <c r="M138" s="20">
        <f t="shared" si="12"/>
        <v>0</v>
      </c>
    </row>
    <row r="139" spans="1:13" x14ac:dyDescent="0.3">
      <c r="A139">
        <v>138</v>
      </c>
      <c r="B139" s="46">
        <v>40549</v>
      </c>
      <c r="C139">
        <v>1</v>
      </c>
      <c r="D139">
        <v>23</v>
      </c>
      <c r="E139" t="b">
        <v>0</v>
      </c>
      <c r="F139">
        <v>4</v>
      </c>
      <c r="G139" s="20" t="str">
        <f t="shared" si="10"/>
        <v>No</v>
      </c>
      <c r="H139" s="20" t="str">
        <f t="shared" si="11"/>
        <v>Thursday</v>
      </c>
      <c r="I139">
        <v>2</v>
      </c>
      <c r="J139" s="20" t="str">
        <f t="shared" si="13"/>
        <v>Misty</v>
      </c>
      <c r="K139">
        <v>0.2</v>
      </c>
      <c r="L139" s="20" t="str">
        <f t="shared" si="14"/>
        <v>Safe</v>
      </c>
      <c r="M139" s="20">
        <f t="shared" si="12"/>
        <v>0</v>
      </c>
    </row>
    <row r="140" spans="1:13" x14ac:dyDescent="0.3">
      <c r="A140">
        <v>139</v>
      </c>
      <c r="B140" s="46">
        <v>40550</v>
      </c>
      <c r="C140">
        <v>1</v>
      </c>
      <c r="D140">
        <v>0</v>
      </c>
      <c r="E140" t="b">
        <v>0</v>
      </c>
      <c r="F140">
        <v>5</v>
      </c>
      <c r="G140" s="20" t="str">
        <f t="shared" si="10"/>
        <v>No</v>
      </c>
      <c r="H140" s="20" t="str">
        <f t="shared" si="11"/>
        <v>Friday</v>
      </c>
      <c r="I140">
        <v>2</v>
      </c>
      <c r="J140" s="20" t="str">
        <f t="shared" si="13"/>
        <v>Misty</v>
      </c>
      <c r="K140">
        <v>0.2</v>
      </c>
      <c r="L140" s="20" t="str">
        <f t="shared" si="14"/>
        <v>Safe</v>
      </c>
      <c r="M140" s="20">
        <f t="shared" si="12"/>
        <v>0</v>
      </c>
    </row>
    <row r="141" spans="1:13" x14ac:dyDescent="0.3">
      <c r="A141">
        <v>140</v>
      </c>
      <c r="B141" s="46">
        <v>40550</v>
      </c>
      <c r="C141">
        <v>1</v>
      </c>
      <c r="D141">
        <v>1</v>
      </c>
      <c r="E141" t="b">
        <v>0</v>
      </c>
      <c r="F141">
        <v>5</v>
      </c>
      <c r="G141" s="20" t="str">
        <f t="shared" si="10"/>
        <v>No</v>
      </c>
      <c r="H141" s="20" t="str">
        <f t="shared" si="11"/>
        <v>Friday</v>
      </c>
      <c r="I141">
        <v>2</v>
      </c>
      <c r="J141" s="20" t="str">
        <f t="shared" si="13"/>
        <v>Misty</v>
      </c>
      <c r="K141">
        <v>0.2</v>
      </c>
      <c r="L141" s="20" t="str">
        <f t="shared" si="14"/>
        <v>Safe</v>
      </c>
      <c r="M141" s="20">
        <f t="shared" si="12"/>
        <v>0</v>
      </c>
    </row>
    <row r="142" spans="1:13" x14ac:dyDescent="0.3">
      <c r="A142">
        <v>141</v>
      </c>
      <c r="B142" s="46">
        <v>40550</v>
      </c>
      <c r="C142">
        <v>1</v>
      </c>
      <c r="D142">
        <v>2</v>
      </c>
      <c r="E142" t="b">
        <v>0</v>
      </c>
      <c r="F142">
        <v>5</v>
      </c>
      <c r="G142" s="20" t="str">
        <f t="shared" si="10"/>
        <v>No</v>
      </c>
      <c r="H142" s="20" t="str">
        <f t="shared" si="11"/>
        <v>Friday</v>
      </c>
      <c r="I142">
        <v>2</v>
      </c>
      <c r="J142" s="20" t="str">
        <f t="shared" si="13"/>
        <v>Misty</v>
      </c>
      <c r="K142">
        <v>0.2</v>
      </c>
      <c r="L142" s="20" t="str">
        <f t="shared" si="14"/>
        <v>Safe</v>
      </c>
      <c r="M142" s="20">
        <f t="shared" si="12"/>
        <v>0</v>
      </c>
    </row>
    <row r="143" spans="1:13" x14ac:dyDescent="0.3">
      <c r="A143">
        <v>142</v>
      </c>
      <c r="B143" s="46">
        <v>40550</v>
      </c>
      <c r="C143">
        <v>1</v>
      </c>
      <c r="D143">
        <v>4</v>
      </c>
      <c r="E143" t="b">
        <v>0</v>
      </c>
      <c r="F143">
        <v>5</v>
      </c>
      <c r="G143" s="20" t="str">
        <f t="shared" si="10"/>
        <v>No</v>
      </c>
      <c r="H143" s="20" t="str">
        <f t="shared" si="11"/>
        <v>Friday</v>
      </c>
      <c r="I143">
        <v>2</v>
      </c>
      <c r="J143" s="20" t="str">
        <f t="shared" si="13"/>
        <v>Misty</v>
      </c>
      <c r="K143">
        <v>0.2</v>
      </c>
      <c r="L143" s="20" t="str">
        <f t="shared" si="14"/>
        <v>Safe</v>
      </c>
      <c r="M143" s="20">
        <f t="shared" si="12"/>
        <v>0</v>
      </c>
    </row>
    <row r="144" spans="1:13" x14ac:dyDescent="0.3">
      <c r="A144">
        <v>143</v>
      </c>
      <c r="B144" s="46">
        <v>40550</v>
      </c>
      <c r="C144">
        <v>1</v>
      </c>
      <c r="D144">
        <v>5</v>
      </c>
      <c r="E144" t="b">
        <v>0</v>
      </c>
      <c r="F144">
        <v>5</v>
      </c>
      <c r="G144" s="20" t="str">
        <f t="shared" si="10"/>
        <v>No</v>
      </c>
      <c r="H144" s="20" t="str">
        <f t="shared" si="11"/>
        <v>Friday</v>
      </c>
      <c r="I144">
        <v>3</v>
      </c>
      <c r="J144" s="20" t="str">
        <f t="shared" si="13"/>
        <v>Light Rain</v>
      </c>
      <c r="K144">
        <v>0.22</v>
      </c>
      <c r="L144" s="20" t="str">
        <f t="shared" si="14"/>
        <v>Safe</v>
      </c>
      <c r="M144" s="20">
        <f t="shared" si="12"/>
        <v>0</v>
      </c>
    </row>
    <row r="145" spans="1:13" x14ac:dyDescent="0.3">
      <c r="A145">
        <v>144</v>
      </c>
      <c r="B145" s="46">
        <v>40550</v>
      </c>
      <c r="C145">
        <v>1</v>
      </c>
      <c r="D145">
        <v>6</v>
      </c>
      <c r="E145" t="b">
        <v>0</v>
      </c>
      <c r="F145">
        <v>5</v>
      </c>
      <c r="G145" s="20" t="str">
        <f t="shared" si="10"/>
        <v>No</v>
      </c>
      <c r="H145" s="20" t="str">
        <f t="shared" si="11"/>
        <v>Friday</v>
      </c>
      <c r="I145">
        <v>2</v>
      </c>
      <c r="J145" s="20" t="str">
        <f t="shared" si="13"/>
        <v>Misty</v>
      </c>
      <c r="K145">
        <v>0.2</v>
      </c>
      <c r="L145" s="20" t="str">
        <f t="shared" si="14"/>
        <v>Safe</v>
      </c>
      <c r="M145" s="20">
        <f t="shared" si="12"/>
        <v>0</v>
      </c>
    </row>
    <row r="146" spans="1:13" x14ac:dyDescent="0.3">
      <c r="A146">
        <v>145</v>
      </c>
      <c r="B146" s="46">
        <v>40550</v>
      </c>
      <c r="C146">
        <v>1</v>
      </c>
      <c r="D146">
        <v>7</v>
      </c>
      <c r="E146" t="b">
        <v>0</v>
      </c>
      <c r="F146">
        <v>5</v>
      </c>
      <c r="G146" s="20" t="str">
        <f t="shared" si="10"/>
        <v>No</v>
      </c>
      <c r="H146" s="20" t="str">
        <f t="shared" si="11"/>
        <v>Friday</v>
      </c>
      <c r="I146">
        <v>1</v>
      </c>
      <c r="J146" s="20" t="str">
        <f t="shared" si="13"/>
        <v>Clean</v>
      </c>
      <c r="K146">
        <v>0.2</v>
      </c>
      <c r="L146" s="20" t="str">
        <f t="shared" si="14"/>
        <v>Safe</v>
      </c>
      <c r="M146" s="20">
        <f t="shared" si="12"/>
        <v>0</v>
      </c>
    </row>
    <row r="147" spans="1:13" x14ac:dyDescent="0.3">
      <c r="A147">
        <v>146</v>
      </c>
      <c r="B147" s="46">
        <v>40550</v>
      </c>
      <c r="C147">
        <v>1</v>
      </c>
      <c r="D147">
        <v>8</v>
      </c>
      <c r="E147" t="b">
        <v>0</v>
      </c>
      <c r="F147">
        <v>5</v>
      </c>
      <c r="G147" s="20" t="str">
        <f t="shared" si="10"/>
        <v>No</v>
      </c>
      <c r="H147" s="20" t="str">
        <f t="shared" si="11"/>
        <v>Friday</v>
      </c>
      <c r="I147">
        <v>1</v>
      </c>
      <c r="J147" s="20" t="str">
        <f t="shared" si="13"/>
        <v>Clean</v>
      </c>
      <c r="K147">
        <v>0.2</v>
      </c>
      <c r="L147" s="20" t="str">
        <f t="shared" si="14"/>
        <v>Safe</v>
      </c>
      <c r="M147" s="20">
        <f t="shared" si="12"/>
        <v>0</v>
      </c>
    </row>
    <row r="148" spans="1:13" x14ac:dyDescent="0.3">
      <c r="A148">
        <v>147</v>
      </c>
      <c r="B148" s="46">
        <v>40550</v>
      </c>
      <c r="C148">
        <v>1</v>
      </c>
      <c r="D148">
        <v>9</v>
      </c>
      <c r="E148" t="b">
        <v>0</v>
      </c>
      <c r="F148">
        <v>5</v>
      </c>
      <c r="G148" s="20" t="str">
        <f t="shared" si="10"/>
        <v>No</v>
      </c>
      <c r="H148" s="20" t="str">
        <f t="shared" si="11"/>
        <v>Friday</v>
      </c>
      <c r="I148">
        <v>1</v>
      </c>
      <c r="J148" s="20" t="str">
        <f t="shared" si="13"/>
        <v>Clean</v>
      </c>
      <c r="K148">
        <v>0.2</v>
      </c>
      <c r="L148" s="20" t="str">
        <f t="shared" si="14"/>
        <v>Safe</v>
      </c>
      <c r="M148" s="20">
        <f t="shared" si="12"/>
        <v>0</v>
      </c>
    </row>
    <row r="149" spans="1:13" x14ac:dyDescent="0.3">
      <c r="A149">
        <v>148</v>
      </c>
      <c r="B149" s="46">
        <v>40550</v>
      </c>
      <c r="C149">
        <v>1</v>
      </c>
      <c r="D149">
        <v>10</v>
      </c>
      <c r="E149" t="b">
        <v>0</v>
      </c>
      <c r="F149">
        <v>5</v>
      </c>
      <c r="G149" s="20" t="str">
        <f t="shared" si="10"/>
        <v>No</v>
      </c>
      <c r="H149" s="20" t="str">
        <f t="shared" si="11"/>
        <v>Friday</v>
      </c>
      <c r="I149">
        <v>1</v>
      </c>
      <c r="J149" s="20" t="str">
        <f t="shared" si="13"/>
        <v>Clean</v>
      </c>
      <c r="K149">
        <v>0.22</v>
      </c>
      <c r="L149" s="20" t="str">
        <f t="shared" si="14"/>
        <v>Safe</v>
      </c>
      <c r="M149" s="20">
        <f t="shared" si="12"/>
        <v>0</v>
      </c>
    </row>
    <row r="150" spans="1:13" x14ac:dyDescent="0.3">
      <c r="A150">
        <v>149</v>
      </c>
      <c r="B150" s="46">
        <v>40550</v>
      </c>
      <c r="C150">
        <v>1</v>
      </c>
      <c r="D150">
        <v>11</v>
      </c>
      <c r="E150" t="b">
        <v>0</v>
      </c>
      <c r="F150">
        <v>5</v>
      </c>
      <c r="G150" s="20" t="str">
        <f t="shared" si="10"/>
        <v>No</v>
      </c>
      <c r="H150" s="20" t="str">
        <f t="shared" si="11"/>
        <v>Friday</v>
      </c>
      <c r="I150">
        <v>2</v>
      </c>
      <c r="J150" s="20" t="str">
        <f t="shared" si="13"/>
        <v>Misty</v>
      </c>
      <c r="K150">
        <v>0.2</v>
      </c>
      <c r="L150" s="20" t="str">
        <f t="shared" si="14"/>
        <v>Safe</v>
      </c>
      <c r="M150" s="20">
        <f t="shared" si="12"/>
        <v>0</v>
      </c>
    </row>
    <row r="151" spans="1:13" x14ac:dyDescent="0.3">
      <c r="A151">
        <v>150</v>
      </c>
      <c r="B151" s="46">
        <v>40550</v>
      </c>
      <c r="C151">
        <v>1</v>
      </c>
      <c r="D151">
        <v>12</v>
      </c>
      <c r="E151" t="b">
        <v>0</v>
      </c>
      <c r="F151">
        <v>5</v>
      </c>
      <c r="G151" s="20" t="str">
        <f t="shared" si="10"/>
        <v>No</v>
      </c>
      <c r="H151" s="20" t="str">
        <f t="shared" si="11"/>
        <v>Friday</v>
      </c>
      <c r="I151">
        <v>2</v>
      </c>
      <c r="J151" s="20" t="str">
        <f t="shared" si="13"/>
        <v>Misty</v>
      </c>
      <c r="K151">
        <v>0.2</v>
      </c>
      <c r="L151" s="20" t="str">
        <f t="shared" si="14"/>
        <v>Safe</v>
      </c>
      <c r="M151" s="20">
        <f t="shared" si="12"/>
        <v>0</v>
      </c>
    </row>
    <row r="152" spans="1:13" x14ac:dyDescent="0.3">
      <c r="A152">
        <v>151</v>
      </c>
      <c r="B152" s="46">
        <v>40550</v>
      </c>
      <c r="C152">
        <v>1</v>
      </c>
      <c r="D152">
        <v>13</v>
      </c>
      <c r="E152" t="b">
        <v>0</v>
      </c>
      <c r="F152">
        <v>5</v>
      </c>
      <c r="G152" s="20" t="str">
        <f t="shared" si="10"/>
        <v>No</v>
      </c>
      <c r="H152" s="20" t="str">
        <f t="shared" si="11"/>
        <v>Friday</v>
      </c>
      <c r="I152">
        <v>2</v>
      </c>
      <c r="J152" s="20" t="str">
        <f t="shared" si="13"/>
        <v>Misty</v>
      </c>
      <c r="K152">
        <v>0.2</v>
      </c>
      <c r="L152" s="20" t="str">
        <f t="shared" si="14"/>
        <v>Safe</v>
      </c>
      <c r="M152" s="20">
        <f t="shared" si="12"/>
        <v>0</v>
      </c>
    </row>
    <row r="153" spans="1:13" x14ac:dyDescent="0.3">
      <c r="A153">
        <v>152</v>
      </c>
      <c r="B153" s="46">
        <v>40550</v>
      </c>
      <c r="C153">
        <v>1</v>
      </c>
      <c r="D153">
        <v>14</v>
      </c>
      <c r="E153" t="b">
        <v>0</v>
      </c>
      <c r="F153">
        <v>5</v>
      </c>
      <c r="G153" s="20" t="str">
        <f t="shared" si="10"/>
        <v>No</v>
      </c>
      <c r="H153" s="20" t="str">
        <f t="shared" si="11"/>
        <v>Friday</v>
      </c>
      <c r="I153">
        <v>2</v>
      </c>
      <c r="J153" s="20" t="str">
        <f t="shared" si="13"/>
        <v>Misty</v>
      </c>
      <c r="K153">
        <v>0.2</v>
      </c>
      <c r="L153" s="20" t="str">
        <f t="shared" si="14"/>
        <v>Safe</v>
      </c>
      <c r="M153" s="20">
        <f t="shared" si="12"/>
        <v>0</v>
      </c>
    </row>
    <row r="154" spans="1:13" x14ac:dyDescent="0.3">
      <c r="A154">
        <v>153</v>
      </c>
      <c r="B154" s="46">
        <v>40550</v>
      </c>
      <c r="C154">
        <v>1</v>
      </c>
      <c r="D154">
        <v>15</v>
      </c>
      <c r="E154" t="b">
        <v>0</v>
      </c>
      <c r="F154">
        <v>5</v>
      </c>
      <c r="G154" s="20" t="str">
        <f t="shared" si="10"/>
        <v>No</v>
      </c>
      <c r="H154" s="20" t="str">
        <f t="shared" si="11"/>
        <v>Friday</v>
      </c>
      <c r="I154">
        <v>2</v>
      </c>
      <c r="J154" s="20" t="str">
        <f t="shared" si="13"/>
        <v>Misty</v>
      </c>
      <c r="K154">
        <v>0.2</v>
      </c>
      <c r="L154" s="20" t="str">
        <f t="shared" si="14"/>
        <v>Safe</v>
      </c>
      <c r="M154" s="20">
        <f t="shared" si="12"/>
        <v>0</v>
      </c>
    </row>
    <row r="155" spans="1:13" x14ac:dyDescent="0.3">
      <c r="A155">
        <v>154</v>
      </c>
      <c r="B155" s="46">
        <v>40550</v>
      </c>
      <c r="C155">
        <v>1</v>
      </c>
      <c r="D155">
        <v>16</v>
      </c>
      <c r="E155" t="b">
        <v>0</v>
      </c>
      <c r="F155">
        <v>5</v>
      </c>
      <c r="G155" s="20" t="str">
        <f t="shared" si="10"/>
        <v>No</v>
      </c>
      <c r="H155" s="20" t="str">
        <f t="shared" si="11"/>
        <v>Friday</v>
      </c>
      <c r="I155">
        <v>2</v>
      </c>
      <c r="J155" s="20" t="str">
        <f t="shared" si="13"/>
        <v>Misty</v>
      </c>
      <c r="K155">
        <v>0.2</v>
      </c>
      <c r="L155" s="20" t="str">
        <f t="shared" si="14"/>
        <v>Safe</v>
      </c>
      <c r="M155" s="20">
        <f t="shared" si="12"/>
        <v>0</v>
      </c>
    </row>
    <row r="156" spans="1:13" x14ac:dyDescent="0.3">
      <c r="A156">
        <v>155</v>
      </c>
      <c r="B156" s="46">
        <v>40550</v>
      </c>
      <c r="C156">
        <v>1</v>
      </c>
      <c r="D156">
        <v>17</v>
      </c>
      <c r="E156" t="b">
        <v>0</v>
      </c>
      <c r="F156">
        <v>5</v>
      </c>
      <c r="G156" s="20" t="str">
        <f t="shared" si="10"/>
        <v>No</v>
      </c>
      <c r="H156" s="20" t="str">
        <f t="shared" si="11"/>
        <v>Friday</v>
      </c>
      <c r="I156">
        <v>2</v>
      </c>
      <c r="J156" s="20" t="str">
        <f t="shared" si="13"/>
        <v>Misty</v>
      </c>
      <c r="K156">
        <v>0.2</v>
      </c>
      <c r="L156" s="20" t="str">
        <f t="shared" si="14"/>
        <v>Safe</v>
      </c>
      <c r="M156" s="20">
        <f t="shared" si="12"/>
        <v>0</v>
      </c>
    </row>
    <row r="157" spans="1:13" x14ac:dyDescent="0.3">
      <c r="A157">
        <v>156</v>
      </c>
      <c r="B157" s="46">
        <v>40550</v>
      </c>
      <c r="C157">
        <v>1</v>
      </c>
      <c r="D157">
        <v>18</v>
      </c>
      <c r="E157" t="b">
        <v>0</v>
      </c>
      <c r="F157">
        <v>5</v>
      </c>
      <c r="G157" s="20" t="str">
        <f t="shared" si="10"/>
        <v>No</v>
      </c>
      <c r="H157" s="20" t="str">
        <f t="shared" si="11"/>
        <v>Friday</v>
      </c>
      <c r="I157">
        <v>1</v>
      </c>
      <c r="J157" s="20" t="str">
        <f t="shared" si="13"/>
        <v>Clean</v>
      </c>
      <c r="K157">
        <v>0.2</v>
      </c>
      <c r="L157" s="20" t="str">
        <f t="shared" si="14"/>
        <v>Safe</v>
      </c>
      <c r="M157" s="20">
        <f t="shared" si="12"/>
        <v>0</v>
      </c>
    </row>
    <row r="158" spans="1:13" x14ac:dyDescent="0.3">
      <c r="A158">
        <v>157</v>
      </c>
      <c r="B158" s="46">
        <v>40550</v>
      </c>
      <c r="C158">
        <v>1</v>
      </c>
      <c r="D158">
        <v>19</v>
      </c>
      <c r="E158" t="b">
        <v>0</v>
      </c>
      <c r="F158">
        <v>5</v>
      </c>
      <c r="G158" s="20" t="str">
        <f t="shared" si="10"/>
        <v>No</v>
      </c>
      <c r="H158" s="20" t="str">
        <f t="shared" si="11"/>
        <v>Friday</v>
      </c>
      <c r="I158">
        <v>1</v>
      </c>
      <c r="J158" s="20" t="str">
        <f t="shared" si="13"/>
        <v>Clean</v>
      </c>
      <c r="K158">
        <v>0.16</v>
      </c>
      <c r="L158" s="20" t="str">
        <f t="shared" si="14"/>
        <v>Safe</v>
      </c>
      <c r="M158" s="20">
        <f t="shared" si="12"/>
        <v>0</v>
      </c>
    </row>
    <row r="159" spans="1:13" x14ac:dyDescent="0.3">
      <c r="A159">
        <v>158</v>
      </c>
      <c r="B159" s="46">
        <v>40550</v>
      </c>
      <c r="C159">
        <v>1</v>
      </c>
      <c r="D159">
        <v>20</v>
      </c>
      <c r="E159" t="b">
        <v>0</v>
      </c>
      <c r="F159">
        <v>5</v>
      </c>
      <c r="G159" s="20" t="str">
        <f t="shared" si="10"/>
        <v>No</v>
      </c>
      <c r="H159" s="20" t="str">
        <f t="shared" si="11"/>
        <v>Friday</v>
      </c>
      <c r="I159">
        <v>1</v>
      </c>
      <c r="J159" s="20" t="str">
        <f t="shared" si="13"/>
        <v>Clean</v>
      </c>
      <c r="K159">
        <v>0.18</v>
      </c>
      <c r="L159" s="20" t="str">
        <f t="shared" si="14"/>
        <v>Safe</v>
      </c>
      <c r="M159" s="20">
        <f t="shared" si="12"/>
        <v>0</v>
      </c>
    </row>
    <row r="160" spans="1:13" x14ac:dyDescent="0.3">
      <c r="A160">
        <v>159</v>
      </c>
      <c r="B160" s="46">
        <v>40550</v>
      </c>
      <c r="C160">
        <v>1</v>
      </c>
      <c r="D160">
        <v>21</v>
      </c>
      <c r="E160" t="b">
        <v>0</v>
      </c>
      <c r="F160">
        <v>5</v>
      </c>
      <c r="G160" s="20" t="str">
        <f t="shared" si="10"/>
        <v>No</v>
      </c>
      <c r="H160" s="20" t="str">
        <f t="shared" si="11"/>
        <v>Friday</v>
      </c>
      <c r="I160">
        <v>1</v>
      </c>
      <c r="J160" s="20" t="str">
        <f t="shared" si="13"/>
        <v>Clean</v>
      </c>
      <c r="K160">
        <v>0.18</v>
      </c>
      <c r="L160" s="20" t="str">
        <f t="shared" si="14"/>
        <v>Safe</v>
      </c>
      <c r="M160" s="20">
        <f t="shared" si="12"/>
        <v>0</v>
      </c>
    </row>
    <row r="161" spans="1:13" x14ac:dyDescent="0.3">
      <c r="A161">
        <v>160</v>
      </c>
      <c r="B161" s="46">
        <v>40550</v>
      </c>
      <c r="C161">
        <v>1</v>
      </c>
      <c r="D161">
        <v>22</v>
      </c>
      <c r="E161" t="b">
        <v>0</v>
      </c>
      <c r="F161">
        <v>5</v>
      </c>
      <c r="G161" s="20" t="str">
        <f t="shared" si="10"/>
        <v>No</v>
      </c>
      <c r="H161" s="20" t="str">
        <f t="shared" si="11"/>
        <v>Friday</v>
      </c>
      <c r="I161">
        <v>2</v>
      </c>
      <c r="J161" s="20" t="str">
        <f t="shared" si="13"/>
        <v>Misty</v>
      </c>
      <c r="K161">
        <v>0.18</v>
      </c>
      <c r="L161" s="20" t="str">
        <f t="shared" si="14"/>
        <v>Safe</v>
      </c>
      <c r="M161" s="20">
        <f t="shared" si="12"/>
        <v>0</v>
      </c>
    </row>
    <row r="162" spans="1:13" x14ac:dyDescent="0.3">
      <c r="A162">
        <v>161</v>
      </c>
      <c r="B162" s="46">
        <v>40550</v>
      </c>
      <c r="C162">
        <v>1</v>
      </c>
      <c r="D162">
        <v>23</v>
      </c>
      <c r="E162" t="b">
        <v>0</v>
      </c>
      <c r="F162">
        <v>5</v>
      </c>
      <c r="G162" s="20" t="str">
        <f t="shared" si="10"/>
        <v>No</v>
      </c>
      <c r="H162" s="20" t="str">
        <f t="shared" si="11"/>
        <v>Friday</v>
      </c>
      <c r="I162">
        <v>2</v>
      </c>
      <c r="J162" s="20" t="str">
        <f t="shared" si="13"/>
        <v>Misty</v>
      </c>
      <c r="K162">
        <v>0.18</v>
      </c>
      <c r="L162" s="20" t="str">
        <f t="shared" si="14"/>
        <v>Safe</v>
      </c>
      <c r="M162" s="20">
        <f t="shared" si="12"/>
        <v>0</v>
      </c>
    </row>
    <row r="163" spans="1:13" x14ac:dyDescent="0.3">
      <c r="A163">
        <v>162</v>
      </c>
      <c r="B163" s="46">
        <v>40551</v>
      </c>
      <c r="C163">
        <v>1</v>
      </c>
      <c r="D163">
        <v>0</v>
      </c>
      <c r="E163" t="b">
        <v>0</v>
      </c>
      <c r="F163">
        <v>6</v>
      </c>
      <c r="G163" s="20" t="str">
        <f t="shared" si="10"/>
        <v>Yes</v>
      </c>
      <c r="H163" s="20" t="str">
        <f t="shared" si="11"/>
        <v>Saturday</v>
      </c>
      <c r="I163">
        <v>2</v>
      </c>
      <c r="J163" s="20" t="str">
        <f t="shared" si="13"/>
        <v>Misty</v>
      </c>
      <c r="K163">
        <v>0.18</v>
      </c>
      <c r="L163" s="20" t="str">
        <f t="shared" si="14"/>
        <v>Safe</v>
      </c>
      <c r="M163" s="20">
        <f t="shared" si="12"/>
        <v>0</v>
      </c>
    </row>
    <row r="164" spans="1:13" x14ac:dyDescent="0.3">
      <c r="A164">
        <v>163</v>
      </c>
      <c r="B164" s="46">
        <v>40551</v>
      </c>
      <c r="C164">
        <v>1</v>
      </c>
      <c r="D164">
        <v>1</v>
      </c>
      <c r="E164" t="b">
        <v>0</v>
      </c>
      <c r="F164">
        <v>6</v>
      </c>
      <c r="G164" s="20" t="str">
        <f t="shared" si="10"/>
        <v>Yes</v>
      </c>
      <c r="H164" s="20" t="str">
        <f t="shared" si="11"/>
        <v>Saturday</v>
      </c>
      <c r="I164">
        <v>2</v>
      </c>
      <c r="J164" s="20" t="str">
        <f t="shared" si="13"/>
        <v>Misty</v>
      </c>
      <c r="K164">
        <v>0.18</v>
      </c>
      <c r="L164" s="20" t="str">
        <f t="shared" si="14"/>
        <v>Safe</v>
      </c>
      <c r="M164" s="20">
        <f t="shared" si="12"/>
        <v>0</v>
      </c>
    </row>
    <row r="165" spans="1:13" x14ac:dyDescent="0.3">
      <c r="A165">
        <v>164</v>
      </c>
      <c r="B165" s="46">
        <v>40551</v>
      </c>
      <c r="C165">
        <v>1</v>
      </c>
      <c r="D165">
        <v>2</v>
      </c>
      <c r="E165" t="b">
        <v>0</v>
      </c>
      <c r="F165">
        <v>6</v>
      </c>
      <c r="G165" s="20" t="str">
        <f t="shared" si="10"/>
        <v>Yes</v>
      </c>
      <c r="H165" s="20" t="str">
        <f t="shared" si="11"/>
        <v>Saturday</v>
      </c>
      <c r="I165">
        <v>2</v>
      </c>
      <c r="J165" s="20" t="str">
        <f t="shared" si="13"/>
        <v>Misty</v>
      </c>
      <c r="K165">
        <v>0.18</v>
      </c>
      <c r="L165" s="20" t="str">
        <f t="shared" si="14"/>
        <v>Safe</v>
      </c>
      <c r="M165" s="20">
        <f t="shared" si="12"/>
        <v>0</v>
      </c>
    </row>
    <row r="166" spans="1:13" x14ac:dyDescent="0.3">
      <c r="A166">
        <v>165</v>
      </c>
      <c r="B166" s="46">
        <v>40551</v>
      </c>
      <c r="C166">
        <v>1</v>
      </c>
      <c r="D166">
        <v>3</v>
      </c>
      <c r="E166" t="b">
        <v>0</v>
      </c>
      <c r="F166">
        <v>6</v>
      </c>
      <c r="G166" s="20" t="str">
        <f t="shared" si="10"/>
        <v>Yes</v>
      </c>
      <c r="H166" s="20" t="str">
        <f t="shared" si="11"/>
        <v>Saturday</v>
      </c>
      <c r="I166">
        <v>3</v>
      </c>
      <c r="J166" s="20" t="str">
        <f t="shared" si="13"/>
        <v>Light Rain</v>
      </c>
      <c r="K166">
        <v>0.18</v>
      </c>
      <c r="L166" s="20" t="str">
        <f t="shared" si="14"/>
        <v>Safe</v>
      </c>
      <c r="M166" s="20">
        <f t="shared" si="12"/>
        <v>0</v>
      </c>
    </row>
    <row r="167" spans="1:13" x14ac:dyDescent="0.3">
      <c r="A167">
        <v>166</v>
      </c>
      <c r="B167" s="46">
        <v>40551</v>
      </c>
      <c r="C167">
        <v>1</v>
      </c>
      <c r="D167">
        <v>4</v>
      </c>
      <c r="E167" t="b">
        <v>0</v>
      </c>
      <c r="F167">
        <v>6</v>
      </c>
      <c r="G167" s="20" t="str">
        <f t="shared" si="10"/>
        <v>Yes</v>
      </c>
      <c r="H167" s="20" t="str">
        <f t="shared" si="11"/>
        <v>Saturday</v>
      </c>
      <c r="I167">
        <v>3</v>
      </c>
      <c r="J167" s="20" t="str">
        <f t="shared" si="13"/>
        <v>Light Rain</v>
      </c>
      <c r="K167">
        <v>0.18</v>
      </c>
      <c r="L167" s="20" t="str">
        <f t="shared" si="14"/>
        <v>Safe</v>
      </c>
      <c r="M167" s="20">
        <f t="shared" si="12"/>
        <v>0</v>
      </c>
    </row>
    <row r="168" spans="1:13" x14ac:dyDescent="0.3">
      <c r="A168">
        <v>167</v>
      </c>
      <c r="B168" s="46">
        <v>40551</v>
      </c>
      <c r="C168">
        <v>1</v>
      </c>
      <c r="D168">
        <v>5</v>
      </c>
      <c r="E168" t="b">
        <v>0</v>
      </c>
      <c r="F168">
        <v>6</v>
      </c>
      <c r="G168" s="20" t="str">
        <f t="shared" si="10"/>
        <v>Yes</v>
      </c>
      <c r="H168" s="20" t="str">
        <f t="shared" si="11"/>
        <v>Saturday</v>
      </c>
      <c r="I168">
        <v>2</v>
      </c>
      <c r="J168" s="20" t="str">
        <f t="shared" si="13"/>
        <v>Misty</v>
      </c>
      <c r="K168">
        <v>0.16</v>
      </c>
      <c r="L168" s="20" t="str">
        <f t="shared" si="14"/>
        <v>Safe</v>
      </c>
      <c r="M168" s="20">
        <f t="shared" si="12"/>
        <v>0</v>
      </c>
    </row>
    <row r="169" spans="1:13" x14ac:dyDescent="0.3">
      <c r="A169">
        <v>168</v>
      </c>
      <c r="B169" s="46">
        <v>40551</v>
      </c>
      <c r="C169">
        <v>1</v>
      </c>
      <c r="D169">
        <v>6</v>
      </c>
      <c r="E169" t="b">
        <v>0</v>
      </c>
      <c r="F169">
        <v>6</v>
      </c>
      <c r="G169" s="20" t="str">
        <f t="shared" si="10"/>
        <v>Yes</v>
      </c>
      <c r="H169" s="20" t="str">
        <f t="shared" si="11"/>
        <v>Saturday</v>
      </c>
      <c r="I169">
        <v>2</v>
      </c>
      <c r="J169" s="20" t="str">
        <f t="shared" si="13"/>
        <v>Misty</v>
      </c>
      <c r="K169">
        <v>0.16</v>
      </c>
      <c r="L169" s="20" t="str">
        <f t="shared" si="14"/>
        <v>Safe</v>
      </c>
      <c r="M169" s="20">
        <f t="shared" si="12"/>
        <v>0</v>
      </c>
    </row>
    <row r="170" spans="1:13" x14ac:dyDescent="0.3">
      <c r="A170">
        <v>169</v>
      </c>
      <c r="B170" s="46">
        <v>40551</v>
      </c>
      <c r="C170">
        <v>1</v>
      </c>
      <c r="D170">
        <v>7</v>
      </c>
      <c r="E170" t="b">
        <v>0</v>
      </c>
      <c r="F170">
        <v>6</v>
      </c>
      <c r="G170" s="20" t="str">
        <f t="shared" si="10"/>
        <v>Yes</v>
      </c>
      <c r="H170" s="20" t="str">
        <f t="shared" si="11"/>
        <v>Saturday</v>
      </c>
      <c r="I170">
        <v>2</v>
      </c>
      <c r="J170" s="20" t="str">
        <f t="shared" si="13"/>
        <v>Misty</v>
      </c>
      <c r="K170">
        <v>0.16</v>
      </c>
      <c r="L170" s="20" t="str">
        <f t="shared" si="14"/>
        <v>Safe</v>
      </c>
      <c r="M170" s="20">
        <f t="shared" si="12"/>
        <v>0</v>
      </c>
    </row>
    <row r="171" spans="1:13" x14ac:dyDescent="0.3">
      <c r="A171">
        <v>170</v>
      </c>
      <c r="B171" s="46">
        <v>40551</v>
      </c>
      <c r="C171">
        <v>1</v>
      </c>
      <c r="D171">
        <v>8</v>
      </c>
      <c r="E171" t="b">
        <v>0</v>
      </c>
      <c r="F171">
        <v>6</v>
      </c>
      <c r="G171" s="20" t="str">
        <f t="shared" si="10"/>
        <v>Yes</v>
      </c>
      <c r="H171" s="20" t="str">
        <f t="shared" si="11"/>
        <v>Saturday</v>
      </c>
      <c r="I171">
        <v>3</v>
      </c>
      <c r="J171" s="20" t="str">
        <f t="shared" si="13"/>
        <v>Light Rain</v>
      </c>
      <c r="K171">
        <v>0.16</v>
      </c>
      <c r="L171" s="20" t="str">
        <f t="shared" si="14"/>
        <v>Safe</v>
      </c>
      <c r="M171" s="20">
        <f t="shared" si="12"/>
        <v>0</v>
      </c>
    </row>
    <row r="172" spans="1:13" x14ac:dyDescent="0.3">
      <c r="A172">
        <v>171</v>
      </c>
      <c r="B172" s="46">
        <v>40551</v>
      </c>
      <c r="C172">
        <v>1</v>
      </c>
      <c r="D172">
        <v>9</v>
      </c>
      <c r="E172" t="b">
        <v>0</v>
      </c>
      <c r="F172">
        <v>6</v>
      </c>
      <c r="G172" s="20" t="str">
        <f t="shared" si="10"/>
        <v>Yes</v>
      </c>
      <c r="H172" s="20" t="str">
        <f t="shared" si="11"/>
        <v>Saturday</v>
      </c>
      <c r="I172">
        <v>3</v>
      </c>
      <c r="J172" s="20" t="str">
        <f t="shared" si="13"/>
        <v>Light Rain</v>
      </c>
      <c r="K172">
        <v>0.16</v>
      </c>
      <c r="L172" s="20" t="str">
        <f t="shared" si="14"/>
        <v>Safe</v>
      </c>
      <c r="M172" s="20">
        <f t="shared" si="12"/>
        <v>0</v>
      </c>
    </row>
    <row r="173" spans="1:13" x14ac:dyDescent="0.3">
      <c r="A173">
        <v>172</v>
      </c>
      <c r="B173" s="46">
        <v>40551</v>
      </c>
      <c r="C173">
        <v>1</v>
      </c>
      <c r="D173">
        <v>10</v>
      </c>
      <c r="E173" t="b">
        <v>0</v>
      </c>
      <c r="F173">
        <v>6</v>
      </c>
      <c r="G173" s="20" t="str">
        <f t="shared" si="10"/>
        <v>Yes</v>
      </c>
      <c r="H173" s="20" t="str">
        <f t="shared" si="11"/>
        <v>Saturday</v>
      </c>
      <c r="I173">
        <v>2</v>
      </c>
      <c r="J173" s="20" t="str">
        <f t="shared" si="13"/>
        <v>Misty</v>
      </c>
      <c r="K173">
        <v>0.18</v>
      </c>
      <c r="L173" s="20" t="str">
        <f t="shared" si="14"/>
        <v>Safe</v>
      </c>
      <c r="M173" s="20">
        <f t="shared" si="12"/>
        <v>0</v>
      </c>
    </row>
    <row r="174" spans="1:13" x14ac:dyDescent="0.3">
      <c r="A174">
        <v>173</v>
      </c>
      <c r="B174" s="46">
        <v>40551</v>
      </c>
      <c r="C174">
        <v>1</v>
      </c>
      <c r="D174">
        <v>11</v>
      </c>
      <c r="E174" t="b">
        <v>0</v>
      </c>
      <c r="F174">
        <v>6</v>
      </c>
      <c r="G174" s="20" t="str">
        <f t="shared" si="10"/>
        <v>Yes</v>
      </c>
      <c r="H174" s="20" t="str">
        <f t="shared" si="11"/>
        <v>Saturday</v>
      </c>
      <c r="I174">
        <v>2</v>
      </c>
      <c r="J174" s="20" t="str">
        <f t="shared" si="13"/>
        <v>Misty</v>
      </c>
      <c r="K174">
        <v>0.2</v>
      </c>
      <c r="L174" s="20" t="str">
        <f t="shared" si="14"/>
        <v>Safe</v>
      </c>
      <c r="M174" s="20">
        <f t="shared" si="12"/>
        <v>0</v>
      </c>
    </row>
    <row r="175" spans="1:13" x14ac:dyDescent="0.3">
      <c r="A175">
        <v>174</v>
      </c>
      <c r="B175" s="46">
        <v>40551</v>
      </c>
      <c r="C175">
        <v>1</v>
      </c>
      <c r="D175">
        <v>12</v>
      </c>
      <c r="E175" t="b">
        <v>0</v>
      </c>
      <c r="F175">
        <v>6</v>
      </c>
      <c r="G175" s="20" t="str">
        <f t="shared" si="10"/>
        <v>Yes</v>
      </c>
      <c r="H175" s="20" t="str">
        <f t="shared" si="11"/>
        <v>Saturday</v>
      </c>
      <c r="I175">
        <v>2</v>
      </c>
      <c r="J175" s="20" t="str">
        <f t="shared" si="13"/>
        <v>Misty</v>
      </c>
      <c r="K175">
        <v>0.2</v>
      </c>
      <c r="L175" s="20" t="str">
        <f t="shared" si="14"/>
        <v>Safe</v>
      </c>
      <c r="M175" s="20">
        <f t="shared" si="12"/>
        <v>0</v>
      </c>
    </row>
    <row r="176" spans="1:13" x14ac:dyDescent="0.3">
      <c r="A176">
        <v>175</v>
      </c>
      <c r="B176" s="46">
        <v>40551</v>
      </c>
      <c r="C176">
        <v>1</v>
      </c>
      <c r="D176">
        <v>13</v>
      </c>
      <c r="E176" t="b">
        <v>0</v>
      </c>
      <c r="F176">
        <v>6</v>
      </c>
      <c r="G176" s="20" t="str">
        <f t="shared" si="10"/>
        <v>Yes</v>
      </c>
      <c r="H176" s="20" t="str">
        <f t="shared" si="11"/>
        <v>Saturday</v>
      </c>
      <c r="I176">
        <v>1</v>
      </c>
      <c r="J176" s="20" t="str">
        <f t="shared" si="13"/>
        <v>Clean</v>
      </c>
      <c r="K176">
        <v>0.2</v>
      </c>
      <c r="L176" s="20" t="str">
        <f t="shared" si="14"/>
        <v>Safe</v>
      </c>
      <c r="M176" s="20">
        <f t="shared" si="12"/>
        <v>0</v>
      </c>
    </row>
    <row r="177" spans="1:13" x14ac:dyDescent="0.3">
      <c r="A177">
        <v>176</v>
      </c>
      <c r="B177" s="46">
        <v>40551</v>
      </c>
      <c r="C177">
        <v>1</v>
      </c>
      <c r="D177">
        <v>14</v>
      </c>
      <c r="E177" t="b">
        <v>0</v>
      </c>
      <c r="F177">
        <v>6</v>
      </c>
      <c r="G177" s="20" t="str">
        <f t="shared" si="10"/>
        <v>Yes</v>
      </c>
      <c r="H177" s="20" t="str">
        <f t="shared" si="11"/>
        <v>Saturday</v>
      </c>
      <c r="I177">
        <v>1</v>
      </c>
      <c r="J177" s="20" t="str">
        <f t="shared" si="13"/>
        <v>Clean</v>
      </c>
      <c r="K177">
        <v>0.2</v>
      </c>
      <c r="L177" s="20" t="str">
        <f t="shared" si="14"/>
        <v>Safe</v>
      </c>
      <c r="M177" s="20">
        <f t="shared" si="12"/>
        <v>0</v>
      </c>
    </row>
    <row r="178" spans="1:13" x14ac:dyDescent="0.3">
      <c r="A178">
        <v>177</v>
      </c>
      <c r="B178" s="46">
        <v>40551</v>
      </c>
      <c r="C178">
        <v>1</v>
      </c>
      <c r="D178">
        <v>15</v>
      </c>
      <c r="E178" t="b">
        <v>0</v>
      </c>
      <c r="F178">
        <v>6</v>
      </c>
      <c r="G178" s="20" t="str">
        <f t="shared" si="10"/>
        <v>Yes</v>
      </c>
      <c r="H178" s="20" t="str">
        <f t="shared" si="11"/>
        <v>Saturday</v>
      </c>
      <c r="I178">
        <v>1</v>
      </c>
      <c r="J178" s="20" t="str">
        <f t="shared" si="13"/>
        <v>Clean</v>
      </c>
      <c r="K178">
        <v>0.2</v>
      </c>
      <c r="L178" s="20" t="str">
        <f t="shared" si="14"/>
        <v>Safe</v>
      </c>
      <c r="M178" s="20">
        <f t="shared" si="12"/>
        <v>0</v>
      </c>
    </row>
    <row r="179" spans="1:13" x14ac:dyDescent="0.3">
      <c r="A179">
        <v>178</v>
      </c>
      <c r="B179" s="46">
        <v>40551</v>
      </c>
      <c r="C179">
        <v>1</v>
      </c>
      <c r="D179">
        <v>16</v>
      </c>
      <c r="E179" t="b">
        <v>0</v>
      </c>
      <c r="F179">
        <v>6</v>
      </c>
      <c r="G179" s="20" t="str">
        <f t="shared" si="10"/>
        <v>Yes</v>
      </c>
      <c r="H179" s="20" t="str">
        <f t="shared" si="11"/>
        <v>Saturday</v>
      </c>
      <c r="I179">
        <v>1</v>
      </c>
      <c r="J179" s="20" t="str">
        <f t="shared" si="13"/>
        <v>Clean</v>
      </c>
      <c r="K179">
        <v>0.18</v>
      </c>
      <c r="L179" s="20" t="str">
        <f t="shared" si="14"/>
        <v>Safe</v>
      </c>
      <c r="M179" s="20">
        <f t="shared" si="12"/>
        <v>0</v>
      </c>
    </row>
    <row r="180" spans="1:13" x14ac:dyDescent="0.3">
      <c r="A180">
        <v>179</v>
      </c>
      <c r="B180" s="46">
        <v>40551</v>
      </c>
      <c r="C180">
        <v>1</v>
      </c>
      <c r="D180">
        <v>17</v>
      </c>
      <c r="E180" t="b">
        <v>0</v>
      </c>
      <c r="F180">
        <v>6</v>
      </c>
      <c r="G180" s="20" t="str">
        <f t="shared" si="10"/>
        <v>Yes</v>
      </c>
      <c r="H180" s="20" t="str">
        <f t="shared" si="11"/>
        <v>Saturday</v>
      </c>
      <c r="I180">
        <v>1</v>
      </c>
      <c r="J180" s="20" t="str">
        <f t="shared" si="13"/>
        <v>Clean</v>
      </c>
      <c r="K180">
        <v>0.16</v>
      </c>
      <c r="L180" s="20" t="str">
        <f t="shared" si="14"/>
        <v>Safe</v>
      </c>
      <c r="M180" s="20">
        <f t="shared" si="12"/>
        <v>0</v>
      </c>
    </row>
    <row r="181" spans="1:13" x14ac:dyDescent="0.3">
      <c r="A181">
        <v>180</v>
      </c>
      <c r="B181" s="46">
        <v>40551</v>
      </c>
      <c r="C181">
        <v>1</v>
      </c>
      <c r="D181">
        <v>18</v>
      </c>
      <c r="E181" t="b">
        <v>0</v>
      </c>
      <c r="F181">
        <v>6</v>
      </c>
      <c r="G181" s="20" t="str">
        <f t="shared" si="10"/>
        <v>Yes</v>
      </c>
      <c r="H181" s="20" t="str">
        <f t="shared" si="11"/>
        <v>Saturday</v>
      </c>
      <c r="I181">
        <v>1</v>
      </c>
      <c r="J181" s="20" t="str">
        <f t="shared" si="13"/>
        <v>Clean</v>
      </c>
      <c r="K181">
        <v>0.14000000000000001</v>
      </c>
      <c r="L181" s="20" t="str">
        <f t="shared" si="14"/>
        <v>Safe</v>
      </c>
      <c r="M181" s="20">
        <f t="shared" si="12"/>
        <v>0</v>
      </c>
    </row>
    <row r="182" spans="1:13" x14ac:dyDescent="0.3">
      <c r="A182">
        <v>181</v>
      </c>
      <c r="B182" s="46">
        <v>40551</v>
      </c>
      <c r="C182">
        <v>1</v>
      </c>
      <c r="D182">
        <v>19</v>
      </c>
      <c r="E182" t="b">
        <v>0</v>
      </c>
      <c r="F182">
        <v>6</v>
      </c>
      <c r="G182" s="20" t="str">
        <f t="shared" si="10"/>
        <v>Yes</v>
      </c>
      <c r="H182" s="20" t="str">
        <f t="shared" si="11"/>
        <v>Saturday</v>
      </c>
      <c r="I182">
        <v>1</v>
      </c>
      <c r="J182" s="20" t="str">
        <f t="shared" si="13"/>
        <v>Clean</v>
      </c>
      <c r="K182">
        <v>0.14000000000000001</v>
      </c>
      <c r="L182" s="20" t="str">
        <f t="shared" si="14"/>
        <v>Safe</v>
      </c>
      <c r="M182" s="20">
        <f t="shared" si="12"/>
        <v>0</v>
      </c>
    </row>
    <row r="183" spans="1:13" x14ac:dyDescent="0.3">
      <c r="A183">
        <v>182</v>
      </c>
      <c r="B183" s="46">
        <v>40551</v>
      </c>
      <c r="C183">
        <v>1</v>
      </c>
      <c r="D183">
        <v>20</v>
      </c>
      <c r="E183" t="b">
        <v>0</v>
      </c>
      <c r="F183">
        <v>6</v>
      </c>
      <c r="G183" s="20" t="str">
        <f t="shared" si="10"/>
        <v>Yes</v>
      </c>
      <c r="H183" s="20" t="str">
        <f t="shared" si="11"/>
        <v>Saturday</v>
      </c>
      <c r="I183">
        <v>1</v>
      </c>
      <c r="J183" s="20" t="str">
        <f t="shared" si="13"/>
        <v>Clean</v>
      </c>
      <c r="K183">
        <v>0.12</v>
      </c>
      <c r="L183" s="20" t="str">
        <f t="shared" si="14"/>
        <v>Safe</v>
      </c>
      <c r="M183" s="20">
        <f t="shared" si="12"/>
        <v>0</v>
      </c>
    </row>
    <row r="184" spans="1:13" x14ac:dyDescent="0.3">
      <c r="A184">
        <v>183</v>
      </c>
      <c r="B184" s="46">
        <v>40551</v>
      </c>
      <c r="C184">
        <v>1</v>
      </c>
      <c r="D184">
        <v>21</v>
      </c>
      <c r="E184" t="b">
        <v>0</v>
      </c>
      <c r="F184">
        <v>6</v>
      </c>
      <c r="G184" s="20" t="str">
        <f t="shared" si="10"/>
        <v>Yes</v>
      </c>
      <c r="H184" s="20" t="str">
        <f t="shared" si="11"/>
        <v>Saturday</v>
      </c>
      <c r="I184">
        <v>1</v>
      </c>
      <c r="J184" s="20" t="str">
        <f t="shared" si="13"/>
        <v>Clean</v>
      </c>
      <c r="K184">
        <v>0.12</v>
      </c>
      <c r="L184" s="20" t="str">
        <f t="shared" si="14"/>
        <v>Safe</v>
      </c>
      <c r="M184" s="20">
        <f t="shared" si="12"/>
        <v>0</v>
      </c>
    </row>
    <row r="185" spans="1:13" x14ac:dyDescent="0.3">
      <c r="A185">
        <v>184</v>
      </c>
      <c r="B185" s="46">
        <v>40551</v>
      </c>
      <c r="C185">
        <v>1</v>
      </c>
      <c r="D185">
        <v>22</v>
      </c>
      <c r="E185" t="b">
        <v>0</v>
      </c>
      <c r="F185">
        <v>6</v>
      </c>
      <c r="G185" s="20" t="str">
        <f t="shared" si="10"/>
        <v>Yes</v>
      </c>
      <c r="H185" s="20" t="str">
        <f t="shared" si="11"/>
        <v>Saturday</v>
      </c>
      <c r="I185">
        <v>1</v>
      </c>
      <c r="J185" s="20" t="str">
        <f t="shared" si="13"/>
        <v>Clean</v>
      </c>
      <c r="K185">
        <v>0.12</v>
      </c>
      <c r="L185" s="20" t="str">
        <f t="shared" si="14"/>
        <v>Safe</v>
      </c>
      <c r="M185" s="20">
        <f t="shared" si="12"/>
        <v>0</v>
      </c>
    </row>
    <row r="186" spans="1:13" x14ac:dyDescent="0.3">
      <c r="A186">
        <v>185</v>
      </c>
      <c r="B186" s="46">
        <v>40551</v>
      </c>
      <c r="C186">
        <v>1</v>
      </c>
      <c r="D186">
        <v>23</v>
      </c>
      <c r="E186" t="b">
        <v>0</v>
      </c>
      <c r="F186">
        <v>6</v>
      </c>
      <c r="G186" s="20" t="str">
        <f t="shared" si="10"/>
        <v>Yes</v>
      </c>
      <c r="H186" s="20" t="str">
        <f t="shared" si="11"/>
        <v>Saturday</v>
      </c>
      <c r="I186">
        <v>1</v>
      </c>
      <c r="J186" s="20" t="str">
        <f t="shared" si="13"/>
        <v>Clean</v>
      </c>
      <c r="K186">
        <v>0.1</v>
      </c>
      <c r="L186" s="20" t="str">
        <f t="shared" si="14"/>
        <v>Safe</v>
      </c>
      <c r="M186" s="20">
        <f t="shared" si="12"/>
        <v>0</v>
      </c>
    </row>
    <row r="187" spans="1:13" x14ac:dyDescent="0.3">
      <c r="A187">
        <v>186</v>
      </c>
      <c r="B187" s="46">
        <v>40552</v>
      </c>
      <c r="C187">
        <v>1</v>
      </c>
      <c r="D187">
        <v>0</v>
      </c>
      <c r="E187" t="b">
        <v>0</v>
      </c>
      <c r="F187">
        <v>0</v>
      </c>
      <c r="G187" s="20" t="str">
        <f t="shared" si="10"/>
        <v>Yes</v>
      </c>
      <c r="H187" s="20" t="str">
        <f t="shared" si="11"/>
        <v>Sunday</v>
      </c>
      <c r="I187">
        <v>1</v>
      </c>
      <c r="J187" s="20" t="str">
        <f t="shared" si="13"/>
        <v>Clean</v>
      </c>
      <c r="K187">
        <v>0.1</v>
      </c>
      <c r="L187" s="20" t="str">
        <f t="shared" si="14"/>
        <v>Safe</v>
      </c>
      <c r="M187" s="20">
        <f t="shared" si="12"/>
        <v>0</v>
      </c>
    </row>
    <row r="188" spans="1:13" x14ac:dyDescent="0.3">
      <c r="A188">
        <v>187</v>
      </c>
      <c r="B188" s="46">
        <v>40552</v>
      </c>
      <c r="C188">
        <v>1</v>
      </c>
      <c r="D188">
        <v>1</v>
      </c>
      <c r="E188" t="b">
        <v>0</v>
      </c>
      <c r="F188">
        <v>0</v>
      </c>
      <c r="G188" s="20" t="str">
        <f t="shared" si="10"/>
        <v>Yes</v>
      </c>
      <c r="H188" s="20" t="str">
        <f t="shared" si="11"/>
        <v>Sunday</v>
      </c>
      <c r="I188">
        <v>1</v>
      </c>
      <c r="J188" s="20" t="str">
        <f t="shared" si="13"/>
        <v>Clean</v>
      </c>
      <c r="K188">
        <v>0.1</v>
      </c>
      <c r="L188" s="20" t="str">
        <f t="shared" si="14"/>
        <v>Safe</v>
      </c>
      <c r="M188" s="20">
        <f t="shared" si="12"/>
        <v>0</v>
      </c>
    </row>
    <row r="189" spans="1:13" x14ac:dyDescent="0.3">
      <c r="A189">
        <v>188</v>
      </c>
      <c r="B189" s="46">
        <v>40552</v>
      </c>
      <c r="C189">
        <v>1</v>
      </c>
      <c r="D189">
        <v>2</v>
      </c>
      <c r="E189" t="b">
        <v>0</v>
      </c>
      <c r="F189">
        <v>0</v>
      </c>
      <c r="G189" s="20" t="str">
        <f t="shared" si="10"/>
        <v>Yes</v>
      </c>
      <c r="H189" s="20" t="str">
        <f t="shared" si="11"/>
        <v>Sunday</v>
      </c>
      <c r="I189">
        <v>1</v>
      </c>
      <c r="J189" s="20" t="str">
        <f t="shared" si="13"/>
        <v>Clean</v>
      </c>
      <c r="K189">
        <v>0.1</v>
      </c>
      <c r="L189" s="20" t="str">
        <f t="shared" si="14"/>
        <v>Safe</v>
      </c>
      <c r="M189" s="20">
        <f t="shared" si="12"/>
        <v>0</v>
      </c>
    </row>
    <row r="190" spans="1:13" x14ac:dyDescent="0.3">
      <c r="A190">
        <v>189</v>
      </c>
      <c r="B190" s="46">
        <v>40552</v>
      </c>
      <c r="C190">
        <v>1</v>
      </c>
      <c r="D190">
        <v>3</v>
      </c>
      <c r="E190" t="b">
        <v>0</v>
      </c>
      <c r="F190">
        <v>0</v>
      </c>
      <c r="G190" s="20" t="str">
        <f t="shared" si="10"/>
        <v>Yes</v>
      </c>
      <c r="H190" s="20" t="str">
        <f t="shared" si="11"/>
        <v>Sunday</v>
      </c>
      <c r="I190">
        <v>1</v>
      </c>
      <c r="J190" s="20" t="str">
        <f t="shared" si="13"/>
        <v>Clean</v>
      </c>
      <c r="K190">
        <v>0.1</v>
      </c>
      <c r="L190" s="20" t="str">
        <f t="shared" si="14"/>
        <v>Safe</v>
      </c>
      <c r="M190" s="20">
        <f t="shared" si="12"/>
        <v>0</v>
      </c>
    </row>
    <row r="191" spans="1:13" x14ac:dyDescent="0.3">
      <c r="A191">
        <v>190</v>
      </c>
      <c r="B191" s="46">
        <v>40552</v>
      </c>
      <c r="C191">
        <v>1</v>
      </c>
      <c r="D191">
        <v>4</v>
      </c>
      <c r="E191" t="b">
        <v>0</v>
      </c>
      <c r="F191">
        <v>0</v>
      </c>
      <c r="G191" s="20" t="str">
        <f t="shared" si="10"/>
        <v>Yes</v>
      </c>
      <c r="H191" s="20" t="str">
        <f t="shared" si="11"/>
        <v>Sunday</v>
      </c>
      <c r="I191">
        <v>1</v>
      </c>
      <c r="J191" s="20" t="str">
        <f t="shared" si="13"/>
        <v>Clean</v>
      </c>
      <c r="K191">
        <v>0.08</v>
      </c>
      <c r="L191" s="20" t="str">
        <f t="shared" si="14"/>
        <v>Risky</v>
      </c>
      <c r="M191" s="20">
        <f t="shared" si="12"/>
        <v>0</v>
      </c>
    </row>
    <row r="192" spans="1:13" x14ac:dyDescent="0.3">
      <c r="A192">
        <v>191</v>
      </c>
      <c r="B192" s="46">
        <v>40552</v>
      </c>
      <c r="C192">
        <v>1</v>
      </c>
      <c r="D192">
        <v>5</v>
      </c>
      <c r="E192" t="b">
        <v>0</v>
      </c>
      <c r="F192">
        <v>0</v>
      </c>
      <c r="G192" s="20" t="str">
        <f t="shared" si="10"/>
        <v>Yes</v>
      </c>
      <c r="H192" s="20" t="str">
        <f t="shared" si="11"/>
        <v>Sunday</v>
      </c>
      <c r="I192">
        <v>1</v>
      </c>
      <c r="J192" s="20" t="str">
        <f t="shared" si="13"/>
        <v>Clean</v>
      </c>
      <c r="K192">
        <v>0.08</v>
      </c>
      <c r="L192" s="20" t="str">
        <f t="shared" si="14"/>
        <v>Risky</v>
      </c>
      <c r="M192" s="20">
        <f t="shared" si="12"/>
        <v>0</v>
      </c>
    </row>
    <row r="193" spans="1:13" x14ac:dyDescent="0.3">
      <c r="A193">
        <v>192</v>
      </c>
      <c r="B193" s="46">
        <v>40552</v>
      </c>
      <c r="C193">
        <v>1</v>
      </c>
      <c r="D193">
        <v>6</v>
      </c>
      <c r="E193" t="b">
        <v>0</v>
      </c>
      <c r="F193">
        <v>0</v>
      </c>
      <c r="G193" s="20" t="str">
        <f t="shared" si="10"/>
        <v>Yes</v>
      </c>
      <c r="H193" s="20" t="str">
        <f t="shared" si="11"/>
        <v>Sunday</v>
      </c>
      <c r="I193">
        <v>1</v>
      </c>
      <c r="J193" s="20" t="str">
        <f t="shared" si="13"/>
        <v>Clean</v>
      </c>
      <c r="K193">
        <v>0.1</v>
      </c>
      <c r="L193" s="20" t="str">
        <f t="shared" si="14"/>
        <v>Safe</v>
      </c>
      <c r="M193" s="20">
        <f t="shared" si="12"/>
        <v>0</v>
      </c>
    </row>
    <row r="194" spans="1:13" x14ac:dyDescent="0.3">
      <c r="A194">
        <v>193</v>
      </c>
      <c r="B194" s="46">
        <v>40552</v>
      </c>
      <c r="C194">
        <v>1</v>
      </c>
      <c r="D194">
        <v>7</v>
      </c>
      <c r="E194" t="b">
        <v>0</v>
      </c>
      <c r="F194">
        <v>0</v>
      </c>
      <c r="G194" s="20" t="str">
        <f t="shared" ref="G194:G257" si="15">_xlfn.IFS(F194=0,"Yes",F194=6,"Yes",F194&gt;0,"No")</f>
        <v>Yes</v>
      </c>
      <c r="H194" s="20" t="str">
        <f t="shared" ref="H194:H257" si="16">TEXT(B194:B803,"dddd")</f>
        <v>Sunday</v>
      </c>
      <c r="I194">
        <v>1</v>
      </c>
      <c r="J194" s="20" t="str">
        <f t="shared" si="13"/>
        <v>Clean</v>
      </c>
      <c r="K194">
        <v>0.08</v>
      </c>
      <c r="L194" s="20" t="str">
        <f t="shared" si="14"/>
        <v>Risky</v>
      </c>
      <c r="M194" s="20">
        <f t="shared" ref="M194:M257" si="17">COUNTBLANK(A194:K194)</f>
        <v>0</v>
      </c>
    </row>
    <row r="195" spans="1:13" x14ac:dyDescent="0.3">
      <c r="A195">
        <v>194</v>
      </c>
      <c r="B195" s="46">
        <v>40552</v>
      </c>
      <c r="C195">
        <v>1</v>
      </c>
      <c r="D195">
        <v>8</v>
      </c>
      <c r="E195" t="b">
        <v>0</v>
      </c>
      <c r="F195">
        <v>0</v>
      </c>
      <c r="G195" s="20" t="str">
        <f t="shared" si="15"/>
        <v>Yes</v>
      </c>
      <c r="H195" s="20" t="str">
        <f t="shared" si="16"/>
        <v>Sunday</v>
      </c>
      <c r="I195">
        <v>1</v>
      </c>
      <c r="J195" s="20" t="str">
        <f t="shared" ref="J195:J258" si="18">_xlfn.IFS(I195=1,"Clean",I195=2,"Misty",I195=3,"Light Rain",I195=4,"Heavy Rain")</f>
        <v>Clean</v>
      </c>
      <c r="K195">
        <v>0.1</v>
      </c>
      <c r="L195" s="20" t="str">
        <f t="shared" ref="L195:L258" si="19">_xlfn.IFS(K195&lt;0.1,"Risky",K195&lt;0.35,"Safe",K195&gt;0.35,"Risky")</f>
        <v>Safe</v>
      </c>
      <c r="M195" s="20">
        <f t="shared" si="17"/>
        <v>0</v>
      </c>
    </row>
    <row r="196" spans="1:13" x14ac:dyDescent="0.3">
      <c r="A196">
        <v>195</v>
      </c>
      <c r="B196" s="46">
        <v>40552</v>
      </c>
      <c r="C196">
        <v>1</v>
      </c>
      <c r="D196">
        <v>9</v>
      </c>
      <c r="E196" t="b">
        <v>0</v>
      </c>
      <c r="F196">
        <v>0</v>
      </c>
      <c r="G196" s="20" t="str">
        <f t="shared" si="15"/>
        <v>Yes</v>
      </c>
      <c r="H196" s="20" t="str">
        <f t="shared" si="16"/>
        <v>Sunday</v>
      </c>
      <c r="I196">
        <v>1</v>
      </c>
      <c r="J196" s="20" t="str">
        <f t="shared" si="18"/>
        <v>Clean</v>
      </c>
      <c r="K196">
        <v>0.12</v>
      </c>
      <c r="L196" s="20" t="str">
        <f t="shared" si="19"/>
        <v>Safe</v>
      </c>
      <c r="M196" s="20">
        <f t="shared" si="17"/>
        <v>0</v>
      </c>
    </row>
    <row r="197" spans="1:13" x14ac:dyDescent="0.3">
      <c r="A197">
        <v>196</v>
      </c>
      <c r="B197" s="46">
        <v>40552</v>
      </c>
      <c r="C197">
        <v>1</v>
      </c>
      <c r="D197">
        <v>10</v>
      </c>
      <c r="E197" t="b">
        <v>0</v>
      </c>
      <c r="F197">
        <v>0</v>
      </c>
      <c r="G197" s="20" t="str">
        <f t="shared" si="15"/>
        <v>Yes</v>
      </c>
      <c r="H197" s="20" t="str">
        <f t="shared" si="16"/>
        <v>Sunday</v>
      </c>
      <c r="I197">
        <v>1</v>
      </c>
      <c r="J197" s="20" t="str">
        <f t="shared" si="18"/>
        <v>Clean</v>
      </c>
      <c r="K197">
        <v>0.14000000000000001</v>
      </c>
      <c r="L197" s="20" t="str">
        <f t="shared" si="19"/>
        <v>Safe</v>
      </c>
      <c r="M197" s="20">
        <f t="shared" si="17"/>
        <v>0</v>
      </c>
    </row>
    <row r="198" spans="1:13" x14ac:dyDescent="0.3">
      <c r="A198">
        <v>197</v>
      </c>
      <c r="B198" s="46">
        <v>40552</v>
      </c>
      <c r="C198">
        <v>1</v>
      </c>
      <c r="D198">
        <v>11</v>
      </c>
      <c r="E198" t="b">
        <v>0</v>
      </c>
      <c r="F198">
        <v>0</v>
      </c>
      <c r="G198" s="20" t="str">
        <f t="shared" si="15"/>
        <v>Yes</v>
      </c>
      <c r="H198" s="20" t="str">
        <f t="shared" si="16"/>
        <v>Sunday</v>
      </c>
      <c r="I198">
        <v>1</v>
      </c>
      <c r="J198" s="20" t="str">
        <f t="shared" si="18"/>
        <v>Clean</v>
      </c>
      <c r="K198">
        <v>0.16</v>
      </c>
      <c r="L198" s="20" t="str">
        <f t="shared" si="19"/>
        <v>Safe</v>
      </c>
      <c r="M198" s="20">
        <f t="shared" si="17"/>
        <v>0</v>
      </c>
    </row>
    <row r="199" spans="1:13" x14ac:dyDescent="0.3">
      <c r="A199">
        <v>198</v>
      </c>
      <c r="B199" s="46">
        <v>40552</v>
      </c>
      <c r="C199">
        <v>1</v>
      </c>
      <c r="D199">
        <v>12</v>
      </c>
      <c r="E199" t="b">
        <v>0</v>
      </c>
      <c r="F199">
        <v>0</v>
      </c>
      <c r="G199" s="20" t="str">
        <f t="shared" si="15"/>
        <v>Yes</v>
      </c>
      <c r="H199" s="20" t="str">
        <f t="shared" si="16"/>
        <v>Sunday</v>
      </c>
      <c r="I199">
        <v>1</v>
      </c>
      <c r="J199" s="20" t="str">
        <f t="shared" si="18"/>
        <v>Clean</v>
      </c>
      <c r="K199">
        <v>0.18</v>
      </c>
      <c r="L199" s="20" t="str">
        <f t="shared" si="19"/>
        <v>Safe</v>
      </c>
      <c r="M199" s="20">
        <f t="shared" si="17"/>
        <v>0</v>
      </c>
    </row>
    <row r="200" spans="1:13" x14ac:dyDescent="0.3">
      <c r="A200">
        <v>199</v>
      </c>
      <c r="B200" s="46">
        <v>40552</v>
      </c>
      <c r="C200">
        <v>1</v>
      </c>
      <c r="D200">
        <v>13</v>
      </c>
      <c r="E200" t="b">
        <v>0</v>
      </c>
      <c r="F200">
        <v>0</v>
      </c>
      <c r="G200" s="20" t="str">
        <f t="shared" si="15"/>
        <v>Yes</v>
      </c>
      <c r="H200" s="20" t="str">
        <f t="shared" si="16"/>
        <v>Sunday</v>
      </c>
      <c r="I200">
        <v>1</v>
      </c>
      <c r="J200" s="20" t="str">
        <f t="shared" si="18"/>
        <v>Clean</v>
      </c>
      <c r="K200">
        <v>0.2</v>
      </c>
      <c r="L200" s="20" t="str">
        <f t="shared" si="19"/>
        <v>Safe</v>
      </c>
      <c r="M200" s="20">
        <f t="shared" si="17"/>
        <v>0</v>
      </c>
    </row>
    <row r="201" spans="1:13" x14ac:dyDescent="0.3">
      <c r="A201">
        <v>200</v>
      </c>
      <c r="B201" s="46">
        <v>40552</v>
      </c>
      <c r="C201">
        <v>1</v>
      </c>
      <c r="D201">
        <v>14</v>
      </c>
      <c r="E201" t="b">
        <v>0</v>
      </c>
      <c r="F201">
        <v>0</v>
      </c>
      <c r="G201" s="20" t="str">
        <f t="shared" si="15"/>
        <v>Yes</v>
      </c>
      <c r="H201" s="20" t="str">
        <f t="shared" si="16"/>
        <v>Sunday</v>
      </c>
      <c r="I201">
        <v>1</v>
      </c>
      <c r="J201" s="20" t="str">
        <f t="shared" si="18"/>
        <v>Clean</v>
      </c>
      <c r="K201">
        <v>0.22</v>
      </c>
      <c r="L201" s="20" t="str">
        <f t="shared" si="19"/>
        <v>Safe</v>
      </c>
      <c r="M201" s="20">
        <f t="shared" si="17"/>
        <v>0</v>
      </c>
    </row>
    <row r="202" spans="1:13" x14ac:dyDescent="0.3">
      <c r="A202">
        <v>201</v>
      </c>
      <c r="B202" s="46">
        <v>40552</v>
      </c>
      <c r="C202">
        <v>1</v>
      </c>
      <c r="D202">
        <v>15</v>
      </c>
      <c r="E202" t="b">
        <v>0</v>
      </c>
      <c r="F202">
        <v>0</v>
      </c>
      <c r="G202" s="20" t="str">
        <f t="shared" si="15"/>
        <v>Yes</v>
      </c>
      <c r="H202" s="20" t="str">
        <f t="shared" si="16"/>
        <v>Sunday</v>
      </c>
      <c r="I202">
        <v>1</v>
      </c>
      <c r="J202" s="20" t="str">
        <f t="shared" si="18"/>
        <v>Clean</v>
      </c>
      <c r="K202">
        <v>0.22</v>
      </c>
      <c r="L202" s="20" t="str">
        <f t="shared" si="19"/>
        <v>Safe</v>
      </c>
      <c r="M202" s="20">
        <f t="shared" si="17"/>
        <v>0</v>
      </c>
    </row>
    <row r="203" spans="1:13" x14ac:dyDescent="0.3">
      <c r="A203">
        <v>202</v>
      </c>
      <c r="B203" s="46">
        <v>40552</v>
      </c>
      <c r="C203">
        <v>1</v>
      </c>
      <c r="D203">
        <v>16</v>
      </c>
      <c r="E203" t="b">
        <v>0</v>
      </c>
      <c r="F203">
        <v>0</v>
      </c>
      <c r="G203" s="20" t="str">
        <f t="shared" si="15"/>
        <v>Yes</v>
      </c>
      <c r="H203" s="20" t="str">
        <f t="shared" si="16"/>
        <v>Sunday</v>
      </c>
      <c r="I203">
        <v>1</v>
      </c>
      <c r="J203" s="20" t="str">
        <f t="shared" si="18"/>
        <v>Clean</v>
      </c>
      <c r="K203">
        <v>0.2</v>
      </c>
      <c r="L203" s="20" t="str">
        <f t="shared" si="19"/>
        <v>Safe</v>
      </c>
      <c r="M203" s="20">
        <f t="shared" si="17"/>
        <v>0</v>
      </c>
    </row>
    <row r="204" spans="1:13" x14ac:dyDescent="0.3">
      <c r="A204">
        <v>203</v>
      </c>
      <c r="B204" s="46">
        <v>40552</v>
      </c>
      <c r="C204">
        <v>1</v>
      </c>
      <c r="D204">
        <v>17</v>
      </c>
      <c r="E204" t="b">
        <v>0</v>
      </c>
      <c r="F204">
        <v>0</v>
      </c>
      <c r="G204" s="20" t="str">
        <f t="shared" si="15"/>
        <v>Yes</v>
      </c>
      <c r="H204" s="20" t="str">
        <f t="shared" si="16"/>
        <v>Sunday</v>
      </c>
      <c r="I204">
        <v>1</v>
      </c>
      <c r="J204" s="20" t="str">
        <f t="shared" si="18"/>
        <v>Clean</v>
      </c>
      <c r="K204">
        <v>0.18</v>
      </c>
      <c r="L204" s="20" t="str">
        <f t="shared" si="19"/>
        <v>Safe</v>
      </c>
      <c r="M204" s="20">
        <f t="shared" si="17"/>
        <v>0</v>
      </c>
    </row>
    <row r="205" spans="1:13" x14ac:dyDescent="0.3">
      <c r="A205">
        <v>204</v>
      </c>
      <c r="B205" s="46">
        <v>40552</v>
      </c>
      <c r="C205">
        <v>1</v>
      </c>
      <c r="D205">
        <v>18</v>
      </c>
      <c r="E205" t="b">
        <v>0</v>
      </c>
      <c r="F205">
        <v>0</v>
      </c>
      <c r="G205" s="20" t="str">
        <f t="shared" si="15"/>
        <v>Yes</v>
      </c>
      <c r="H205" s="20" t="str">
        <f t="shared" si="16"/>
        <v>Sunday</v>
      </c>
      <c r="I205">
        <v>1</v>
      </c>
      <c r="J205" s="20" t="str">
        <f t="shared" si="18"/>
        <v>Clean</v>
      </c>
      <c r="K205">
        <v>0.16</v>
      </c>
      <c r="L205" s="20" t="str">
        <f t="shared" si="19"/>
        <v>Safe</v>
      </c>
      <c r="M205" s="20">
        <f t="shared" si="17"/>
        <v>0</v>
      </c>
    </row>
    <row r="206" spans="1:13" x14ac:dyDescent="0.3">
      <c r="A206">
        <v>205</v>
      </c>
      <c r="B206" s="46">
        <v>40552</v>
      </c>
      <c r="C206">
        <v>1</v>
      </c>
      <c r="D206">
        <v>19</v>
      </c>
      <c r="E206" t="b">
        <v>0</v>
      </c>
      <c r="F206">
        <v>0</v>
      </c>
      <c r="G206" s="20" t="str">
        <f t="shared" si="15"/>
        <v>Yes</v>
      </c>
      <c r="H206" s="20" t="str">
        <f t="shared" si="16"/>
        <v>Sunday</v>
      </c>
      <c r="I206">
        <v>1</v>
      </c>
      <c r="J206" s="20" t="str">
        <f t="shared" si="18"/>
        <v>Clean</v>
      </c>
      <c r="K206">
        <v>0.16</v>
      </c>
      <c r="L206" s="20" t="str">
        <f t="shared" si="19"/>
        <v>Safe</v>
      </c>
      <c r="M206" s="20">
        <f t="shared" si="17"/>
        <v>0</v>
      </c>
    </row>
    <row r="207" spans="1:13" x14ac:dyDescent="0.3">
      <c r="A207">
        <v>206</v>
      </c>
      <c r="B207" s="46">
        <v>40552</v>
      </c>
      <c r="C207">
        <v>1</v>
      </c>
      <c r="D207">
        <v>20</v>
      </c>
      <c r="E207" t="b">
        <v>0</v>
      </c>
      <c r="F207">
        <v>0</v>
      </c>
      <c r="G207" s="20" t="str">
        <f t="shared" si="15"/>
        <v>Yes</v>
      </c>
      <c r="H207" s="20" t="str">
        <f t="shared" si="16"/>
        <v>Sunday</v>
      </c>
      <c r="I207">
        <v>1</v>
      </c>
      <c r="J207" s="20" t="str">
        <f t="shared" si="18"/>
        <v>Clean</v>
      </c>
      <c r="K207">
        <v>0.14000000000000001</v>
      </c>
      <c r="L207" s="20" t="str">
        <f t="shared" si="19"/>
        <v>Safe</v>
      </c>
      <c r="M207" s="20">
        <f t="shared" si="17"/>
        <v>0</v>
      </c>
    </row>
    <row r="208" spans="1:13" x14ac:dyDescent="0.3">
      <c r="A208">
        <v>207</v>
      </c>
      <c r="B208" s="46">
        <v>40552</v>
      </c>
      <c r="C208">
        <v>1</v>
      </c>
      <c r="D208">
        <v>21</v>
      </c>
      <c r="E208" t="b">
        <v>0</v>
      </c>
      <c r="F208">
        <v>0</v>
      </c>
      <c r="G208" s="20" t="str">
        <f t="shared" si="15"/>
        <v>Yes</v>
      </c>
      <c r="H208" s="20" t="str">
        <f t="shared" si="16"/>
        <v>Sunday</v>
      </c>
      <c r="I208">
        <v>1</v>
      </c>
      <c r="J208" s="20" t="str">
        <f t="shared" si="18"/>
        <v>Clean</v>
      </c>
      <c r="K208">
        <v>0.14000000000000001</v>
      </c>
      <c r="L208" s="20" t="str">
        <f t="shared" si="19"/>
        <v>Safe</v>
      </c>
      <c r="M208" s="20">
        <f t="shared" si="17"/>
        <v>0</v>
      </c>
    </row>
    <row r="209" spans="1:13" x14ac:dyDescent="0.3">
      <c r="A209">
        <v>208</v>
      </c>
      <c r="B209" s="46">
        <v>40552</v>
      </c>
      <c r="C209">
        <v>1</v>
      </c>
      <c r="D209">
        <v>22</v>
      </c>
      <c r="E209" t="b">
        <v>0</v>
      </c>
      <c r="F209">
        <v>0</v>
      </c>
      <c r="G209" s="20" t="str">
        <f t="shared" si="15"/>
        <v>Yes</v>
      </c>
      <c r="H209" s="20" t="str">
        <f t="shared" si="16"/>
        <v>Sunday</v>
      </c>
      <c r="I209">
        <v>1</v>
      </c>
      <c r="J209" s="20" t="str">
        <f t="shared" si="18"/>
        <v>Clean</v>
      </c>
      <c r="K209">
        <v>0.14000000000000001</v>
      </c>
      <c r="L209" s="20" t="str">
        <f t="shared" si="19"/>
        <v>Safe</v>
      </c>
      <c r="M209" s="20">
        <f t="shared" si="17"/>
        <v>0</v>
      </c>
    </row>
    <row r="210" spans="1:13" x14ac:dyDescent="0.3">
      <c r="A210">
        <v>209</v>
      </c>
      <c r="B210" s="46">
        <v>40552</v>
      </c>
      <c r="C210">
        <v>1</v>
      </c>
      <c r="D210">
        <v>23</v>
      </c>
      <c r="E210" t="b">
        <v>0</v>
      </c>
      <c r="F210">
        <v>0</v>
      </c>
      <c r="G210" s="20" t="str">
        <f t="shared" si="15"/>
        <v>Yes</v>
      </c>
      <c r="H210" s="20" t="str">
        <f t="shared" si="16"/>
        <v>Sunday</v>
      </c>
      <c r="I210">
        <v>1</v>
      </c>
      <c r="J210" s="20" t="str">
        <f t="shared" si="18"/>
        <v>Clean</v>
      </c>
      <c r="K210">
        <v>0.12</v>
      </c>
      <c r="L210" s="20" t="str">
        <f t="shared" si="19"/>
        <v>Safe</v>
      </c>
      <c r="M210" s="20">
        <f t="shared" si="17"/>
        <v>0</v>
      </c>
    </row>
    <row r="211" spans="1:13" x14ac:dyDescent="0.3">
      <c r="A211">
        <v>210</v>
      </c>
      <c r="B211" s="46">
        <v>40553</v>
      </c>
      <c r="C211">
        <v>1</v>
      </c>
      <c r="D211">
        <v>0</v>
      </c>
      <c r="E211" t="b">
        <v>0</v>
      </c>
      <c r="F211">
        <v>1</v>
      </c>
      <c r="G211" s="20" t="str">
        <f t="shared" si="15"/>
        <v>No</v>
      </c>
      <c r="H211" s="20" t="str">
        <f t="shared" si="16"/>
        <v>Monday</v>
      </c>
      <c r="I211">
        <v>1</v>
      </c>
      <c r="J211" s="20" t="str">
        <f t="shared" si="18"/>
        <v>Clean</v>
      </c>
      <c r="K211">
        <v>0.12</v>
      </c>
      <c r="L211" s="20" t="str">
        <f t="shared" si="19"/>
        <v>Safe</v>
      </c>
      <c r="M211" s="20">
        <f t="shared" si="17"/>
        <v>0</v>
      </c>
    </row>
    <row r="212" spans="1:13" x14ac:dyDescent="0.3">
      <c r="A212">
        <v>211</v>
      </c>
      <c r="B212" s="46">
        <v>40553</v>
      </c>
      <c r="C212">
        <v>1</v>
      </c>
      <c r="D212">
        <v>1</v>
      </c>
      <c r="E212" t="b">
        <v>0</v>
      </c>
      <c r="F212">
        <v>1</v>
      </c>
      <c r="G212" s="20" t="str">
        <f t="shared" si="15"/>
        <v>No</v>
      </c>
      <c r="H212" s="20" t="str">
        <f t="shared" si="16"/>
        <v>Monday</v>
      </c>
      <c r="I212">
        <v>1</v>
      </c>
      <c r="J212" s="20" t="str">
        <f t="shared" si="18"/>
        <v>Clean</v>
      </c>
      <c r="K212">
        <v>0.12</v>
      </c>
      <c r="L212" s="20" t="str">
        <f t="shared" si="19"/>
        <v>Safe</v>
      </c>
      <c r="M212" s="20">
        <f t="shared" si="17"/>
        <v>0</v>
      </c>
    </row>
    <row r="213" spans="1:13" x14ac:dyDescent="0.3">
      <c r="A213">
        <v>212</v>
      </c>
      <c r="B213" s="46">
        <v>40553</v>
      </c>
      <c r="C213">
        <v>1</v>
      </c>
      <c r="D213">
        <v>2</v>
      </c>
      <c r="E213" t="b">
        <v>0</v>
      </c>
      <c r="F213">
        <v>1</v>
      </c>
      <c r="G213" s="20" t="str">
        <f t="shared" si="15"/>
        <v>No</v>
      </c>
      <c r="H213" s="20" t="str">
        <f t="shared" si="16"/>
        <v>Monday</v>
      </c>
      <c r="I213">
        <v>1</v>
      </c>
      <c r="J213" s="20" t="str">
        <f t="shared" si="18"/>
        <v>Clean</v>
      </c>
      <c r="K213">
        <v>0.12</v>
      </c>
      <c r="L213" s="20" t="str">
        <f t="shared" si="19"/>
        <v>Safe</v>
      </c>
      <c r="M213" s="20">
        <f t="shared" si="17"/>
        <v>0</v>
      </c>
    </row>
    <row r="214" spans="1:13" x14ac:dyDescent="0.3">
      <c r="A214">
        <v>213</v>
      </c>
      <c r="B214" s="46">
        <v>40553</v>
      </c>
      <c r="C214">
        <v>1</v>
      </c>
      <c r="D214">
        <v>3</v>
      </c>
      <c r="E214" t="b">
        <v>0</v>
      </c>
      <c r="F214">
        <v>1</v>
      </c>
      <c r="G214" s="20" t="str">
        <f t="shared" si="15"/>
        <v>No</v>
      </c>
      <c r="H214" s="20" t="str">
        <f t="shared" si="16"/>
        <v>Monday</v>
      </c>
      <c r="I214">
        <v>1</v>
      </c>
      <c r="J214" s="20" t="str">
        <f t="shared" si="18"/>
        <v>Clean</v>
      </c>
      <c r="K214">
        <v>0.12</v>
      </c>
      <c r="L214" s="20" t="str">
        <f t="shared" si="19"/>
        <v>Safe</v>
      </c>
      <c r="M214" s="20">
        <f t="shared" si="17"/>
        <v>0</v>
      </c>
    </row>
    <row r="215" spans="1:13" x14ac:dyDescent="0.3">
      <c r="A215">
        <v>214</v>
      </c>
      <c r="B215" s="46">
        <v>40553</v>
      </c>
      <c r="C215">
        <v>1</v>
      </c>
      <c r="D215">
        <v>4</v>
      </c>
      <c r="E215" t="b">
        <v>0</v>
      </c>
      <c r="F215">
        <v>1</v>
      </c>
      <c r="G215" s="20" t="str">
        <f t="shared" si="15"/>
        <v>No</v>
      </c>
      <c r="H215" s="20" t="str">
        <f t="shared" si="16"/>
        <v>Monday</v>
      </c>
      <c r="I215">
        <v>1</v>
      </c>
      <c r="J215" s="20" t="str">
        <f t="shared" si="18"/>
        <v>Clean</v>
      </c>
      <c r="K215">
        <v>0.1</v>
      </c>
      <c r="L215" s="20" t="str">
        <f t="shared" si="19"/>
        <v>Safe</v>
      </c>
      <c r="M215" s="20">
        <f t="shared" si="17"/>
        <v>0</v>
      </c>
    </row>
    <row r="216" spans="1:13" x14ac:dyDescent="0.3">
      <c r="A216">
        <v>215</v>
      </c>
      <c r="B216" s="46">
        <v>40553</v>
      </c>
      <c r="C216">
        <v>1</v>
      </c>
      <c r="D216">
        <v>5</v>
      </c>
      <c r="E216" t="b">
        <v>0</v>
      </c>
      <c r="F216">
        <v>1</v>
      </c>
      <c r="G216" s="20" t="str">
        <f t="shared" si="15"/>
        <v>No</v>
      </c>
      <c r="H216" s="20" t="str">
        <f t="shared" si="16"/>
        <v>Monday</v>
      </c>
      <c r="I216">
        <v>1</v>
      </c>
      <c r="J216" s="20" t="str">
        <f t="shared" si="18"/>
        <v>Clean</v>
      </c>
      <c r="K216">
        <v>0.1</v>
      </c>
      <c r="L216" s="20" t="str">
        <f t="shared" si="19"/>
        <v>Safe</v>
      </c>
      <c r="M216" s="20">
        <f t="shared" si="17"/>
        <v>0</v>
      </c>
    </row>
    <row r="217" spans="1:13" x14ac:dyDescent="0.3">
      <c r="A217">
        <v>216</v>
      </c>
      <c r="B217" s="46">
        <v>40553</v>
      </c>
      <c r="C217">
        <v>1</v>
      </c>
      <c r="D217">
        <v>6</v>
      </c>
      <c r="E217" t="b">
        <v>0</v>
      </c>
      <c r="F217">
        <v>1</v>
      </c>
      <c r="G217" s="20" t="str">
        <f t="shared" si="15"/>
        <v>No</v>
      </c>
      <c r="H217" s="20" t="str">
        <f t="shared" si="16"/>
        <v>Monday</v>
      </c>
      <c r="I217">
        <v>1</v>
      </c>
      <c r="J217" s="20" t="str">
        <f t="shared" si="18"/>
        <v>Clean</v>
      </c>
      <c r="K217">
        <v>0.12</v>
      </c>
      <c r="L217" s="20" t="str">
        <f t="shared" si="19"/>
        <v>Safe</v>
      </c>
      <c r="M217" s="20">
        <f t="shared" si="17"/>
        <v>0</v>
      </c>
    </row>
    <row r="218" spans="1:13" x14ac:dyDescent="0.3">
      <c r="A218">
        <v>217</v>
      </c>
      <c r="B218" s="46">
        <v>40553</v>
      </c>
      <c r="C218">
        <v>1</v>
      </c>
      <c r="D218">
        <v>7</v>
      </c>
      <c r="E218" t="b">
        <v>0</v>
      </c>
      <c r="F218">
        <v>1</v>
      </c>
      <c r="G218" s="20" t="str">
        <f t="shared" si="15"/>
        <v>No</v>
      </c>
      <c r="H218" s="20" t="str">
        <f t="shared" si="16"/>
        <v>Monday</v>
      </c>
      <c r="I218">
        <v>1</v>
      </c>
      <c r="J218" s="20" t="str">
        <f t="shared" si="18"/>
        <v>Clean</v>
      </c>
      <c r="K218">
        <v>0.12</v>
      </c>
      <c r="L218" s="20" t="str">
        <f t="shared" si="19"/>
        <v>Safe</v>
      </c>
      <c r="M218" s="20">
        <f t="shared" si="17"/>
        <v>0</v>
      </c>
    </row>
    <row r="219" spans="1:13" x14ac:dyDescent="0.3">
      <c r="A219">
        <v>218</v>
      </c>
      <c r="B219" s="46">
        <v>40553</v>
      </c>
      <c r="C219">
        <v>1</v>
      </c>
      <c r="D219">
        <v>8</v>
      </c>
      <c r="E219" t="b">
        <v>0</v>
      </c>
      <c r="F219">
        <v>1</v>
      </c>
      <c r="G219" s="20" t="str">
        <f t="shared" si="15"/>
        <v>No</v>
      </c>
      <c r="H219" s="20" t="str">
        <f t="shared" si="16"/>
        <v>Monday</v>
      </c>
      <c r="I219">
        <v>2</v>
      </c>
      <c r="J219" s="20" t="str">
        <f t="shared" si="18"/>
        <v>Misty</v>
      </c>
      <c r="K219">
        <v>0.12</v>
      </c>
      <c r="L219" s="20" t="str">
        <f t="shared" si="19"/>
        <v>Safe</v>
      </c>
      <c r="M219" s="20">
        <f t="shared" si="17"/>
        <v>0</v>
      </c>
    </row>
    <row r="220" spans="1:13" x14ac:dyDescent="0.3">
      <c r="A220">
        <v>219</v>
      </c>
      <c r="B220" s="46">
        <v>40553</v>
      </c>
      <c r="C220">
        <v>1</v>
      </c>
      <c r="D220">
        <v>9</v>
      </c>
      <c r="E220" t="b">
        <v>0</v>
      </c>
      <c r="F220">
        <v>1</v>
      </c>
      <c r="G220" s="20" t="str">
        <f t="shared" si="15"/>
        <v>No</v>
      </c>
      <c r="H220" s="20" t="str">
        <f t="shared" si="16"/>
        <v>Monday</v>
      </c>
      <c r="I220">
        <v>2</v>
      </c>
      <c r="J220" s="20" t="str">
        <f t="shared" si="18"/>
        <v>Misty</v>
      </c>
      <c r="K220">
        <v>0.14000000000000001</v>
      </c>
      <c r="L220" s="20" t="str">
        <f t="shared" si="19"/>
        <v>Safe</v>
      </c>
      <c r="M220" s="20">
        <f t="shared" si="17"/>
        <v>0</v>
      </c>
    </row>
    <row r="221" spans="1:13" x14ac:dyDescent="0.3">
      <c r="A221">
        <v>220</v>
      </c>
      <c r="B221" s="46">
        <v>40553</v>
      </c>
      <c r="C221">
        <v>1</v>
      </c>
      <c r="D221">
        <v>10</v>
      </c>
      <c r="E221" t="b">
        <v>0</v>
      </c>
      <c r="F221">
        <v>1</v>
      </c>
      <c r="G221" s="20" t="str">
        <f t="shared" si="15"/>
        <v>No</v>
      </c>
      <c r="H221" s="20" t="str">
        <f t="shared" si="16"/>
        <v>Monday</v>
      </c>
      <c r="I221">
        <v>2</v>
      </c>
      <c r="J221" s="20" t="str">
        <f t="shared" si="18"/>
        <v>Misty</v>
      </c>
      <c r="K221">
        <v>0.14000000000000001</v>
      </c>
      <c r="L221" s="20" t="str">
        <f t="shared" si="19"/>
        <v>Safe</v>
      </c>
      <c r="M221" s="20">
        <f t="shared" si="17"/>
        <v>0</v>
      </c>
    </row>
    <row r="222" spans="1:13" x14ac:dyDescent="0.3">
      <c r="A222">
        <v>221</v>
      </c>
      <c r="B222" s="46">
        <v>40553</v>
      </c>
      <c r="C222">
        <v>1</v>
      </c>
      <c r="D222">
        <v>11</v>
      </c>
      <c r="E222" t="b">
        <v>0</v>
      </c>
      <c r="F222">
        <v>1</v>
      </c>
      <c r="G222" s="20" t="str">
        <f t="shared" si="15"/>
        <v>No</v>
      </c>
      <c r="H222" s="20" t="str">
        <f t="shared" si="16"/>
        <v>Monday</v>
      </c>
      <c r="I222">
        <v>2</v>
      </c>
      <c r="J222" s="20" t="str">
        <f t="shared" si="18"/>
        <v>Misty</v>
      </c>
      <c r="K222">
        <v>0.16</v>
      </c>
      <c r="L222" s="20" t="str">
        <f t="shared" si="19"/>
        <v>Safe</v>
      </c>
      <c r="M222" s="20">
        <f t="shared" si="17"/>
        <v>0</v>
      </c>
    </row>
    <row r="223" spans="1:13" x14ac:dyDescent="0.3">
      <c r="A223">
        <v>222</v>
      </c>
      <c r="B223" s="46">
        <v>40553</v>
      </c>
      <c r="C223">
        <v>1</v>
      </c>
      <c r="D223">
        <v>12</v>
      </c>
      <c r="E223" t="b">
        <v>0</v>
      </c>
      <c r="F223">
        <v>1</v>
      </c>
      <c r="G223" s="20" t="str">
        <f t="shared" si="15"/>
        <v>No</v>
      </c>
      <c r="H223" s="20" t="str">
        <f t="shared" si="16"/>
        <v>Monday</v>
      </c>
      <c r="I223">
        <v>2</v>
      </c>
      <c r="J223" s="20" t="str">
        <f t="shared" si="18"/>
        <v>Misty</v>
      </c>
      <c r="K223">
        <v>0.2</v>
      </c>
      <c r="L223" s="20" t="str">
        <f t="shared" si="19"/>
        <v>Safe</v>
      </c>
      <c r="M223" s="20">
        <f t="shared" si="17"/>
        <v>0</v>
      </c>
    </row>
    <row r="224" spans="1:13" x14ac:dyDescent="0.3">
      <c r="A224">
        <v>223</v>
      </c>
      <c r="B224" s="46">
        <v>40553</v>
      </c>
      <c r="C224">
        <v>1</v>
      </c>
      <c r="D224">
        <v>13</v>
      </c>
      <c r="E224" t="b">
        <v>0</v>
      </c>
      <c r="F224">
        <v>1</v>
      </c>
      <c r="G224" s="20" t="str">
        <f t="shared" si="15"/>
        <v>No</v>
      </c>
      <c r="H224" s="20" t="str">
        <f t="shared" si="16"/>
        <v>Monday</v>
      </c>
      <c r="I224">
        <v>2</v>
      </c>
      <c r="J224" s="20" t="str">
        <f t="shared" si="18"/>
        <v>Misty</v>
      </c>
      <c r="K224">
        <v>0.2</v>
      </c>
      <c r="L224" s="20" t="str">
        <f t="shared" si="19"/>
        <v>Safe</v>
      </c>
      <c r="M224" s="20">
        <f t="shared" si="17"/>
        <v>0</v>
      </c>
    </row>
    <row r="225" spans="1:13" x14ac:dyDescent="0.3">
      <c r="A225">
        <v>224</v>
      </c>
      <c r="B225" s="46">
        <v>40553</v>
      </c>
      <c r="C225">
        <v>1</v>
      </c>
      <c r="D225">
        <v>14</v>
      </c>
      <c r="E225" t="b">
        <v>0</v>
      </c>
      <c r="F225">
        <v>1</v>
      </c>
      <c r="G225" s="20" t="str">
        <f t="shared" si="15"/>
        <v>No</v>
      </c>
      <c r="H225" s="20" t="str">
        <f t="shared" si="16"/>
        <v>Monday</v>
      </c>
      <c r="I225">
        <v>2</v>
      </c>
      <c r="J225" s="20" t="str">
        <f t="shared" si="18"/>
        <v>Misty</v>
      </c>
      <c r="K225">
        <v>0.2</v>
      </c>
      <c r="L225" s="20" t="str">
        <f t="shared" si="19"/>
        <v>Safe</v>
      </c>
      <c r="M225" s="20">
        <f t="shared" si="17"/>
        <v>0</v>
      </c>
    </row>
    <row r="226" spans="1:13" x14ac:dyDescent="0.3">
      <c r="A226">
        <v>225</v>
      </c>
      <c r="B226" s="46">
        <v>40553</v>
      </c>
      <c r="C226">
        <v>1</v>
      </c>
      <c r="D226">
        <v>15</v>
      </c>
      <c r="E226" t="b">
        <v>0</v>
      </c>
      <c r="F226">
        <v>1</v>
      </c>
      <c r="G226" s="20" t="str">
        <f t="shared" si="15"/>
        <v>No</v>
      </c>
      <c r="H226" s="20" t="str">
        <f t="shared" si="16"/>
        <v>Monday</v>
      </c>
      <c r="I226">
        <v>2</v>
      </c>
      <c r="J226" s="20" t="str">
        <f t="shared" si="18"/>
        <v>Misty</v>
      </c>
      <c r="K226">
        <v>0.2</v>
      </c>
      <c r="L226" s="20" t="str">
        <f t="shared" si="19"/>
        <v>Safe</v>
      </c>
      <c r="M226" s="20">
        <f t="shared" si="17"/>
        <v>0</v>
      </c>
    </row>
    <row r="227" spans="1:13" x14ac:dyDescent="0.3">
      <c r="A227">
        <v>226</v>
      </c>
      <c r="B227" s="46">
        <v>40553</v>
      </c>
      <c r="C227">
        <v>1</v>
      </c>
      <c r="D227">
        <v>16</v>
      </c>
      <c r="E227" t="b">
        <v>0</v>
      </c>
      <c r="F227">
        <v>1</v>
      </c>
      <c r="G227" s="20" t="str">
        <f t="shared" si="15"/>
        <v>No</v>
      </c>
      <c r="H227" s="20" t="str">
        <f t="shared" si="16"/>
        <v>Monday</v>
      </c>
      <c r="I227">
        <v>1</v>
      </c>
      <c r="J227" s="20" t="str">
        <f t="shared" si="18"/>
        <v>Clean</v>
      </c>
      <c r="K227">
        <v>0.2</v>
      </c>
      <c r="L227" s="20" t="str">
        <f t="shared" si="19"/>
        <v>Safe</v>
      </c>
      <c r="M227" s="20">
        <f t="shared" si="17"/>
        <v>0</v>
      </c>
    </row>
    <row r="228" spans="1:13" x14ac:dyDescent="0.3">
      <c r="A228">
        <v>227</v>
      </c>
      <c r="B228" s="46">
        <v>40553</v>
      </c>
      <c r="C228">
        <v>1</v>
      </c>
      <c r="D228">
        <v>17</v>
      </c>
      <c r="E228" t="b">
        <v>0</v>
      </c>
      <c r="F228">
        <v>1</v>
      </c>
      <c r="G228" s="20" t="str">
        <f t="shared" si="15"/>
        <v>No</v>
      </c>
      <c r="H228" s="20" t="str">
        <f t="shared" si="16"/>
        <v>Monday</v>
      </c>
      <c r="I228">
        <v>1</v>
      </c>
      <c r="J228" s="20" t="str">
        <f t="shared" si="18"/>
        <v>Clean</v>
      </c>
      <c r="K228">
        <v>0.2</v>
      </c>
      <c r="L228" s="20" t="str">
        <f t="shared" si="19"/>
        <v>Safe</v>
      </c>
      <c r="M228" s="20">
        <f t="shared" si="17"/>
        <v>0</v>
      </c>
    </row>
    <row r="229" spans="1:13" x14ac:dyDescent="0.3">
      <c r="A229">
        <v>228</v>
      </c>
      <c r="B229" s="46">
        <v>40553</v>
      </c>
      <c r="C229">
        <v>1</v>
      </c>
      <c r="D229">
        <v>18</v>
      </c>
      <c r="E229" t="b">
        <v>0</v>
      </c>
      <c r="F229">
        <v>1</v>
      </c>
      <c r="G229" s="20" t="str">
        <f t="shared" si="15"/>
        <v>No</v>
      </c>
      <c r="H229" s="20" t="str">
        <f t="shared" si="16"/>
        <v>Monday</v>
      </c>
      <c r="I229">
        <v>1</v>
      </c>
      <c r="J229" s="20" t="str">
        <f t="shared" si="18"/>
        <v>Clean</v>
      </c>
      <c r="K229">
        <v>0.2</v>
      </c>
      <c r="L229" s="20" t="str">
        <f t="shared" si="19"/>
        <v>Safe</v>
      </c>
      <c r="M229" s="20">
        <f t="shared" si="17"/>
        <v>0</v>
      </c>
    </row>
    <row r="230" spans="1:13" x14ac:dyDescent="0.3">
      <c r="A230">
        <v>229</v>
      </c>
      <c r="B230" s="46">
        <v>40553</v>
      </c>
      <c r="C230">
        <v>1</v>
      </c>
      <c r="D230">
        <v>19</v>
      </c>
      <c r="E230" t="b">
        <v>0</v>
      </c>
      <c r="F230">
        <v>1</v>
      </c>
      <c r="G230" s="20" t="str">
        <f t="shared" si="15"/>
        <v>No</v>
      </c>
      <c r="H230" s="20" t="str">
        <f t="shared" si="16"/>
        <v>Monday</v>
      </c>
      <c r="I230">
        <v>1</v>
      </c>
      <c r="J230" s="20" t="str">
        <f t="shared" si="18"/>
        <v>Clean</v>
      </c>
      <c r="K230">
        <v>0.16</v>
      </c>
      <c r="L230" s="20" t="str">
        <f t="shared" si="19"/>
        <v>Safe</v>
      </c>
      <c r="M230" s="20">
        <f t="shared" si="17"/>
        <v>0</v>
      </c>
    </row>
    <row r="231" spans="1:13" x14ac:dyDescent="0.3">
      <c r="A231">
        <v>230</v>
      </c>
      <c r="B231" s="46">
        <v>40553</v>
      </c>
      <c r="C231">
        <v>1</v>
      </c>
      <c r="D231">
        <v>20</v>
      </c>
      <c r="E231" t="b">
        <v>0</v>
      </c>
      <c r="F231">
        <v>1</v>
      </c>
      <c r="G231" s="20" t="str">
        <f t="shared" si="15"/>
        <v>No</v>
      </c>
      <c r="H231" s="20" t="str">
        <f t="shared" si="16"/>
        <v>Monday</v>
      </c>
      <c r="I231">
        <v>1</v>
      </c>
      <c r="J231" s="20" t="str">
        <f t="shared" si="18"/>
        <v>Clean</v>
      </c>
      <c r="K231">
        <v>0.16</v>
      </c>
      <c r="L231" s="20" t="str">
        <f t="shared" si="19"/>
        <v>Safe</v>
      </c>
      <c r="M231" s="20">
        <f t="shared" si="17"/>
        <v>0</v>
      </c>
    </row>
    <row r="232" spans="1:13" x14ac:dyDescent="0.3">
      <c r="A232">
        <v>231</v>
      </c>
      <c r="B232" s="46">
        <v>40553</v>
      </c>
      <c r="C232">
        <v>1</v>
      </c>
      <c r="D232">
        <v>21</v>
      </c>
      <c r="E232" t="b">
        <v>0</v>
      </c>
      <c r="F232">
        <v>1</v>
      </c>
      <c r="G232" s="20" t="str">
        <f t="shared" si="15"/>
        <v>No</v>
      </c>
      <c r="H232" s="20" t="str">
        <f t="shared" si="16"/>
        <v>Monday</v>
      </c>
      <c r="I232">
        <v>1</v>
      </c>
      <c r="J232" s="20" t="str">
        <f t="shared" si="18"/>
        <v>Clean</v>
      </c>
      <c r="K232">
        <v>0.14000000000000001</v>
      </c>
      <c r="L232" s="20" t="str">
        <f t="shared" si="19"/>
        <v>Safe</v>
      </c>
      <c r="M232" s="20">
        <f t="shared" si="17"/>
        <v>0</v>
      </c>
    </row>
    <row r="233" spans="1:13" x14ac:dyDescent="0.3">
      <c r="A233">
        <v>232</v>
      </c>
      <c r="B233" s="46">
        <v>40553</v>
      </c>
      <c r="C233">
        <v>1</v>
      </c>
      <c r="D233">
        <v>22</v>
      </c>
      <c r="E233" t="b">
        <v>0</v>
      </c>
      <c r="F233">
        <v>1</v>
      </c>
      <c r="G233" s="20" t="str">
        <f t="shared" si="15"/>
        <v>No</v>
      </c>
      <c r="H233" s="20" t="str">
        <f t="shared" si="16"/>
        <v>Monday</v>
      </c>
      <c r="I233">
        <v>1</v>
      </c>
      <c r="J233" s="20" t="str">
        <f t="shared" si="18"/>
        <v>Clean</v>
      </c>
      <c r="K233">
        <v>0.14000000000000001</v>
      </c>
      <c r="L233" s="20" t="str">
        <f t="shared" si="19"/>
        <v>Safe</v>
      </c>
      <c r="M233" s="20">
        <f t="shared" si="17"/>
        <v>0</v>
      </c>
    </row>
    <row r="234" spans="1:13" x14ac:dyDescent="0.3">
      <c r="A234">
        <v>233</v>
      </c>
      <c r="B234" s="46">
        <v>40553</v>
      </c>
      <c r="C234">
        <v>1</v>
      </c>
      <c r="D234">
        <v>23</v>
      </c>
      <c r="E234" t="b">
        <v>0</v>
      </c>
      <c r="F234">
        <v>1</v>
      </c>
      <c r="G234" s="20" t="str">
        <f t="shared" si="15"/>
        <v>No</v>
      </c>
      <c r="H234" s="20" t="str">
        <f t="shared" si="16"/>
        <v>Monday</v>
      </c>
      <c r="I234">
        <v>1</v>
      </c>
      <c r="J234" s="20" t="str">
        <f t="shared" si="18"/>
        <v>Clean</v>
      </c>
      <c r="K234">
        <v>0.14000000000000001</v>
      </c>
      <c r="L234" s="20" t="str">
        <f t="shared" si="19"/>
        <v>Safe</v>
      </c>
      <c r="M234" s="20">
        <f t="shared" si="17"/>
        <v>0</v>
      </c>
    </row>
    <row r="235" spans="1:13" x14ac:dyDescent="0.3">
      <c r="A235">
        <v>234</v>
      </c>
      <c r="B235" s="46">
        <v>40554</v>
      </c>
      <c r="C235">
        <v>1</v>
      </c>
      <c r="D235">
        <v>0</v>
      </c>
      <c r="E235" t="b">
        <v>0</v>
      </c>
      <c r="F235">
        <v>2</v>
      </c>
      <c r="G235" s="20" t="str">
        <f t="shared" si="15"/>
        <v>No</v>
      </c>
      <c r="H235" s="20" t="str">
        <f t="shared" si="16"/>
        <v>Tuesday</v>
      </c>
      <c r="I235">
        <v>1</v>
      </c>
      <c r="J235" s="20" t="str">
        <f t="shared" si="18"/>
        <v>Clean</v>
      </c>
      <c r="K235">
        <v>0.14000000000000001</v>
      </c>
      <c r="L235" s="20" t="str">
        <f t="shared" si="19"/>
        <v>Safe</v>
      </c>
      <c r="M235" s="20">
        <f t="shared" si="17"/>
        <v>0</v>
      </c>
    </row>
    <row r="236" spans="1:13" x14ac:dyDescent="0.3">
      <c r="A236">
        <v>235</v>
      </c>
      <c r="B236" s="46">
        <v>40554</v>
      </c>
      <c r="C236">
        <v>1</v>
      </c>
      <c r="D236">
        <v>1</v>
      </c>
      <c r="E236" t="b">
        <v>0</v>
      </c>
      <c r="F236">
        <v>2</v>
      </c>
      <c r="G236" s="20" t="str">
        <f t="shared" si="15"/>
        <v>No</v>
      </c>
      <c r="H236" s="20" t="str">
        <f t="shared" si="16"/>
        <v>Tuesday</v>
      </c>
      <c r="I236">
        <v>1</v>
      </c>
      <c r="J236" s="20" t="str">
        <f t="shared" si="18"/>
        <v>Clean</v>
      </c>
      <c r="K236">
        <v>0.14000000000000001</v>
      </c>
      <c r="L236" s="20" t="str">
        <f t="shared" si="19"/>
        <v>Safe</v>
      </c>
      <c r="M236" s="20">
        <f t="shared" si="17"/>
        <v>0</v>
      </c>
    </row>
    <row r="237" spans="1:13" x14ac:dyDescent="0.3">
      <c r="A237">
        <v>236</v>
      </c>
      <c r="B237" s="46">
        <v>40554</v>
      </c>
      <c r="C237">
        <v>1</v>
      </c>
      <c r="D237">
        <v>2</v>
      </c>
      <c r="E237" t="b">
        <v>0</v>
      </c>
      <c r="F237">
        <v>2</v>
      </c>
      <c r="G237" s="20" t="str">
        <f t="shared" si="15"/>
        <v>No</v>
      </c>
      <c r="H237" s="20" t="str">
        <f t="shared" si="16"/>
        <v>Tuesday</v>
      </c>
      <c r="I237">
        <v>2</v>
      </c>
      <c r="J237" s="20" t="str">
        <f t="shared" si="18"/>
        <v>Misty</v>
      </c>
      <c r="K237">
        <v>0.16</v>
      </c>
      <c r="L237" s="20" t="str">
        <f t="shared" si="19"/>
        <v>Safe</v>
      </c>
      <c r="M237" s="20">
        <f t="shared" si="17"/>
        <v>0</v>
      </c>
    </row>
    <row r="238" spans="1:13" x14ac:dyDescent="0.3">
      <c r="A238">
        <v>237</v>
      </c>
      <c r="B238" s="46">
        <v>40554</v>
      </c>
      <c r="C238">
        <v>1</v>
      </c>
      <c r="D238">
        <v>5</v>
      </c>
      <c r="E238" t="b">
        <v>0</v>
      </c>
      <c r="F238">
        <v>2</v>
      </c>
      <c r="G238" s="20" t="str">
        <f t="shared" si="15"/>
        <v>No</v>
      </c>
      <c r="H238" s="20" t="str">
        <f t="shared" si="16"/>
        <v>Tuesday</v>
      </c>
      <c r="I238">
        <v>2</v>
      </c>
      <c r="J238" s="20" t="str">
        <f t="shared" si="18"/>
        <v>Misty</v>
      </c>
      <c r="K238">
        <v>0.16</v>
      </c>
      <c r="L238" s="20" t="str">
        <f t="shared" si="19"/>
        <v>Safe</v>
      </c>
      <c r="M238" s="20">
        <f t="shared" si="17"/>
        <v>0</v>
      </c>
    </row>
    <row r="239" spans="1:13" x14ac:dyDescent="0.3">
      <c r="A239">
        <v>238</v>
      </c>
      <c r="B239" s="46">
        <v>40554</v>
      </c>
      <c r="C239">
        <v>1</v>
      </c>
      <c r="D239">
        <v>6</v>
      </c>
      <c r="E239" t="b">
        <v>0</v>
      </c>
      <c r="F239">
        <v>2</v>
      </c>
      <c r="G239" s="20" t="str">
        <f t="shared" si="15"/>
        <v>No</v>
      </c>
      <c r="H239" s="20" t="str">
        <f t="shared" si="16"/>
        <v>Tuesday</v>
      </c>
      <c r="I239">
        <v>2</v>
      </c>
      <c r="J239" s="20" t="str">
        <f t="shared" si="18"/>
        <v>Misty</v>
      </c>
      <c r="K239">
        <v>0.16</v>
      </c>
      <c r="L239" s="20" t="str">
        <f t="shared" si="19"/>
        <v>Safe</v>
      </c>
      <c r="M239" s="20">
        <f t="shared" si="17"/>
        <v>0</v>
      </c>
    </row>
    <row r="240" spans="1:13" x14ac:dyDescent="0.3">
      <c r="A240">
        <v>239</v>
      </c>
      <c r="B240" s="46">
        <v>40554</v>
      </c>
      <c r="C240">
        <v>1</v>
      </c>
      <c r="D240">
        <v>7</v>
      </c>
      <c r="E240" t="b">
        <v>0</v>
      </c>
      <c r="F240">
        <v>2</v>
      </c>
      <c r="G240" s="20" t="str">
        <f t="shared" si="15"/>
        <v>No</v>
      </c>
      <c r="H240" s="20" t="str">
        <f t="shared" si="16"/>
        <v>Tuesday</v>
      </c>
      <c r="I240">
        <v>2</v>
      </c>
      <c r="J240" s="20" t="str">
        <f t="shared" si="18"/>
        <v>Misty</v>
      </c>
      <c r="K240">
        <v>0.16</v>
      </c>
      <c r="L240" s="20" t="str">
        <f t="shared" si="19"/>
        <v>Safe</v>
      </c>
      <c r="M240" s="20">
        <f t="shared" si="17"/>
        <v>0</v>
      </c>
    </row>
    <row r="241" spans="1:13" x14ac:dyDescent="0.3">
      <c r="A241">
        <v>240</v>
      </c>
      <c r="B241" s="46">
        <v>40554</v>
      </c>
      <c r="C241">
        <v>1</v>
      </c>
      <c r="D241">
        <v>8</v>
      </c>
      <c r="E241" t="b">
        <v>0</v>
      </c>
      <c r="F241">
        <v>2</v>
      </c>
      <c r="G241" s="20" t="str">
        <f t="shared" si="15"/>
        <v>No</v>
      </c>
      <c r="H241" s="20" t="str">
        <f t="shared" si="16"/>
        <v>Tuesday</v>
      </c>
      <c r="I241">
        <v>2</v>
      </c>
      <c r="J241" s="20" t="str">
        <f t="shared" si="18"/>
        <v>Misty</v>
      </c>
      <c r="K241">
        <v>0.18</v>
      </c>
      <c r="L241" s="20" t="str">
        <f t="shared" si="19"/>
        <v>Safe</v>
      </c>
      <c r="M241" s="20">
        <f t="shared" si="17"/>
        <v>0</v>
      </c>
    </row>
    <row r="242" spans="1:13" x14ac:dyDescent="0.3">
      <c r="A242">
        <v>241</v>
      </c>
      <c r="B242" s="46">
        <v>40554</v>
      </c>
      <c r="C242">
        <v>1</v>
      </c>
      <c r="D242">
        <v>9</v>
      </c>
      <c r="E242" t="b">
        <v>0</v>
      </c>
      <c r="F242">
        <v>2</v>
      </c>
      <c r="G242" s="20" t="str">
        <f t="shared" si="15"/>
        <v>No</v>
      </c>
      <c r="H242" s="20" t="str">
        <f t="shared" si="16"/>
        <v>Tuesday</v>
      </c>
      <c r="I242">
        <v>2</v>
      </c>
      <c r="J242" s="20" t="str">
        <f t="shared" si="18"/>
        <v>Misty</v>
      </c>
      <c r="K242">
        <v>0.18</v>
      </c>
      <c r="L242" s="20" t="str">
        <f t="shared" si="19"/>
        <v>Safe</v>
      </c>
      <c r="M242" s="20">
        <f t="shared" si="17"/>
        <v>0</v>
      </c>
    </row>
    <row r="243" spans="1:13" x14ac:dyDescent="0.3">
      <c r="A243">
        <v>242</v>
      </c>
      <c r="B243" s="46">
        <v>40554</v>
      </c>
      <c r="C243">
        <v>1</v>
      </c>
      <c r="D243">
        <v>10</v>
      </c>
      <c r="E243" t="b">
        <v>0</v>
      </c>
      <c r="F243">
        <v>2</v>
      </c>
      <c r="G243" s="20" t="str">
        <f t="shared" si="15"/>
        <v>No</v>
      </c>
      <c r="H243" s="20" t="str">
        <f t="shared" si="16"/>
        <v>Tuesday</v>
      </c>
      <c r="I243">
        <v>2</v>
      </c>
      <c r="J243" s="20" t="str">
        <f t="shared" si="18"/>
        <v>Misty</v>
      </c>
      <c r="K243">
        <v>0.2</v>
      </c>
      <c r="L243" s="20" t="str">
        <f t="shared" si="19"/>
        <v>Safe</v>
      </c>
      <c r="M243" s="20">
        <f t="shared" si="17"/>
        <v>0</v>
      </c>
    </row>
    <row r="244" spans="1:13" x14ac:dyDescent="0.3">
      <c r="A244">
        <v>243</v>
      </c>
      <c r="B244" s="46">
        <v>40554</v>
      </c>
      <c r="C244">
        <v>1</v>
      </c>
      <c r="D244">
        <v>11</v>
      </c>
      <c r="E244" t="b">
        <v>0</v>
      </c>
      <c r="F244">
        <v>2</v>
      </c>
      <c r="G244" s="20" t="str">
        <f t="shared" si="15"/>
        <v>No</v>
      </c>
      <c r="H244" s="20" t="str">
        <f t="shared" si="16"/>
        <v>Tuesday</v>
      </c>
      <c r="I244">
        <v>2</v>
      </c>
      <c r="J244" s="20" t="str">
        <f t="shared" si="18"/>
        <v>Misty</v>
      </c>
      <c r="K244">
        <v>0.2</v>
      </c>
      <c r="L244" s="20" t="str">
        <f t="shared" si="19"/>
        <v>Safe</v>
      </c>
      <c r="M244" s="20">
        <f t="shared" si="17"/>
        <v>0</v>
      </c>
    </row>
    <row r="245" spans="1:13" x14ac:dyDescent="0.3">
      <c r="A245">
        <v>244</v>
      </c>
      <c r="B245" s="46">
        <v>40554</v>
      </c>
      <c r="C245">
        <v>1</v>
      </c>
      <c r="D245">
        <v>12</v>
      </c>
      <c r="E245" t="b">
        <v>0</v>
      </c>
      <c r="F245">
        <v>2</v>
      </c>
      <c r="G245" s="20" t="str">
        <f t="shared" si="15"/>
        <v>No</v>
      </c>
      <c r="H245" s="20" t="str">
        <f t="shared" si="16"/>
        <v>Tuesday</v>
      </c>
      <c r="I245">
        <v>2</v>
      </c>
      <c r="J245" s="20" t="str">
        <f t="shared" si="18"/>
        <v>Misty</v>
      </c>
      <c r="K245">
        <v>0.2</v>
      </c>
      <c r="L245" s="20" t="str">
        <f t="shared" si="19"/>
        <v>Safe</v>
      </c>
      <c r="M245" s="20">
        <f t="shared" si="17"/>
        <v>0</v>
      </c>
    </row>
    <row r="246" spans="1:13" x14ac:dyDescent="0.3">
      <c r="A246">
        <v>245</v>
      </c>
      <c r="B246" s="46">
        <v>40554</v>
      </c>
      <c r="C246">
        <v>1</v>
      </c>
      <c r="D246">
        <v>13</v>
      </c>
      <c r="E246" t="b">
        <v>0</v>
      </c>
      <c r="F246">
        <v>2</v>
      </c>
      <c r="G246" s="20" t="str">
        <f t="shared" si="15"/>
        <v>No</v>
      </c>
      <c r="H246" s="20" t="str">
        <f t="shared" si="16"/>
        <v>Tuesday</v>
      </c>
      <c r="I246">
        <v>2</v>
      </c>
      <c r="J246" s="20" t="str">
        <f t="shared" si="18"/>
        <v>Misty</v>
      </c>
      <c r="K246">
        <v>0.2</v>
      </c>
      <c r="L246" s="20" t="str">
        <f t="shared" si="19"/>
        <v>Safe</v>
      </c>
      <c r="M246" s="20">
        <f t="shared" si="17"/>
        <v>0</v>
      </c>
    </row>
    <row r="247" spans="1:13" x14ac:dyDescent="0.3">
      <c r="A247">
        <v>246</v>
      </c>
      <c r="B247" s="46">
        <v>40554</v>
      </c>
      <c r="C247">
        <v>1</v>
      </c>
      <c r="D247">
        <v>14</v>
      </c>
      <c r="E247" t="b">
        <v>0</v>
      </c>
      <c r="F247">
        <v>2</v>
      </c>
      <c r="G247" s="20" t="str">
        <f t="shared" si="15"/>
        <v>No</v>
      </c>
      <c r="H247" s="20" t="str">
        <f t="shared" si="16"/>
        <v>Tuesday</v>
      </c>
      <c r="I247">
        <v>2</v>
      </c>
      <c r="J247" s="20" t="str">
        <f t="shared" si="18"/>
        <v>Misty</v>
      </c>
      <c r="K247">
        <v>0.2</v>
      </c>
      <c r="L247" s="20" t="str">
        <f t="shared" si="19"/>
        <v>Safe</v>
      </c>
      <c r="M247" s="20">
        <f t="shared" si="17"/>
        <v>0</v>
      </c>
    </row>
    <row r="248" spans="1:13" x14ac:dyDescent="0.3">
      <c r="A248">
        <v>247</v>
      </c>
      <c r="B248" s="46">
        <v>40554</v>
      </c>
      <c r="C248">
        <v>1</v>
      </c>
      <c r="D248">
        <v>15</v>
      </c>
      <c r="E248" t="b">
        <v>0</v>
      </c>
      <c r="F248">
        <v>2</v>
      </c>
      <c r="G248" s="20" t="str">
        <f t="shared" si="15"/>
        <v>No</v>
      </c>
      <c r="H248" s="20" t="str">
        <f t="shared" si="16"/>
        <v>Tuesday</v>
      </c>
      <c r="I248">
        <v>2</v>
      </c>
      <c r="J248" s="20" t="str">
        <f t="shared" si="18"/>
        <v>Misty</v>
      </c>
      <c r="K248">
        <v>0.16</v>
      </c>
      <c r="L248" s="20" t="str">
        <f t="shared" si="19"/>
        <v>Safe</v>
      </c>
      <c r="M248" s="20">
        <f t="shared" si="17"/>
        <v>0</v>
      </c>
    </row>
    <row r="249" spans="1:13" x14ac:dyDescent="0.3">
      <c r="A249">
        <v>248</v>
      </c>
      <c r="B249" s="46">
        <v>40554</v>
      </c>
      <c r="C249">
        <v>1</v>
      </c>
      <c r="D249">
        <v>16</v>
      </c>
      <c r="E249" t="b">
        <v>0</v>
      </c>
      <c r="F249">
        <v>2</v>
      </c>
      <c r="G249" s="20" t="str">
        <f t="shared" si="15"/>
        <v>No</v>
      </c>
      <c r="H249" s="20" t="str">
        <f t="shared" si="16"/>
        <v>Tuesday</v>
      </c>
      <c r="I249">
        <v>2</v>
      </c>
      <c r="J249" s="20" t="str">
        <f t="shared" si="18"/>
        <v>Misty</v>
      </c>
      <c r="K249">
        <v>0.16</v>
      </c>
      <c r="L249" s="20" t="str">
        <f t="shared" si="19"/>
        <v>Safe</v>
      </c>
      <c r="M249" s="20">
        <f t="shared" si="17"/>
        <v>0</v>
      </c>
    </row>
    <row r="250" spans="1:13" x14ac:dyDescent="0.3">
      <c r="A250">
        <v>249</v>
      </c>
      <c r="B250" s="46">
        <v>40554</v>
      </c>
      <c r="C250">
        <v>1</v>
      </c>
      <c r="D250">
        <v>17</v>
      </c>
      <c r="E250" t="b">
        <v>0</v>
      </c>
      <c r="F250">
        <v>2</v>
      </c>
      <c r="G250" s="20" t="str">
        <f t="shared" si="15"/>
        <v>No</v>
      </c>
      <c r="H250" s="20" t="str">
        <f t="shared" si="16"/>
        <v>Tuesday</v>
      </c>
      <c r="I250">
        <v>2</v>
      </c>
      <c r="J250" s="20" t="str">
        <f t="shared" si="18"/>
        <v>Misty</v>
      </c>
      <c r="K250">
        <v>0.16</v>
      </c>
      <c r="L250" s="20" t="str">
        <f t="shared" si="19"/>
        <v>Safe</v>
      </c>
      <c r="M250" s="20">
        <f t="shared" si="17"/>
        <v>0</v>
      </c>
    </row>
    <row r="251" spans="1:13" x14ac:dyDescent="0.3">
      <c r="A251">
        <v>250</v>
      </c>
      <c r="B251" s="46">
        <v>40554</v>
      </c>
      <c r="C251">
        <v>1</v>
      </c>
      <c r="D251">
        <v>18</v>
      </c>
      <c r="E251" t="b">
        <v>0</v>
      </c>
      <c r="F251">
        <v>2</v>
      </c>
      <c r="G251" s="20" t="str">
        <f t="shared" si="15"/>
        <v>No</v>
      </c>
      <c r="H251" s="20" t="str">
        <f t="shared" si="16"/>
        <v>Tuesday</v>
      </c>
      <c r="I251">
        <v>3</v>
      </c>
      <c r="J251" s="20" t="str">
        <f t="shared" si="18"/>
        <v>Light Rain</v>
      </c>
      <c r="K251">
        <v>0.16</v>
      </c>
      <c r="L251" s="20" t="str">
        <f t="shared" si="19"/>
        <v>Safe</v>
      </c>
      <c r="M251" s="20">
        <f t="shared" si="17"/>
        <v>0</v>
      </c>
    </row>
    <row r="252" spans="1:13" x14ac:dyDescent="0.3">
      <c r="A252">
        <v>251</v>
      </c>
      <c r="B252" s="46">
        <v>40554</v>
      </c>
      <c r="C252">
        <v>1</v>
      </c>
      <c r="D252">
        <v>19</v>
      </c>
      <c r="E252" t="b">
        <v>0</v>
      </c>
      <c r="F252">
        <v>2</v>
      </c>
      <c r="G252" s="20" t="str">
        <f t="shared" si="15"/>
        <v>No</v>
      </c>
      <c r="H252" s="20" t="str">
        <f t="shared" si="16"/>
        <v>Tuesday</v>
      </c>
      <c r="I252">
        <v>3</v>
      </c>
      <c r="J252" s="20" t="str">
        <f t="shared" si="18"/>
        <v>Light Rain</v>
      </c>
      <c r="K252">
        <v>0.16</v>
      </c>
      <c r="L252" s="20" t="str">
        <f t="shared" si="19"/>
        <v>Safe</v>
      </c>
      <c r="M252" s="20">
        <f t="shared" si="17"/>
        <v>0</v>
      </c>
    </row>
    <row r="253" spans="1:13" x14ac:dyDescent="0.3">
      <c r="A253">
        <v>252</v>
      </c>
      <c r="B253" s="46">
        <v>40554</v>
      </c>
      <c r="C253">
        <v>1</v>
      </c>
      <c r="D253">
        <v>20</v>
      </c>
      <c r="E253" t="b">
        <v>0</v>
      </c>
      <c r="F253">
        <v>2</v>
      </c>
      <c r="G253" s="20" t="str">
        <f t="shared" si="15"/>
        <v>No</v>
      </c>
      <c r="H253" s="20" t="str">
        <f t="shared" si="16"/>
        <v>Tuesday</v>
      </c>
      <c r="I253">
        <v>3</v>
      </c>
      <c r="J253" s="20" t="str">
        <f t="shared" si="18"/>
        <v>Light Rain</v>
      </c>
      <c r="K253">
        <v>0.16</v>
      </c>
      <c r="L253" s="20" t="str">
        <f t="shared" si="19"/>
        <v>Safe</v>
      </c>
      <c r="M253" s="20">
        <f t="shared" si="17"/>
        <v>0</v>
      </c>
    </row>
    <row r="254" spans="1:13" x14ac:dyDescent="0.3">
      <c r="A254">
        <v>253</v>
      </c>
      <c r="B254" s="46">
        <v>40554</v>
      </c>
      <c r="C254">
        <v>1</v>
      </c>
      <c r="D254">
        <v>21</v>
      </c>
      <c r="E254" t="b">
        <v>0</v>
      </c>
      <c r="F254">
        <v>2</v>
      </c>
      <c r="G254" s="20" t="str">
        <f t="shared" si="15"/>
        <v>No</v>
      </c>
      <c r="H254" s="20" t="str">
        <f t="shared" si="16"/>
        <v>Tuesday</v>
      </c>
      <c r="I254">
        <v>3</v>
      </c>
      <c r="J254" s="20" t="str">
        <f t="shared" si="18"/>
        <v>Light Rain</v>
      </c>
      <c r="K254">
        <v>0.16</v>
      </c>
      <c r="L254" s="20" t="str">
        <f t="shared" si="19"/>
        <v>Safe</v>
      </c>
      <c r="M254" s="20">
        <f t="shared" si="17"/>
        <v>0</v>
      </c>
    </row>
    <row r="255" spans="1:13" x14ac:dyDescent="0.3">
      <c r="A255">
        <v>254</v>
      </c>
      <c r="B255" s="46">
        <v>40554</v>
      </c>
      <c r="C255">
        <v>1</v>
      </c>
      <c r="D255">
        <v>22</v>
      </c>
      <c r="E255" t="b">
        <v>0</v>
      </c>
      <c r="F255">
        <v>2</v>
      </c>
      <c r="G255" s="20" t="str">
        <f t="shared" si="15"/>
        <v>No</v>
      </c>
      <c r="H255" s="20" t="str">
        <f t="shared" si="16"/>
        <v>Tuesday</v>
      </c>
      <c r="I255">
        <v>3</v>
      </c>
      <c r="J255" s="20" t="str">
        <f t="shared" si="18"/>
        <v>Light Rain</v>
      </c>
      <c r="K255">
        <v>0.16</v>
      </c>
      <c r="L255" s="20" t="str">
        <f t="shared" si="19"/>
        <v>Safe</v>
      </c>
      <c r="M255" s="20">
        <f t="shared" si="17"/>
        <v>0</v>
      </c>
    </row>
    <row r="256" spans="1:13" x14ac:dyDescent="0.3">
      <c r="A256">
        <v>255</v>
      </c>
      <c r="B256" s="46">
        <v>40554</v>
      </c>
      <c r="C256">
        <v>1</v>
      </c>
      <c r="D256">
        <v>23</v>
      </c>
      <c r="E256" t="b">
        <v>0</v>
      </c>
      <c r="F256">
        <v>2</v>
      </c>
      <c r="G256" s="20" t="str">
        <f t="shared" si="15"/>
        <v>No</v>
      </c>
      <c r="H256" s="20" t="str">
        <f t="shared" si="16"/>
        <v>Tuesday</v>
      </c>
      <c r="I256">
        <v>3</v>
      </c>
      <c r="J256" s="20" t="str">
        <f t="shared" si="18"/>
        <v>Light Rain</v>
      </c>
      <c r="K256">
        <v>0.16</v>
      </c>
      <c r="L256" s="20" t="str">
        <f t="shared" si="19"/>
        <v>Safe</v>
      </c>
      <c r="M256" s="20">
        <f t="shared" si="17"/>
        <v>0</v>
      </c>
    </row>
    <row r="257" spans="1:13" x14ac:dyDescent="0.3">
      <c r="A257">
        <v>256</v>
      </c>
      <c r="B257" s="46">
        <v>40555</v>
      </c>
      <c r="C257">
        <v>1</v>
      </c>
      <c r="D257">
        <v>0</v>
      </c>
      <c r="E257" t="b">
        <v>0</v>
      </c>
      <c r="F257">
        <v>3</v>
      </c>
      <c r="G257" s="20" t="str">
        <f t="shared" si="15"/>
        <v>No</v>
      </c>
      <c r="H257" s="20" t="str">
        <f t="shared" si="16"/>
        <v>Wednesday</v>
      </c>
      <c r="I257">
        <v>2</v>
      </c>
      <c r="J257" s="20" t="str">
        <f t="shared" si="18"/>
        <v>Misty</v>
      </c>
      <c r="K257">
        <v>0.16</v>
      </c>
      <c r="L257" s="20" t="str">
        <f t="shared" si="19"/>
        <v>Safe</v>
      </c>
      <c r="M257" s="20">
        <f t="shared" si="17"/>
        <v>0</v>
      </c>
    </row>
    <row r="258" spans="1:13" x14ac:dyDescent="0.3">
      <c r="A258">
        <v>257</v>
      </c>
      <c r="B258" s="46">
        <v>40555</v>
      </c>
      <c r="C258">
        <v>1</v>
      </c>
      <c r="D258">
        <v>1</v>
      </c>
      <c r="E258" t="b">
        <v>0</v>
      </c>
      <c r="F258">
        <v>3</v>
      </c>
      <c r="G258" s="20" t="str">
        <f t="shared" ref="G258:G321" si="20">_xlfn.IFS(F258=0,"Yes",F258=6,"Yes",F258&gt;0,"No")</f>
        <v>No</v>
      </c>
      <c r="H258" s="20" t="str">
        <f t="shared" ref="H258:H321" si="21">TEXT(B258:B867,"dddd")</f>
        <v>Wednesday</v>
      </c>
      <c r="I258">
        <v>2</v>
      </c>
      <c r="J258" s="20" t="str">
        <f t="shared" si="18"/>
        <v>Misty</v>
      </c>
      <c r="K258">
        <v>0.16</v>
      </c>
      <c r="L258" s="20" t="str">
        <f t="shared" si="19"/>
        <v>Safe</v>
      </c>
      <c r="M258" s="20">
        <f t="shared" ref="M258:M321" si="22">COUNTBLANK(A258:K258)</f>
        <v>0</v>
      </c>
    </row>
    <row r="259" spans="1:13" x14ac:dyDescent="0.3">
      <c r="A259">
        <v>258</v>
      </c>
      <c r="B259" s="46">
        <v>40555</v>
      </c>
      <c r="C259">
        <v>1</v>
      </c>
      <c r="D259">
        <v>2</v>
      </c>
      <c r="E259" t="b">
        <v>0</v>
      </c>
      <c r="F259">
        <v>3</v>
      </c>
      <c r="G259" s="20" t="str">
        <f t="shared" si="20"/>
        <v>No</v>
      </c>
      <c r="H259" s="20" t="str">
        <f t="shared" si="21"/>
        <v>Wednesday</v>
      </c>
      <c r="I259">
        <v>1</v>
      </c>
      <c r="J259" s="20" t="str">
        <f t="shared" ref="J259:J322" si="23">_xlfn.IFS(I259=1,"Clean",I259=2,"Misty",I259=3,"Light Rain",I259=4,"Heavy Rain")</f>
        <v>Clean</v>
      </c>
      <c r="K259">
        <v>0.14000000000000001</v>
      </c>
      <c r="L259" s="20" t="str">
        <f t="shared" ref="L259:L322" si="24">_xlfn.IFS(K259&lt;0.1,"Risky",K259&lt;0.35,"Safe",K259&gt;0.35,"Risky")</f>
        <v>Safe</v>
      </c>
      <c r="M259" s="20">
        <f t="shared" si="22"/>
        <v>0</v>
      </c>
    </row>
    <row r="260" spans="1:13" x14ac:dyDescent="0.3">
      <c r="A260">
        <v>259</v>
      </c>
      <c r="B260" s="46">
        <v>40555</v>
      </c>
      <c r="C260">
        <v>1</v>
      </c>
      <c r="D260">
        <v>5</v>
      </c>
      <c r="E260" t="b">
        <v>0</v>
      </c>
      <c r="F260">
        <v>3</v>
      </c>
      <c r="G260" s="20" t="str">
        <f t="shared" si="20"/>
        <v>No</v>
      </c>
      <c r="H260" s="20" t="str">
        <f t="shared" si="21"/>
        <v>Wednesday</v>
      </c>
      <c r="I260">
        <v>1</v>
      </c>
      <c r="J260" s="20" t="str">
        <f t="shared" si="23"/>
        <v>Clean</v>
      </c>
      <c r="K260">
        <v>0.14000000000000001</v>
      </c>
      <c r="L260" s="20" t="str">
        <f t="shared" si="24"/>
        <v>Safe</v>
      </c>
      <c r="M260" s="20">
        <f t="shared" si="22"/>
        <v>0</v>
      </c>
    </row>
    <row r="261" spans="1:13" x14ac:dyDescent="0.3">
      <c r="A261">
        <v>260</v>
      </c>
      <c r="B261" s="46">
        <v>40555</v>
      </c>
      <c r="C261">
        <v>1</v>
      </c>
      <c r="D261">
        <v>6</v>
      </c>
      <c r="E261" t="b">
        <v>0</v>
      </c>
      <c r="F261">
        <v>3</v>
      </c>
      <c r="G261" s="20" t="str">
        <f t="shared" si="20"/>
        <v>No</v>
      </c>
      <c r="H261" s="20" t="str">
        <f t="shared" si="21"/>
        <v>Wednesday</v>
      </c>
      <c r="I261">
        <v>1</v>
      </c>
      <c r="J261" s="20" t="str">
        <f t="shared" si="23"/>
        <v>Clean</v>
      </c>
      <c r="K261">
        <v>0.12</v>
      </c>
      <c r="L261" s="20" t="str">
        <f t="shared" si="24"/>
        <v>Safe</v>
      </c>
      <c r="M261" s="20">
        <f t="shared" si="22"/>
        <v>0</v>
      </c>
    </row>
    <row r="262" spans="1:13" x14ac:dyDescent="0.3">
      <c r="A262">
        <v>261</v>
      </c>
      <c r="B262" s="46">
        <v>40555</v>
      </c>
      <c r="C262">
        <v>1</v>
      </c>
      <c r="D262">
        <v>7</v>
      </c>
      <c r="E262" t="b">
        <v>0</v>
      </c>
      <c r="F262">
        <v>3</v>
      </c>
      <c r="G262" s="20" t="str">
        <f t="shared" si="20"/>
        <v>No</v>
      </c>
      <c r="H262" s="20" t="str">
        <f t="shared" si="21"/>
        <v>Wednesday</v>
      </c>
      <c r="I262">
        <v>1</v>
      </c>
      <c r="J262" s="20" t="str">
        <f t="shared" si="23"/>
        <v>Clean</v>
      </c>
      <c r="K262">
        <v>0.14000000000000001</v>
      </c>
      <c r="L262" s="20" t="str">
        <f t="shared" si="24"/>
        <v>Safe</v>
      </c>
      <c r="M262" s="20">
        <f t="shared" si="22"/>
        <v>0</v>
      </c>
    </row>
    <row r="263" spans="1:13" x14ac:dyDescent="0.3">
      <c r="A263">
        <v>262</v>
      </c>
      <c r="B263" s="46">
        <v>40555</v>
      </c>
      <c r="C263">
        <v>1</v>
      </c>
      <c r="D263">
        <v>8</v>
      </c>
      <c r="E263" t="b">
        <v>0</v>
      </c>
      <c r="F263">
        <v>3</v>
      </c>
      <c r="G263" s="20" t="str">
        <f t="shared" si="20"/>
        <v>No</v>
      </c>
      <c r="H263" s="20" t="str">
        <f t="shared" si="21"/>
        <v>Wednesday</v>
      </c>
      <c r="I263">
        <v>1</v>
      </c>
      <c r="J263" s="20" t="str">
        <f t="shared" si="23"/>
        <v>Clean</v>
      </c>
      <c r="K263">
        <v>0.16</v>
      </c>
      <c r="L263" s="20" t="str">
        <f t="shared" si="24"/>
        <v>Safe</v>
      </c>
      <c r="M263" s="20">
        <f t="shared" si="22"/>
        <v>0</v>
      </c>
    </row>
    <row r="264" spans="1:13" x14ac:dyDescent="0.3">
      <c r="A264">
        <v>263</v>
      </c>
      <c r="B264" s="46">
        <v>40555</v>
      </c>
      <c r="C264">
        <v>1</v>
      </c>
      <c r="D264">
        <v>9</v>
      </c>
      <c r="E264" t="b">
        <v>0</v>
      </c>
      <c r="F264">
        <v>3</v>
      </c>
      <c r="G264" s="20" t="str">
        <f t="shared" si="20"/>
        <v>No</v>
      </c>
      <c r="H264" s="20" t="str">
        <f t="shared" si="21"/>
        <v>Wednesday</v>
      </c>
      <c r="I264">
        <v>1</v>
      </c>
      <c r="J264" s="20" t="str">
        <f t="shared" si="23"/>
        <v>Clean</v>
      </c>
      <c r="K264">
        <v>0.16</v>
      </c>
      <c r="L264" s="20" t="str">
        <f t="shared" si="24"/>
        <v>Safe</v>
      </c>
      <c r="M264" s="20">
        <f t="shared" si="22"/>
        <v>0</v>
      </c>
    </row>
    <row r="265" spans="1:13" x14ac:dyDescent="0.3">
      <c r="A265">
        <v>264</v>
      </c>
      <c r="B265" s="46">
        <v>40555</v>
      </c>
      <c r="C265">
        <v>1</v>
      </c>
      <c r="D265">
        <v>10</v>
      </c>
      <c r="E265" t="b">
        <v>0</v>
      </c>
      <c r="F265">
        <v>3</v>
      </c>
      <c r="G265" s="20" t="str">
        <f t="shared" si="20"/>
        <v>No</v>
      </c>
      <c r="H265" s="20" t="str">
        <f t="shared" si="21"/>
        <v>Wednesday</v>
      </c>
      <c r="I265">
        <v>1</v>
      </c>
      <c r="J265" s="20" t="str">
        <f t="shared" si="23"/>
        <v>Clean</v>
      </c>
      <c r="K265">
        <v>0.18</v>
      </c>
      <c r="L265" s="20" t="str">
        <f t="shared" si="24"/>
        <v>Safe</v>
      </c>
      <c r="M265" s="20">
        <f t="shared" si="22"/>
        <v>0</v>
      </c>
    </row>
    <row r="266" spans="1:13" x14ac:dyDescent="0.3">
      <c r="A266">
        <v>265</v>
      </c>
      <c r="B266" s="46">
        <v>40555</v>
      </c>
      <c r="C266">
        <v>1</v>
      </c>
      <c r="D266">
        <v>11</v>
      </c>
      <c r="E266" t="b">
        <v>0</v>
      </c>
      <c r="F266">
        <v>3</v>
      </c>
      <c r="G266" s="20" t="str">
        <f t="shared" si="20"/>
        <v>No</v>
      </c>
      <c r="H266" s="20" t="str">
        <f t="shared" si="21"/>
        <v>Wednesday</v>
      </c>
      <c r="I266">
        <v>1</v>
      </c>
      <c r="J266" s="20" t="str">
        <f t="shared" si="23"/>
        <v>Clean</v>
      </c>
      <c r="K266">
        <v>0.2</v>
      </c>
      <c r="L266" s="20" t="str">
        <f t="shared" si="24"/>
        <v>Safe</v>
      </c>
      <c r="M266" s="20">
        <f t="shared" si="22"/>
        <v>0</v>
      </c>
    </row>
    <row r="267" spans="1:13" x14ac:dyDescent="0.3">
      <c r="A267">
        <v>266</v>
      </c>
      <c r="B267" s="46">
        <v>40555</v>
      </c>
      <c r="C267">
        <v>1</v>
      </c>
      <c r="D267">
        <v>12</v>
      </c>
      <c r="E267" t="b">
        <v>0</v>
      </c>
      <c r="F267">
        <v>3</v>
      </c>
      <c r="G267" s="20" t="str">
        <f t="shared" si="20"/>
        <v>No</v>
      </c>
      <c r="H267" s="20" t="str">
        <f t="shared" si="21"/>
        <v>Wednesday</v>
      </c>
      <c r="I267">
        <v>1</v>
      </c>
      <c r="J267" s="20" t="str">
        <f t="shared" si="23"/>
        <v>Clean</v>
      </c>
      <c r="K267">
        <v>0.2</v>
      </c>
      <c r="L267" s="20" t="str">
        <f t="shared" si="24"/>
        <v>Safe</v>
      </c>
      <c r="M267" s="20">
        <f t="shared" si="22"/>
        <v>0</v>
      </c>
    </row>
    <row r="268" spans="1:13" x14ac:dyDescent="0.3">
      <c r="A268">
        <v>267</v>
      </c>
      <c r="B268" s="46">
        <v>40555</v>
      </c>
      <c r="C268">
        <v>1</v>
      </c>
      <c r="D268">
        <v>13</v>
      </c>
      <c r="E268" t="b">
        <v>0</v>
      </c>
      <c r="F268">
        <v>3</v>
      </c>
      <c r="G268" s="20" t="str">
        <f t="shared" si="20"/>
        <v>No</v>
      </c>
      <c r="H268" s="20" t="str">
        <f t="shared" si="21"/>
        <v>Wednesday</v>
      </c>
      <c r="I268">
        <v>1</v>
      </c>
      <c r="J268" s="20" t="str">
        <f t="shared" si="23"/>
        <v>Clean</v>
      </c>
      <c r="K268">
        <v>0.22</v>
      </c>
      <c r="L268" s="20" t="str">
        <f t="shared" si="24"/>
        <v>Safe</v>
      </c>
      <c r="M268" s="20">
        <f t="shared" si="22"/>
        <v>0</v>
      </c>
    </row>
    <row r="269" spans="1:13" x14ac:dyDescent="0.3">
      <c r="A269">
        <v>268</v>
      </c>
      <c r="B269" s="46">
        <v>40555</v>
      </c>
      <c r="C269">
        <v>1</v>
      </c>
      <c r="D269">
        <v>14</v>
      </c>
      <c r="E269" t="b">
        <v>0</v>
      </c>
      <c r="F269">
        <v>3</v>
      </c>
      <c r="G269" s="20" t="str">
        <f t="shared" si="20"/>
        <v>No</v>
      </c>
      <c r="H269" s="20" t="str">
        <f t="shared" si="21"/>
        <v>Wednesday</v>
      </c>
      <c r="I269">
        <v>1</v>
      </c>
      <c r="J269" s="20" t="str">
        <f t="shared" si="23"/>
        <v>Clean</v>
      </c>
      <c r="K269">
        <v>0.2</v>
      </c>
      <c r="L269" s="20" t="str">
        <f t="shared" si="24"/>
        <v>Safe</v>
      </c>
      <c r="M269" s="20">
        <f t="shared" si="22"/>
        <v>0</v>
      </c>
    </row>
    <row r="270" spans="1:13" x14ac:dyDescent="0.3">
      <c r="A270">
        <v>269</v>
      </c>
      <c r="B270" s="46">
        <v>40555</v>
      </c>
      <c r="C270">
        <v>1</v>
      </c>
      <c r="D270">
        <v>15</v>
      </c>
      <c r="E270" t="b">
        <v>0</v>
      </c>
      <c r="F270">
        <v>3</v>
      </c>
      <c r="G270" s="20" t="str">
        <f t="shared" si="20"/>
        <v>No</v>
      </c>
      <c r="H270" s="20" t="str">
        <f t="shared" si="21"/>
        <v>Wednesday</v>
      </c>
      <c r="I270">
        <v>1</v>
      </c>
      <c r="J270" s="20" t="str">
        <f t="shared" si="23"/>
        <v>Clean</v>
      </c>
      <c r="K270">
        <v>0.2</v>
      </c>
      <c r="L270" s="20" t="str">
        <f t="shared" si="24"/>
        <v>Safe</v>
      </c>
      <c r="M270" s="20">
        <f t="shared" si="22"/>
        <v>0</v>
      </c>
    </row>
    <row r="271" spans="1:13" x14ac:dyDescent="0.3">
      <c r="A271">
        <v>270</v>
      </c>
      <c r="B271" s="46">
        <v>40555</v>
      </c>
      <c r="C271">
        <v>1</v>
      </c>
      <c r="D271">
        <v>16</v>
      </c>
      <c r="E271" t="b">
        <v>0</v>
      </c>
      <c r="F271">
        <v>3</v>
      </c>
      <c r="G271" s="20" t="str">
        <f t="shared" si="20"/>
        <v>No</v>
      </c>
      <c r="H271" s="20" t="str">
        <f t="shared" si="21"/>
        <v>Wednesday</v>
      </c>
      <c r="I271">
        <v>1</v>
      </c>
      <c r="J271" s="20" t="str">
        <f t="shared" si="23"/>
        <v>Clean</v>
      </c>
      <c r="K271">
        <v>0.22</v>
      </c>
      <c r="L271" s="20" t="str">
        <f t="shared" si="24"/>
        <v>Safe</v>
      </c>
      <c r="M271" s="20">
        <f t="shared" si="22"/>
        <v>0</v>
      </c>
    </row>
    <row r="272" spans="1:13" x14ac:dyDescent="0.3">
      <c r="A272">
        <v>271</v>
      </c>
      <c r="B272" s="46">
        <v>40555</v>
      </c>
      <c r="C272">
        <v>1</v>
      </c>
      <c r="D272">
        <v>17</v>
      </c>
      <c r="E272" t="b">
        <v>0</v>
      </c>
      <c r="F272">
        <v>3</v>
      </c>
      <c r="G272" s="20" t="str">
        <f t="shared" si="20"/>
        <v>No</v>
      </c>
      <c r="H272" s="20" t="str">
        <f t="shared" si="21"/>
        <v>Wednesday</v>
      </c>
      <c r="I272">
        <v>1</v>
      </c>
      <c r="J272" s="20" t="str">
        <f t="shared" si="23"/>
        <v>Clean</v>
      </c>
      <c r="K272">
        <v>0.2</v>
      </c>
      <c r="L272" s="20" t="str">
        <f t="shared" si="24"/>
        <v>Safe</v>
      </c>
      <c r="M272" s="20">
        <f t="shared" si="22"/>
        <v>0</v>
      </c>
    </row>
    <row r="273" spans="1:13" x14ac:dyDescent="0.3">
      <c r="A273">
        <v>272</v>
      </c>
      <c r="B273" s="46">
        <v>40555</v>
      </c>
      <c r="C273">
        <v>1</v>
      </c>
      <c r="D273">
        <v>18</v>
      </c>
      <c r="E273" t="b">
        <v>0</v>
      </c>
      <c r="F273">
        <v>3</v>
      </c>
      <c r="G273" s="20" t="str">
        <f t="shared" si="20"/>
        <v>No</v>
      </c>
      <c r="H273" s="20" t="str">
        <f t="shared" si="21"/>
        <v>Wednesday</v>
      </c>
      <c r="I273">
        <v>1</v>
      </c>
      <c r="J273" s="20" t="str">
        <f t="shared" si="23"/>
        <v>Clean</v>
      </c>
      <c r="K273">
        <v>0.2</v>
      </c>
      <c r="L273" s="20" t="str">
        <f t="shared" si="24"/>
        <v>Safe</v>
      </c>
      <c r="M273" s="20">
        <f t="shared" si="22"/>
        <v>0</v>
      </c>
    </row>
    <row r="274" spans="1:13" x14ac:dyDescent="0.3">
      <c r="A274">
        <v>273</v>
      </c>
      <c r="B274" s="46">
        <v>40555</v>
      </c>
      <c r="C274">
        <v>1</v>
      </c>
      <c r="D274">
        <v>19</v>
      </c>
      <c r="E274" t="b">
        <v>0</v>
      </c>
      <c r="F274">
        <v>3</v>
      </c>
      <c r="G274" s="20" t="str">
        <f t="shared" si="20"/>
        <v>No</v>
      </c>
      <c r="H274" s="20" t="str">
        <f t="shared" si="21"/>
        <v>Wednesday</v>
      </c>
      <c r="I274">
        <v>1</v>
      </c>
      <c r="J274" s="20" t="str">
        <f t="shared" si="23"/>
        <v>Clean</v>
      </c>
      <c r="K274">
        <v>0.18</v>
      </c>
      <c r="L274" s="20" t="str">
        <f t="shared" si="24"/>
        <v>Safe</v>
      </c>
      <c r="M274" s="20">
        <f t="shared" si="22"/>
        <v>0</v>
      </c>
    </row>
    <row r="275" spans="1:13" x14ac:dyDescent="0.3">
      <c r="A275">
        <v>274</v>
      </c>
      <c r="B275" s="46">
        <v>40555</v>
      </c>
      <c r="C275">
        <v>1</v>
      </c>
      <c r="D275">
        <v>20</v>
      </c>
      <c r="E275" t="b">
        <v>0</v>
      </c>
      <c r="F275">
        <v>3</v>
      </c>
      <c r="G275" s="20" t="str">
        <f t="shared" si="20"/>
        <v>No</v>
      </c>
      <c r="H275" s="20" t="str">
        <f t="shared" si="21"/>
        <v>Wednesday</v>
      </c>
      <c r="I275">
        <v>1</v>
      </c>
      <c r="J275" s="20" t="str">
        <f t="shared" si="23"/>
        <v>Clean</v>
      </c>
      <c r="K275">
        <v>0.16</v>
      </c>
      <c r="L275" s="20" t="str">
        <f t="shared" si="24"/>
        <v>Safe</v>
      </c>
      <c r="M275" s="20">
        <f t="shared" si="22"/>
        <v>0</v>
      </c>
    </row>
    <row r="276" spans="1:13" x14ac:dyDescent="0.3">
      <c r="A276">
        <v>275</v>
      </c>
      <c r="B276" s="46">
        <v>40555</v>
      </c>
      <c r="C276">
        <v>1</v>
      </c>
      <c r="D276">
        <v>21</v>
      </c>
      <c r="E276" t="b">
        <v>0</v>
      </c>
      <c r="F276">
        <v>3</v>
      </c>
      <c r="G276" s="20" t="str">
        <f t="shared" si="20"/>
        <v>No</v>
      </c>
      <c r="H276" s="20" t="str">
        <f t="shared" si="21"/>
        <v>Wednesday</v>
      </c>
      <c r="I276">
        <v>1</v>
      </c>
      <c r="J276" s="20" t="str">
        <f t="shared" si="23"/>
        <v>Clean</v>
      </c>
      <c r="K276">
        <v>0.16</v>
      </c>
      <c r="L276" s="20" t="str">
        <f t="shared" si="24"/>
        <v>Safe</v>
      </c>
      <c r="M276" s="20">
        <f t="shared" si="22"/>
        <v>0</v>
      </c>
    </row>
    <row r="277" spans="1:13" x14ac:dyDescent="0.3">
      <c r="A277">
        <v>276</v>
      </c>
      <c r="B277" s="46">
        <v>40555</v>
      </c>
      <c r="C277">
        <v>1</v>
      </c>
      <c r="D277">
        <v>22</v>
      </c>
      <c r="E277" t="b">
        <v>0</v>
      </c>
      <c r="F277">
        <v>3</v>
      </c>
      <c r="G277" s="20" t="str">
        <f t="shared" si="20"/>
        <v>No</v>
      </c>
      <c r="H277" s="20" t="str">
        <f t="shared" si="21"/>
        <v>Wednesday</v>
      </c>
      <c r="I277">
        <v>1</v>
      </c>
      <c r="J277" s="20" t="str">
        <f t="shared" si="23"/>
        <v>Clean</v>
      </c>
      <c r="K277">
        <v>0.16</v>
      </c>
      <c r="L277" s="20" t="str">
        <f t="shared" si="24"/>
        <v>Safe</v>
      </c>
      <c r="M277" s="20">
        <f t="shared" si="22"/>
        <v>0</v>
      </c>
    </row>
    <row r="278" spans="1:13" x14ac:dyDescent="0.3">
      <c r="A278">
        <v>277</v>
      </c>
      <c r="B278" s="46">
        <v>40555</v>
      </c>
      <c r="C278">
        <v>1</v>
      </c>
      <c r="D278">
        <v>23</v>
      </c>
      <c r="E278" t="b">
        <v>0</v>
      </c>
      <c r="F278">
        <v>3</v>
      </c>
      <c r="G278" s="20" t="str">
        <f t="shared" si="20"/>
        <v>No</v>
      </c>
      <c r="H278" s="20" t="str">
        <f t="shared" si="21"/>
        <v>Wednesday</v>
      </c>
      <c r="I278">
        <v>1</v>
      </c>
      <c r="J278" s="20" t="str">
        <f t="shared" si="23"/>
        <v>Clean</v>
      </c>
      <c r="K278">
        <v>0.14000000000000001</v>
      </c>
      <c r="L278" s="20" t="str">
        <f t="shared" si="24"/>
        <v>Safe</v>
      </c>
      <c r="M278" s="20">
        <f t="shared" si="22"/>
        <v>0</v>
      </c>
    </row>
    <row r="279" spans="1:13" x14ac:dyDescent="0.3">
      <c r="A279">
        <v>278</v>
      </c>
      <c r="B279" s="46">
        <v>40556</v>
      </c>
      <c r="C279">
        <v>1</v>
      </c>
      <c r="D279">
        <v>0</v>
      </c>
      <c r="E279" t="b">
        <v>0</v>
      </c>
      <c r="F279">
        <v>4</v>
      </c>
      <c r="G279" s="20" t="str">
        <f t="shared" si="20"/>
        <v>No</v>
      </c>
      <c r="H279" s="20" t="str">
        <f t="shared" si="21"/>
        <v>Thursday</v>
      </c>
      <c r="I279">
        <v>1</v>
      </c>
      <c r="J279" s="20" t="str">
        <f t="shared" si="23"/>
        <v>Clean</v>
      </c>
      <c r="K279">
        <v>0.14000000000000001</v>
      </c>
      <c r="L279" s="20" t="str">
        <f t="shared" si="24"/>
        <v>Safe</v>
      </c>
      <c r="M279" s="20">
        <f t="shared" si="22"/>
        <v>0</v>
      </c>
    </row>
    <row r="280" spans="1:13" x14ac:dyDescent="0.3">
      <c r="A280">
        <v>279</v>
      </c>
      <c r="B280" s="46">
        <v>40556</v>
      </c>
      <c r="C280">
        <v>1</v>
      </c>
      <c r="D280">
        <v>1</v>
      </c>
      <c r="E280" t="b">
        <v>0</v>
      </c>
      <c r="F280">
        <v>4</v>
      </c>
      <c r="G280" s="20" t="str">
        <f t="shared" si="20"/>
        <v>No</v>
      </c>
      <c r="H280" s="20" t="str">
        <f t="shared" si="21"/>
        <v>Thursday</v>
      </c>
      <c r="I280">
        <v>1</v>
      </c>
      <c r="J280" s="20" t="str">
        <f t="shared" si="23"/>
        <v>Clean</v>
      </c>
      <c r="K280">
        <v>0.14000000000000001</v>
      </c>
      <c r="L280" s="20" t="str">
        <f t="shared" si="24"/>
        <v>Safe</v>
      </c>
      <c r="M280" s="20">
        <f t="shared" si="22"/>
        <v>0</v>
      </c>
    </row>
    <row r="281" spans="1:13" x14ac:dyDescent="0.3">
      <c r="A281">
        <v>280</v>
      </c>
      <c r="B281" s="46">
        <v>40556</v>
      </c>
      <c r="C281">
        <v>1</v>
      </c>
      <c r="D281">
        <v>2</v>
      </c>
      <c r="E281" t="b">
        <v>0</v>
      </c>
      <c r="F281">
        <v>4</v>
      </c>
      <c r="G281" s="20" t="str">
        <f t="shared" si="20"/>
        <v>No</v>
      </c>
      <c r="H281" s="20" t="str">
        <f t="shared" si="21"/>
        <v>Thursday</v>
      </c>
      <c r="I281">
        <v>1</v>
      </c>
      <c r="J281" s="20" t="str">
        <f t="shared" si="23"/>
        <v>Clean</v>
      </c>
      <c r="K281">
        <v>0.14000000000000001</v>
      </c>
      <c r="L281" s="20" t="str">
        <f t="shared" si="24"/>
        <v>Safe</v>
      </c>
      <c r="M281" s="20">
        <f t="shared" si="22"/>
        <v>0</v>
      </c>
    </row>
    <row r="282" spans="1:13" x14ac:dyDescent="0.3">
      <c r="A282">
        <v>281</v>
      </c>
      <c r="B282" s="46">
        <v>40556</v>
      </c>
      <c r="C282">
        <v>1</v>
      </c>
      <c r="D282">
        <v>3</v>
      </c>
      <c r="E282" t="b">
        <v>0</v>
      </c>
      <c r="F282">
        <v>4</v>
      </c>
      <c r="G282" s="20" t="str">
        <f t="shared" si="20"/>
        <v>No</v>
      </c>
      <c r="H282" s="20" t="str">
        <f t="shared" si="21"/>
        <v>Thursday</v>
      </c>
      <c r="I282">
        <v>1</v>
      </c>
      <c r="J282" s="20" t="str">
        <f t="shared" si="23"/>
        <v>Clean</v>
      </c>
      <c r="K282">
        <v>0.14000000000000001</v>
      </c>
      <c r="L282" s="20" t="str">
        <f t="shared" si="24"/>
        <v>Safe</v>
      </c>
      <c r="M282" s="20">
        <f t="shared" si="22"/>
        <v>0</v>
      </c>
    </row>
    <row r="283" spans="1:13" x14ac:dyDescent="0.3">
      <c r="A283">
        <v>282</v>
      </c>
      <c r="B283" s="46">
        <v>40556</v>
      </c>
      <c r="C283">
        <v>1</v>
      </c>
      <c r="D283">
        <v>4</v>
      </c>
      <c r="E283" t="b">
        <v>0</v>
      </c>
      <c r="F283">
        <v>4</v>
      </c>
      <c r="G283" s="20" t="str">
        <f t="shared" si="20"/>
        <v>No</v>
      </c>
      <c r="H283" s="20" t="str">
        <f t="shared" si="21"/>
        <v>Thursday</v>
      </c>
      <c r="I283">
        <v>1</v>
      </c>
      <c r="J283" s="20" t="str">
        <f t="shared" si="23"/>
        <v>Clean</v>
      </c>
      <c r="K283">
        <v>0.14000000000000001</v>
      </c>
      <c r="L283" s="20" t="str">
        <f t="shared" si="24"/>
        <v>Safe</v>
      </c>
      <c r="M283" s="20">
        <f t="shared" si="22"/>
        <v>0</v>
      </c>
    </row>
    <row r="284" spans="1:13" x14ac:dyDescent="0.3">
      <c r="A284">
        <v>283</v>
      </c>
      <c r="B284" s="46">
        <v>40556</v>
      </c>
      <c r="C284">
        <v>1</v>
      </c>
      <c r="D284">
        <v>5</v>
      </c>
      <c r="E284" t="b">
        <v>0</v>
      </c>
      <c r="F284">
        <v>4</v>
      </c>
      <c r="G284" s="20" t="str">
        <f t="shared" si="20"/>
        <v>No</v>
      </c>
      <c r="H284" s="20" t="str">
        <f t="shared" si="21"/>
        <v>Thursday</v>
      </c>
      <c r="I284">
        <v>1</v>
      </c>
      <c r="J284" s="20" t="str">
        <f t="shared" si="23"/>
        <v>Clean</v>
      </c>
      <c r="K284">
        <v>0.14000000000000001</v>
      </c>
      <c r="L284" s="20" t="str">
        <f t="shared" si="24"/>
        <v>Safe</v>
      </c>
      <c r="M284" s="20">
        <f t="shared" si="22"/>
        <v>0</v>
      </c>
    </row>
    <row r="285" spans="1:13" x14ac:dyDescent="0.3">
      <c r="A285">
        <v>284</v>
      </c>
      <c r="B285" s="46">
        <v>40556</v>
      </c>
      <c r="C285">
        <v>1</v>
      </c>
      <c r="D285">
        <v>6</v>
      </c>
      <c r="E285" t="b">
        <v>0</v>
      </c>
      <c r="F285">
        <v>4</v>
      </c>
      <c r="G285" s="20" t="str">
        <f t="shared" si="20"/>
        <v>No</v>
      </c>
      <c r="H285" s="20" t="str">
        <f t="shared" si="21"/>
        <v>Thursday</v>
      </c>
      <c r="I285">
        <v>1</v>
      </c>
      <c r="J285" s="20" t="str">
        <f t="shared" si="23"/>
        <v>Clean</v>
      </c>
      <c r="K285">
        <v>0.12</v>
      </c>
      <c r="L285" s="20" t="str">
        <f t="shared" si="24"/>
        <v>Safe</v>
      </c>
      <c r="M285" s="20">
        <f t="shared" si="22"/>
        <v>0</v>
      </c>
    </row>
    <row r="286" spans="1:13" x14ac:dyDescent="0.3">
      <c r="A286">
        <v>285</v>
      </c>
      <c r="B286" s="46">
        <v>40556</v>
      </c>
      <c r="C286">
        <v>1</v>
      </c>
      <c r="D286">
        <v>7</v>
      </c>
      <c r="E286" t="b">
        <v>0</v>
      </c>
      <c r="F286">
        <v>4</v>
      </c>
      <c r="G286" s="20" t="str">
        <f t="shared" si="20"/>
        <v>No</v>
      </c>
      <c r="H286" s="20" t="str">
        <f t="shared" si="21"/>
        <v>Thursday</v>
      </c>
      <c r="I286">
        <v>1</v>
      </c>
      <c r="J286" s="20" t="str">
        <f t="shared" si="23"/>
        <v>Clean</v>
      </c>
      <c r="K286">
        <v>0.12</v>
      </c>
      <c r="L286" s="20" t="str">
        <f t="shared" si="24"/>
        <v>Safe</v>
      </c>
      <c r="M286" s="20">
        <f t="shared" si="22"/>
        <v>0</v>
      </c>
    </row>
    <row r="287" spans="1:13" x14ac:dyDescent="0.3">
      <c r="A287">
        <v>286</v>
      </c>
      <c r="B287" s="46">
        <v>40556</v>
      </c>
      <c r="C287">
        <v>1</v>
      </c>
      <c r="D287">
        <v>8</v>
      </c>
      <c r="E287" t="b">
        <v>0</v>
      </c>
      <c r="F287">
        <v>4</v>
      </c>
      <c r="G287" s="20" t="str">
        <f t="shared" si="20"/>
        <v>No</v>
      </c>
      <c r="H287" s="20" t="str">
        <f t="shared" si="21"/>
        <v>Thursday</v>
      </c>
      <c r="I287">
        <v>1</v>
      </c>
      <c r="J287" s="20" t="str">
        <f t="shared" si="23"/>
        <v>Clean</v>
      </c>
      <c r="K287">
        <v>0.14000000000000001</v>
      </c>
      <c r="L287" s="20" t="str">
        <f t="shared" si="24"/>
        <v>Safe</v>
      </c>
      <c r="M287" s="20">
        <f t="shared" si="22"/>
        <v>0</v>
      </c>
    </row>
    <row r="288" spans="1:13" x14ac:dyDescent="0.3">
      <c r="A288">
        <v>287</v>
      </c>
      <c r="B288" s="46">
        <v>40556</v>
      </c>
      <c r="C288">
        <v>1</v>
      </c>
      <c r="D288">
        <v>9</v>
      </c>
      <c r="E288" t="b">
        <v>0</v>
      </c>
      <c r="F288">
        <v>4</v>
      </c>
      <c r="G288" s="20" t="str">
        <f t="shared" si="20"/>
        <v>No</v>
      </c>
      <c r="H288" s="20" t="str">
        <f t="shared" si="21"/>
        <v>Thursday</v>
      </c>
      <c r="I288">
        <v>1</v>
      </c>
      <c r="J288" s="20" t="str">
        <f t="shared" si="23"/>
        <v>Clean</v>
      </c>
      <c r="K288">
        <v>0.14000000000000001</v>
      </c>
      <c r="L288" s="20" t="str">
        <f t="shared" si="24"/>
        <v>Safe</v>
      </c>
      <c r="M288" s="20">
        <f t="shared" si="22"/>
        <v>0</v>
      </c>
    </row>
    <row r="289" spans="1:13" x14ac:dyDescent="0.3">
      <c r="A289">
        <v>288</v>
      </c>
      <c r="B289" s="46">
        <v>40556</v>
      </c>
      <c r="C289">
        <v>1</v>
      </c>
      <c r="D289">
        <v>10</v>
      </c>
      <c r="E289" t="b">
        <v>0</v>
      </c>
      <c r="F289">
        <v>4</v>
      </c>
      <c r="G289" s="20" t="str">
        <f t="shared" si="20"/>
        <v>No</v>
      </c>
      <c r="H289" s="20" t="str">
        <f t="shared" si="21"/>
        <v>Thursday</v>
      </c>
      <c r="I289">
        <v>2</v>
      </c>
      <c r="J289" s="20" t="str">
        <f t="shared" si="23"/>
        <v>Misty</v>
      </c>
      <c r="K289">
        <v>0.16</v>
      </c>
      <c r="L289" s="20" t="str">
        <f t="shared" si="24"/>
        <v>Safe</v>
      </c>
      <c r="M289" s="20">
        <f t="shared" si="22"/>
        <v>0</v>
      </c>
    </row>
    <row r="290" spans="1:13" x14ac:dyDescent="0.3">
      <c r="A290">
        <v>289</v>
      </c>
      <c r="B290" s="46">
        <v>40556</v>
      </c>
      <c r="C290">
        <v>1</v>
      </c>
      <c r="D290">
        <v>11</v>
      </c>
      <c r="E290" t="b">
        <v>0</v>
      </c>
      <c r="F290">
        <v>4</v>
      </c>
      <c r="G290" s="20" t="str">
        <f t="shared" si="20"/>
        <v>No</v>
      </c>
      <c r="H290" s="20" t="str">
        <f t="shared" si="21"/>
        <v>Thursday</v>
      </c>
      <c r="I290">
        <v>2</v>
      </c>
      <c r="J290" s="20" t="str">
        <f t="shared" si="23"/>
        <v>Misty</v>
      </c>
      <c r="K290">
        <v>0.2</v>
      </c>
      <c r="L290" s="20" t="str">
        <f t="shared" si="24"/>
        <v>Safe</v>
      </c>
      <c r="M290" s="20">
        <f t="shared" si="22"/>
        <v>0</v>
      </c>
    </row>
    <row r="291" spans="1:13" x14ac:dyDescent="0.3">
      <c r="A291">
        <v>290</v>
      </c>
      <c r="B291" s="46">
        <v>40556</v>
      </c>
      <c r="C291">
        <v>1</v>
      </c>
      <c r="D291">
        <v>12</v>
      </c>
      <c r="E291" t="b">
        <v>0</v>
      </c>
      <c r="F291">
        <v>4</v>
      </c>
      <c r="G291" s="20" t="str">
        <f t="shared" si="20"/>
        <v>No</v>
      </c>
      <c r="H291" s="20" t="str">
        <f t="shared" si="21"/>
        <v>Thursday</v>
      </c>
      <c r="I291">
        <v>1</v>
      </c>
      <c r="J291" s="20" t="str">
        <f t="shared" si="23"/>
        <v>Clean</v>
      </c>
      <c r="K291">
        <v>0.2</v>
      </c>
      <c r="L291" s="20" t="str">
        <f t="shared" si="24"/>
        <v>Safe</v>
      </c>
      <c r="M291" s="20">
        <f t="shared" si="22"/>
        <v>0</v>
      </c>
    </row>
    <row r="292" spans="1:13" x14ac:dyDescent="0.3">
      <c r="A292">
        <v>291</v>
      </c>
      <c r="B292" s="46">
        <v>40556</v>
      </c>
      <c r="C292">
        <v>1</v>
      </c>
      <c r="D292">
        <v>13</v>
      </c>
      <c r="E292" t="b">
        <v>0</v>
      </c>
      <c r="F292">
        <v>4</v>
      </c>
      <c r="G292" s="20" t="str">
        <f t="shared" si="20"/>
        <v>No</v>
      </c>
      <c r="H292" s="20" t="str">
        <f t="shared" si="21"/>
        <v>Thursday</v>
      </c>
      <c r="I292">
        <v>1</v>
      </c>
      <c r="J292" s="20" t="str">
        <f t="shared" si="23"/>
        <v>Clean</v>
      </c>
      <c r="K292">
        <v>0.22</v>
      </c>
      <c r="L292" s="20" t="str">
        <f t="shared" si="24"/>
        <v>Safe</v>
      </c>
      <c r="M292" s="20">
        <f t="shared" si="22"/>
        <v>0</v>
      </c>
    </row>
    <row r="293" spans="1:13" x14ac:dyDescent="0.3">
      <c r="A293">
        <v>292</v>
      </c>
      <c r="B293" s="46">
        <v>40556</v>
      </c>
      <c r="C293">
        <v>1</v>
      </c>
      <c r="D293">
        <v>14</v>
      </c>
      <c r="E293" t="b">
        <v>0</v>
      </c>
      <c r="F293">
        <v>4</v>
      </c>
      <c r="G293" s="20" t="str">
        <f t="shared" si="20"/>
        <v>No</v>
      </c>
      <c r="H293" s="20" t="str">
        <f t="shared" si="21"/>
        <v>Thursday</v>
      </c>
      <c r="I293">
        <v>1</v>
      </c>
      <c r="J293" s="20" t="str">
        <f t="shared" si="23"/>
        <v>Clean</v>
      </c>
      <c r="K293">
        <v>0.22</v>
      </c>
      <c r="L293" s="20" t="str">
        <f t="shared" si="24"/>
        <v>Safe</v>
      </c>
      <c r="M293" s="20">
        <f t="shared" si="22"/>
        <v>0</v>
      </c>
    </row>
    <row r="294" spans="1:13" x14ac:dyDescent="0.3">
      <c r="A294">
        <v>293</v>
      </c>
      <c r="B294" s="46">
        <v>40556</v>
      </c>
      <c r="C294">
        <v>1</v>
      </c>
      <c r="D294">
        <v>15</v>
      </c>
      <c r="E294" t="b">
        <v>0</v>
      </c>
      <c r="F294">
        <v>4</v>
      </c>
      <c r="G294" s="20" t="str">
        <f t="shared" si="20"/>
        <v>No</v>
      </c>
      <c r="H294" s="20" t="str">
        <f t="shared" si="21"/>
        <v>Thursday</v>
      </c>
      <c r="I294">
        <v>1</v>
      </c>
      <c r="J294" s="20" t="str">
        <f t="shared" si="23"/>
        <v>Clean</v>
      </c>
      <c r="K294">
        <v>0.24</v>
      </c>
      <c r="L294" s="20" t="str">
        <f t="shared" si="24"/>
        <v>Safe</v>
      </c>
      <c r="M294" s="20">
        <f t="shared" si="22"/>
        <v>0</v>
      </c>
    </row>
    <row r="295" spans="1:13" x14ac:dyDescent="0.3">
      <c r="A295">
        <v>294</v>
      </c>
      <c r="B295" s="46">
        <v>40556</v>
      </c>
      <c r="C295">
        <v>1</v>
      </c>
      <c r="D295">
        <v>16</v>
      </c>
      <c r="E295" t="b">
        <v>0</v>
      </c>
      <c r="F295">
        <v>4</v>
      </c>
      <c r="G295" s="20" t="str">
        <f t="shared" si="20"/>
        <v>No</v>
      </c>
      <c r="H295" s="20" t="str">
        <f t="shared" si="21"/>
        <v>Thursday</v>
      </c>
      <c r="I295">
        <v>1</v>
      </c>
      <c r="J295" s="20" t="str">
        <f t="shared" si="23"/>
        <v>Clean</v>
      </c>
      <c r="K295">
        <v>0.24</v>
      </c>
      <c r="L295" s="20" t="str">
        <f t="shared" si="24"/>
        <v>Safe</v>
      </c>
      <c r="M295" s="20">
        <f t="shared" si="22"/>
        <v>0</v>
      </c>
    </row>
    <row r="296" spans="1:13" x14ac:dyDescent="0.3">
      <c r="A296">
        <v>295</v>
      </c>
      <c r="B296" s="46">
        <v>40556</v>
      </c>
      <c r="C296">
        <v>1</v>
      </c>
      <c r="D296">
        <v>17</v>
      </c>
      <c r="E296" t="b">
        <v>0</v>
      </c>
      <c r="F296">
        <v>4</v>
      </c>
      <c r="G296" s="20" t="str">
        <f t="shared" si="20"/>
        <v>No</v>
      </c>
      <c r="H296" s="20" t="str">
        <f t="shared" si="21"/>
        <v>Thursday</v>
      </c>
      <c r="I296">
        <v>1</v>
      </c>
      <c r="J296" s="20" t="str">
        <f t="shared" si="23"/>
        <v>Clean</v>
      </c>
      <c r="K296">
        <v>0.2</v>
      </c>
      <c r="L296" s="20" t="str">
        <f t="shared" si="24"/>
        <v>Safe</v>
      </c>
      <c r="M296" s="20">
        <f t="shared" si="22"/>
        <v>0</v>
      </c>
    </row>
    <row r="297" spans="1:13" x14ac:dyDescent="0.3">
      <c r="A297">
        <v>296</v>
      </c>
      <c r="B297" s="46">
        <v>40556</v>
      </c>
      <c r="C297">
        <v>1</v>
      </c>
      <c r="D297">
        <v>18</v>
      </c>
      <c r="E297" t="b">
        <v>0</v>
      </c>
      <c r="F297">
        <v>4</v>
      </c>
      <c r="G297" s="20" t="str">
        <f t="shared" si="20"/>
        <v>No</v>
      </c>
      <c r="H297" s="20" t="str">
        <f t="shared" si="21"/>
        <v>Thursday</v>
      </c>
      <c r="I297">
        <v>1</v>
      </c>
      <c r="J297" s="20" t="str">
        <f t="shared" si="23"/>
        <v>Clean</v>
      </c>
      <c r="K297">
        <v>0.2</v>
      </c>
      <c r="L297" s="20" t="str">
        <f t="shared" si="24"/>
        <v>Safe</v>
      </c>
      <c r="M297" s="20">
        <f t="shared" si="22"/>
        <v>0</v>
      </c>
    </row>
    <row r="298" spans="1:13" x14ac:dyDescent="0.3">
      <c r="A298">
        <v>297</v>
      </c>
      <c r="B298" s="46">
        <v>40556</v>
      </c>
      <c r="C298">
        <v>1</v>
      </c>
      <c r="D298">
        <v>19</v>
      </c>
      <c r="E298" t="b">
        <v>0</v>
      </c>
      <c r="F298">
        <v>4</v>
      </c>
      <c r="G298" s="20" t="str">
        <f t="shared" si="20"/>
        <v>No</v>
      </c>
      <c r="H298" s="20" t="str">
        <f t="shared" si="21"/>
        <v>Thursday</v>
      </c>
      <c r="I298">
        <v>1</v>
      </c>
      <c r="J298" s="20" t="str">
        <f t="shared" si="23"/>
        <v>Clean</v>
      </c>
      <c r="K298">
        <v>0.16</v>
      </c>
      <c r="L298" s="20" t="str">
        <f t="shared" si="24"/>
        <v>Safe</v>
      </c>
      <c r="M298" s="20">
        <f t="shared" si="22"/>
        <v>0</v>
      </c>
    </row>
    <row r="299" spans="1:13" x14ac:dyDescent="0.3">
      <c r="A299">
        <v>298</v>
      </c>
      <c r="B299" s="46">
        <v>40556</v>
      </c>
      <c r="C299">
        <v>1</v>
      </c>
      <c r="D299">
        <v>20</v>
      </c>
      <c r="E299" t="b">
        <v>0</v>
      </c>
      <c r="F299">
        <v>4</v>
      </c>
      <c r="G299" s="20" t="str">
        <f t="shared" si="20"/>
        <v>No</v>
      </c>
      <c r="H299" s="20" t="str">
        <f t="shared" si="21"/>
        <v>Thursday</v>
      </c>
      <c r="I299">
        <v>1</v>
      </c>
      <c r="J299" s="20" t="str">
        <f t="shared" si="23"/>
        <v>Clean</v>
      </c>
      <c r="K299">
        <v>0.16</v>
      </c>
      <c r="L299" s="20" t="str">
        <f t="shared" si="24"/>
        <v>Safe</v>
      </c>
      <c r="M299" s="20">
        <f t="shared" si="22"/>
        <v>0</v>
      </c>
    </row>
    <row r="300" spans="1:13" x14ac:dyDescent="0.3">
      <c r="A300">
        <v>299</v>
      </c>
      <c r="B300" s="46">
        <v>40556</v>
      </c>
      <c r="C300">
        <v>1</v>
      </c>
      <c r="D300">
        <v>21</v>
      </c>
      <c r="E300" t="b">
        <v>0</v>
      </c>
      <c r="F300">
        <v>4</v>
      </c>
      <c r="G300" s="20" t="str">
        <f t="shared" si="20"/>
        <v>No</v>
      </c>
      <c r="H300" s="20" t="str">
        <f t="shared" si="21"/>
        <v>Thursday</v>
      </c>
      <c r="I300">
        <v>1</v>
      </c>
      <c r="J300" s="20" t="str">
        <f t="shared" si="23"/>
        <v>Clean</v>
      </c>
      <c r="K300">
        <v>0.14000000000000001</v>
      </c>
      <c r="L300" s="20" t="str">
        <f t="shared" si="24"/>
        <v>Safe</v>
      </c>
      <c r="M300" s="20">
        <f t="shared" si="22"/>
        <v>0</v>
      </c>
    </row>
    <row r="301" spans="1:13" x14ac:dyDescent="0.3">
      <c r="A301">
        <v>300</v>
      </c>
      <c r="B301" s="46">
        <v>40556</v>
      </c>
      <c r="C301">
        <v>1</v>
      </c>
      <c r="D301">
        <v>22</v>
      </c>
      <c r="E301" t="b">
        <v>0</v>
      </c>
      <c r="F301">
        <v>4</v>
      </c>
      <c r="G301" s="20" t="str">
        <f t="shared" si="20"/>
        <v>No</v>
      </c>
      <c r="H301" s="20" t="str">
        <f t="shared" si="21"/>
        <v>Thursday</v>
      </c>
      <c r="I301">
        <v>1</v>
      </c>
      <c r="J301" s="20" t="str">
        <f t="shared" si="23"/>
        <v>Clean</v>
      </c>
      <c r="K301">
        <v>0.14000000000000001</v>
      </c>
      <c r="L301" s="20" t="str">
        <f t="shared" si="24"/>
        <v>Safe</v>
      </c>
      <c r="M301" s="20">
        <f t="shared" si="22"/>
        <v>0</v>
      </c>
    </row>
    <row r="302" spans="1:13" x14ac:dyDescent="0.3">
      <c r="A302">
        <v>301</v>
      </c>
      <c r="B302" s="46">
        <v>40556</v>
      </c>
      <c r="C302">
        <v>1</v>
      </c>
      <c r="D302">
        <v>23</v>
      </c>
      <c r="E302" t="b">
        <v>0</v>
      </c>
      <c r="F302">
        <v>4</v>
      </c>
      <c r="G302" s="20" t="str">
        <f t="shared" si="20"/>
        <v>No</v>
      </c>
      <c r="H302" s="20" t="str">
        <f t="shared" si="21"/>
        <v>Thursday</v>
      </c>
      <c r="I302">
        <v>1</v>
      </c>
      <c r="J302" s="20" t="str">
        <f t="shared" si="23"/>
        <v>Clean</v>
      </c>
      <c r="K302">
        <v>0.12</v>
      </c>
      <c r="L302" s="20" t="str">
        <f t="shared" si="24"/>
        <v>Safe</v>
      </c>
      <c r="M302" s="20">
        <f t="shared" si="22"/>
        <v>0</v>
      </c>
    </row>
    <row r="303" spans="1:13" x14ac:dyDescent="0.3">
      <c r="A303">
        <v>302</v>
      </c>
      <c r="B303" s="46">
        <v>40557</v>
      </c>
      <c r="C303">
        <v>1</v>
      </c>
      <c r="D303">
        <v>0</v>
      </c>
      <c r="E303" t="b">
        <v>0</v>
      </c>
      <c r="F303">
        <v>5</v>
      </c>
      <c r="G303" s="20" t="str">
        <f t="shared" si="20"/>
        <v>No</v>
      </c>
      <c r="H303" s="20" t="str">
        <f t="shared" si="21"/>
        <v>Friday</v>
      </c>
      <c r="I303">
        <v>1</v>
      </c>
      <c r="J303" s="20" t="str">
        <f t="shared" si="23"/>
        <v>Clean</v>
      </c>
      <c r="K303">
        <v>0.12</v>
      </c>
      <c r="L303" s="20" t="str">
        <f t="shared" si="24"/>
        <v>Safe</v>
      </c>
      <c r="M303" s="20">
        <f t="shared" si="22"/>
        <v>0</v>
      </c>
    </row>
    <row r="304" spans="1:13" x14ac:dyDescent="0.3">
      <c r="A304">
        <v>303</v>
      </c>
      <c r="B304" s="46">
        <v>40557</v>
      </c>
      <c r="C304">
        <v>1</v>
      </c>
      <c r="D304">
        <v>1</v>
      </c>
      <c r="E304" t="b">
        <v>0</v>
      </c>
      <c r="F304">
        <v>5</v>
      </c>
      <c r="G304" s="20" t="str">
        <f t="shared" si="20"/>
        <v>No</v>
      </c>
      <c r="H304" s="20" t="str">
        <f t="shared" si="21"/>
        <v>Friday</v>
      </c>
      <c r="I304">
        <v>1</v>
      </c>
      <c r="J304" s="20" t="str">
        <f t="shared" si="23"/>
        <v>Clean</v>
      </c>
      <c r="K304">
        <v>0.1</v>
      </c>
      <c r="L304" s="20" t="str">
        <f t="shared" si="24"/>
        <v>Safe</v>
      </c>
      <c r="M304" s="20">
        <f t="shared" si="22"/>
        <v>0</v>
      </c>
    </row>
    <row r="305" spans="1:13" x14ac:dyDescent="0.3">
      <c r="A305">
        <v>304</v>
      </c>
      <c r="B305" s="46">
        <v>40557</v>
      </c>
      <c r="C305">
        <v>1</v>
      </c>
      <c r="D305">
        <v>2</v>
      </c>
      <c r="E305" t="b">
        <v>0</v>
      </c>
      <c r="F305">
        <v>5</v>
      </c>
      <c r="G305" s="20" t="str">
        <f t="shared" si="20"/>
        <v>No</v>
      </c>
      <c r="H305" s="20" t="str">
        <f t="shared" si="21"/>
        <v>Friday</v>
      </c>
      <c r="I305">
        <v>1</v>
      </c>
      <c r="J305" s="20" t="str">
        <f t="shared" si="23"/>
        <v>Clean</v>
      </c>
      <c r="K305">
        <v>0.1</v>
      </c>
      <c r="L305" s="20" t="str">
        <f t="shared" si="24"/>
        <v>Safe</v>
      </c>
      <c r="M305" s="20">
        <f t="shared" si="22"/>
        <v>0</v>
      </c>
    </row>
    <row r="306" spans="1:13" x14ac:dyDescent="0.3">
      <c r="A306">
        <v>305</v>
      </c>
      <c r="B306" s="46">
        <v>40557</v>
      </c>
      <c r="C306">
        <v>1</v>
      </c>
      <c r="D306">
        <v>3</v>
      </c>
      <c r="E306" t="b">
        <v>0</v>
      </c>
      <c r="F306">
        <v>5</v>
      </c>
      <c r="G306" s="20" t="str">
        <f t="shared" si="20"/>
        <v>No</v>
      </c>
      <c r="H306" s="20" t="str">
        <f t="shared" si="21"/>
        <v>Friday</v>
      </c>
      <c r="I306">
        <v>1</v>
      </c>
      <c r="J306" s="20" t="str">
        <f t="shared" si="23"/>
        <v>Clean</v>
      </c>
      <c r="K306">
        <v>0.1</v>
      </c>
      <c r="L306" s="20" t="str">
        <f t="shared" si="24"/>
        <v>Safe</v>
      </c>
      <c r="M306" s="20">
        <f t="shared" si="22"/>
        <v>0</v>
      </c>
    </row>
    <row r="307" spans="1:13" x14ac:dyDescent="0.3">
      <c r="A307">
        <v>306</v>
      </c>
      <c r="B307" s="46">
        <v>40557</v>
      </c>
      <c r="C307">
        <v>1</v>
      </c>
      <c r="D307">
        <v>5</v>
      </c>
      <c r="E307" t="b">
        <v>0</v>
      </c>
      <c r="F307">
        <v>5</v>
      </c>
      <c r="G307" s="20" t="str">
        <f t="shared" si="20"/>
        <v>No</v>
      </c>
      <c r="H307" s="20" t="str">
        <f t="shared" si="21"/>
        <v>Friday</v>
      </c>
      <c r="I307">
        <v>1</v>
      </c>
      <c r="J307" s="20" t="str">
        <f t="shared" si="23"/>
        <v>Clean</v>
      </c>
      <c r="K307">
        <v>0.1</v>
      </c>
      <c r="L307" s="20" t="str">
        <f t="shared" si="24"/>
        <v>Safe</v>
      </c>
      <c r="M307" s="20">
        <f t="shared" si="22"/>
        <v>0</v>
      </c>
    </row>
    <row r="308" spans="1:13" x14ac:dyDescent="0.3">
      <c r="A308">
        <v>307</v>
      </c>
      <c r="B308" s="46">
        <v>40557</v>
      </c>
      <c r="C308">
        <v>1</v>
      </c>
      <c r="D308">
        <v>6</v>
      </c>
      <c r="E308" t="b">
        <v>0</v>
      </c>
      <c r="F308">
        <v>5</v>
      </c>
      <c r="G308" s="20" t="str">
        <f t="shared" si="20"/>
        <v>No</v>
      </c>
      <c r="H308" s="20" t="str">
        <f t="shared" si="21"/>
        <v>Friday</v>
      </c>
      <c r="I308">
        <v>1</v>
      </c>
      <c r="J308" s="20" t="str">
        <f t="shared" si="23"/>
        <v>Clean</v>
      </c>
      <c r="K308">
        <v>0.1</v>
      </c>
      <c r="L308" s="20" t="str">
        <f t="shared" si="24"/>
        <v>Safe</v>
      </c>
      <c r="M308" s="20">
        <f t="shared" si="22"/>
        <v>0</v>
      </c>
    </row>
    <row r="309" spans="1:13" x14ac:dyDescent="0.3">
      <c r="A309">
        <v>308</v>
      </c>
      <c r="B309" s="46">
        <v>40557</v>
      </c>
      <c r="C309">
        <v>1</v>
      </c>
      <c r="D309">
        <v>7</v>
      </c>
      <c r="E309" t="b">
        <v>0</v>
      </c>
      <c r="F309">
        <v>5</v>
      </c>
      <c r="G309" s="20" t="str">
        <f t="shared" si="20"/>
        <v>No</v>
      </c>
      <c r="H309" s="20" t="str">
        <f t="shared" si="21"/>
        <v>Friday</v>
      </c>
      <c r="I309">
        <v>1</v>
      </c>
      <c r="J309" s="20" t="str">
        <f t="shared" si="23"/>
        <v>Clean</v>
      </c>
      <c r="K309">
        <v>0.1</v>
      </c>
      <c r="L309" s="20" t="str">
        <f t="shared" si="24"/>
        <v>Safe</v>
      </c>
      <c r="M309" s="20">
        <f t="shared" si="22"/>
        <v>0</v>
      </c>
    </row>
    <row r="310" spans="1:13" x14ac:dyDescent="0.3">
      <c r="A310">
        <v>309</v>
      </c>
      <c r="B310" s="46">
        <v>40557</v>
      </c>
      <c r="C310">
        <v>1</v>
      </c>
      <c r="D310">
        <v>8</v>
      </c>
      <c r="E310" t="b">
        <v>0</v>
      </c>
      <c r="F310">
        <v>5</v>
      </c>
      <c r="G310" s="20" t="str">
        <f t="shared" si="20"/>
        <v>No</v>
      </c>
      <c r="H310" s="20" t="str">
        <f t="shared" si="21"/>
        <v>Friday</v>
      </c>
      <c r="I310">
        <v>1</v>
      </c>
      <c r="J310" s="20" t="str">
        <f t="shared" si="23"/>
        <v>Clean</v>
      </c>
      <c r="K310">
        <v>0.12</v>
      </c>
      <c r="L310" s="20" t="str">
        <f t="shared" si="24"/>
        <v>Safe</v>
      </c>
      <c r="M310" s="20">
        <f t="shared" si="22"/>
        <v>0</v>
      </c>
    </row>
    <row r="311" spans="1:13" x14ac:dyDescent="0.3">
      <c r="A311">
        <v>310</v>
      </c>
      <c r="B311" s="46">
        <v>40557</v>
      </c>
      <c r="C311">
        <v>1</v>
      </c>
      <c r="D311">
        <v>9</v>
      </c>
      <c r="E311" t="b">
        <v>0</v>
      </c>
      <c r="F311">
        <v>5</v>
      </c>
      <c r="G311" s="20" t="str">
        <f t="shared" si="20"/>
        <v>No</v>
      </c>
      <c r="H311" s="20" t="str">
        <f t="shared" si="21"/>
        <v>Friday</v>
      </c>
      <c r="I311">
        <v>1</v>
      </c>
      <c r="J311" s="20" t="str">
        <f t="shared" si="23"/>
        <v>Clean</v>
      </c>
      <c r="K311">
        <v>0.14000000000000001</v>
      </c>
      <c r="L311" s="20" t="str">
        <f t="shared" si="24"/>
        <v>Safe</v>
      </c>
      <c r="M311" s="20">
        <f t="shared" si="22"/>
        <v>0</v>
      </c>
    </row>
    <row r="312" spans="1:13" x14ac:dyDescent="0.3">
      <c r="A312">
        <v>311</v>
      </c>
      <c r="B312" s="46">
        <v>40557</v>
      </c>
      <c r="C312">
        <v>1</v>
      </c>
      <c r="D312">
        <v>10</v>
      </c>
      <c r="E312" t="b">
        <v>0</v>
      </c>
      <c r="F312">
        <v>5</v>
      </c>
      <c r="G312" s="20" t="str">
        <f t="shared" si="20"/>
        <v>No</v>
      </c>
      <c r="H312" s="20" t="str">
        <f t="shared" si="21"/>
        <v>Friday</v>
      </c>
      <c r="I312">
        <v>1</v>
      </c>
      <c r="J312" s="20" t="str">
        <f t="shared" si="23"/>
        <v>Clean</v>
      </c>
      <c r="K312">
        <v>0.18</v>
      </c>
      <c r="L312" s="20" t="str">
        <f t="shared" si="24"/>
        <v>Safe</v>
      </c>
      <c r="M312" s="20">
        <f t="shared" si="22"/>
        <v>0</v>
      </c>
    </row>
    <row r="313" spans="1:13" x14ac:dyDescent="0.3">
      <c r="A313">
        <v>312</v>
      </c>
      <c r="B313" s="46">
        <v>40557</v>
      </c>
      <c r="C313">
        <v>1</v>
      </c>
      <c r="D313">
        <v>11</v>
      </c>
      <c r="E313" t="b">
        <v>0</v>
      </c>
      <c r="F313">
        <v>5</v>
      </c>
      <c r="G313" s="20" t="str">
        <f t="shared" si="20"/>
        <v>No</v>
      </c>
      <c r="H313" s="20" t="str">
        <f t="shared" si="21"/>
        <v>Friday</v>
      </c>
      <c r="I313">
        <v>1</v>
      </c>
      <c r="J313" s="20" t="str">
        <f t="shared" si="23"/>
        <v>Clean</v>
      </c>
      <c r="K313">
        <v>0.18</v>
      </c>
      <c r="L313" s="20" t="str">
        <f t="shared" si="24"/>
        <v>Safe</v>
      </c>
      <c r="M313" s="20">
        <f t="shared" si="22"/>
        <v>0</v>
      </c>
    </row>
    <row r="314" spans="1:13" x14ac:dyDescent="0.3">
      <c r="A314">
        <v>313</v>
      </c>
      <c r="B314" s="46">
        <v>40557</v>
      </c>
      <c r="C314">
        <v>1</v>
      </c>
      <c r="D314">
        <v>12</v>
      </c>
      <c r="E314" t="b">
        <v>0</v>
      </c>
      <c r="F314">
        <v>5</v>
      </c>
      <c r="G314" s="20" t="str">
        <f t="shared" si="20"/>
        <v>No</v>
      </c>
      <c r="H314" s="20" t="str">
        <f t="shared" si="21"/>
        <v>Friday</v>
      </c>
      <c r="I314">
        <v>1</v>
      </c>
      <c r="J314" s="20" t="str">
        <f t="shared" si="23"/>
        <v>Clean</v>
      </c>
      <c r="K314">
        <v>0.2</v>
      </c>
      <c r="L314" s="20" t="str">
        <f t="shared" si="24"/>
        <v>Safe</v>
      </c>
      <c r="M314" s="20">
        <f t="shared" si="22"/>
        <v>0</v>
      </c>
    </row>
    <row r="315" spans="1:13" x14ac:dyDescent="0.3">
      <c r="A315">
        <v>314</v>
      </c>
      <c r="B315" s="46">
        <v>40557</v>
      </c>
      <c r="C315">
        <v>1</v>
      </c>
      <c r="D315">
        <v>13</v>
      </c>
      <c r="E315" t="b">
        <v>0</v>
      </c>
      <c r="F315">
        <v>5</v>
      </c>
      <c r="G315" s="20" t="str">
        <f t="shared" si="20"/>
        <v>No</v>
      </c>
      <c r="H315" s="20" t="str">
        <f t="shared" si="21"/>
        <v>Friday</v>
      </c>
      <c r="I315">
        <v>1</v>
      </c>
      <c r="J315" s="20" t="str">
        <f t="shared" si="23"/>
        <v>Clean</v>
      </c>
      <c r="K315">
        <v>0.22</v>
      </c>
      <c r="L315" s="20" t="str">
        <f t="shared" si="24"/>
        <v>Safe</v>
      </c>
      <c r="M315" s="20">
        <f t="shared" si="22"/>
        <v>0</v>
      </c>
    </row>
    <row r="316" spans="1:13" x14ac:dyDescent="0.3">
      <c r="A316">
        <v>315</v>
      </c>
      <c r="B316" s="46">
        <v>40557</v>
      </c>
      <c r="C316">
        <v>1</v>
      </c>
      <c r="D316">
        <v>14</v>
      </c>
      <c r="E316" t="b">
        <v>0</v>
      </c>
      <c r="F316">
        <v>5</v>
      </c>
      <c r="G316" s="20" t="str">
        <f t="shared" si="20"/>
        <v>No</v>
      </c>
      <c r="H316" s="20" t="str">
        <f t="shared" si="21"/>
        <v>Friday</v>
      </c>
      <c r="I316">
        <v>1</v>
      </c>
      <c r="J316" s="20" t="str">
        <f t="shared" si="23"/>
        <v>Clean</v>
      </c>
      <c r="K316">
        <v>0.22</v>
      </c>
      <c r="L316" s="20" t="str">
        <f t="shared" si="24"/>
        <v>Safe</v>
      </c>
      <c r="M316" s="20">
        <f t="shared" si="22"/>
        <v>0</v>
      </c>
    </row>
    <row r="317" spans="1:13" x14ac:dyDescent="0.3">
      <c r="A317">
        <v>316</v>
      </c>
      <c r="B317" s="46">
        <v>40557</v>
      </c>
      <c r="C317">
        <v>1</v>
      </c>
      <c r="D317">
        <v>15</v>
      </c>
      <c r="E317" t="b">
        <v>0</v>
      </c>
      <c r="F317">
        <v>5</v>
      </c>
      <c r="G317" s="20" t="str">
        <f t="shared" si="20"/>
        <v>No</v>
      </c>
      <c r="H317" s="20" t="str">
        <f t="shared" si="21"/>
        <v>Friday</v>
      </c>
      <c r="I317">
        <v>1</v>
      </c>
      <c r="J317" s="20" t="str">
        <f t="shared" si="23"/>
        <v>Clean</v>
      </c>
      <c r="K317">
        <v>0.24</v>
      </c>
      <c r="L317" s="20" t="str">
        <f t="shared" si="24"/>
        <v>Safe</v>
      </c>
      <c r="M317" s="20">
        <f t="shared" si="22"/>
        <v>0</v>
      </c>
    </row>
    <row r="318" spans="1:13" x14ac:dyDescent="0.3">
      <c r="A318">
        <v>317</v>
      </c>
      <c r="B318" s="46">
        <v>40557</v>
      </c>
      <c r="C318">
        <v>1</v>
      </c>
      <c r="D318">
        <v>16</v>
      </c>
      <c r="E318" t="b">
        <v>0</v>
      </c>
      <c r="F318">
        <v>5</v>
      </c>
      <c r="G318" s="20" t="str">
        <f t="shared" si="20"/>
        <v>No</v>
      </c>
      <c r="H318" s="20" t="str">
        <f t="shared" si="21"/>
        <v>Friday</v>
      </c>
      <c r="I318">
        <v>1</v>
      </c>
      <c r="J318" s="20" t="str">
        <f t="shared" si="23"/>
        <v>Clean</v>
      </c>
      <c r="K318">
        <v>0.22</v>
      </c>
      <c r="L318" s="20" t="str">
        <f t="shared" si="24"/>
        <v>Safe</v>
      </c>
      <c r="M318" s="20">
        <f t="shared" si="22"/>
        <v>0</v>
      </c>
    </row>
    <row r="319" spans="1:13" x14ac:dyDescent="0.3">
      <c r="A319">
        <v>318</v>
      </c>
      <c r="B319" s="46">
        <v>40557</v>
      </c>
      <c r="C319">
        <v>1</v>
      </c>
      <c r="D319">
        <v>17</v>
      </c>
      <c r="E319" t="b">
        <v>0</v>
      </c>
      <c r="F319">
        <v>5</v>
      </c>
      <c r="G319" s="20" t="str">
        <f t="shared" si="20"/>
        <v>No</v>
      </c>
      <c r="H319" s="20" t="str">
        <f t="shared" si="21"/>
        <v>Friday</v>
      </c>
      <c r="I319">
        <v>1</v>
      </c>
      <c r="J319" s="20" t="str">
        <f t="shared" si="23"/>
        <v>Clean</v>
      </c>
      <c r="K319">
        <v>0.22</v>
      </c>
      <c r="L319" s="20" t="str">
        <f t="shared" si="24"/>
        <v>Safe</v>
      </c>
      <c r="M319" s="20">
        <f t="shared" si="22"/>
        <v>0</v>
      </c>
    </row>
    <row r="320" spans="1:13" x14ac:dyDescent="0.3">
      <c r="A320">
        <v>319</v>
      </c>
      <c r="B320" s="46">
        <v>40557</v>
      </c>
      <c r="C320">
        <v>1</v>
      </c>
      <c r="D320">
        <v>18</v>
      </c>
      <c r="E320" t="b">
        <v>0</v>
      </c>
      <c r="F320">
        <v>5</v>
      </c>
      <c r="G320" s="20" t="str">
        <f t="shared" si="20"/>
        <v>No</v>
      </c>
      <c r="H320" s="20" t="str">
        <f t="shared" si="21"/>
        <v>Friday</v>
      </c>
      <c r="I320">
        <v>1</v>
      </c>
      <c r="J320" s="20" t="str">
        <f t="shared" si="23"/>
        <v>Clean</v>
      </c>
      <c r="K320">
        <v>0.2</v>
      </c>
      <c r="L320" s="20" t="str">
        <f t="shared" si="24"/>
        <v>Safe</v>
      </c>
      <c r="M320" s="20">
        <f t="shared" si="22"/>
        <v>0</v>
      </c>
    </row>
    <row r="321" spans="1:13" x14ac:dyDescent="0.3">
      <c r="A321">
        <v>320</v>
      </c>
      <c r="B321" s="46">
        <v>40557</v>
      </c>
      <c r="C321">
        <v>1</v>
      </c>
      <c r="D321">
        <v>19</v>
      </c>
      <c r="E321" t="b">
        <v>0</v>
      </c>
      <c r="F321">
        <v>5</v>
      </c>
      <c r="G321" s="20" t="str">
        <f t="shared" si="20"/>
        <v>No</v>
      </c>
      <c r="H321" s="20" t="str">
        <f t="shared" si="21"/>
        <v>Friday</v>
      </c>
      <c r="I321">
        <v>1</v>
      </c>
      <c r="J321" s="20" t="str">
        <f t="shared" si="23"/>
        <v>Clean</v>
      </c>
      <c r="K321">
        <v>0.16</v>
      </c>
      <c r="L321" s="20" t="str">
        <f t="shared" si="24"/>
        <v>Safe</v>
      </c>
      <c r="M321" s="20">
        <f t="shared" si="22"/>
        <v>0</v>
      </c>
    </row>
    <row r="322" spans="1:13" x14ac:dyDescent="0.3">
      <c r="A322">
        <v>321</v>
      </c>
      <c r="B322" s="46">
        <v>40557</v>
      </c>
      <c r="C322">
        <v>1</v>
      </c>
      <c r="D322">
        <v>20</v>
      </c>
      <c r="E322" t="b">
        <v>0</v>
      </c>
      <c r="F322">
        <v>5</v>
      </c>
      <c r="G322" s="20" t="str">
        <f t="shared" ref="G322:G385" si="25">_xlfn.IFS(F322=0,"Yes",F322=6,"Yes",F322&gt;0,"No")</f>
        <v>No</v>
      </c>
      <c r="H322" s="20" t="str">
        <f t="shared" ref="H322:H385" si="26">TEXT(B322:B931,"dddd")</f>
        <v>Friday</v>
      </c>
      <c r="I322">
        <v>1</v>
      </c>
      <c r="J322" s="20" t="str">
        <f t="shared" si="23"/>
        <v>Clean</v>
      </c>
      <c r="K322">
        <v>0.18</v>
      </c>
      <c r="L322" s="20" t="str">
        <f t="shared" si="24"/>
        <v>Safe</v>
      </c>
      <c r="M322" s="20">
        <f t="shared" ref="M322:M385" si="27">COUNTBLANK(A322:K322)</f>
        <v>0</v>
      </c>
    </row>
    <row r="323" spans="1:13" x14ac:dyDescent="0.3">
      <c r="A323">
        <v>322</v>
      </c>
      <c r="B323" s="46">
        <v>40557</v>
      </c>
      <c r="C323">
        <v>1</v>
      </c>
      <c r="D323">
        <v>21</v>
      </c>
      <c r="E323" t="b">
        <v>0</v>
      </c>
      <c r="F323">
        <v>5</v>
      </c>
      <c r="G323" s="20" t="str">
        <f t="shared" si="25"/>
        <v>No</v>
      </c>
      <c r="H323" s="20" t="str">
        <f t="shared" si="26"/>
        <v>Friday</v>
      </c>
      <c r="I323">
        <v>1</v>
      </c>
      <c r="J323" s="20" t="str">
        <f t="shared" ref="J323:J386" si="28">_xlfn.IFS(I323=1,"Clean",I323=2,"Misty",I323=3,"Light Rain",I323=4,"Heavy Rain")</f>
        <v>Clean</v>
      </c>
      <c r="K323">
        <v>0.16</v>
      </c>
      <c r="L323" s="20" t="str">
        <f t="shared" ref="L323:L386" si="29">_xlfn.IFS(K323&lt;0.1,"Risky",K323&lt;0.35,"Safe",K323&gt;0.35,"Risky")</f>
        <v>Safe</v>
      </c>
      <c r="M323" s="20">
        <f t="shared" si="27"/>
        <v>0</v>
      </c>
    </row>
    <row r="324" spans="1:13" x14ac:dyDescent="0.3">
      <c r="A324">
        <v>323</v>
      </c>
      <c r="B324" s="46">
        <v>40557</v>
      </c>
      <c r="C324">
        <v>1</v>
      </c>
      <c r="D324">
        <v>22</v>
      </c>
      <c r="E324" t="b">
        <v>0</v>
      </c>
      <c r="F324">
        <v>5</v>
      </c>
      <c r="G324" s="20" t="str">
        <f t="shared" si="25"/>
        <v>No</v>
      </c>
      <c r="H324" s="20" t="str">
        <f t="shared" si="26"/>
        <v>Friday</v>
      </c>
      <c r="I324">
        <v>2</v>
      </c>
      <c r="J324" s="20" t="str">
        <f t="shared" si="28"/>
        <v>Misty</v>
      </c>
      <c r="K324">
        <v>0.16</v>
      </c>
      <c r="L324" s="20" t="str">
        <f t="shared" si="29"/>
        <v>Safe</v>
      </c>
      <c r="M324" s="20">
        <f t="shared" si="27"/>
        <v>0</v>
      </c>
    </row>
    <row r="325" spans="1:13" x14ac:dyDescent="0.3">
      <c r="A325">
        <v>324</v>
      </c>
      <c r="B325" s="46">
        <v>40557</v>
      </c>
      <c r="C325">
        <v>1</v>
      </c>
      <c r="D325">
        <v>23</v>
      </c>
      <c r="E325" t="b">
        <v>0</v>
      </c>
      <c r="F325">
        <v>5</v>
      </c>
      <c r="G325" s="20" t="str">
        <f t="shared" si="25"/>
        <v>No</v>
      </c>
      <c r="H325" s="20" t="str">
        <f t="shared" si="26"/>
        <v>Friday</v>
      </c>
      <c r="I325">
        <v>2</v>
      </c>
      <c r="J325" s="20" t="str">
        <f t="shared" si="28"/>
        <v>Misty</v>
      </c>
      <c r="K325">
        <v>0.18</v>
      </c>
      <c r="L325" s="20" t="str">
        <f t="shared" si="29"/>
        <v>Safe</v>
      </c>
      <c r="M325" s="20">
        <f t="shared" si="27"/>
        <v>0</v>
      </c>
    </row>
    <row r="326" spans="1:13" x14ac:dyDescent="0.3">
      <c r="A326">
        <v>325</v>
      </c>
      <c r="B326" s="46">
        <v>40558</v>
      </c>
      <c r="C326">
        <v>1</v>
      </c>
      <c r="D326">
        <v>0</v>
      </c>
      <c r="E326" t="b">
        <v>0</v>
      </c>
      <c r="F326">
        <v>6</v>
      </c>
      <c r="G326" s="20" t="str">
        <f t="shared" si="25"/>
        <v>Yes</v>
      </c>
      <c r="H326" s="20" t="str">
        <f t="shared" si="26"/>
        <v>Saturday</v>
      </c>
      <c r="I326">
        <v>1</v>
      </c>
      <c r="J326" s="20" t="str">
        <f t="shared" si="28"/>
        <v>Clean</v>
      </c>
      <c r="K326">
        <v>0.18</v>
      </c>
      <c r="L326" s="20" t="str">
        <f t="shared" si="29"/>
        <v>Safe</v>
      </c>
      <c r="M326" s="20">
        <f t="shared" si="27"/>
        <v>0</v>
      </c>
    </row>
    <row r="327" spans="1:13" x14ac:dyDescent="0.3">
      <c r="A327">
        <v>326</v>
      </c>
      <c r="B327" s="46">
        <v>40558</v>
      </c>
      <c r="C327">
        <v>1</v>
      </c>
      <c r="D327">
        <v>1</v>
      </c>
      <c r="E327" t="b">
        <v>0</v>
      </c>
      <c r="F327">
        <v>6</v>
      </c>
      <c r="G327" s="20" t="str">
        <f t="shared" si="25"/>
        <v>Yes</v>
      </c>
      <c r="H327" s="20" t="str">
        <f t="shared" si="26"/>
        <v>Saturday</v>
      </c>
      <c r="I327">
        <v>2</v>
      </c>
      <c r="J327" s="20" t="str">
        <f t="shared" si="28"/>
        <v>Misty</v>
      </c>
      <c r="K327">
        <v>0.16</v>
      </c>
      <c r="L327" s="20" t="str">
        <f t="shared" si="29"/>
        <v>Safe</v>
      </c>
      <c r="M327" s="20">
        <f t="shared" si="27"/>
        <v>0</v>
      </c>
    </row>
    <row r="328" spans="1:13" x14ac:dyDescent="0.3">
      <c r="A328">
        <v>327</v>
      </c>
      <c r="B328" s="46">
        <v>40558</v>
      </c>
      <c r="C328">
        <v>1</v>
      </c>
      <c r="D328">
        <v>2</v>
      </c>
      <c r="E328" t="b">
        <v>0</v>
      </c>
      <c r="F328">
        <v>6</v>
      </c>
      <c r="G328" s="20" t="str">
        <f t="shared" si="25"/>
        <v>Yes</v>
      </c>
      <c r="H328" s="20" t="str">
        <f t="shared" si="26"/>
        <v>Saturday</v>
      </c>
      <c r="I328">
        <v>2</v>
      </c>
      <c r="J328" s="20" t="str">
        <f t="shared" si="28"/>
        <v>Misty</v>
      </c>
      <c r="K328">
        <v>0.16</v>
      </c>
      <c r="L328" s="20" t="str">
        <f t="shared" si="29"/>
        <v>Safe</v>
      </c>
      <c r="M328" s="20">
        <f t="shared" si="27"/>
        <v>0</v>
      </c>
    </row>
    <row r="329" spans="1:13" x14ac:dyDescent="0.3">
      <c r="A329">
        <v>328</v>
      </c>
      <c r="B329" s="46">
        <v>40558</v>
      </c>
      <c r="C329">
        <v>1</v>
      </c>
      <c r="D329">
        <v>3</v>
      </c>
      <c r="E329" t="b">
        <v>0</v>
      </c>
      <c r="F329">
        <v>6</v>
      </c>
      <c r="G329" s="20" t="str">
        <f t="shared" si="25"/>
        <v>Yes</v>
      </c>
      <c r="H329" s="20" t="str">
        <f t="shared" si="26"/>
        <v>Saturday</v>
      </c>
      <c r="I329">
        <v>2</v>
      </c>
      <c r="J329" s="20" t="str">
        <f t="shared" si="28"/>
        <v>Misty</v>
      </c>
      <c r="K329">
        <v>0.16</v>
      </c>
      <c r="L329" s="20" t="str">
        <f t="shared" si="29"/>
        <v>Safe</v>
      </c>
      <c r="M329" s="20">
        <f t="shared" si="27"/>
        <v>0</v>
      </c>
    </row>
    <row r="330" spans="1:13" x14ac:dyDescent="0.3">
      <c r="A330">
        <v>329</v>
      </c>
      <c r="B330" s="46">
        <v>40558</v>
      </c>
      <c r="C330">
        <v>1</v>
      </c>
      <c r="D330">
        <v>4</v>
      </c>
      <c r="E330" t="b">
        <v>0</v>
      </c>
      <c r="F330">
        <v>6</v>
      </c>
      <c r="G330" s="20" t="str">
        <f t="shared" si="25"/>
        <v>Yes</v>
      </c>
      <c r="H330" s="20" t="str">
        <f t="shared" si="26"/>
        <v>Saturday</v>
      </c>
      <c r="I330">
        <v>2</v>
      </c>
      <c r="J330" s="20" t="str">
        <f t="shared" si="28"/>
        <v>Misty</v>
      </c>
      <c r="K330">
        <v>0.16</v>
      </c>
      <c r="L330" s="20" t="str">
        <f t="shared" si="29"/>
        <v>Safe</v>
      </c>
      <c r="M330" s="20">
        <f t="shared" si="27"/>
        <v>0</v>
      </c>
    </row>
    <row r="331" spans="1:13" x14ac:dyDescent="0.3">
      <c r="A331">
        <v>330</v>
      </c>
      <c r="B331" s="46">
        <v>40558</v>
      </c>
      <c r="C331">
        <v>1</v>
      </c>
      <c r="D331">
        <v>5</v>
      </c>
      <c r="E331" t="b">
        <v>0</v>
      </c>
      <c r="F331">
        <v>6</v>
      </c>
      <c r="G331" s="20" t="str">
        <f t="shared" si="25"/>
        <v>Yes</v>
      </c>
      <c r="H331" s="20" t="str">
        <f t="shared" si="26"/>
        <v>Saturday</v>
      </c>
      <c r="I331">
        <v>1</v>
      </c>
      <c r="J331" s="20" t="str">
        <f t="shared" si="28"/>
        <v>Clean</v>
      </c>
      <c r="K331">
        <v>0.16</v>
      </c>
      <c r="L331" s="20" t="str">
        <f t="shared" si="29"/>
        <v>Safe</v>
      </c>
      <c r="M331" s="20">
        <f t="shared" si="27"/>
        <v>0</v>
      </c>
    </row>
    <row r="332" spans="1:13" x14ac:dyDescent="0.3">
      <c r="A332">
        <v>331</v>
      </c>
      <c r="B332" s="46">
        <v>40558</v>
      </c>
      <c r="C332">
        <v>1</v>
      </c>
      <c r="D332">
        <v>6</v>
      </c>
      <c r="E332" t="b">
        <v>0</v>
      </c>
      <c r="F332">
        <v>6</v>
      </c>
      <c r="G332" s="20" t="str">
        <f t="shared" si="25"/>
        <v>Yes</v>
      </c>
      <c r="H332" s="20" t="str">
        <f t="shared" si="26"/>
        <v>Saturday</v>
      </c>
      <c r="I332">
        <v>1</v>
      </c>
      <c r="J332" s="20" t="str">
        <f t="shared" si="28"/>
        <v>Clean</v>
      </c>
      <c r="K332">
        <v>0.14000000000000001</v>
      </c>
      <c r="L332" s="20" t="str">
        <f t="shared" si="29"/>
        <v>Safe</v>
      </c>
      <c r="M332" s="20">
        <f t="shared" si="27"/>
        <v>0</v>
      </c>
    </row>
    <row r="333" spans="1:13" x14ac:dyDescent="0.3">
      <c r="A333">
        <v>332</v>
      </c>
      <c r="B333" s="46">
        <v>40558</v>
      </c>
      <c r="C333">
        <v>1</v>
      </c>
      <c r="D333">
        <v>7</v>
      </c>
      <c r="E333" t="b">
        <v>0</v>
      </c>
      <c r="F333">
        <v>6</v>
      </c>
      <c r="G333" s="20" t="str">
        <f t="shared" si="25"/>
        <v>Yes</v>
      </c>
      <c r="H333" s="20" t="str">
        <f t="shared" si="26"/>
        <v>Saturday</v>
      </c>
      <c r="I333">
        <v>1</v>
      </c>
      <c r="J333" s="20" t="str">
        <f t="shared" si="28"/>
        <v>Clean</v>
      </c>
      <c r="K333">
        <v>0.14000000000000001</v>
      </c>
      <c r="L333" s="20" t="str">
        <f t="shared" si="29"/>
        <v>Safe</v>
      </c>
      <c r="M333" s="20">
        <f t="shared" si="27"/>
        <v>0</v>
      </c>
    </row>
    <row r="334" spans="1:13" x14ac:dyDescent="0.3">
      <c r="A334">
        <v>333</v>
      </c>
      <c r="B334" s="46">
        <v>40558</v>
      </c>
      <c r="C334">
        <v>1</v>
      </c>
      <c r="D334">
        <v>8</v>
      </c>
      <c r="E334" t="b">
        <v>0</v>
      </c>
      <c r="F334">
        <v>6</v>
      </c>
      <c r="G334" s="20" t="str">
        <f t="shared" si="25"/>
        <v>Yes</v>
      </c>
      <c r="H334" s="20" t="str">
        <f t="shared" si="26"/>
        <v>Saturday</v>
      </c>
      <c r="I334">
        <v>1</v>
      </c>
      <c r="J334" s="20" t="str">
        <f t="shared" si="28"/>
        <v>Clean</v>
      </c>
      <c r="K334">
        <v>0.14000000000000001</v>
      </c>
      <c r="L334" s="20" t="str">
        <f t="shared" si="29"/>
        <v>Safe</v>
      </c>
      <c r="M334" s="20">
        <f t="shared" si="27"/>
        <v>0</v>
      </c>
    </row>
    <row r="335" spans="1:13" x14ac:dyDescent="0.3">
      <c r="A335">
        <v>334</v>
      </c>
      <c r="B335" s="46">
        <v>40558</v>
      </c>
      <c r="C335">
        <v>1</v>
      </c>
      <c r="D335">
        <v>9</v>
      </c>
      <c r="E335" t="b">
        <v>0</v>
      </c>
      <c r="F335">
        <v>6</v>
      </c>
      <c r="G335" s="20" t="str">
        <f t="shared" si="25"/>
        <v>Yes</v>
      </c>
      <c r="H335" s="20" t="str">
        <f t="shared" si="26"/>
        <v>Saturday</v>
      </c>
      <c r="I335">
        <v>1</v>
      </c>
      <c r="J335" s="20" t="str">
        <f t="shared" si="28"/>
        <v>Clean</v>
      </c>
      <c r="K335">
        <v>0.16</v>
      </c>
      <c r="L335" s="20" t="str">
        <f t="shared" si="29"/>
        <v>Safe</v>
      </c>
      <c r="M335" s="20">
        <f t="shared" si="27"/>
        <v>0</v>
      </c>
    </row>
    <row r="336" spans="1:13" x14ac:dyDescent="0.3">
      <c r="A336">
        <v>335</v>
      </c>
      <c r="B336" s="46">
        <v>40558</v>
      </c>
      <c r="C336">
        <v>1</v>
      </c>
      <c r="D336">
        <v>10</v>
      </c>
      <c r="E336" t="b">
        <v>0</v>
      </c>
      <c r="F336">
        <v>6</v>
      </c>
      <c r="G336" s="20" t="str">
        <f t="shared" si="25"/>
        <v>Yes</v>
      </c>
      <c r="H336" s="20" t="str">
        <f t="shared" si="26"/>
        <v>Saturday</v>
      </c>
      <c r="I336">
        <v>1</v>
      </c>
      <c r="J336" s="20" t="str">
        <f t="shared" si="28"/>
        <v>Clean</v>
      </c>
      <c r="K336">
        <v>0.18</v>
      </c>
      <c r="L336" s="20" t="str">
        <f t="shared" si="29"/>
        <v>Safe</v>
      </c>
      <c r="M336" s="20">
        <f t="shared" si="27"/>
        <v>0</v>
      </c>
    </row>
    <row r="337" spans="1:13" x14ac:dyDescent="0.3">
      <c r="A337">
        <v>336</v>
      </c>
      <c r="B337" s="46">
        <v>40558</v>
      </c>
      <c r="C337">
        <v>1</v>
      </c>
      <c r="D337">
        <v>11</v>
      </c>
      <c r="E337" t="b">
        <v>0</v>
      </c>
      <c r="F337">
        <v>6</v>
      </c>
      <c r="G337" s="20" t="str">
        <f t="shared" si="25"/>
        <v>Yes</v>
      </c>
      <c r="H337" s="20" t="str">
        <f t="shared" si="26"/>
        <v>Saturday</v>
      </c>
      <c r="I337">
        <v>1</v>
      </c>
      <c r="J337" s="20" t="str">
        <f t="shared" si="28"/>
        <v>Clean</v>
      </c>
      <c r="K337">
        <v>0.2</v>
      </c>
      <c r="L337" s="20" t="str">
        <f t="shared" si="29"/>
        <v>Safe</v>
      </c>
      <c r="M337" s="20">
        <f t="shared" si="27"/>
        <v>0</v>
      </c>
    </row>
    <row r="338" spans="1:13" x14ac:dyDescent="0.3">
      <c r="A338">
        <v>337</v>
      </c>
      <c r="B338" s="46">
        <v>40558</v>
      </c>
      <c r="C338">
        <v>1</v>
      </c>
      <c r="D338">
        <v>12</v>
      </c>
      <c r="E338" t="b">
        <v>0</v>
      </c>
      <c r="F338">
        <v>6</v>
      </c>
      <c r="G338" s="20" t="str">
        <f t="shared" si="25"/>
        <v>Yes</v>
      </c>
      <c r="H338" s="20" t="str">
        <f t="shared" si="26"/>
        <v>Saturday</v>
      </c>
      <c r="I338">
        <v>1</v>
      </c>
      <c r="J338" s="20" t="str">
        <f t="shared" si="28"/>
        <v>Clean</v>
      </c>
      <c r="K338">
        <v>0.24</v>
      </c>
      <c r="L338" s="20" t="str">
        <f t="shared" si="29"/>
        <v>Safe</v>
      </c>
      <c r="M338" s="20">
        <f t="shared" si="27"/>
        <v>0</v>
      </c>
    </row>
    <row r="339" spans="1:13" x14ac:dyDescent="0.3">
      <c r="A339">
        <v>338</v>
      </c>
      <c r="B339" s="46">
        <v>40558</v>
      </c>
      <c r="C339">
        <v>1</v>
      </c>
      <c r="D339">
        <v>13</v>
      </c>
      <c r="E339" t="b">
        <v>0</v>
      </c>
      <c r="F339">
        <v>6</v>
      </c>
      <c r="G339" s="20" t="str">
        <f t="shared" si="25"/>
        <v>Yes</v>
      </c>
      <c r="H339" s="20" t="str">
        <f t="shared" si="26"/>
        <v>Saturday</v>
      </c>
      <c r="I339">
        <v>1</v>
      </c>
      <c r="J339" s="20" t="str">
        <f t="shared" si="28"/>
        <v>Clean</v>
      </c>
      <c r="K339">
        <v>0.28000000000000003</v>
      </c>
      <c r="L339" s="20" t="str">
        <f t="shared" si="29"/>
        <v>Safe</v>
      </c>
      <c r="M339" s="20">
        <f t="shared" si="27"/>
        <v>0</v>
      </c>
    </row>
    <row r="340" spans="1:13" x14ac:dyDescent="0.3">
      <c r="A340">
        <v>339</v>
      </c>
      <c r="B340" s="46">
        <v>40558</v>
      </c>
      <c r="C340">
        <v>1</v>
      </c>
      <c r="D340">
        <v>14</v>
      </c>
      <c r="E340" t="b">
        <v>0</v>
      </c>
      <c r="F340">
        <v>6</v>
      </c>
      <c r="G340" s="20" t="str">
        <f t="shared" si="25"/>
        <v>Yes</v>
      </c>
      <c r="H340" s="20" t="str">
        <f t="shared" si="26"/>
        <v>Saturday</v>
      </c>
      <c r="I340">
        <v>1</v>
      </c>
      <c r="J340" s="20" t="str">
        <f t="shared" si="28"/>
        <v>Clean</v>
      </c>
      <c r="K340">
        <v>0.3</v>
      </c>
      <c r="L340" s="20" t="str">
        <f t="shared" si="29"/>
        <v>Safe</v>
      </c>
      <c r="M340" s="20">
        <f t="shared" si="27"/>
        <v>0</v>
      </c>
    </row>
    <row r="341" spans="1:13" x14ac:dyDescent="0.3">
      <c r="A341">
        <v>340</v>
      </c>
      <c r="B341" s="46">
        <v>40558</v>
      </c>
      <c r="C341">
        <v>1</v>
      </c>
      <c r="D341">
        <v>15</v>
      </c>
      <c r="E341" t="b">
        <v>0</v>
      </c>
      <c r="F341">
        <v>6</v>
      </c>
      <c r="G341" s="20" t="str">
        <f t="shared" si="25"/>
        <v>Yes</v>
      </c>
      <c r="H341" s="20" t="str">
        <f t="shared" si="26"/>
        <v>Saturday</v>
      </c>
      <c r="I341">
        <v>2</v>
      </c>
      <c r="J341" s="20" t="str">
        <f t="shared" si="28"/>
        <v>Misty</v>
      </c>
      <c r="K341">
        <v>0.32</v>
      </c>
      <c r="L341" s="20" t="str">
        <f t="shared" si="29"/>
        <v>Safe</v>
      </c>
      <c r="M341" s="20">
        <f t="shared" si="27"/>
        <v>0</v>
      </c>
    </row>
    <row r="342" spans="1:13" x14ac:dyDescent="0.3">
      <c r="A342">
        <v>341</v>
      </c>
      <c r="B342" s="46">
        <v>40558</v>
      </c>
      <c r="C342">
        <v>1</v>
      </c>
      <c r="D342">
        <v>16</v>
      </c>
      <c r="E342" t="b">
        <v>0</v>
      </c>
      <c r="F342">
        <v>6</v>
      </c>
      <c r="G342" s="20" t="str">
        <f t="shared" si="25"/>
        <v>Yes</v>
      </c>
      <c r="H342" s="20" t="str">
        <f t="shared" si="26"/>
        <v>Saturday</v>
      </c>
      <c r="I342">
        <v>2</v>
      </c>
      <c r="J342" s="20" t="str">
        <f t="shared" si="28"/>
        <v>Misty</v>
      </c>
      <c r="K342">
        <v>0.34</v>
      </c>
      <c r="L342" s="20" t="str">
        <f t="shared" si="29"/>
        <v>Safe</v>
      </c>
      <c r="M342" s="20">
        <f t="shared" si="27"/>
        <v>0</v>
      </c>
    </row>
    <row r="343" spans="1:13" x14ac:dyDescent="0.3">
      <c r="A343">
        <v>342</v>
      </c>
      <c r="B343" s="46">
        <v>40558</v>
      </c>
      <c r="C343">
        <v>1</v>
      </c>
      <c r="D343">
        <v>17</v>
      </c>
      <c r="E343" t="b">
        <v>0</v>
      </c>
      <c r="F343">
        <v>6</v>
      </c>
      <c r="G343" s="20" t="str">
        <f t="shared" si="25"/>
        <v>Yes</v>
      </c>
      <c r="H343" s="20" t="str">
        <f t="shared" si="26"/>
        <v>Saturday</v>
      </c>
      <c r="I343">
        <v>2</v>
      </c>
      <c r="J343" s="20" t="str">
        <f t="shared" si="28"/>
        <v>Misty</v>
      </c>
      <c r="K343">
        <v>0.32</v>
      </c>
      <c r="L343" s="20" t="str">
        <f t="shared" si="29"/>
        <v>Safe</v>
      </c>
      <c r="M343" s="20">
        <f t="shared" si="27"/>
        <v>0</v>
      </c>
    </row>
    <row r="344" spans="1:13" x14ac:dyDescent="0.3">
      <c r="A344">
        <v>343</v>
      </c>
      <c r="B344" s="46">
        <v>40558</v>
      </c>
      <c r="C344">
        <v>1</v>
      </c>
      <c r="D344">
        <v>18</v>
      </c>
      <c r="E344" t="b">
        <v>0</v>
      </c>
      <c r="F344">
        <v>6</v>
      </c>
      <c r="G344" s="20" t="str">
        <f t="shared" si="25"/>
        <v>Yes</v>
      </c>
      <c r="H344" s="20" t="str">
        <f t="shared" si="26"/>
        <v>Saturday</v>
      </c>
      <c r="I344">
        <v>2</v>
      </c>
      <c r="J344" s="20" t="str">
        <f t="shared" si="28"/>
        <v>Misty</v>
      </c>
      <c r="K344">
        <v>0.3</v>
      </c>
      <c r="L344" s="20" t="str">
        <f t="shared" si="29"/>
        <v>Safe</v>
      </c>
      <c r="M344" s="20">
        <f t="shared" si="27"/>
        <v>0</v>
      </c>
    </row>
    <row r="345" spans="1:13" x14ac:dyDescent="0.3">
      <c r="A345">
        <v>344</v>
      </c>
      <c r="B345" s="46">
        <v>40558</v>
      </c>
      <c r="C345">
        <v>1</v>
      </c>
      <c r="D345">
        <v>19</v>
      </c>
      <c r="E345" t="b">
        <v>0</v>
      </c>
      <c r="F345">
        <v>6</v>
      </c>
      <c r="G345" s="20" t="str">
        <f t="shared" si="25"/>
        <v>Yes</v>
      </c>
      <c r="H345" s="20" t="str">
        <f t="shared" si="26"/>
        <v>Saturday</v>
      </c>
      <c r="I345">
        <v>2</v>
      </c>
      <c r="J345" s="20" t="str">
        <f t="shared" si="28"/>
        <v>Misty</v>
      </c>
      <c r="K345">
        <v>0.32</v>
      </c>
      <c r="L345" s="20" t="str">
        <f t="shared" si="29"/>
        <v>Safe</v>
      </c>
      <c r="M345" s="20">
        <f t="shared" si="27"/>
        <v>0</v>
      </c>
    </row>
    <row r="346" spans="1:13" x14ac:dyDescent="0.3">
      <c r="A346">
        <v>345</v>
      </c>
      <c r="B346" s="46">
        <v>40558</v>
      </c>
      <c r="C346">
        <v>1</v>
      </c>
      <c r="D346">
        <v>20</v>
      </c>
      <c r="E346" t="b">
        <v>0</v>
      </c>
      <c r="F346">
        <v>6</v>
      </c>
      <c r="G346" s="20" t="str">
        <f t="shared" si="25"/>
        <v>Yes</v>
      </c>
      <c r="H346" s="20" t="str">
        <f t="shared" si="26"/>
        <v>Saturday</v>
      </c>
      <c r="I346">
        <v>2</v>
      </c>
      <c r="J346" s="20" t="str">
        <f t="shared" si="28"/>
        <v>Misty</v>
      </c>
      <c r="K346">
        <v>0.32</v>
      </c>
      <c r="L346" s="20" t="str">
        <f t="shared" si="29"/>
        <v>Safe</v>
      </c>
      <c r="M346" s="20">
        <f t="shared" si="27"/>
        <v>0</v>
      </c>
    </row>
    <row r="347" spans="1:13" x14ac:dyDescent="0.3">
      <c r="A347">
        <v>346</v>
      </c>
      <c r="B347" s="46">
        <v>40558</v>
      </c>
      <c r="C347">
        <v>1</v>
      </c>
      <c r="D347">
        <v>21</v>
      </c>
      <c r="E347" t="b">
        <v>0</v>
      </c>
      <c r="F347">
        <v>6</v>
      </c>
      <c r="G347" s="20" t="str">
        <f t="shared" si="25"/>
        <v>Yes</v>
      </c>
      <c r="H347" s="20" t="str">
        <f t="shared" si="26"/>
        <v>Saturday</v>
      </c>
      <c r="I347">
        <v>2</v>
      </c>
      <c r="J347" s="20" t="str">
        <f t="shared" si="28"/>
        <v>Misty</v>
      </c>
      <c r="K347">
        <v>0.32</v>
      </c>
      <c r="L347" s="20" t="str">
        <f t="shared" si="29"/>
        <v>Safe</v>
      </c>
      <c r="M347" s="20">
        <f t="shared" si="27"/>
        <v>0</v>
      </c>
    </row>
    <row r="348" spans="1:13" x14ac:dyDescent="0.3">
      <c r="A348">
        <v>347</v>
      </c>
      <c r="B348" s="46">
        <v>40558</v>
      </c>
      <c r="C348">
        <v>1</v>
      </c>
      <c r="D348">
        <v>22</v>
      </c>
      <c r="E348" t="b">
        <v>0</v>
      </c>
      <c r="F348">
        <v>6</v>
      </c>
      <c r="G348" s="20" t="str">
        <f t="shared" si="25"/>
        <v>Yes</v>
      </c>
      <c r="H348" s="20" t="str">
        <f t="shared" si="26"/>
        <v>Saturday</v>
      </c>
      <c r="I348">
        <v>2</v>
      </c>
      <c r="J348" s="20" t="str">
        <f t="shared" si="28"/>
        <v>Misty</v>
      </c>
      <c r="K348">
        <v>0.3</v>
      </c>
      <c r="L348" s="20" t="str">
        <f t="shared" si="29"/>
        <v>Safe</v>
      </c>
      <c r="M348" s="20">
        <f t="shared" si="27"/>
        <v>0</v>
      </c>
    </row>
    <row r="349" spans="1:13" x14ac:dyDescent="0.3">
      <c r="A349">
        <v>348</v>
      </c>
      <c r="B349" s="46">
        <v>40558</v>
      </c>
      <c r="C349">
        <v>1</v>
      </c>
      <c r="D349">
        <v>23</v>
      </c>
      <c r="E349" t="b">
        <v>0</v>
      </c>
      <c r="F349">
        <v>6</v>
      </c>
      <c r="G349" s="20" t="str">
        <f t="shared" si="25"/>
        <v>Yes</v>
      </c>
      <c r="H349" s="20" t="str">
        <f t="shared" si="26"/>
        <v>Saturday</v>
      </c>
      <c r="I349">
        <v>1</v>
      </c>
      <c r="J349" s="20" t="str">
        <f t="shared" si="28"/>
        <v>Clean</v>
      </c>
      <c r="K349">
        <v>0.3</v>
      </c>
      <c r="L349" s="20" t="str">
        <f t="shared" si="29"/>
        <v>Safe</v>
      </c>
      <c r="M349" s="20">
        <f t="shared" si="27"/>
        <v>0</v>
      </c>
    </row>
    <row r="350" spans="1:13" x14ac:dyDescent="0.3">
      <c r="A350">
        <v>349</v>
      </c>
      <c r="B350" s="46">
        <v>40559</v>
      </c>
      <c r="C350">
        <v>1</v>
      </c>
      <c r="D350">
        <v>0</v>
      </c>
      <c r="E350" t="b">
        <v>0</v>
      </c>
      <c r="F350">
        <v>0</v>
      </c>
      <c r="G350" s="20" t="str">
        <f t="shared" si="25"/>
        <v>Yes</v>
      </c>
      <c r="H350" s="20" t="str">
        <f t="shared" si="26"/>
        <v>Sunday</v>
      </c>
      <c r="I350">
        <v>1</v>
      </c>
      <c r="J350" s="20" t="str">
        <f t="shared" si="28"/>
        <v>Clean</v>
      </c>
      <c r="K350">
        <v>0.26</v>
      </c>
      <c r="L350" s="20" t="str">
        <f t="shared" si="29"/>
        <v>Safe</v>
      </c>
      <c r="M350" s="20">
        <f t="shared" si="27"/>
        <v>0</v>
      </c>
    </row>
    <row r="351" spans="1:13" x14ac:dyDescent="0.3">
      <c r="A351">
        <v>350</v>
      </c>
      <c r="B351" s="46">
        <v>40559</v>
      </c>
      <c r="C351">
        <v>1</v>
      </c>
      <c r="D351">
        <v>1</v>
      </c>
      <c r="E351" t="b">
        <v>0</v>
      </c>
      <c r="F351">
        <v>0</v>
      </c>
      <c r="G351" s="20" t="str">
        <f t="shared" si="25"/>
        <v>Yes</v>
      </c>
      <c r="H351" s="20" t="str">
        <f t="shared" si="26"/>
        <v>Sunday</v>
      </c>
      <c r="I351">
        <v>1</v>
      </c>
      <c r="J351" s="20" t="str">
        <f t="shared" si="28"/>
        <v>Clean</v>
      </c>
      <c r="K351">
        <v>0.26</v>
      </c>
      <c r="L351" s="20" t="str">
        <f t="shared" si="29"/>
        <v>Safe</v>
      </c>
      <c r="M351" s="20">
        <f t="shared" si="27"/>
        <v>0</v>
      </c>
    </row>
    <row r="352" spans="1:13" x14ac:dyDescent="0.3">
      <c r="A352">
        <v>351</v>
      </c>
      <c r="B352" s="46">
        <v>40559</v>
      </c>
      <c r="C352">
        <v>1</v>
      </c>
      <c r="D352">
        <v>2</v>
      </c>
      <c r="E352" t="b">
        <v>0</v>
      </c>
      <c r="F352">
        <v>0</v>
      </c>
      <c r="G352" s="20" t="str">
        <f t="shared" si="25"/>
        <v>Yes</v>
      </c>
      <c r="H352" s="20" t="str">
        <f t="shared" si="26"/>
        <v>Sunday</v>
      </c>
      <c r="I352">
        <v>1</v>
      </c>
      <c r="J352" s="20" t="str">
        <f t="shared" si="28"/>
        <v>Clean</v>
      </c>
      <c r="K352">
        <v>0.26</v>
      </c>
      <c r="L352" s="20" t="str">
        <f t="shared" si="29"/>
        <v>Safe</v>
      </c>
      <c r="M352" s="20">
        <f t="shared" si="27"/>
        <v>0</v>
      </c>
    </row>
    <row r="353" spans="1:13" x14ac:dyDescent="0.3">
      <c r="A353">
        <v>352</v>
      </c>
      <c r="B353" s="46">
        <v>40559</v>
      </c>
      <c r="C353">
        <v>1</v>
      </c>
      <c r="D353">
        <v>3</v>
      </c>
      <c r="E353" t="b">
        <v>0</v>
      </c>
      <c r="F353">
        <v>0</v>
      </c>
      <c r="G353" s="20" t="str">
        <f t="shared" si="25"/>
        <v>Yes</v>
      </c>
      <c r="H353" s="20" t="str">
        <f t="shared" si="26"/>
        <v>Sunday</v>
      </c>
      <c r="I353">
        <v>1</v>
      </c>
      <c r="J353" s="20" t="str">
        <f t="shared" si="28"/>
        <v>Clean</v>
      </c>
      <c r="K353">
        <v>0.22</v>
      </c>
      <c r="L353" s="20" t="str">
        <f t="shared" si="29"/>
        <v>Safe</v>
      </c>
      <c r="M353" s="20">
        <f t="shared" si="27"/>
        <v>0</v>
      </c>
    </row>
    <row r="354" spans="1:13" x14ac:dyDescent="0.3">
      <c r="A354">
        <v>353</v>
      </c>
      <c r="B354" s="46">
        <v>40559</v>
      </c>
      <c r="C354">
        <v>1</v>
      </c>
      <c r="D354">
        <v>4</v>
      </c>
      <c r="E354" t="b">
        <v>0</v>
      </c>
      <c r="F354">
        <v>0</v>
      </c>
      <c r="G354" s="20" t="str">
        <f t="shared" si="25"/>
        <v>Yes</v>
      </c>
      <c r="H354" s="20" t="str">
        <f t="shared" si="26"/>
        <v>Sunday</v>
      </c>
      <c r="I354">
        <v>1</v>
      </c>
      <c r="J354" s="20" t="str">
        <f t="shared" si="28"/>
        <v>Clean</v>
      </c>
      <c r="K354">
        <v>0.26</v>
      </c>
      <c r="L354" s="20" t="str">
        <f t="shared" si="29"/>
        <v>Safe</v>
      </c>
      <c r="M354" s="20">
        <f t="shared" si="27"/>
        <v>0</v>
      </c>
    </row>
    <row r="355" spans="1:13" x14ac:dyDescent="0.3">
      <c r="A355">
        <v>354</v>
      </c>
      <c r="B355" s="46">
        <v>40559</v>
      </c>
      <c r="C355">
        <v>1</v>
      </c>
      <c r="D355">
        <v>5</v>
      </c>
      <c r="E355" t="b">
        <v>0</v>
      </c>
      <c r="F355">
        <v>0</v>
      </c>
      <c r="G355" s="20" t="str">
        <f t="shared" si="25"/>
        <v>Yes</v>
      </c>
      <c r="H355" s="20" t="str">
        <f t="shared" si="26"/>
        <v>Sunday</v>
      </c>
      <c r="I355">
        <v>2</v>
      </c>
      <c r="J355" s="20" t="str">
        <f t="shared" si="28"/>
        <v>Misty</v>
      </c>
      <c r="K355">
        <v>0.26</v>
      </c>
      <c r="L355" s="20" t="str">
        <f t="shared" si="29"/>
        <v>Safe</v>
      </c>
      <c r="M355" s="20">
        <f t="shared" si="27"/>
        <v>0</v>
      </c>
    </row>
    <row r="356" spans="1:13" x14ac:dyDescent="0.3">
      <c r="A356">
        <v>355</v>
      </c>
      <c r="B356" s="46">
        <v>40559</v>
      </c>
      <c r="C356">
        <v>1</v>
      </c>
      <c r="D356">
        <v>6</v>
      </c>
      <c r="E356" t="b">
        <v>0</v>
      </c>
      <c r="F356">
        <v>0</v>
      </c>
      <c r="G356" s="20" t="str">
        <f t="shared" si="25"/>
        <v>Yes</v>
      </c>
      <c r="H356" s="20" t="str">
        <f t="shared" si="26"/>
        <v>Sunday</v>
      </c>
      <c r="I356">
        <v>2</v>
      </c>
      <c r="J356" s="20" t="str">
        <f t="shared" si="28"/>
        <v>Misty</v>
      </c>
      <c r="K356">
        <v>0.26</v>
      </c>
      <c r="L356" s="20" t="str">
        <f t="shared" si="29"/>
        <v>Safe</v>
      </c>
      <c r="M356" s="20">
        <f t="shared" si="27"/>
        <v>0</v>
      </c>
    </row>
    <row r="357" spans="1:13" x14ac:dyDescent="0.3">
      <c r="A357">
        <v>356</v>
      </c>
      <c r="B357" s="46">
        <v>40559</v>
      </c>
      <c r="C357">
        <v>1</v>
      </c>
      <c r="D357">
        <v>7</v>
      </c>
      <c r="E357" t="b">
        <v>0</v>
      </c>
      <c r="F357">
        <v>0</v>
      </c>
      <c r="G357" s="20" t="str">
        <f t="shared" si="25"/>
        <v>Yes</v>
      </c>
      <c r="H357" s="20" t="str">
        <f t="shared" si="26"/>
        <v>Sunday</v>
      </c>
      <c r="I357">
        <v>2</v>
      </c>
      <c r="J357" s="20" t="str">
        <f t="shared" si="28"/>
        <v>Misty</v>
      </c>
      <c r="K357">
        <v>0.24</v>
      </c>
      <c r="L357" s="20" t="str">
        <f t="shared" si="29"/>
        <v>Safe</v>
      </c>
      <c r="M357" s="20">
        <f t="shared" si="27"/>
        <v>0</v>
      </c>
    </row>
    <row r="358" spans="1:13" x14ac:dyDescent="0.3">
      <c r="A358">
        <v>357</v>
      </c>
      <c r="B358" s="46">
        <v>40559</v>
      </c>
      <c r="C358">
        <v>1</v>
      </c>
      <c r="D358">
        <v>8</v>
      </c>
      <c r="E358" t="b">
        <v>0</v>
      </c>
      <c r="F358">
        <v>0</v>
      </c>
      <c r="G358" s="20" t="str">
        <f t="shared" si="25"/>
        <v>Yes</v>
      </c>
      <c r="H358" s="20" t="str">
        <f t="shared" si="26"/>
        <v>Sunday</v>
      </c>
      <c r="I358">
        <v>1</v>
      </c>
      <c r="J358" s="20" t="str">
        <f t="shared" si="28"/>
        <v>Clean</v>
      </c>
      <c r="K358">
        <v>0.22</v>
      </c>
      <c r="L358" s="20" t="str">
        <f t="shared" si="29"/>
        <v>Safe</v>
      </c>
      <c r="M358" s="20">
        <f t="shared" si="27"/>
        <v>0</v>
      </c>
    </row>
    <row r="359" spans="1:13" x14ac:dyDescent="0.3">
      <c r="A359">
        <v>358</v>
      </c>
      <c r="B359" s="46">
        <v>40559</v>
      </c>
      <c r="C359">
        <v>1</v>
      </c>
      <c r="D359">
        <v>9</v>
      </c>
      <c r="E359" t="b">
        <v>0</v>
      </c>
      <c r="F359">
        <v>0</v>
      </c>
      <c r="G359" s="20" t="str">
        <f t="shared" si="25"/>
        <v>Yes</v>
      </c>
      <c r="H359" s="20" t="str">
        <f t="shared" si="26"/>
        <v>Sunday</v>
      </c>
      <c r="I359">
        <v>1</v>
      </c>
      <c r="J359" s="20" t="str">
        <f t="shared" si="28"/>
        <v>Clean</v>
      </c>
      <c r="K359">
        <v>0.22</v>
      </c>
      <c r="L359" s="20" t="str">
        <f t="shared" si="29"/>
        <v>Safe</v>
      </c>
      <c r="M359" s="20">
        <f t="shared" si="27"/>
        <v>0</v>
      </c>
    </row>
    <row r="360" spans="1:13" x14ac:dyDescent="0.3">
      <c r="A360">
        <v>359</v>
      </c>
      <c r="B360" s="46">
        <v>40559</v>
      </c>
      <c r="C360">
        <v>1</v>
      </c>
      <c r="D360">
        <v>10</v>
      </c>
      <c r="E360" t="b">
        <v>0</v>
      </c>
      <c r="F360">
        <v>0</v>
      </c>
      <c r="G360" s="20" t="str">
        <f t="shared" si="25"/>
        <v>Yes</v>
      </c>
      <c r="H360" s="20" t="str">
        <f t="shared" si="26"/>
        <v>Sunday</v>
      </c>
      <c r="I360">
        <v>1</v>
      </c>
      <c r="J360" s="20" t="str">
        <f t="shared" si="28"/>
        <v>Clean</v>
      </c>
      <c r="K360">
        <v>0.22</v>
      </c>
      <c r="L360" s="20" t="str">
        <f t="shared" si="29"/>
        <v>Safe</v>
      </c>
      <c r="M360" s="20">
        <f t="shared" si="27"/>
        <v>0</v>
      </c>
    </row>
    <row r="361" spans="1:13" x14ac:dyDescent="0.3">
      <c r="A361">
        <v>360</v>
      </c>
      <c r="B361" s="46">
        <v>40559</v>
      </c>
      <c r="C361">
        <v>1</v>
      </c>
      <c r="D361">
        <v>11</v>
      </c>
      <c r="E361" t="b">
        <v>0</v>
      </c>
      <c r="F361">
        <v>0</v>
      </c>
      <c r="G361" s="20" t="str">
        <f t="shared" si="25"/>
        <v>Yes</v>
      </c>
      <c r="H361" s="20" t="str">
        <f t="shared" si="26"/>
        <v>Sunday</v>
      </c>
      <c r="I361">
        <v>1</v>
      </c>
      <c r="J361" s="20" t="str">
        <f t="shared" si="28"/>
        <v>Clean</v>
      </c>
      <c r="K361">
        <v>0.24</v>
      </c>
      <c r="L361" s="20" t="str">
        <f t="shared" si="29"/>
        <v>Safe</v>
      </c>
      <c r="M361" s="20">
        <f t="shared" si="27"/>
        <v>0</v>
      </c>
    </row>
    <row r="362" spans="1:13" x14ac:dyDescent="0.3">
      <c r="A362">
        <v>361</v>
      </c>
      <c r="B362" s="46">
        <v>40559</v>
      </c>
      <c r="C362">
        <v>1</v>
      </c>
      <c r="D362">
        <v>12</v>
      </c>
      <c r="E362" t="b">
        <v>0</v>
      </c>
      <c r="F362">
        <v>0</v>
      </c>
      <c r="G362" s="20" t="str">
        <f t="shared" si="25"/>
        <v>Yes</v>
      </c>
      <c r="H362" s="20" t="str">
        <f t="shared" si="26"/>
        <v>Sunday</v>
      </c>
      <c r="I362">
        <v>1</v>
      </c>
      <c r="J362" s="20" t="str">
        <f t="shared" si="28"/>
        <v>Clean</v>
      </c>
      <c r="K362">
        <v>0.24</v>
      </c>
      <c r="L362" s="20" t="str">
        <f t="shared" si="29"/>
        <v>Safe</v>
      </c>
      <c r="M362" s="20">
        <f t="shared" si="27"/>
        <v>0</v>
      </c>
    </row>
    <row r="363" spans="1:13" x14ac:dyDescent="0.3">
      <c r="A363">
        <v>362</v>
      </c>
      <c r="B363" s="46">
        <v>40559</v>
      </c>
      <c r="C363">
        <v>1</v>
      </c>
      <c r="D363">
        <v>13</v>
      </c>
      <c r="E363" t="b">
        <v>0</v>
      </c>
      <c r="F363">
        <v>0</v>
      </c>
      <c r="G363" s="20" t="str">
        <f t="shared" si="25"/>
        <v>Yes</v>
      </c>
      <c r="H363" s="20" t="str">
        <f t="shared" si="26"/>
        <v>Sunday</v>
      </c>
      <c r="I363">
        <v>1</v>
      </c>
      <c r="J363" s="20" t="str">
        <f t="shared" si="28"/>
        <v>Clean</v>
      </c>
      <c r="K363">
        <v>0.26</v>
      </c>
      <c r="L363" s="20" t="str">
        <f t="shared" si="29"/>
        <v>Safe</v>
      </c>
      <c r="M363" s="20">
        <f t="shared" si="27"/>
        <v>0</v>
      </c>
    </row>
    <row r="364" spans="1:13" x14ac:dyDescent="0.3">
      <c r="A364">
        <v>363</v>
      </c>
      <c r="B364" s="46">
        <v>40559</v>
      </c>
      <c r="C364">
        <v>1</v>
      </c>
      <c r="D364">
        <v>14</v>
      </c>
      <c r="E364" t="b">
        <v>0</v>
      </c>
      <c r="F364">
        <v>0</v>
      </c>
      <c r="G364" s="20" t="str">
        <f t="shared" si="25"/>
        <v>Yes</v>
      </c>
      <c r="H364" s="20" t="str">
        <f t="shared" si="26"/>
        <v>Sunday</v>
      </c>
      <c r="I364">
        <v>1</v>
      </c>
      <c r="J364" s="20" t="str">
        <f t="shared" si="28"/>
        <v>Clean</v>
      </c>
      <c r="K364">
        <v>0.28000000000000003</v>
      </c>
      <c r="L364" s="20" t="str">
        <f t="shared" si="29"/>
        <v>Safe</v>
      </c>
      <c r="M364" s="20">
        <f t="shared" si="27"/>
        <v>0</v>
      </c>
    </row>
    <row r="365" spans="1:13" x14ac:dyDescent="0.3">
      <c r="A365">
        <v>364</v>
      </c>
      <c r="B365" s="46">
        <v>40559</v>
      </c>
      <c r="C365">
        <v>1</v>
      </c>
      <c r="D365">
        <v>15</v>
      </c>
      <c r="E365" t="b">
        <v>0</v>
      </c>
      <c r="F365">
        <v>0</v>
      </c>
      <c r="G365" s="20" t="str">
        <f t="shared" si="25"/>
        <v>Yes</v>
      </c>
      <c r="H365" s="20" t="str">
        <f t="shared" si="26"/>
        <v>Sunday</v>
      </c>
      <c r="I365">
        <v>1</v>
      </c>
      <c r="J365" s="20" t="str">
        <f t="shared" si="28"/>
        <v>Clean</v>
      </c>
      <c r="K365">
        <v>0.26</v>
      </c>
      <c r="L365" s="20" t="str">
        <f t="shared" si="29"/>
        <v>Safe</v>
      </c>
      <c r="M365" s="20">
        <f t="shared" si="27"/>
        <v>0</v>
      </c>
    </row>
    <row r="366" spans="1:13" x14ac:dyDescent="0.3">
      <c r="A366">
        <v>365</v>
      </c>
      <c r="B366" s="46">
        <v>40559</v>
      </c>
      <c r="C366">
        <v>1</v>
      </c>
      <c r="D366">
        <v>16</v>
      </c>
      <c r="E366" t="b">
        <v>0</v>
      </c>
      <c r="F366">
        <v>0</v>
      </c>
      <c r="G366" s="20" t="str">
        <f t="shared" si="25"/>
        <v>Yes</v>
      </c>
      <c r="H366" s="20" t="str">
        <f t="shared" si="26"/>
        <v>Sunday</v>
      </c>
      <c r="I366">
        <v>1</v>
      </c>
      <c r="J366" s="20" t="str">
        <f t="shared" si="28"/>
        <v>Clean</v>
      </c>
      <c r="K366">
        <v>0.24</v>
      </c>
      <c r="L366" s="20" t="str">
        <f t="shared" si="29"/>
        <v>Safe</v>
      </c>
      <c r="M366" s="20">
        <f t="shared" si="27"/>
        <v>0</v>
      </c>
    </row>
    <row r="367" spans="1:13" x14ac:dyDescent="0.3">
      <c r="A367">
        <v>366</v>
      </c>
      <c r="B367" s="46">
        <v>40559</v>
      </c>
      <c r="C367">
        <v>1</v>
      </c>
      <c r="D367">
        <v>17</v>
      </c>
      <c r="E367" t="b">
        <v>0</v>
      </c>
      <c r="F367">
        <v>0</v>
      </c>
      <c r="G367" s="20" t="str">
        <f t="shared" si="25"/>
        <v>Yes</v>
      </c>
      <c r="H367" s="20" t="str">
        <f t="shared" si="26"/>
        <v>Sunday</v>
      </c>
      <c r="I367">
        <v>1</v>
      </c>
      <c r="J367" s="20" t="str">
        <f t="shared" si="28"/>
        <v>Clean</v>
      </c>
      <c r="K367">
        <v>0.22</v>
      </c>
      <c r="L367" s="20" t="str">
        <f t="shared" si="29"/>
        <v>Safe</v>
      </c>
      <c r="M367" s="20">
        <f t="shared" si="27"/>
        <v>0</v>
      </c>
    </row>
    <row r="368" spans="1:13" x14ac:dyDescent="0.3">
      <c r="A368">
        <v>367</v>
      </c>
      <c r="B368" s="46">
        <v>40559</v>
      </c>
      <c r="C368">
        <v>1</v>
      </c>
      <c r="D368">
        <v>18</v>
      </c>
      <c r="E368" t="b">
        <v>0</v>
      </c>
      <c r="F368">
        <v>0</v>
      </c>
      <c r="G368" s="20" t="str">
        <f t="shared" si="25"/>
        <v>Yes</v>
      </c>
      <c r="H368" s="20" t="str">
        <f t="shared" si="26"/>
        <v>Sunday</v>
      </c>
      <c r="I368">
        <v>1</v>
      </c>
      <c r="J368" s="20" t="str">
        <f t="shared" si="28"/>
        <v>Clean</v>
      </c>
      <c r="K368">
        <v>0.2</v>
      </c>
      <c r="L368" s="20" t="str">
        <f t="shared" si="29"/>
        <v>Safe</v>
      </c>
      <c r="M368" s="20">
        <f t="shared" si="27"/>
        <v>0</v>
      </c>
    </row>
    <row r="369" spans="1:13" x14ac:dyDescent="0.3">
      <c r="A369">
        <v>368</v>
      </c>
      <c r="B369" s="46">
        <v>40559</v>
      </c>
      <c r="C369">
        <v>1</v>
      </c>
      <c r="D369">
        <v>19</v>
      </c>
      <c r="E369" t="b">
        <v>0</v>
      </c>
      <c r="F369">
        <v>0</v>
      </c>
      <c r="G369" s="20" t="str">
        <f t="shared" si="25"/>
        <v>Yes</v>
      </c>
      <c r="H369" s="20" t="str">
        <f t="shared" si="26"/>
        <v>Sunday</v>
      </c>
      <c r="I369">
        <v>1</v>
      </c>
      <c r="J369" s="20" t="str">
        <f t="shared" si="28"/>
        <v>Clean</v>
      </c>
      <c r="K369">
        <v>0.18</v>
      </c>
      <c r="L369" s="20" t="str">
        <f t="shared" si="29"/>
        <v>Safe</v>
      </c>
      <c r="M369" s="20">
        <f t="shared" si="27"/>
        <v>0</v>
      </c>
    </row>
    <row r="370" spans="1:13" x14ac:dyDescent="0.3">
      <c r="A370">
        <v>369</v>
      </c>
      <c r="B370" s="46">
        <v>40559</v>
      </c>
      <c r="C370">
        <v>1</v>
      </c>
      <c r="D370">
        <v>20</v>
      </c>
      <c r="E370" t="b">
        <v>0</v>
      </c>
      <c r="F370">
        <v>0</v>
      </c>
      <c r="G370" s="20" t="str">
        <f t="shared" si="25"/>
        <v>Yes</v>
      </c>
      <c r="H370" s="20" t="str">
        <f t="shared" si="26"/>
        <v>Sunday</v>
      </c>
      <c r="I370">
        <v>1</v>
      </c>
      <c r="J370" s="20" t="str">
        <f t="shared" si="28"/>
        <v>Clean</v>
      </c>
      <c r="K370">
        <v>0.18</v>
      </c>
      <c r="L370" s="20" t="str">
        <f t="shared" si="29"/>
        <v>Safe</v>
      </c>
      <c r="M370" s="20">
        <f t="shared" si="27"/>
        <v>0</v>
      </c>
    </row>
    <row r="371" spans="1:13" x14ac:dyDescent="0.3">
      <c r="A371">
        <v>370</v>
      </c>
      <c r="B371" s="46">
        <v>40559</v>
      </c>
      <c r="C371">
        <v>1</v>
      </c>
      <c r="D371">
        <v>21</v>
      </c>
      <c r="E371" t="b">
        <v>0</v>
      </c>
      <c r="F371">
        <v>0</v>
      </c>
      <c r="G371" s="20" t="str">
        <f t="shared" si="25"/>
        <v>Yes</v>
      </c>
      <c r="H371" s="20" t="str">
        <f t="shared" si="26"/>
        <v>Sunday</v>
      </c>
      <c r="I371">
        <v>1</v>
      </c>
      <c r="J371" s="20" t="str">
        <f t="shared" si="28"/>
        <v>Clean</v>
      </c>
      <c r="K371">
        <v>0.18</v>
      </c>
      <c r="L371" s="20" t="str">
        <f t="shared" si="29"/>
        <v>Safe</v>
      </c>
      <c r="M371" s="20">
        <f t="shared" si="27"/>
        <v>0</v>
      </c>
    </row>
    <row r="372" spans="1:13" x14ac:dyDescent="0.3">
      <c r="A372">
        <v>371</v>
      </c>
      <c r="B372" s="46">
        <v>40559</v>
      </c>
      <c r="C372">
        <v>1</v>
      </c>
      <c r="D372">
        <v>22</v>
      </c>
      <c r="E372" t="b">
        <v>0</v>
      </c>
      <c r="F372">
        <v>0</v>
      </c>
      <c r="G372" s="20" t="str">
        <f t="shared" si="25"/>
        <v>Yes</v>
      </c>
      <c r="H372" s="20" t="str">
        <f t="shared" si="26"/>
        <v>Sunday</v>
      </c>
      <c r="I372">
        <v>2</v>
      </c>
      <c r="J372" s="20" t="str">
        <f t="shared" si="28"/>
        <v>Misty</v>
      </c>
      <c r="K372">
        <v>0.2</v>
      </c>
      <c r="L372" s="20" t="str">
        <f t="shared" si="29"/>
        <v>Safe</v>
      </c>
      <c r="M372" s="20">
        <f t="shared" si="27"/>
        <v>0</v>
      </c>
    </row>
    <row r="373" spans="1:13" x14ac:dyDescent="0.3">
      <c r="A373">
        <v>372</v>
      </c>
      <c r="B373" s="46">
        <v>40559</v>
      </c>
      <c r="C373">
        <v>1</v>
      </c>
      <c r="D373">
        <v>23</v>
      </c>
      <c r="E373" t="b">
        <v>0</v>
      </c>
      <c r="F373">
        <v>0</v>
      </c>
      <c r="G373" s="20" t="str">
        <f t="shared" si="25"/>
        <v>Yes</v>
      </c>
      <c r="H373" s="20" t="str">
        <f t="shared" si="26"/>
        <v>Sunday</v>
      </c>
      <c r="I373">
        <v>2</v>
      </c>
      <c r="J373" s="20" t="str">
        <f t="shared" si="28"/>
        <v>Misty</v>
      </c>
      <c r="K373">
        <v>0.2</v>
      </c>
      <c r="L373" s="20" t="str">
        <f t="shared" si="29"/>
        <v>Safe</v>
      </c>
      <c r="M373" s="20">
        <f t="shared" si="27"/>
        <v>0</v>
      </c>
    </row>
    <row r="374" spans="1:13" x14ac:dyDescent="0.3">
      <c r="A374">
        <v>373</v>
      </c>
      <c r="B374" s="46">
        <v>40560</v>
      </c>
      <c r="C374">
        <v>1</v>
      </c>
      <c r="D374">
        <v>0</v>
      </c>
      <c r="E374" t="b">
        <v>1</v>
      </c>
      <c r="F374">
        <v>1</v>
      </c>
      <c r="G374" s="20" t="str">
        <f t="shared" si="25"/>
        <v>No</v>
      </c>
      <c r="H374" s="20" t="str">
        <f t="shared" si="26"/>
        <v>Monday</v>
      </c>
      <c r="I374">
        <v>2</v>
      </c>
      <c r="J374" s="20" t="str">
        <f t="shared" si="28"/>
        <v>Misty</v>
      </c>
      <c r="K374">
        <v>0.2</v>
      </c>
      <c r="L374" s="20" t="str">
        <f t="shared" si="29"/>
        <v>Safe</v>
      </c>
      <c r="M374" s="20">
        <f t="shared" si="27"/>
        <v>0</v>
      </c>
    </row>
    <row r="375" spans="1:13" x14ac:dyDescent="0.3">
      <c r="A375">
        <v>374</v>
      </c>
      <c r="B375" s="46">
        <v>40560</v>
      </c>
      <c r="C375">
        <v>1</v>
      </c>
      <c r="D375">
        <v>1</v>
      </c>
      <c r="E375" t="b">
        <v>1</v>
      </c>
      <c r="F375">
        <v>1</v>
      </c>
      <c r="G375" s="20" t="str">
        <f t="shared" si="25"/>
        <v>No</v>
      </c>
      <c r="H375" s="20" t="str">
        <f t="shared" si="26"/>
        <v>Monday</v>
      </c>
      <c r="I375">
        <v>2</v>
      </c>
      <c r="J375" s="20" t="str">
        <f t="shared" si="28"/>
        <v>Misty</v>
      </c>
      <c r="K375">
        <v>0.2</v>
      </c>
      <c r="L375" s="20" t="str">
        <f t="shared" si="29"/>
        <v>Safe</v>
      </c>
      <c r="M375" s="20">
        <f t="shared" si="27"/>
        <v>0</v>
      </c>
    </row>
    <row r="376" spans="1:13" x14ac:dyDescent="0.3">
      <c r="A376">
        <v>375</v>
      </c>
      <c r="B376" s="46">
        <v>40560</v>
      </c>
      <c r="C376">
        <v>1</v>
      </c>
      <c r="D376">
        <v>2</v>
      </c>
      <c r="E376" t="b">
        <v>1</v>
      </c>
      <c r="F376">
        <v>1</v>
      </c>
      <c r="G376" s="20" t="str">
        <f t="shared" si="25"/>
        <v>No</v>
      </c>
      <c r="H376" s="20" t="str">
        <f t="shared" si="26"/>
        <v>Monday</v>
      </c>
      <c r="I376">
        <v>2</v>
      </c>
      <c r="J376" s="20" t="str">
        <f t="shared" si="28"/>
        <v>Misty</v>
      </c>
      <c r="K376">
        <v>0.18</v>
      </c>
      <c r="L376" s="20" t="str">
        <f t="shared" si="29"/>
        <v>Safe</v>
      </c>
      <c r="M376" s="20">
        <f t="shared" si="27"/>
        <v>0</v>
      </c>
    </row>
    <row r="377" spans="1:13" x14ac:dyDescent="0.3">
      <c r="A377">
        <v>376</v>
      </c>
      <c r="B377" s="46">
        <v>40560</v>
      </c>
      <c r="C377">
        <v>1</v>
      </c>
      <c r="D377">
        <v>3</v>
      </c>
      <c r="E377" t="b">
        <v>1</v>
      </c>
      <c r="F377">
        <v>1</v>
      </c>
      <c r="G377" s="20" t="str">
        <f t="shared" si="25"/>
        <v>No</v>
      </c>
      <c r="H377" s="20" t="str">
        <f t="shared" si="26"/>
        <v>Monday</v>
      </c>
      <c r="I377">
        <v>2</v>
      </c>
      <c r="J377" s="20" t="str">
        <f t="shared" si="28"/>
        <v>Misty</v>
      </c>
      <c r="K377">
        <v>0.18</v>
      </c>
      <c r="L377" s="20" t="str">
        <f t="shared" si="29"/>
        <v>Safe</v>
      </c>
      <c r="M377" s="20">
        <f t="shared" si="27"/>
        <v>0</v>
      </c>
    </row>
    <row r="378" spans="1:13" x14ac:dyDescent="0.3">
      <c r="A378">
        <v>377</v>
      </c>
      <c r="B378" s="46">
        <v>40560</v>
      </c>
      <c r="C378">
        <v>1</v>
      </c>
      <c r="D378">
        <v>4</v>
      </c>
      <c r="E378" t="b">
        <v>1</v>
      </c>
      <c r="F378">
        <v>1</v>
      </c>
      <c r="G378" s="20" t="str">
        <f t="shared" si="25"/>
        <v>No</v>
      </c>
      <c r="H378" s="20" t="str">
        <f t="shared" si="26"/>
        <v>Monday</v>
      </c>
      <c r="I378">
        <v>2</v>
      </c>
      <c r="J378" s="20" t="str">
        <f t="shared" si="28"/>
        <v>Misty</v>
      </c>
      <c r="K378">
        <v>0.18</v>
      </c>
      <c r="L378" s="20" t="str">
        <f t="shared" si="29"/>
        <v>Safe</v>
      </c>
      <c r="M378" s="20">
        <f t="shared" si="27"/>
        <v>0</v>
      </c>
    </row>
    <row r="379" spans="1:13" x14ac:dyDescent="0.3">
      <c r="A379">
        <v>378</v>
      </c>
      <c r="B379" s="46">
        <v>40560</v>
      </c>
      <c r="C379">
        <v>1</v>
      </c>
      <c r="D379">
        <v>5</v>
      </c>
      <c r="E379" t="b">
        <v>1</v>
      </c>
      <c r="F379">
        <v>1</v>
      </c>
      <c r="G379" s="20" t="str">
        <f t="shared" si="25"/>
        <v>No</v>
      </c>
      <c r="H379" s="20" t="str">
        <f t="shared" si="26"/>
        <v>Monday</v>
      </c>
      <c r="I379">
        <v>2</v>
      </c>
      <c r="J379" s="20" t="str">
        <f t="shared" si="28"/>
        <v>Misty</v>
      </c>
      <c r="K379">
        <v>0.18</v>
      </c>
      <c r="L379" s="20" t="str">
        <f t="shared" si="29"/>
        <v>Safe</v>
      </c>
      <c r="M379" s="20">
        <f t="shared" si="27"/>
        <v>0</v>
      </c>
    </row>
    <row r="380" spans="1:13" x14ac:dyDescent="0.3">
      <c r="A380">
        <v>379</v>
      </c>
      <c r="B380" s="46">
        <v>40560</v>
      </c>
      <c r="C380">
        <v>1</v>
      </c>
      <c r="D380">
        <v>6</v>
      </c>
      <c r="E380" t="b">
        <v>1</v>
      </c>
      <c r="F380">
        <v>1</v>
      </c>
      <c r="G380" s="20" t="str">
        <f t="shared" si="25"/>
        <v>No</v>
      </c>
      <c r="H380" s="20" t="str">
        <f t="shared" si="26"/>
        <v>Monday</v>
      </c>
      <c r="I380">
        <v>2</v>
      </c>
      <c r="J380" s="20" t="str">
        <f t="shared" si="28"/>
        <v>Misty</v>
      </c>
      <c r="K380">
        <v>0.18</v>
      </c>
      <c r="L380" s="20" t="str">
        <f t="shared" si="29"/>
        <v>Safe</v>
      </c>
      <c r="M380" s="20">
        <f t="shared" si="27"/>
        <v>0</v>
      </c>
    </row>
    <row r="381" spans="1:13" x14ac:dyDescent="0.3">
      <c r="A381">
        <v>380</v>
      </c>
      <c r="B381" s="46">
        <v>40560</v>
      </c>
      <c r="C381">
        <v>1</v>
      </c>
      <c r="D381">
        <v>7</v>
      </c>
      <c r="E381" t="b">
        <v>1</v>
      </c>
      <c r="F381">
        <v>1</v>
      </c>
      <c r="G381" s="20" t="str">
        <f t="shared" si="25"/>
        <v>No</v>
      </c>
      <c r="H381" s="20" t="str">
        <f t="shared" si="26"/>
        <v>Monday</v>
      </c>
      <c r="I381">
        <v>2</v>
      </c>
      <c r="J381" s="20" t="str">
        <f t="shared" si="28"/>
        <v>Misty</v>
      </c>
      <c r="K381">
        <v>0.16</v>
      </c>
      <c r="L381" s="20" t="str">
        <f t="shared" si="29"/>
        <v>Safe</v>
      </c>
      <c r="M381" s="20">
        <f t="shared" si="27"/>
        <v>0</v>
      </c>
    </row>
    <row r="382" spans="1:13" x14ac:dyDescent="0.3">
      <c r="A382">
        <v>381</v>
      </c>
      <c r="B382" s="46">
        <v>40560</v>
      </c>
      <c r="C382">
        <v>1</v>
      </c>
      <c r="D382">
        <v>8</v>
      </c>
      <c r="E382" t="b">
        <v>1</v>
      </c>
      <c r="F382">
        <v>1</v>
      </c>
      <c r="G382" s="20" t="str">
        <f t="shared" si="25"/>
        <v>No</v>
      </c>
      <c r="H382" s="20" t="str">
        <f t="shared" si="26"/>
        <v>Monday</v>
      </c>
      <c r="I382">
        <v>2</v>
      </c>
      <c r="J382" s="20" t="str">
        <f t="shared" si="28"/>
        <v>Misty</v>
      </c>
      <c r="K382">
        <v>0.16</v>
      </c>
      <c r="L382" s="20" t="str">
        <f t="shared" si="29"/>
        <v>Safe</v>
      </c>
      <c r="M382" s="20">
        <f t="shared" si="27"/>
        <v>0</v>
      </c>
    </row>
    <row r="383" spans="1:13" x14ac:dyDescent="0.3">
      <c r="A383">
        <v>382</v>
      </c>
      <c r="B383" s="46">
        <v>40560</v>
      </c>
      <c r="C383">
        <v>1</v>
      </c>
      <c r="D383">
        <v>9</v>
      </c>
      <c r="E383" t="b">
        <v>1</v>
      </c>
      <c r="F383">
        <v>1</v>
      </c>
      <c r="G383" s="20" t="str">
        <f t="shared" si="25"/>
        <v>No</v>
      </c>
      <c r="H383" s="20" t="str">
        <f t="shared" si="26"/>
        <v>Monday</v>
      </c>
      <c r="I383">
        <v>2</v>
      </c>
      <c r="J383" s="20" t="str">
        <f t="shared" si="28"/>
        <v>Misty</v>
      </c>
      <c r="K383">
        <v>0.16</v>
      </c>
      <c r="L383" s="20" t="str">
        <f t="shared" si="29"/>
        <v>Safe</v>
      </c>
      <c r="M383" s="20">
        <f t="shared" si="27"/>
        <v>0</v>
      </c>
    </row>
    <row r="384" spans="1:13" x14ac:dyDescent="0.3">
      <c r="A384">
        <v>383</v>
      </c>
      <c r="B384" s="46">
        <v>40560</v>
      </c>
      <c r="C384">
        <v>1</v>
      </c>
      <c r="D384">
        <v>10</v>
      </c>
      <c r="E384" t="b">
        <v>1</v>
      </c>
      <c r="F384">
        <v>1</v>
      </c>
      <c r="G384" s="20" t="str">
        <f t="shared" si="25"/>
        <v>No</v>
      </c>
      <c r="H384" s="20" t="str">
        <f t="shared" si="26"/>
        <v>Monday</v>
      </c>
      <c r="I384">
        <v>2</v>
      </c>
      <c r="J384" s="20" t="str">
        <f t="shared" si="28"/>
        <v>Misty</v>
      </c>
      <c r="K384">
        <v>0.16</v>
      </c>
      <c r="L384" s="20" t="str">
        <f t="shared" si="29"/>
        <v>Safe</v>
      </c>
      <c r="M384" s="20">
        <f t="shared" si="27"/>
        <v>0</v>
      </c>
    </row>
    <row r="385" spans="1:13" x14ac:dyDescent="0.3">
      <c r="A385">
        <v>384</v>
      </c>
      <c r="B385" s="46">
        <v>40560</v>
      </c>
      <c r="C385">
        <v>1</v>
      </c>
      <c r="D385">
        <v>11</v>
      </c>
      <c r="E385" t="b">
        <v>1</v>
      </c>
      <c r="F385">
        <v>1</v>
      </c>
      <c r="G385" s="20" t="str">
        <f t="shared" si="25"/>
        <v>No</v>
      </c>
      <c r="H385" s="20" t="str">
        <f t="shared" si="26"/>
        <v>Monday</v>
      </c>
      <c r="I385">
        <v>2</v>
      </c>
      <c r="J385" s="20" t="str">
        <f t="shared" si="28"/>
        <v>Misty</v>
      </c>
      <c r="K385">
        <v>0.16</v>
      </c>
      <c r="L385" s="20" t="str">
        <f t="shared" si="29"/>
        <v>Safe</v>
      </c>
      <c r="M385" s="20">
        <f t="shared" si="27"/>
        <v>0</v>
      </c>
    </row>
    <row r="386" spans="1:13" x14ac:dyDescent="0.3">
      <c r="A386">
        <v>385</v>
      </c>
      <c r="B386" s="46">
        <v>40560</v>
      </c>
      <c r="C386">
        <v>1</v>
      </c>
      <c r="D386">
        <v>12</v>
      </c>
      <c r="E386" t="b">
        <v>1</v>
      </c>
      <c r="F386">
        <v>1</v>
      </c>
      <c r="G386" s="20" t="str">
        <f t="shared" ref="G386:G449" si="30">_xlfn.IFS(F386=0,"Yes",F386=6,"Yes",F386&gt;0,"No")</f>
        <v>No</v>
      </c>
      <c r="H386" s="20" t="str">
        <f t="shared" ref="H386:H449" si="31">TEXT(B386:B995,"dddd")</f>
        <v>Monday</v>
      </c>
      <c r="I386">
        <v>2</v>
      </c>
      <c r="J386" s="20" t="str">
        <f t="shared" si="28"/>
        <v>Misty</v>
      </c>
      <c r="K386">
        <v>0.18</v>
      </c>
      <c r="L386" s="20" t="str">
        <f t="shared" si="29"/>
        <v>Safe</v>
      </c>
      <c r="M386" s="20">
        <f t="shared" ref="M386:M449" si="32">COUNTBLANK(A386:K386)</f>
        <v>0</v>
      </c>
    </row>
    <row r="387" spans="1:13" x14ac:dyDescent="0.3">
      <c r="A387">
        <v>386</v>
      </c>
      <c r="B387" s="46">
        <v>40560</v>
      </c>
      <c r="C387">
        <v>1</v>
      </c>
      <c r="D387">
        <v>13</v>
      </c>
      <c r="E387" t="b">
        <v>1</v>
      </c>
      <c r="F387">
        <v>1</v>
      </c>
      <c r="G387" s="20" t="str">
        <f t="shared" si="30"/>
        <v>No</v>
      </c>
      <c r="H387" s="20" t="str">
        <f t="shared" si="31"/>
        <v>Monday</v>
      </c>
      <c r="I387">
        <v>2</v>
      </c>
      <c r="J387" s="20" t="str">
        <f t="shared" ref="J387:J450" si="33">_xlfn.IFS(I387=1,"Clean",I387=2,"Misty",I387=3,"Light Rain",I387=4,"Heavy Rain")</f>
        <v>Misty</v>
      </c>
      <c r="K387">
        <v>0.18</v>
      </c>
      <c r="L387" s="20" t="str">
        <f t="shared" ref="L387:L450" si="34">_xlfn.IFS(K387&lt;0.1,"Risky",K387&lt;0.35,"Safe",K387&gt;0.35,"Risky")</f>
        <v>Safe</v>
      </c>
      <c r="M387" s="20">
        <f t="shared" si="32"/>
        <v>0</v>
      </c>
    </row>
    <row r="388" spans="1:13" x14ac:dyDescent="0.3">
      <c r="A388">
        <v>387</v>
      </c>
      <c r="B388" s="46">
        <v>40560</v>
      </c>
      <c r="C388">
        <v>1</v>
      </c>
      <c r="D388">
        <v>14</v>
      </c>
      <c r="E388" t="b">
        <v>1</v>
      </c>
      <c r="F388">
        <v>1</v>
      </c>
      <c r="G388" s="20" t="str">
        <f t="shared" si="30"/>
        <v>No</v>
      </c>
      <c r="H388" s="20" t="str">
        <f t="shared" si="31"/>
        <v>Monday</v>
      </c>
      <c r="I388">
        <v>2</v>
      </c>
      <c r="J388" s="20" t="str">
        <f t="shared" si="33"/>
        <v>Misty</v>
      </c>
      <c r="K388">
        <v>0.18</v>
      </c>
      <c r="L388" s="20" t="str">
        <f t="shared" si="34"/>
        <v>Safe</v>
      </c>
      <c r="M388" s="20">
        <f t="shared" si="32"/>
        <v>0</v>
      </c>
    </row>
    <row r="389" spans="1:13" x14ac:dyDescent="0.3">
      <c r="A389">
        <v>388</v>
      </c>
      <c r="B389" s="46">
        <v>40560</v>
      </c>
      <c r="C389">
        <v>1</v>
      </c>
      <c r="D389">
        <v>15</v>
      </c>
      <c r="E389" t="b">
        <v>1</v>
      </c>
      <c r="F389">
        <v>1</v>
      </c>
      <c r="G389" s="20" t="str">
        <f t="shared" si="30"/>
        <v>No</v>
      </c>
      <c r="H389" s="20" t="str">
        <f t="shared" si="31"/>
        <v>Monday</v>
      </c>
      <c r="I389">
        <v>2</v>
      </c>
      <c r="J389" s="20" t="str">
        <f t="shared" si="33"/>
        <v>Misty</v>
      </c>
      <c r="K389">
        <v>0.2</v>
      </c>
      <c r="L389" s="20" t="str">
        <f t="shared" si="34"/>
        <v>Safe</v>
      </c>
      <c r="M389" s="20">
        <f t="shared" si="32"/>
        <v>0</v>
      </c>
    </row>
    <row r="390" spans="1:13" x14ac:dyDescent="0.3">
      <c r="A390">
        <v>389</v>
      </c>
      <c r="B390" s="46">
        <v>40560</v>
      </c>
      <c r="C390">
        <v>1</v>
      </c>
      <c r="D390">
        <v>16</v>
      </c>
      <c r="E390" t="b">
        <v>1</v>
      </c>
      <c r="F390">
        <v>1</v>
      </c>
      <c r="G390" s="20" t="str">
        <f t="shared" si="30"/>
        <v>No</v>
      </c>
      <c r="H390" s="20" t="str">
        <f t="shared" si="31"/>
        <v>Monday</v>
      </c>
      <c r="I390">
        <v>2</v>
      </c>
      <c r="J390" s="20" t="str">
        <f t="shared" si="33"/>
        <v>Misty</v>
      </c>
      <c r="K390">
        <v>0.2</v>
      </c>
      <c r="L390" s="20" t="str">
        <f t="shared" si="34"/>
        <v>Safe</v>
      </c>
      <c r="M390" s="20">
        <f t="shared" si="32"/>
        <v>0</v>
      </c>
    </row>
    <row r="391" spans="1:13" x14ac:dyDescent="0.3">
      <c r="A391">
        <v>390</v>
      </c>
      <c r="B391" s="46">
        <v>40560</v>
      </c>
      <c r="C391">
        <v>1</v>
      </c>
      <c r="D391">
        <v>17</v>
      </c>
      <c r="E391" t="b">
        <v>1</v>
      </c>
      <c r="F391">
        <v>1</v>
      </c>
      <c r="G391" s="20" t="str">
        <f t="shared" si="30"/>
        <v>No</v>
      </c>
      <c r="H391" s="20" t="str">
        <f t="shared" si="31"/>
        <v>Monday</v>
      </c>
      <c r="I391">
        <v>1</v>
      </c>
      <c r="J391" s="20" t="str">
        <f t="shared" si="33"/>
        <v>Clean</v>
      </c>
      <c r="K391">
        <v>0.2</v>
      </c>
      <c r="L391" s="20" t="str">
        <f t="shared" si="34"/>
        <v>Safe</v>
      </c>
      <c r="M391" s="20">
        <f t="shared" si="32"/>
        <v>0</v>
      </c>
    </row>
    <row r="392" spans="1:13" x14ac:dyDescent="0.3">
      <c r="A392">
        <v>391</v>
      </c>
      <c r="B392" s="46">
        <v>40560</v>
      </c>
      <c r="C392">
        <v>1</v>
      </c>
      <c r="D392">
        <v>18</v>
      </c>
      <c r="E392" t="b">
        <v>1</v>
      </c>
      <c r="F392">
        <v>1</v>
      </c>
      <c r="G392" s="20" t="str">
        <f t="shared" si="30"/>
        <v>No</v>
      </c>
      <c r="H392" s="20" t="str">
        <f t="shared" si="31"/>
        <v>Monday</v>
      </c>
      <c r="I392">
        <v>2</v>
      </c>
      <c r="J392" s="20" t="str">
        <f t="shared" si="33"/>
        <v>Misty</v>
      </c>
      <c r="K392">
        <v>0.18</v>
      </c>
      <c r="L392" s="20" t="str">
        <f t="shared" si="34"/>
        <v>Safe</v>
      </c>
      <c r="M392" s="20">
        <f t="shared" si="32"/>
        <v>0</v>
      </c>
    </row>
    <row r="393" spans="1:13" x14ac:dyDescent="0.3">
      <c r="A393">
        <v>392</v>
      </c>
      <c r="B393" s="46">
        <v>40560</v>
      </c>
      <c r="C393">
        <v>1</v>
      </c>
      <c r="D393">
        <v>19</v>
      </c>
      <c r="E393" t="b">
        <v>1</v>
      </c>
      <c r="F393">
        <v>1</v>
      </c>
      <c r="G393" s="20" t="str">
        <f t="shared" si="30"/>
        <v>No</v>
      </c>
      <c r="H393" s="20" t="str">
        <f t="shared" si="31"/>
        <v>Monday</v>
      </c>
      <c r="I393">
        <v>3</v>
      </c>
      <c r="J393" s="20" t="str">
        <f t="shared" si="33"/>
        <v>Light Rain</v>
      </c>
      <c r="K393">
        <v>0.18</v>
      </c>
      <c r="L393" s="20" t="str">
        <f t="shared" si="34"/>
        <v>Safe</v>
      </c>
      <c r="M393" s="20">
        <f t="shared" si="32"/>
        <v>0</v>
      </c>
    </row>
    <row r="394" spans="1:13" x14ac:dyDescent="0.3">
      <c r="A394">
        <v>393</v>
      </c>
      <c r="B394" s="46">
        <v>40560</v>
      </c>
      <c r="C394">
        <v>1</v>
      </c>
      <c r="D394">
        <v>20</v>
      </c>
      <c r="E394" t="b">
        <v>1</v>
      </c>
      <c r="F394">
        <v>1</v>
      </c>
      <c r="G394" s="20" t="str">
        <f t="shared" si="30"/>
        <v>No</v>
      </c>
      <c r="H394" s="20" t="str">
        <f t="shared" si="31"/>
        <v>Monday</v>
      </c>
      <c r="I394">
        <v>3</v>
      </c>
      <c r="J394" s="20" t="str">
        <f t="shared" si="33"/>
        <v>Light Rain</v>
      </c>
      <c r="K394">
        <v>0.16</v>
      </c>
      <c r="L394" s="20" t="str">
        <f t="shared" si="34"/>
        <v>Safe</v>
      </c>
      <c r="M394" s="20">
        <f t="shared" si="32"/>
        <v>0</v>
      </c>
    </row>
    <row r="395" spans="1:13" x14ac:dyDescent="0.3">
      <c r="A395">
        <v>394</v>
      </c>
      <c r="B395" s="46">
        <v>40560</v>
      </c>
      <c r="C395">
        <v>1</v>
      </c>
      <c r="D395">
        <v>21</v>
      </c>
      <c r="E395" t="b">
        <v>1</v>
      </c>
      <c r="F395">
        <v>1</v>
      </c>
      <c r="G395" s="20" t="str">
        <f t="shared" si="30"/>
        <v>No</v>
      </c>
      <c r="H395" s="20" t="str">
        <f t="shared" si="31"/>
        <v>Monday</v>
      </c>
      <c r="I395">
        <v>3</v>
      </c>
      <c r="J395" s="20" t="str">
        <f t="shared" si="33"/>
        <v>Light Rain</v>
      </c>
      <c r="K395">
        <v>0.16</v>
      </c>
      <c r="L395" s="20" t="str">
        <f t="shared" si="34"/>
        <v>Safe</v>
      </c>
      <c r="M395" s="20">
        <f t="shared" si="32"/>
        <v>0</v>
      </c>
    </row>
    <row r="396" spans="1:13" x14ac:dyDescent="0.3">
      <c r="A396">
        <v>395</v>
      </c>
      <c r="B396" s="46">
        <v>40560</v>
      </c>
      <c r="C396">
        <v>1</v>
      </c>
      <c r="D396">
        <v>22</v>
      </c>
      <c r="E396" t="b">
        <v>1</v>
      </c>
      <c r="F396">
        <v>1</v>
      </c>
      <c r="G396" s="20" t="str">
        <f t="shared" si="30"/>
        <v>No</v>
      </c>
      <c r="H396" s="20" t="str">
        <f t="shared" si="31"/>
        <v>Monday</v>
      </c>
      <c r="I396">
        <v>3</v>
      </c>
      <c r="J396" s="20" t="str">
        <f t="shared" si="33"/>
        <v>Light Rain</v>
      </c>
      <c r="K396">
        <v>0.14000000000000001</v>
      </c>
      <c r="L396" s="20" t="str">
        <f t="shared" si="34"/>
        <v>Safe</v>
      </c>
      <c r="M396" s="20">
        <f t="shared" si="32"/>
        <v>0</v>
      </c>
    </row>
    <row r="397" spans="1:13" x14ac:dyDescent="0.3">
      <c r="A397">
        <v>396</v>
      </c>
      <c r="B397" s="46">
        <v>40560</v>
      </c>
      <c r="C397">
        <v>1</v>
      </c>
      <c r="D397">
        <v>23</v>
      </c>
      <c r="E397" t="b">
        <v>1</v>
      </c>
      <c r="F397">
        <v>1</v>
      </c>
      <c r="G397" s="20" t="str">
        <f t="shared" si="30"/>
        <v>No</v>
      </c>
      <c r="H397" s="20" t="str">
        <f t="shared" si="31"/>
        <v>Monday</v>
      </c>
      <c r="I397">
        <v>3</v>
      </c>
      <c r="J397" s="20" t="str">
        <f t="shared" si="33"/>
        <v>Light Rain</v>
      </c>
      <c r="K397">
        <v>0.16</v>
      </c>
      <c r="L397" s="20" t="str">
        <f t="shared" si="34"/>
        <v>Safe</v>
      </c>
      <c r="M397" s="20">
        <f t="shared" si="32"/>
        <v>0</v>
      </c>
    </row>
    <row r="398" spans="1:13" x14ac:dyDescent="0.3">
      <c r="A398">
        <v>397</v>
      </c>
      <c r="B398" s="46">
        <v>40561</v>
      </c>
      <c r="C398">
        <v>1</v>
      </c>
      <c r="D398">
        <v>12</v>
      </c>
      <c r="E398" t="b">
        <v>0</v>
      </c>
      <c r="F398">
        <v>2</v>
      </c>
      <c r="G398" s="20" t="str">
        <f t="shared" si="30"/>
        <v>No</v>
      </c>
      <c r="H398" s="20" t="str">
        <f t="shared" si="31"/>
        <v>Tuesday</v>
      </c>
      <c r="I398">
        <v>2</v>
      </c>
      <c r="J398" s="20" t="str">
        <f t="shared" si="33"/>
        <v>Misty</v>
      </c>
      <c r="K398">
        <v>0.2</v>
      </c>
      <c r="L398" s="20" t="str">
        <f t="shared" si="34"/>
        <v>Safe</v>
      </c>
      <c r="M398" s="20">
        <f t="shared" si="32"/>
        <v>0</v>
      </c>
    </row>
    <row r="399" spans="1:13" x14ac:dyDescent="0.3">
      <c r="A399">
        <v>398</v>
      </c>
      <c r="B399" s="46">
        <v>40561</v>
      </c>
      <c r="C399">
        <v>1</v>
      </c>
      <c r="D399">
        <v>13</v>
      </c>
      <c r="E399" t="b">
        <v>0</v>
      </c>
      <c r="F399">
        <v>2</v>
      </c>
      <c r="G399" s="20" t="str">
        <f t="shared" si="30"/>
        <v>No</v>
      </c>
      <c r="H399" s="20" t="str">
        <f t="shared" si="31"/>
        <v>Tuesday</v>
      </c>
      <c r="I399">
        <v>2</v>
      </c>
      <c r="J399" s="20" t="str">
        <f t="shared" si="33"/>
        <v>Misty</v>
      </c>
      <c r="K399">
        <v>0.2</v>
      </c>
      <c r="L399" s="20" t="str">
        <f t="shared" si="34"/>
        <v>Safe</v>
      </c>
      <c r="M399" s="20">
        <f t="shared" si="32"/>
        <v>0</v>
      </c>
    </row>
    <row r="400" spans="1:13" x14ac:dyDescent="0.3">
      <c r="A400">
        <v>399</v>
      </c>
      <c r="B400" s="46">
        <v>40561</v>
      </c>
      <c r="C400">
        <v>1</v>
      </c>
      <c r="D400">
        <v>14</v>
      </c>
      <c r="E400" t="b">
        <v>0</v>
      </c>
      <c r="F400">
        <v>2</v>
      </c>
      <c r="G400" s="20" t="str">
        <f t="shared" si="30"/>
        <v>No</v>
      </c>
      <c r="H400" s="20" t="str">
        <f t="shared" si="31"/>
        <v>Tuesday</v>
      </c>
      <c r="I400">
        <v>2</v>
      </c>
      <c r="J400" s="20" t="str">
        <f t="shared" si="33"/>
        <v>Misty</v>
      </c>
      <c r="K400">
        <v>0.22</v>
      </c>
      <c r="L400" s="20" t="str">
        <f t="shared" si="34"/>
        <v>Safe</v>
      </c>
      <c r="M400" s="20">
        <f t="shared" si="32"/>
        <v>0</v>
      </c>
    </row>
    <row r="401" spans="1:13" x14ac:dyDescent="0.3">
      <c r="A401">
        <v>400</v>
      </c>
      <c r="B401" s="46">
        <v>40561</v>
      </c>
      <c r="C401">
        <v>1</v>
      </c>
      <c r="D401">
        <v>15</v>
      </c>
      <c r="E401" t="b">
        <v>0</v>
      </c>
      <c r="F401">
        <v>2</v>
      </c>
      <c r="G401" s="20" t="str">
        <f t="shared" si="30"/>
        <v>No</v>
      </c>
      <c r="H401" s="20" t="str">
        <f t="shared" si="31"/>
        <v>Tuesday</v>
      </c>
      <c r="I401">
        <v>2</v>
      </c>
      <c r="J401" s="20" t="str">
        <f t="shared" si="33"/>
        <v>Misty</v>
      </c>
      <c r="K401">
        <v>0.22</v>
      </c>
      <c r="L401" s="20" t="str">
        <f t="shared" si="34"/>
        <v>Safe</v>
      </c>
      <c r="M401" s="20">
        <f t="shared" si="32"/>
        <v>0</v>
      </c>
    </row>
    <row r="402" spans="1:13" x14ac:dyDescent="0.3">
      <c r="A402">
        <v>401</v>
      </c>
      <c r="B402" s="46">
        <v>40561</v>
      </c>
      <c r="C402">
        <v>1</v>
      </c>
      <c r="D402">
        <v>16</v>
      </c>
      <c r="E402" t="b">
        <v>0</v>
      </c>
      <c r="F402">
        <v>2</v>
      </c>
      <c r="G402" s="20" t="str">
        <f t="shared" si="30"/>
        <v>No</v>
      </c>
      <c r="H402" s="20" t="str">
        <f t="shared" si="31"/>
        <v>Tuesday</v>
      </c>
      <c r="I402">
        <v>2</v>
      </c>
      <c r="J402" s="20" t="str">
        <f t="shared" si="33"/>
        <v>Misty</v>
      </c>
      <c r="K402">
        <v>0.22</v>
      </c>
      <c r="L402" s="20" t="str">
        <f t="shared" si="34"/>
        <v>Safe</v>
      </c>
      <c r="M402" s="20">
        <f t="shared" si="32"/>
        <v>0</v>
      </c>
    </row>
    <row r="403" spans="1:13" x14ac:dyDescent="0.3">
      <c r="A403">
        <v>402</v>
      </c>
      <c r="B403" s="46">
        <v>40561</v>
      </c>
      <c r="C403">
        <v>1</v>
      </c>
      <c r="D403">
        <v>17</v>
      </c>
      <c r="E403" t="b">
        <v>0</v>
      </c>
      <c r="F403">
        <v>2</v>
      </c>
      <c r="G403" s="20" t="str">
        <f t="shared" si="30"/>
        <v>No</v>
      </c>
      <c r="H403" s="20" t="str">
        <f t="shared" si="31"/>
        <v>Tuesday</v>
      </c>
      <c r="I403">
        <v>2</v>
      </c>
      <c r="J403" s="20" t="str">
        <f t="shared" si="33"/>
        <v>Misty</v>
      </c>
      <c r="K403">
        <v>0.22</v>
      </c>
      <c r="L403" s="20" t="str">
        <f t="shared" si="34"/>
        <v>Safe</v>
      </c>
      <c r="M403" s="20">
        <f t="shared" si="32"/>
        <v>0</v>
      </c>
    </row>
    <row r="404" spans="1:13" x14ac:dyDescent="0.3">
      <c r="A404">
        <v>403</v>
      </c>
      <c r="B404" s="46">
        <v>40561</v>
      </c>
      <c r="C404">
        <v>1</v>
      </c>
      <c r="D404">
        <v>18</v>
      </c>
      <c r="E404" t="b">
        <v>0</v>
      </c>
      <c r="F404">
        <v>2</v>
      </c>
      <c r="G404" s="20" t="str">
        <f t="shared" si="30"/>
        <v>No</v>
      </c>
      <c r="H404" s="20" t="str">
        <f t="shared" si="31"/>
        <v>Tuesday</v>
      </c>
      <c r="I404">
        <v>2</v>
      </c>
      <c r="J404" s="20" t="str">
        <f t="shared" si="33"/>
        <v>Misty</v>
      </c>
      <c r="K404">
        <v>0.22</v>
      </c>
      <c r="L404" s="20" t="str">
        <f t="shared" si="34"/>
        <v>Safe</v>
      </c>
      <c r="M404" s="20">
        <f t="shared" si="32"/>
        <v>0</v>
      </c>
    </row>
    <row r="405" spans="1:13" x14ac:dyDescent="0.3">
      <c r="A405">
        <v>404</v>
      </c>
      <c r="B405" s="46">
        <v>40561</v>
      </c>
      <c r="C405">
        <v>1</v>
      </c>
      <c r="D405">
        <v>19</v>
      </c>
      <c r="E405" t="b">
        <v>0</v>
      </c>
      <c r="F405">
        <v>2</v>
      </c>
      <c r="G405" s="20" t="str">
        <f t="shared" si="30"/>
        <v>No</v>
      </c>
      <c r="H405" s="20" t="str">
        <f t="shared" si="31"/>
        <v>Tuesday</v>
      </c>
      <c r="I405">
        <v>2</v>
      </c>
      <c r="J405" s="20" t="str">
        <f t="shared" si="33"/>
        <v>Misty</v>
      </c>
      <c r="K405">
        <v>0.22</v>
      </c>
      <c r="L405" s="20" t="str">
        <f t="shared" si="34"/>
        <v>Safe</v>
      </c>
      <c r="M405" s="20">
        <f t="shared" si="32"/>
        <v>0</v>
      </c>
    </row>
    <row r="406" spans="1:13" x14ac:dyDescent="0.3">
      <c r="A406">
        <v>405</v>
      </c>
      <c r="B406" s="46">
        <v>40561</v>
      </c>
      <c r="C406">
        <v>1</v>
      </c>
      <c r="D406">
        <v>20</v>
      </c>
      <c r="E406" t="b">
        <v>0</v>
      </c>
      <c r="F406">
        <v>2</v>
      </c>
      <c r="G406" s="20" t="str">
        <f t="shared" si="30"/>
        <v>No</v>
      </c>
      <c r="H406" s="20" t="str">
        <f t="shared" si="31"/>
        <v>Tuesday</v>
      </c>
      <c r="I406">
        <v>2</v>
      </c>
      <c r="J406" s="20" t="str">
        <f t="shared" si="33"/>
        <v>Misty</v>
      </c>
      <c r="K406">
        <v>0.22</v>
      </c>
      <c r="L406" s="20" t="str">
        <f t="shared" si="34"/>
        <v>Safe</v>
      </c>
      <c r="M406" s="20">
        <f t="shared" si="32"/>
        <v>0</v>
      </c>
    </row>
    <row r="407" spans="1:13" x14ac:dyDescent="0.3">
      <c r="A407">
        <v>406</v>
      </c>
      <c r="B407" s="46">
        <v>40561</v>
      </c>
      <c r="C407">
        <v>1</v>
      </c>
      <c r="D407">
        <v>21</v>
      </c>
      <c r="E407" t="b">
        <v>0</v>
      </c>
      <c r="F407">
        <v>2</v>
      </c>
      <c r="G407" s="20" t="str">
        <f t="shared" si="30"/>
        <v>No</v>
      </c>
      <c r="H407" s="20" t="str">
        <f t="shared" si="31"/>
        <v>Tuesday</v>
      </c>
      <c r="I407">
        <v>2</v>
      </c>
      <c r="J407" s="20" t="str">
        <f t="shared" si="33"/>
        <v>Misty</v>
      </c>
      <c r="K407">
        <v>0.22</v>
      </c>
      <c r="L407" s="20" t="str">
        <f t="shared" si="34"/>
        <v>Safe</v>
      </c>
      <c r="M407" s="20">
        <f t="shared" si="32"/>
        <v>0</v>
      </c>
    </row>
    <row r="408" spans="1:13" x14ac:dyDescent="0.3">
      <c r="A408">
        <v>407</v>
      </c>
      <c r="B408" s="46">
        <v>40561</v>
      </c>
      <c r="C408">
        <v>1</v>
      </c>
      <c r="D408">
        <v>22</v>
      </c>
      <c r="E408" t="b">
        <v>0</v>
      </c>
      <c r="F408">
        <v>2</v>
      </c>
      <c r="G408" s="20" t="str">
        <f t="shared" si="30"/>
        <v>No</v>
      </c>
      <c r="H408" s="20" t="str">
        <f t="shared" si="31"/>
        <v>Tuesday</v>
      </c>
      <c r="I408">
        <v>2</v>
      </c>
      <c r="J408" s="20" t="str">
        <f t="shared" si="33"/>
        <v>Misty</v>
      </c>
      <c r="K408">
        <v>0.22</v>
      </c>
      <c r="L408" s="20" t="str">
        <f t="shared" si="34"/>
        <v>Safe</v>
      </c>
      <c r="M408" s="20">
        <f t="shared" si="32"/>
        <v>0</v>
      </c>
    </row>
    <row r="409" spans="1:13" x14ac:dyDescent="0.3">
      <c r="A409">
        <v>408</v>
      </c>
      <c r="B409" s="46">
        <v>40561</v>
      </c>
      <c r="C409">
        <v>1</v>
      </c>
      <c r="D409">
        <v>23</v>
      </c>
      <c r="E409" t="b">
        <v>0</v>
      </c>
      <c r="F409">
        <v>2</v>
      </c>
      <c r="G409" s="20" t="str">
        <f t="shared" si="30"/>
        <v>No</v>
      </c>
      <c r="H409" s="20" t="str">
        <f t="shared" si="31"/>
        <v>Tuesday</v>
      </c>
      <c r="I409">
        <v>2</v>
      </c>
      <c r="J409" s="20" t="str">
        <f t="shared" si="33"/>
        <v>Misty</v>
      </c>
      <c r="K409">
        <v>0.22</v>
      </c>
      <c r="L409" s="20" t="str">
        <f t="shared" si="34"/>
        <v>Safe</v>
      </c>
      <c r="M409" s="20">
        <f t="shared" si="32"/>
        <v>0</v>
      </c>
    </row>
    <row r="410" spans="1:13" x14ac:dyDescent="0.3">
      <c r="A410">
        <v>409</v>
      </c>
      <c r="B410" s="46">
        <v>40562</v>
      </c>
      <c r="C410">
        <v>1</v>
      </c>
      <c r="D410">
        <v>0</v>
      </c>
      <c r="E410" t="b">
        <v>0</v>
      </c>
      <c r="F410">
        <v>3</v>
      </c>
      <c r="G410" s="20" t="str">
        <f t="shared" si="30"/>
        <v>No</v>
      </c>
      <c r="H410" s="20" t="str">
        <f t="shared" si="31"/>
        <v>Wednesday</v>
      </c>
      <c r="I410">
        <v>2</v>
      </c>
      <c r="J410" s="20" t="str">
        <f t="shared" si="33"/>
        <v>Misty</v>
      </c>
      <c r="K410">
        <v>0.22</v>
      </c>
      <c r="L410" s="20" t="str">
        <f t="shared" si="34"/>
        <v>Safe</v>
      </c>
      <c r="M410" s="20">
        <f t="shared" si="32"/>
        <v>0</v>
      </c>
    </row>
    <row r="411" spans="1:13" x14ac:dyDescent="0.3">
      <c r="A411">
        <v>410</v>
      </c>
      <c r="B411" s="46">
        <v>40562</v>
      </c>
      <c r="C411">
        <v>1</v>
      </c>
      <c r="D411">
        <v>1</v>
      </c>
      <c r="E411" t="b">
        <v>0</v>
      </c>
      <c r="F411">
        <v>3</v>
      </c>
      <c r="G411" s="20" t="str">
        <f t="shared" si="30"/>
        <v>No</v>
      </c>
      <c r="H411" s="20" t="str">
        <f t="shared" si="31"/>
        <v>Wednesday</v>
      </c>
      <c r="I411">
        <v>3</v>
      </c>
      <c r="J411" s="20" t="str">
        <f t="shared" si="33"/>
        <v>Light Rain</v>
      </c>
      <c r="K411">
        <v>0.22</v>
      </c>
      <c r="L411" s="20" t="str">
        <f t="shared" si="34"/>
        <v>Safe</v>
      </c>
      <c r="M411" s="20">
        <f t="shared" si="32"/>
        <v>0</v>
      </c>
    </row>
    <row r="412" spans="1:13" x14ac:dyDescent="0.3">
      <c r="A412">
        <v>411</v>
      </c>
      <c r="B412" s="46">
        <v>40562</v>
      </c>
      <c r="C412">
        <v>1</v>
      </c>
      <c r="D412">
        <v>2</v>
      </c>
      <c r="E412" t="b">
        <v>0</v>
      </c>
      <c r="F412">
        <v>3</v>
      </c>
      <c r="G412" s="20" t="str">
        <f t="shared" si="30"/>
        <v>No</v>
      </c>
      <c r="H412" s="20" t="str">
        <f t="shared" si="31"/>
        <v>Wednesday</v>
      </c>
      <c r="I412">
        <v>3</v>
      </c>
      <c r="J412" s="20" t="str">
        <f t="shared" si="33"/>
        <v>Light Rain</v>
      </c>
      <c r="K412">
        <v>0.22</v>
      </c>
      <c r="L412" s="20" t="str">
        <f t="shared" si="34"/>
        <v>Safe</v>
      </c>
      <c r="M412" s="20">
        <f t="shared" si="32"/>
        <v>0</v>
      </c>
    </row>
    <row r="413" spans="1:13" x14ac:dyDescent="0.3">
      <c r="A413">
        <v>412</v>
      </c>
      <c r="B413" s="46">
        <v>40562</v>
      </c>
      <c r="C413">
        <v>1</v>
      </c>
      <c r="D413">
        <v>4</v>
      </c>
      <c r="E413" t="b">
        <v>0</v>
      </c>
      <c r="F413">
        <v>3</v>
      </c>
      <c r="G413" s="20" t="str">
        <f t="shared" si="30"/>
        <v>No</v>
      </c>
      <c r="H413" s="20" t="str">
        <f t="shared" si="31"/>
        <v>Wednesday</v>
      </c>
      <c r="I413">
        <v>3</v>
      </c>
      <c r="J413" s="20" t="str">
        <f t="shared" si="33"/>
        <v>Light Rain</v>
      </c>
      <c r="K413">
        <v>0.22</v>
      </c>
      <c r="L413" s="20" t="str">
        <f t="shared" si="34"/>
        <v>Safe</v>
      </c>
      <c r="M413" s="20">
        <f t="shared" si="32"/>
        <v>0</v>
      </c>
    </row>
    <row r="414" spans="1:13" x14ac:dyDescent="0.3">
      <c r="A414">
        <v>413</v>
      </c>
      <c r="B414" s="46">
        <v>40562</v>
      </c>
      <c r="C414">
        <v>1</v>
      </c>
      <c r="D414">
        <v>5</v>
      </c>
      <c r="E414" t="b">
        <v>0</v>
      </c>
      <c r="F414">
        <v>3</v>
      </c>
      <c r="G414" s="20" t="str">
        <f t="shared" si="30"/>
        <v>No</v>
      </c>
      <c r="H414" s="20" t="str">
        <f t="shared" si="31"/>
        <v>Wednesday</v>
      </c>
      <c r="I414">
        <v>2</v>
      </c>
      <c r="J414" s="20" t="str">
        <f t="shared" si="33"/>
        <v>Misty</v>
      </c>
      <c r="K414">
        <v>0.22</v>
      </c>
      <c r="L414" s="20" t="str">
        <f t="shared" si="34"/>
        <v>Safe</v>
      </c>
      <c r="M414" s="20">
        <f t="shared" si="32"/>
        <v>0</v>
      </c>
    </row>
    <row r="415" spans="1:13" x14ac:dyDescent="0.3">
      <c r="A415">
        <v>414</v>
      </c>
      <c r="B415" s="46">
        <v>40562</v>
      </c>
      <c r="C415">
        <v>1</v>
      </c>
      <c r="D415">
        <v>6</v>
      </c>
      <c r="E415" t="b">
        <v>0</v>
      </c>
      <c r="F415">
        <v>3</v>
      </c>
      <c r="G415" s="20" t="str">
        <f t="shared" si="30"/>
        <v>No</v>
      </c>
      <c r="H415" s="20" t="str">
        <f t="shared" si="31"/>
        <v>Wednesday</v>
      </c>
      <c r="I415">
        <v>2</v>
      </c>
      <c r="J415" s="20" t="str">
        <f t="shared" si="33"/>
        <v>Misty</v>
      </c>
      <c r="K415">
        <v>0.22</v>
      </c>
      <c r="L415" s="20" t="str">
        <f t="shared" si="34"/>
        <v>Safe</v>
      </c>
      <c r="M415" s="20">
        <f t="shared" si="32"/>
        <v>0</v>
      </c>
    </row>
    <row r="416" spans="1:13" x14ac:dyDescent="0.3">
      <c r="A416">
        <v>415</v>
      </c>
      <c r="B416" s="46">
        <v>40562</v>
      </c>
      <c r="C416">
        <v>1</v>
      </c>
      <c r="D416">
        <v>7</v>
      </c>
      <c r="E416" t="b">
        <v>0</v>
      </c>
      <c r="F416">
        <v>3</v>
      </c>
      <c r="G416" s="20" t="str">
        <f t="shared" si="30"/>
        <v>No</v>
      </c>
      <c r="H416" s="20" t="str">
        <f t="shared" si="31"/>
        <v>Wednesday</v>
      </c>
      <c r="I416">
        <v>2</v>
      </c>
      <c r="J416" s="20" t="str">
        <f t="shared" si="33"/>
        <v>Misty</v>
      </c>
      <c r="K416">
        <v>0.24</v>
      </c>
      <c r="L416" s="20" t="str">
        <f t="shared" si="34"/>
        <v>Safe</v>
      </c>
      <c r="M416" s="20">
        <f t="shared" si="32"/>
        <v>0</v>
      </c>
    </row>
    <row r="417" spans="1:13" x14ac:dyDescent="0.3">
      <c r="A417">
        <v>416</v>
      </c>
      <c r="B417" s="46">
        <v>40562</v>
      </c>
      <c r="C417">
        <v>1</v>
      </c>
      <c r="D417">
        <v>8</v>
      </c>
      <c r="E417" t="b">
        <v>0</v>
      </c>
      <c r="F417">
        <v>3</v>
      </c>
      <c r="G417" s="20" t="str">
        <f t="shared" si="30"/>
        <v>No</v>
      </c>
      <c r="H417" s="20" t="str">
        <f t="shared" si="31"/>
        <v>Wednesday</v>
      </c>
      <c r="I417">
        <v>2</v>
      </c>
      <c r="J417" s="20" t="str">
        <f t="shared" si="33"/>
        <v>Misty</v>
      </c>
      <c r="K417">
        <v>0.24</v>
      </c>
      <c r="L417" s="20" t="str">
        <f t="shared" si="34"/>
        <v>Safe</v>
      </c>
      <c r="M417" s="20">
        <f t="shared" si="32"/>
        <v>0</v>
      </c>
    </row>
    <row r="418" spans="1:13" x14ac:dyDescent="0.3">
      <c r="A418">
        <v>417</v>
      </c>
      <c r="B418" s="46">
        <v>40562</v>
      </c>
      <c r="C418">
        <v>1</v>
      </c>
      <c r="D418">
        <v>9</v>
      </c>
      <c r="E418" t="b">
        <v>0</v>
      </c>
      <c r="F418">
        <v>3</v>
      </c>
      <c r="G418" s="20" t="str">
        <f t="shared" si="30"/>
        <v>No</v>
      </c>
      <c r="H418" s="20" t="str">
        <f t="shared" si="31"/>
        <v>Wednesday</v>
      </c>
      <c r="I418">
        <v>2</v>
      </c>
      <c r="J418" s="20" t="str">
        <f t="shared" si="33"/>
        <v>Misty</v>
      </c>
      <c r="K418">
        <v>0.24</v>
      </c>
      <c r="L418" s="20" t="str">
        <f t="shared" si="34"/>
        <v>Safe</v>
      </c>
      <c r="M418" s="20">
        <f t="shared" si="32"/>
        <v>0</v>
      </c>
    </row>
    <row r="419" spans="1:13" x14ac:dyDescent="0.3">
      <c r="A419">
        <v>418</v>
      </c>
      <c r="B419" s="46">
        <v>40562</v>
      </c>
      <c r="C419">
        <v>1</v>
      </c>
      <c r="D419">
        <v>10</v>
      </c>
      <c r="E419" t="b">
        <v>0</v>
      </c>
      <c r="F419">
        <v>3</v>
      </c>
      <c r="G419" s="20" t="str">
        <f t="shared" si="30"/>
        <v>No</v>
      </c>
      <c r="H419" s="20" t="str">
        <f t="shared" si="31"/>
        <v>Wednesday</v>
      </c>
      <c r="I419">
        <v>2</v>
      </c>
      <c r="J419" s="20" t="str">
        <f t="shared" si="33"/>
        <v>Misty</v>
      </c>
      <c r="K419">
        <v>0.26</v>
      </c>
      <c r="L419" s="20" t="str">
        <f t="shared" si="34"/>
        <v>Safe</v>
      </c>
      <c r="M419" s="20">
        <f t="shared" si="32"/>
        <v>0</v>
      </c>
    </row>
    <row r="420" spans="1:13" x14ac:dyDescent="0.3">
      <c r="A420">
        <v>419</v>
      </c>
      <c r="B420" s="46">
        <v>40562</v>
      </c>
      <c r="C420">
        <v>1</v>
      </c>
      <c r="D420">
        <v>11</v>
      </c>
      <c r="E420" t="b">
        <v>0</v>
      </c>
      <c r="F420">
        <v>3</v>
      </c>
      <c r="G420" s="20" t="str">
        <f t="shared" si="30"/>
        <v>No</v>
      </c>
      <c r="H420" s="20" t="str">
        <f t="shared" si="31"/>
        <v>Wednesday</v>
      </c>
      <c r="I420">
        <v>2</v>
      </c>
      <c r="J420" s="20" t="str">
        <f t="shared" si="33"/>
        <v>Misty</v>
      </c>
      <c r="K420">
        <v>0.28000000000000003</v>
      </c>
      <c r="L420" s="20" t="str">
        <f t="shared" si="34"/>
        <v>Safe</v>
      </c>
      <c r="M420" s="20">
        <f t="shared" si="32"/>
        <v>0</v>
      </c>
    </row>
    <row r="421" spans="1:13" x14ac:dyDescent="0.3">
      <c r="A421">
        <v>420</v>
      </c>
      <c r="B421" s="46">
        <v>40562</v>
      </c>
      <c r="C421">
        <v>1</v>
      </c>
      <c r="D421">
        <v>12</v>
      </c>
      <c r="E421" t="b">
        <v>0</v>
      </c>
      <c r="F421">
        <v>3</v>
      </c>
      <c r="G421" s="20" t="str">
        <f t="shared" si="30"/>
        <v>No</v>
      </c>
      <c r="H421" s="20" t="str">
        <f t="shared" si="31"/>
        <v>Wednesday</v>
      </c>
      <c r="I421">
        <v>2</v>
      </c>
      <c r="J421" s="20" t="str">
        <f t="shared" si="33"/>
        <v>Misty</v>
      </c>
      <c r="K421">
        <v>0.3</v>
      </c>
      <c r="L421" s="20" t="str">
        <f t="shared" si="34"/>
        <v>Safe</v>
      </c>
      <c r="M421" s="20">
        <f t="shared" si="32"/>
        <v>0</v>
      </c>
    </row>
    <row r="422" spans="1:13" x14ac:dyDescent="0.3">
      <c r="A422">
        <v>421</v>
      </c>
      <c r="B422" s="46">
        <v>40562</v>
      </c>
      <c r="C422">
        <v>1</v>
      </c>
      <c r="D422">
        <v>13</v>
      </c>
      <c r="E422" t="b">
        <v>0</v>
      </c>
      <c r="F422">
        <v>3</v>
      </c>
      <c r="G422" s="20" t="str">
        <f t="shared" si="30"/>
        <v>No</v>
      </c>
      <c r="H422" s="20" t="str">
        <f t="shared" si="31"/>
        <v>Wednesday</v>
      </c>
      <c r="I422">
        <v>1</v>
      </c>
      <c r="J422" s="20" t="str">
        <f t="shared" si="33"/>
        <v>Clean</v>
      </c>
      <c r="K422">
        <v>0.4</v>
      </c>
      <c r="L422" s="20" t="str">
        <f t="shared" si="34"/>
        <v>Risky</v>
      </c>
      <c r="M422" s="20">
        <f t="shared" si="32"/>
        <v>0</v>
      </c>
    </row>
    <row r="423" spans="1:13" x14ac:dyDescent="0.3">
      <c r="A423">
        <v>422</v>
      </c>
      <c r="B423" s="46">
        <v>40562</v>
      </c>
      <c r="C423">
        <v>1</v>
      </c>
      <c r="D423">
        <v>14</v>
      </c>
      <c r="E423" t="b">
        <v>0</v>
      </c>
      <c r="F423">
        <v>3</v>
      </c>
      <c r="G423" s="20" t="str">
        <f t="shared" si="30"/>
        <v>No</v>
      </c>
      <c r="H423" s="20" t="str">
        <f t="shared" si="31"/>
        <v>Wednesday</v>
      </c>
      <c r="I423">
        <v>1</v>
      </c>
      <c r="J423" s="20" t="str">
        <f t="shared" si="33"/>
        <v>Clean</v>
      </c>
      <c r="K423">
        <v>0.4</v>
      </c>
      <c r="L423" s="20" t="str">
        <f t="shared" si="34"/>
        <v>Risky</v>
      </c>
      <c r="M423" s="20">
        <f t="shared" si="32"/>
        <v>0</v>
      </c>
    </row>
    <row r="424" spans="1:13" x14ac:dyDescent="0.3">
      <c r="A424">
        <v>423</v>
      </c>
      <c r="B424" s="46">
        <v>40562</v>
      </c>
      <c r="C424">
        <v>1</v>
      </c>
      <c r="D424">
        <v>15</v>
      </c>
      <c r="E424" t="b">
        <v>0</v>
      </c>
      <c r="F424">
        <v>3</v>
      </c>
      <c r="G424" s="20" t="str">
        <f t="shared" si="30"/>
        <v>No</v>
      </c>
      <c r="H424" s="20" t="str">
        <f t="shared" si="31"/>
        <v>Wednesday</v>
      </c>
      <c r="I424">
        <v>1</v>
      </c>
      <c r="J424" s="20" t="str">
        <f t="shared" si="33"/>
        <v>Clean</v>
      </c>
      <c r="K424">
        <v>0.4</v>
      </c>
      <c r="L424" s="20" t="str">
        <f t="shared" si="34"/>
        <v>Risky</v>
      </c>
      <c r="M424" s="20">
        <f t="shared" si="32"/>
        <v>0</v>
      </c>
    </row>
    <row r="425" spans="1:13" x14ac:dyDescent="0.3">
      <c r="A425">
        <v>424</v>
      </c>
      <c r="B425" s="46">
        <v>40562</v>
      </c>
      <c r="C425">
        <v>1</v>
      </c>
      <c r="D425">
        <v>16</v>
      </c>
      <c r="E425" t="b">
        <v>0</v>
      </c>
      <c r="F425">
        <v>3</v>
      </c>
      <c r="G425" s="20" t="str">
        <f t="shared" si="30"/>
        <v>No</v>
      </c>
      <c r="H425" s="20" t="str">
        <f t="shared" si="31"/>
        <v>Wednesday</v>
      </c>
      <c r="I425">
        <v>1</v>
      </c>
      <c r="J425" s="20" t="str">
        <f t="shared" si="33"/>
        <v>Clean</v>
      </c>
      <c r="K425">
        <v>0.38</v>
      </c>
      <c r="L425" s="20" t="str">
        <f t="shared" si="34"/>
        <v>Risky</v>
      </c>
      <c r="M425" s="20">
        <f t="shared" si="32"/>
        <v>0</v>
      </c>
    </row>
    <row r="426" spans="1:13" x14ac:dyDescent="0.3">
      <c r="A426">
        <v>425</v>
      </c>
      <c r="B426" s="46">
        <v>40562</v>
      </c>
      <c r="C426">
        <v>1</v>
      </c>
      <c r="D426">
        <v>17</v>
      </c>
      <c r="E426" t="b">
        <v>0</v>
      </c>
      <c r="F426">
        <v>3</v>
      </c>
      <c r="G426" s="20" t="str">
        <f t="shared" si="30"/>
        <v>No</v>
      </c>
      <c r="H426" s="20" t="str">
        <f t="shared" si="31"/>
        <v>Wednesday</v>
      </c>
      <c r="I426">
        <v>1</v>
      </c>
      <c r="J426" s="20" t="str">
        <f t="shared" si="33"/>
        <v>Clean</v>
      </c>
      <c r="K426">
        <v>0.36</v>
      </c>
      <c r="L426" s="20" t="str">
        <f t="shared" si="34"/>
        <v>Risky</v>
      </c>
      <c r="M426" s="20">
        <f t="shared" si="32"/>
        <v>0</v>
      </c>
    </row>
    <row r="427" spans="1:13" x14ac:dyDescent="0.3">
      <c r="A427">
        <v>426</v>
      </c>
      <c r="B427" s="46">
        <v>40562</v>
      </c>
      <c r="C427">
        <v>1</v>
      </c>
      <c r="D427">
        <v>18</v>
      </c>
      <c r="E427" t="b">
        <v>0</v>
      </c>
      <c r="F427">
        <v>3</v>
      </c>
      <c r="G427" s="20" t="str">
        <f t="shared" si="30"/>
        <v>No</v>
      </c>
      <c r="H427" s="20" t="str">
        <f t="shared" si="31"/>
        <v>Wednesday</v>
      </c>
      <c r="I427">
        <v>1</v>
      </c>
      <c r="J427" s="20" t="str">
        <f t="shared" si="33"/>
        <v>Clean</v>
      </c>
      <c r="K427">
        <v>0.34</v>
      </c>
      <c r="L427" s="20" t="str">
        <f t="shared" si="34"/>
        <v>Safe</v>
      </c>
      <c r="M427" s="20">
        <f t="shared" si="32"/>
        <v>0</v>
      </c>
    </row>
    <row r="428" spans="1:13" x14ac:dyDescent="0.3">
      <c r="A428">
        <v>427</v>
      </c>
      <c r="B428" s="46">
        <v>40562</v>
      </c>
      <c r="C428">
        <v>1</v>
      </c>
      <c r="D428">
        <v>19</v>
      </c>
      <c r="E428" t="b">
        <v>0</v>
      </c>
      <c r="F428">
        <v>3</v>
      </c>
      <c r="G428" s="20" t="str">
        <f t="shared" si="30"/>
        <v>No</v>
      </c>
      <c r="H428" s="20" t="str">
        <f t="shared" si="31"/>
        <v>Wednesday</v>
      </c>
      <c r="I428">
        <v>1</v>
      </c>
      <c r="J428" s="20" t="str">
        <f t="shared" si="33"/>
        <v>Clean</v>
      </c>
      <c r="K428">
        <v>0.32</v>
      </c>
      <c r="L428" s="20" t="str">
        <f t="shared" si="34"/>
        <v>Safe</v>
      </c>
      <c r="M428" s="20">
        <f t="shared" si="32"/>
        <v>0</v>
      </c>
    </row>
    <row r="429" spans="1:13" x14ac:dyDescent="0.3">
      <c r="A429">
        <v>428</v>
      </c>
      <c r="B429" s="46">
        <v>40562</v>
      </c>
      <c r="C429">
        <v>1</v>
      </c>
      <c r="D429">
        <v>20</v>
      </c>
      <c r="E429" t="b">
        <v>0</v>
      </c>
      <c r="F429">
        <v>3</v>
      </c>
      <c r="G429" s="20" t="str">
        <f t="shared" si="30"/>
        <v>No</v>
      </c>
      <c r="H429" s="20" t="str">
        <f t="shared" si="31"/>
        <v>Wednesday</v>
      </c>
      <c r="I429">
        <v>1</v>
      </c>
      <c r="J429" s="20" t="str">
        <f t="shared" si="33"/>
        <v>Clean</v>
      </c>
      <c r="K429">
        <v>0.32</v>
      </c>
      <c r="L429" s="20" t="str">
        <f t="shared" si="34"/>
        <v>Safe</v>
      </c>
      <c r="M429" s="20">
        <f t="shared" si="32"/>
        <v>0</v>
      </c>
    </row>
    <row r="430" spans="1:13" x14ac:dyDescent="0.3">
      <c r="A430">
        <v>429</v>
      </c>
      <c r="B430" s="46">
        <v>40562</v>
      </c>
      <c r="C430">
        <v>1</v>
      </c>
      <c r="D430">
        <v>21</v>
      </c>
      <c r="E430" t="b">
        <v>0</v>
      </c>
      <c r="F430">
        <v>3</v>
      </c>
      <c r="G430" s="20" t="str">
        <f t="shared" si="30"/>
        <v>No</v>
      </c>
      <c r="H430" s="20" t="str">
        <f t="shared" si="31"/>
        <v>Wednesday</v>
      </c>
      <c r="I430">
        <v>1</v>
      </c>
      <c r="J430" s="20" t="str">
        <f t="shared" si="33"/>
        <v>Clean</v>
      </c>
      <c r="K430">
        <v>0.32</v>
      </c>
      <c r="L430" s="20" t="str">
        <f t="shared" si="34"/>
        <v>Safe</v>
      </c>
      <c r="M430" s="20">
        <f t="shared" si="32"/>
        <v>0</v>
      </c>
    </row>
    <row r="431" spans="1:13" x14ac:dyDescent="0.3">
      <c r="A431">
        <v>430</v>
      </c>
      <c r="B431" s="46">
        <v>40562</v>
      </c>
      <c r="C431">
        <v>1</v>
      </c>
      <c r="D431">
        <v>22</v>
      </c>
      <c r="E431" t="b">
        <v>0</v>
      </c>
      <c r="F431">
        <v>3</v>
      </c>
      <c r="G431" s="20" t="str">
        <f t="shared" si="30"/>
        <v>No</v>
      </c>
      <c r="H431" s="20" t="str">
        <f t="shared" si="31"/>
        <v>Wednesday</v>
      </c>
      <c r="I431">
        <v>1</v>
      </c>
      <c r="J431" s="20" t="str">
        <f t="shared" si="33"/>
        <v>Clean</v>
      </c>
      <c r="K431">
        <v>0.3</v>
      </c>
      <c r="L431" s="20" t="str">
        <f t="shared" si="34"/>
        <v>Safe</v>
      </c>
      <c r="M431" s="20">
        <f t="shared" si="32"/>
        <v>0</v>
      </c>
    </row>
    <row r="432" spans="1:13" x14ac:dyDescent="0.3">
      <c r="A432">
        <v>431</v>
      </c>
      <c r="B432" s="46">
        <v>40562</v>
      </c>
      <c r="C432">
        <v>1</v>
      </c>
      <c r="D432">
        <v>23</v>
      </c>
      <c r="E432" t="b">
        <v>0</v>
      </c>
      <c r="F432">
        <v>3</v>
      </c>
      <c r="G432" s="20" t="str">
        <f t="shared" si="30"/>
        <v>No</v>
      </c>
      <c r="H432" s="20" t="str">
        <f t="shared" si="31"/>
        <v>Wednesday</v>
      </c>
      <c r="I432">
        <v>1</v>
      </c>
      <c r="J432" s="20" t="str">
        <f t="shared" si="33"/>
        <v>Clean</v>
      </c>
      <c r="K432">
        <v>0.3</v>
      </c>
      <c r="L432" s="20" t="str">
        <f t="shared" si="34"/>
        <v>Safe</v>
      </c>
      <c r="M432" s="20">
        <f t="shared" si="32"/>
        <v>0</v>
      </c>
    </row>
    <row r="433" spans="1:13" x14ac:dyDescent="0.3">
      <c r="A433">
        <v>432</v>
      </c>
      <c r="B433" s="46">
        <v>40563</v>
      </c>
      <c r="C433">
        <v>1</v>
      </c>
      <c r="D433">
        <v>0</v>
      </c>
      <c r="E433" t="b">
        <v>0</v>
      </c>
      <c r="F433">
        <v>4</v>
      </c>
      <c r="G433" s="20" t="str">
        <f t="shared" si="30"/>
        <v>No</v>
      </c>
      <c r="H433" s="20" t="str">
        <f t="shared" si="31"/>
        <v>Thursday</v>
      </c>
      <c r="I433">
        <v>1</v>
      </c>
      <c r="J433" s="20" t="str">
        <f t="shared" si="33"/>
        <v>Clean</v>
      </c>
      <c r="K433">
        <v>0.26</v>
      </c>
      <c r="L433" s="20" t="str">
        <f t="shared" si="34"/>
        <v>Safe</v>
      </c>
      <c r="M433" s="20">
        <f t="shared" si="32"/>
        <v>0</v>
      </c>
    </row>
    <row r="434" spans="1:13" x14ac:dyDescent="0.3">
      <c r="A434">
        <v>433</v>
      </c>
      <c r="B434" s="46">
        <v>40563</v>
      </c>
      <c r="C434">
        <v>1</v>
      </c>
      <c r="D434">
        <v>1</v>
      </c>
      <c r="E434" t="b">
        <v>0</v>
      </c>
      <c r="F434">
        <v>4</v>
      </c>
      <c r="G434" s="20" t="str">
        <f t="shared" si="30"/>
        <v>No</v>
      </c>
      <c r="H434" s="20" t="str">
        <f t="shared" si="31"/>
        <v>Thursday</v>
      </c>
      <c r="I434">
        <v>1</v>
      </c>
      <c r="J434" s="20" t="str">
        <f t="shared" si="33"/>
        <v>Clean</v>
      </c>
      <c r="K434">
        <v>0.26</v>
      </c>
      <c r="L434" s="20" t="str">
        <f t="shared" si="34"/>
        <v>Safe</v>
      </c>
      <c r="M434" s="20">
        <f t="shared" si="32"/>
        <v>0</v>
      </c>
    </row>
    <row r="435" spans="1:13" x14ac:dyDescent="0.3">
      <c r="A435">
        <v>434</v>
      </c>
      <c r="B435" s="46">
        <v>40563</v>
      </c>
      <c r="C435">
        <v>1</v>
      </c>
      <c r="D435">
        <v>2</v>
      </c>
      <c r="E435" t="b">
        <v>0</v>
      </c>
      <c r="F435">
        <v>4</v>
      </c>
      <c r="G435" s="20" t="str">
        <f t="shared" si="30"/>
        <v>No</v>
      </c>
      <c r="H435" s="20" t="str">
        <f t="shared" si="31"/>
        <v>Thursday</v>
      </c>
      <c r="I435">
        <v>1</v>
      </c>
      <c r="J435" s="20" t="str">
        <f t="shared" si="33"/>
        <v>Clean</v>
      </c>
      <c r="K435">
        <v>0.26</v>
      </c>
      <c r="L435" s="20" t="str">
        <f t="shared" si="34"/>
        <v>Safe</v>
      </c>
      <c r="M435" s="20">
        <f t="shared" si="32"/>
        <v>0</v>
      </c>
    </row>
    <row r="436" spans="1:13" x14ac:dyDescent="0.3">
      <c r="A436">
        <v>435</v>
      </c>
      <c r="B436" s="46">
        <v>40563</v>
      </c>
      <c r="C436">
        <v>1</v>
      </c>
      <c r="D436">
        <v>3</v>
      </c>
      <c r="E436" t="b">
        <v>0</v>
      </c>
      <c r="F436">
        <v>4</v>
      </c>
      <c r="G436" s="20" t="str">
        <f t="shared" si="30"/>
        <v>No</v>
      </c>
      <c r="H436" s="20" t="str">
        <f t="shared" si="31"/>
        <v>Thursday</v>
      </c>
      <c r="I436">
        <v>1</v>
      </c>
      <c r="J436" s="20" t="str">
        <f t="shared" si="33"/>
        <v>Clean</v>
      </c>
      <c r="K436">
        <v>0.26</v>
      </c>
      <c r="L436" s="20" t="str">
        <f t="shared" si="34"/>
        <v>Safe</v>
      </c>
      <c r="M436" s="20">
        <f t="shared" si="32"/>
        <v>0</v>
      </c>
    </row>
    <row r="437" spans="1:13" x14ac:dyDescent="0.3">
      <c r="A437">
        <v>436</v>
      </c>
      <c r="B437" s="46">
        <v>40563</v>
      </c>
      <c r="C437">
        <v>1</v>
      </c>
      <c r="D437">
        <v>4</v>
      </c>
      <c r="E437" t="b">
        <v>0</v>
      </c>
      <c r="F437">
        <v>4</v>
      </c>
      <c r="G437" s="20" t="str">
        <f t="shared" si="30"/>
        <v>No</v>
      </c>
      <c r="H437" s="20" t="str">
        <f t="shared" si="31"/>
        <v>Thursday</v>
      </c>
      <c r="I437">
        <v>1</v>
      </c>
      <c r="J437" s="20" t="str">
        <f t="shared" si="33"/>
        <v>Clean</v>
      </c>
      <c r="K437">
        <v>0.26</v>
      </c>
      <c r="L437" s="20" t="str">
        <f t="shared" si="34"/>
        <v>Safe</v>
      </c>
      <c r="M437" s="20">
        <f t="shared" si="32"/>
        <v>0</v>
      </c>
    </row>
    <row r="438" spans="1:13" x14ac:dyDescent="0.3">
      <c r="A438">
        <v>437</v>
      </c>
      <c r="B438" s="46">
        <v>40563</v>
      </c>
      <c r="C438">
        <v>1</v>
      </c>
      <c r="D438">
        <v>5</v>
      </c>
      <c r="E438" t="b">
        <v>0</v>
      </c>
      <c r="F438">
        <v>4</v>
      </c>
      <c r="G438" s="20" t="str">
        <f t="shared" si="30"/>
        <v>No</v>
      </c>
      <c r="H438" s="20" t="str">
        <f t="shared" si="31"/>
        <v>Thursday</v>
      </c>
      <c r="I438">
        <v>1</v>
      </c>
      <c r="J438" s="20" t="str">
        <f t="shared" si="33"/>
        <v>Clean</v>
      </c>
      <c r="K438">
        <v>0.24</v>
      </c>
      <c r="L438" s="20" t="str">
        <f t="shared" si="34"/>
        <v>Safe</v>
      </c>
      <c r="M438" s="20">
        <f t="shared" si="32"/>
        <v>0</v>
      </c>
    </row>
    <row r="439" spans="1:13" x14ac:dyDescent="0.3">
      <c r="A439">
        <v>438</v>
      </c>
      <c r="B439" s="46">
        <v>40563</v>
      </c>
      <c r="C439">
        <v>1</v>
      </c>
      <c r="D439">
        <v>6</v>
      </c>
      <c r="E439" t="b">
        <v>0</v>
      </c>
      <c r="F439">
        <v>4</v>
      </c>
      <c r="G439" s="20" t="str">
        <f t="shared" si="30"/>
        <v>No</v>
      </c>
      <c r="H439" s="20" t="str">
        <f t="shared" si="31"/>
        <v>Thursday</v>
      </c>
      <c r="I439">
        <v>1</v>
      </c>
      <c r="J439" s="20" t="str">
        <f t="shared" si="33"/>
        <v>Clean</v>
      </c>
      <c r="K439">
        <v>0.22</v>
      </c>
      <c r="L439" s="20" t="str">
        <f t="shared" si="34"/>
        <v>Safe</v>
      </c>
      <c r="M439" s="20">
        <f t="shared" si="32"/>
        <v>0</v>
      </c>
    </row>
    <row r="440" spans="1:13" x14ac:dyDescent="0.3">
      <c r="A440">
        <v>439</v>
      </c>
      <c r="B440" s="46">
        <v>40563</v>
      </c>
      <c r="C440">
        <v>1</v>
      </c>
      <c r="D440">
        <v>7</v>
      </c>
      <c r="E440" t="b">
        <v>0</v>
      </c>
      <c r="F440">
        <v>4</v>
      </c>
      <c r="G440" s="20" t="str">
        <f t="shared" si="30"/>
        <v>No</v>
      </c>
      <c r="H440" s="20" t="str">
        <f t="shared" si="31"/>
        <v>Thursday</v>
      </c>
      <c r="I440">
        <v>1</v>
      </c>
      <c r="J440" s="20" t="str">
        <f t="shared" si="33"/>
        <v>Clean</v>
      </c>
      <c r="K440">
        <v>0.22</v>
      </c>
      <c r="L440" s="20" t="str">
        <f t="shared" si="34"/>
        <v>Safe</v>
      </c>
      <c r="M440" s="20">
        <f t="shared" si="32"/>
        <v>0</v>
      </c>
    </row>
    <row r="441" spans="1:13" x14ac:dyDescent="0.3">
      <c r="A441">
        <v>440</v>
      </c>
      <c r="B441" s="46">
        <v>40563</v>
      </c>
      <c r="C441">
        <v>1</v>
      </c>
      <c r="D441">
        <v>8</v>
      </c>
      <c r="E441" t="b">
        <v>0</v>
      </c>
      <c r="F441">
        <v>4</v>
      </c>
      <c r="G441" s="20" t="str">
        <f t="shared" si="30"/>
        <v>No</v>
      </c>
      <c r="H441" s="20" t="str">
        <f t="shared" si="31"/>
        <v>Thursday</v>
      </c>
      <c r="I441">
        <v>1</v>
      </c>
      <c r="J441" s="20" t="str">
        <f t="shared" si="33"/>
        <v>Clean</v>
      </c>
      <c r="K441">
        <v>0.22</v>
      </c>
      <c r="L441" s="20" t="str">
        <f t="shared" si="34"/>
        <v>Safe</v>
      </c>
      <c r="M441" s="20">
        <f t="shared" si="32"/>
        <v>0</v>
      </c>
    </row>
    <row r="442" spans="1:13" x14ac:dyDescent="0.3">
      <c r="A442">
        <v>441</v>
      </c>
      <c r="B442" s="46">
        <v>40563</v>
      </c>
      <c r="C442">
        <v>1</v>
      </c>
      <c r="D442">
        <v>9</v>
      </c>
      <c r="E442" t="b">
        <v>0</v>
      </c>
      <c r="F442">
        <v>4</v>
      </c>
      <c r="G442" s="20" t="str">
        <f t="shared" si="30"/>
        <v>No</v>
      </c>
      <c r="H442" s="20" t="str">
        <f t="shared" si="31"/>
        <v>Thursday</v>
      </c>
      <c r="I442">
        <v>2</v>
      </c>
      <c r="J442" s="20" t="str">
        <f t="shared" si="33"/>
        <v>Misty</v>
      </c>
      <c r="K442">
        <v>0.24</v>
      </c>
      <c r="L442" s="20" t="str">
        <f t="shared" si="34"/>
        <v>Safe</v>
      </c>
      <c r="M442" s="20">
        <f t="shared" si="32"/>
        <v>0</v>
      </c>
    </row>
    <row r="443" spans="1:13" x14ac:dyDescent="0.3">
      <c r="A443">
        <v>442</v>
      </c>
      <c r="B443" s="46">
        <v>40563</v>
      </c>
      <c r="C443">
        <v>1</v>
      </c>
      <c r="D443">
        <v>10</v>
      </c>
      <c r="E443" t="b">
        <v>0</v>
      </c>
      <c r="F443">
        <v>4</v>
      </c>
      <c r="G443" s="20" t="str">
        <f t="shared" si="30"/>
        <v>No</v>
      </c>
      <c r="H443" s="20" t="str">
        <f t="shared" si="31"/>
        <v>Thursday</v>
      </c>
      <c r="I443">
        <v>1</v>
      </c>
      <c r="J443" s="20" t="str">
        <f t="shared" si="33"/>
        <v>Clean</v>
      </c>
      <c r="K443">
        <v>0.26</v>
      </c>
      <c r="L443" s="20" t="str">
        <f t="shared" si="34"/>
        <v>Safe</v>
      </c>
      <c r="M443" s="20">
        <f t="shared" si="32"/>
        <v>0</v>
      </c>
    </row>
    <row r="444" spans="1:13" x14ac:dyDescent="0.3">
      <c r="A444">
        <v>443</v>
      </c>
      <c r="B444" s="46">
        <v>40563</v>
      </c>
      <c r="C444">
        <v>1</v>
      </c>
      <c r="D444">
        <v>11</v>
      </c>
      <c r="E444" t="b">
        <v>0</v>
      </c>
      <c r="F444">
        <v>4</v>
      </c>
      <c r="G444" s="20" t="str">
        <f t="shared" si="30"/>
        <v>No</v>
      </c>
      <c r="H444" s="20" t="str">
        <f t="shared" si="31"/>
        <v>Thursday</v>
      </c>
      <c r="I444">
        <v>2</v>
      </c>
      <c r="J444" s="20" t="str">
        <f t="shared" si="33"/>
        <v>Misty</v>
      </c>
      <c r="K444">
        <v>0.28000000000000003</v>
      </c>
      <c r="L444" s="20" t="str">
        <f t="shared" si="34"/>
        <v>Safe</v>
      </c>
      <c r="M444" s="20">
        <f t="shared" si="32"/>
        <v>0</v>
      </c>
    </row>
    <row r="445" spans="1:13" x14ac:dyDescent="0.3">
      <c r="A445">
        <v>444</v>
      </c>
      <c r="B445" s="46">
        <v>40563</v>
      </c>
      <c r="C445">
        <v>1</v>
      </c>
      <c r="D445">
        <v>12</v>
      </c>
      <c r="E445" t="b">
        <v>0</v>
      </c>
      <c r="F445">
        <v>4</v>
      </c>
      <c r="G445" s="20" t="str">
        <f t="shared" si="30"/>
        <v>No</v>
      </c>
      <c r="H445" s="20" t="str">
        <f t="shared" si="31"/>
        <v>Thursday</v>
      </c>
      <c r="I445">
        <v>2</v>
      </c>
      <c r="J445" s="20" t="str">
        <f t="shared" si="33"/>
        <v>Misty</v>
      </c>
      <c r="K445">
        <v>0.3</v>
      </c>
      <c r="L445" s="20" t="str">
        <f t="shared" si="34"/>
        <v>Safe</v>
      </c>
      <c r="M445" s="20">
        <f t="shared" si="32"/>
        <v>0</v>
      </c>
    </row>
    <row r="446" spans="1:13" x14ac:dyDescent="0.3">
      <c r="A446">
        <v>445</v>
      </c>
      <c r="B446" s="46">
        <v>40563</v>
      </c>
      <c r="C446">
        <v>1</v>
      </c>
      <c r="D446">
        <v>13</v>
      </c>
      <c r="E446" t="b">
        <v>0</v>
      </c>
      <c r="F446">
        <v>4</v>
      </c>
      <c r="G446" s="20" t="str">
        <f t="shared" si="30"/>
        <v>No</v>
      </c>
      <c r="H446" s="20" t="str">
        <f t="shared" si="31"/>
        <v>Thursday</v>
      </c>
      <c r="I446">
        <v>2</v>
      </c>
      <c r="J446" s="20" t="str">
        <f t="shared" si="33"/>
        <v>Misty</v>
      </c>
      <c r="K446">
        <v>0.28000000000000003</v>
      </c>
      <c r="L446" s="20" t="str">
        <f t="shared" si="34"/>
        <v>Safe</v>
      </c>
      <c r="M446" s="20">
        <f t="shared" si="32"/>
        <v>0</v>
      </c>
    </row>
    <row r="447" spans="1:13" x14ac:dyDescent="0.3">
      <c r="A447">
        <v>446</v>
      </c>
      <c r="B447" s="46">
        <v>40563</v>
      </c>
      <c r="C447">
        <v>1</v>
      </c>
      <c r="D447">
        <v>14</v>
      </c>
      <c r="E447" t="b">
        <v>0</v>
      </c>
      <c r="F447">
        <v>4</v>
      </c>
      <c r="G447" s="20" t="str">
        <f t="shared" si="30"/>
        <v>No</v>
      </c>
      <c r="H447" s="20" t="str">
        <f t="shared" si="31"/>
        <v>Thursday</v>
      </c>
      <c r="I447">
        <v>2</v>
      </c>
      <c r="J447" s="20" t="str">
        <f t="shared" si="33"/>
        <v>Misty</v>
      </c>
      <c r="K447">
        <v>0.3</v>
      </c>
      <c r="L447" s="20" t="str">
        <f t="shared" si="34"/>
        <v>Safe</v>
      </c>
      <c r="M447" s="20">
        <f t="shared" si="32"/>
        <v>0</v>
      </c>
    </row>
    <row r="448" spans="1:13" x14ac:dyDescent="0.3">
      <c r="A448">
        <v>447</v>
      </c>
      <c r="B448" s="46">
        <v>40563</v>
      </c>
      <c r="C448">
        <v>1</v>
      </c>
      <c r="D448">
        <v>15</v>
      </c>
      <c r="E448" t="b">
        <v>0</v>
      </c>
      <c r="F448">
        <v>4</v>
      </c>
      <c r="G448" s="20" t="str">
        <f t="shared" si="30"/>
        <v>No</v>
      </c>
      <c r="H448" s="20" t="str">
        <f t="shared" si="31"/>
        <v>Thursday</v>
      </c>
      <c r="I448">
        <v>2</v>
      </c>
      <c r="J448" s="20" t="str">
        <f t="shared" si="33"/>
        <v>Misty</v>
      </c>
      <c r="K448">
        <v>0.32</v>
      </c>
      <c r="L448" s="20" t="str">
        <f t="shared" si="34"/>
        <v>Safe</v>
      </c>
      <c r="M448" s="20">
        <f t="shared" si="32"/>
        <v>0</v>
      </c>
    </row>
    <row r="449" spans="1:13" x14ac:dyDescent="0.3">
      <c r="A449">
        <v>448</v>
      </c>
      <c r="B449" s="46">
        <v>40563</v>
      </c>
      <c r="C449">
        <v>1</v>
      </c>
      <c r="D449">
        <v>16</v>
      </c>
      <c r="E449" t="b">
        <v>0</v>
      </c>
      <c r="F449">
        <v>4</v>
      </c>
      <c r="G449" s="20" t="str">
        <f t="shared" si="30"/>
        <v>No</v>
      </c>
      <c r="H449" s="20" t="str">
        <f t="shared" si="31"/>
        <v>Thursday</v>
      </c>
      <c r="I449">
        <v>2</v>
      </c>
      <c r="J449" s="20" t="str">
        <f t="shared" si="33"/>
        <v>Misty</v>
      </c>
      <c r="K449">
        <v>0.3</v>
      </c>
      <c r="L449" s="20" t="str">
        <f t="shared" si="34"/>
        <v>Safe</v>
      </c>
      <c r="M449" s="20">
        <f t="shared" si="32"/>
        <v>0</v>
      </c>
    </row>
    <row r="450" spans="1:13" x14ac:dyDescent="0.3">
      <c r="A450">
        <v>449</v>
      </c>
      <c r="B450" s="46">
        <v>40563</v>
      </c>
      <c r="C450">
        <v>1</v>
      </c>
      <c r="D450">
        <v>17</v>
      </c>
      <c r="E450" t="b">
        <v>0</v>
      </c>
      <c r="F450">
        <v>4</v>
      </c>
      <c r="G450" s="20" t="str">
        <f t="shared" ref="G450:G513" si="35">_xlfn.IFS(F450=0,"Yes",F450=6,"Yes",F450&gt;0,"No")</f>
        <v>No</v>
      </c>
      <c r="H450" s="20" t="str">
        <f t="shared" ref="H450:H513" si="36">TEXT(B450:B1059,"dddd")</f>
        <v>Thursday</v>
      </c>
      <c r="I450">
        <v>2</v>
      </c>
      <c r="J450" s="20" t="str">
        <f t="shared" si="33"/>
        <v>Misty</v>
      </c>
      <c r="K450">
        <v>0.3</v>
      </c>
      <c r="L450" s="20" t="str">
        <f t="shared" si="34"/>
        <v>Safe</v>
      </c>
      <c r="M450" s="20">
        <f t="shared" ref="M450:M513" si="37">COUNTBLANK(A450:K450)</f>
        <v>0</v>
      </c>
    </row>
    <row r="451" spans="1:13" x14ac:dyDescent="0.3">
      <c r="A451">
        <v>450</v>
      </c>
      <c r="B451" s="46">
        <v>40563</v>
      </c>
      <c r="C451">
        <v>1</v>
      </c>
      <c r="D451">
        <v>18</v>
      </c>
      <c r="E451" t="b">
        <v>0</v>
      </c>
      <c r="F451">
        <v>4</v>
      </c>
      <c r="G451" s="20" t="str">
        <f t="shared" si="35"/>
        <v>No</v>
      </c>
      <c r="H451" s="20" t="str">
        <f t="shared" si="36"/>
        <v>Thursday</v>
      </c>
      <c r="I451">
        <v>2</v>
      </c>
      <c r="J451" s="20" t="str">
        <f t="shared" ref="J451:J514" si="38">_xlfn.IFS(I451=1,"Clean",I451=2,"Misty",I451=3,"Light Rain",I451=4,"Heavy Rain")</f>
        <v>Misty</v>
      </c>
      <c r="K451">
        <v>0.26</v>
      </c>
      <c r="L451" s="20" t="str">
        <f t="shared" ref="L451:L514" si="39">_xlfn.IFS(K451&lt;0.1,"Risky",K451&lt;0.35,"Safe",K451&gt;0.35,"Risky")</f>
        <v>Safe</v>
      </c>
      <c r="M451" s="20">
        <f t="shared" si="37"/>
        <v>0</v>
      </c>
    </row>
    <row r="452" spans="1:13" x14ac:dyDescent="0.3">
      <c r="A452">
        <v>451</v>
      </c>
      <c r="B452" s="46">
        <v>40563</v>
      </c>
      <c r="C452">
        <v>1</v>
      </c>
      <c r="D452">
        <v>19</v>
      </c>
      <c r="E452" t="b">
        <v>0</v>
      </c>
      <c r="F452">
        <v>4</v>
      </c>
      <c r="G452" s="20" t="str">
        <f t="shared" si="35"/>
        <v>No</v>
      </c>
      <c r="H452" s="20" t="str">
        <f t="shared" si="36"/>
        <v>Thursday</v>
      </c>
      <c r="I452">
        <v>1</v>
      </c>
      <c r="J452" s="20" t="str">
        <f t="shared" si="38"/>
        <v>Clean</v>
      </c>
      <c r="K452">
        <v>0.26</v>
      </c>
      <c r="L452" s="20" t="str">
        <f t="shared" si="39"/>
        <v>Safe</v>
      </c>
      <c r="M452" s="20">
        <f t="shared" si="37"/>
        <v>0</v>
      </c>
    </row>
    <row r="453" spans="1:13" x14ac:dyDescent="0.3">
      <c r="A453">
        <v>452</v>
      </c>
      <c r="B453" s="46">
        <v>40563</v>
      </c>
      <c r="C453">
        <v>1</v>
      </c>
      <c r="D453">
        <v>20</v>
      </c>
      <c r="E453" t="b">
        <v>0</v>
      </c>
      <c r="F453">
        <v>4</v>
      </c>
      <c r="G453" s="20" t="str">
        <f t="shared" si="35"/>
        <v>No</v>
      </c>
      <c r="H453" s="20" t="str">
        <f t="shared" si="36"/>
        <v>Thursday</v>
      </c>
      <c r="I453">
        <v>2</v>
      </c>
      <c r="J453" s="20" t="str">
        <f t="shared" si="38"/>
        <v>Misty</v>
      </c>
      <c r="K453">
        <v>0.26</v>
      </c>
      <c r="L453" s="20" t="str">
        <f t="shared" si="39"/>
        <v>Safe</v>
      </c>
      <c r="M453" s="20">
        <f t="shared" si="37"/>
        <v>0</v>
      </c>
    </row>
    <row r="454" spans="1:13" x14ac:dyDescent="0.3">
      <c r="A454">
        <v>453</v>
      </c>
      <c r="B454" s="46">
        <v>40563</v>
      </c>
      <c r="C454">
        <v>1</v>
      </c>
      <c r="D454">
        <v>21</v>
      </c>
      <c r="E454" t="b">
        <v>0</v>
      </c>
      <c r="F454">
        <v>4</v>
      </c>
      <c r="G454" s="20" t="str">
        <f t="shared" si="35"/>
        <v>No</v>
      </c>
      <c r="H454" s="20" t="str">
        <f t="shared" si="36"/>
        <v>Thursday</v>
      </c>
      <c r="I454">
        <v>2</v>
      </c>
      <c r="J454" s="20" t="str">
        <f t="shared" si="38"/>
        <v>Misty</v>
      </c>
      <c r="K454">
        <v>0.24</v>
      </c>
      <c r="L454" s="20" t="str">
        <f t="shared" si="39"/>
        <v>Safe</v>
      </c>
      <c r="M454" s="20">
        <f t="shared" si="37"/>
        <v>0</v>
      </c>
    </row>
    <row r="455" spans="1:13" x14ac:dyDescent="0.3">
      <c r="A455">
        <v>454</v>
      </c>
      <c r="B455" s="46">
        <v>40563</v>
      </c>
      <c r="C455">
        <v>1</v>
      </c>
      <c r="D455">
        <v>22</v>
      </c>
      <c r="E455" t="b">
        <v>0</v>
      </c>
      <c r="F455">
        <v>4</v>
      </c>
      <c r="G455" s="20" t="str">
        <f t="shared" si="35"/>
        <v>No</v>
      </c>
      <c r="H455" s="20" t="str">
        <f t="shared" si="36"/>
        <v>Thursday</v>
      </c>
      <c r="I455">
        <v>2</v>
      </c>
      <c r="J455" s="20" t="str">
        <f t="shared" si="38"/>
        <v>Misty</v>
      </c>
      <c r="K455">
        <v>0.24</v>
      </c>
      <c r="L455" s="20" t="str">
        <f t="shared" si="39"/>
        <v>Safe</v>
      </c>
      <c r="M455" s="20">
        <f t="shared" si="37"/>
        <v>0</v>
      </c>
    </row>
    <row r="456" spans="1:13" x14ac:dyDescent="0.3">
      <c r="A456">
        <v>455</v>
      </c>
      <c r="B456" s="46">
        <v>40563</v>
      </c>
      <c r="C456">
        <v>1</v>
      </c>
      <c r="D456">
        <v>23</v>
      </c>
      <c r="E456" t="b">
        <v>0</v>
      </c>
      <c r="F456">
        <v>4</v>
      </c>
      <c r="G456" s="20" t="str">
        <f t="shared" si="35"/>
        <v>No</v>
      </c>
      <c r="H456" s="20" t="str">
        <f t="shared" si="36"/>
        <v>Thursday</v>
      </c>
      <c r="I456">
        <v>2</v>
      </c>
      <c r="J456" s="20" t="str">
        <f t="shared" si="38"/>
        <v>Misty</v>
      </c>
      <c r="K456">
        <v>0.24</v>
      </c>
      <c r="L456" s="20" t="str">
        <f t="shared" si="39"/>
        <v>Safe</v>
      </c>
      <c r="M456" s="20">
        <f t="shared" si="37"/>
        <v>0</v>
      </c>
    </row>
    <row r="457" spans="1:13" x14ac:dyDescent="0.3">
      <c r="A457">
        <v>456</v>
      </c>
      <c r="B457" s="46">
        <v>40564</v>
      </c>
      <c r="C457">
        <v>1</v>
      </c>
      <c r="D457">
        <v>0</v>
      </c>
      <c r="E457" t="b">
        <v>0</v>
      </c>
      <c r="F457">
        <v>5</v>
      </c>
      <c r="G457" s="20" t="str">
        <f t="shared" si="35"/>
        <v>No</v>
      </c>
      <c r="H457" s="20" t="str">
        <f t="shared" si="36"/>
        <v>Friday</v>
      </c>
      <c r="I457">
        <v>2</v>
      </c>
      <c r="J457" s="20" t="str">
        <f t="shared" si="38"/>
        <v>Misty</v>
      </c>
      <c r="K457">
        <v>0.24</v>
      </c>
      <c r="L457" s="20" t="str">
        <f t="shared" si="39"/>
        <v>Safe</v>
      </c>
      <c r="M457" s="20">
        <f t="shared" si="37"/>
        <v>0</v>
      </c>
    </row>
    <row r="458" spans="1:13" x14ac:dyDescent="0.3">
      <c r="A458">
        <v>457</v>
      </c>
      <c r="B458" s="46">
        <v>40564</v>
      </c>
      <c r="C458">
        <v>1</v>
      </c>
      <c r="D458">
        <v>1</v>
      </c>
      <c r="E458" t="b">
        <v>0</v>
      </c>
      <c r="F458">
        <v>5</v>
      </c>
      <c r="G458" s="20" t="str">
        <f t="shared" si="35"/>
        <v>No</v>
      </c>
      <c r="H458" s="20" t="str">
        <f t="shared" si="36"/>
        <v>Friday</v>
      </c>
      <c r="I458">
        <v>2</v>
      </c>
      <c r="J458" s="20" t="str">
        <f t="shared" si="38"/>
        <v>Misty</v>
      </c>
      <c r="K458">
        <v>0.24</v>
      </c>
      <c r="L458" s="20" t="str">
        <f t="shared" si="39"/>
        <v>Safe</v>
      </c>
      <c r="M458" s="20">
        <f t="shared" si="37"/>
        <v>0</v>
      </c>
    </row>
    <row r="459" spans="1:13" x14ac:dyDescent="0.3">
      <c r="A459">
        <v>458</v>
      </c>
      <c r="B459" s="46">
        <v>40564</v>
      </c>
      <c r="C459">
        <v>1</v>
      </c>
      <c r="D459">
        <v>2</v>
      </c>
      <c r="E459" t="b">
        <v>0</v>
      </c>
      <c r="F459">
        <v>5</v>
      </c>
      <c r="G459" s="20" t="str">
        <f t="shared" si="35"/>
        <v>No</v>
      </c>
      <c r="H459" s="20" t="str">
        <f t="shared" si="36"/>
        <v>Friday</v>
      </c>
      <c r="I459">
        <v>3</v>
      </c>
      <c r="J459" s="20" t="str">
        <f t="shared" si="38"/>
        <v>Light Rain</v>
      </c>
      <c r="K459">
        <v>0.24</v>
      </c>
      <c r="L459" s="20" t="str">
        <f t="shared" si="39"/>
        <v>Safe</v>
      </c>
      <c r="M459" s="20">
        <f t="shared" si="37"/>
        <v>0</v>
      </c>
    </row>
    <row r="460" spans="1:13" x14ac:dyDescent="0.3">
      <c r="A460">
        <v>459</v>
      </c>
      <c r="B460" s="46">
        <v>40564</v>
      </c>
      <c r="C460">
        <v>1</v>
      </c>
      <c r="D460">
        <v>3</v>
      </c>
      <c r="E460" t="b">
        <v>0</v>
      </c>
      <c r="F460">
        <v>5</v>
      </c>
      <c r="G460" s="20" t="str">
        <f t="shared" si="35"/>
        <v>No</v>
      </c>
      <c r="H460" s="20" t="str">
        <f t="shared" si="36"/>
        <v>Friday</v>
      </c>
      <c r="I460">
        <v>3</v>
      </c>
      <c r="J460" s="20" t="str">
        <f t="shared" si="38"/>
        <v>Light Rain</v>
      </c>
      <c r="K460">
        <v>0.22</v>
      </c>
      <c r="L460" s="20" t="str">
        <f t="shared" si="39"/>
        <v>Safe</v>
      </c>
      <c r="M460" s="20">
        <f t="shared" si="37"/>
        <v>0</v>
      </c>
    </row>
    <row r="461" spans="1:13" x14ac:dyDescent="0.3">
      <c r="A461">
        <v>460</v>
      </c>
      <c r="B461" s="46">
        <v>40564</v>
      </c>
      <c r="C461">
        <v>1</v>
      </c>
      <c r="D461">
        <v>4</v>
      </c>
      <c r="E461" t="b">
        <v>0</v>
      </c>
      <c r="F461">
        <v>5</v>
      </c>
      <c r="G461" s="20" t="str">
        <f t="shared" si="35"/>
        <v>No</v>
      </c>
      <c r="H461" s="20" t="str">
        <f t="shared" si="36"/>
        <v>Friday</v>
      </c>
      <c r="I461">
        <v>2</v>
      </c>
      <c r="J461" s="20" t="str">
        <f t="shared" si="38"/>
        <v>Misty</v>
      </c>
      <c r="K461">
        <v>0.22</v>
      </c>
      <c r="L461" s="20" t="str">
        <f t="shared" si="39"/>
        <v>Safe</v>
      </c>
      <c r="M461" s="20">
        <f t="shared" si="37"/>
        <v>0</v>
      </c>
    </row>
    <row r="462" spans="1:13" x14ac:dyDescent="0.3">
      <c r="A462">
        <v>461</v>
      </c>
      <c r="B462" s="46">
        <v>40564</v>
      </c>
      <c r="C462">
        <v>1</v>
      </c>
      <c r="D462">
        <v>5</v>
      </c>
      <c r="E462" t="b">
        <v>0</v>
      </c>
      <c r="F462">
        <v>5</v>
      </c>
      <c r="G462" s="20" t="str">
        <f t="shared" si="35"/>
        <v>No</v>
      </c>
      <c r="H462" s="20" t="str">
        <f t="shared" si="36"/>
        <v>Friday</v>
      </c>
      <c r="I462">
        <v>1</v>
      </c>
      <c r="J462" s="20" t="str">
        <f t="shared" si="38"/>
        <v>Clean</v>
      </c>
      <c r="K462">
        <v>0.24</v>
      </c>
      <c r="L462" s="20" t="str">
        <f t="shared" si="39"/>
        <v>Safe</v>
      </c>
      <c r="M462" s="20">
        <f t="shared" si="37"/>
        <v>0</v>
      </c>
    </row>
    <row r="463" spans="1:13" x14ac:dyDescent="0.3">
      <c r="A463">
        <v>462</v>
      </c>
      <c r="B463" s="46">
        <v>40564</v>
      </c>
      <c r="C463">
        <v>1</v>
      </c>
      <c r="D463">
        <v>6</v>
      </c>
      <c r="E463" t="b">
        <v>0</v>
      </c>
      <c r="F463">
        <v>5</v>
      </c>
      <c r="G463" s="20" t="str">
        <f t="shared" si="35"/>
        <v>No</v>
      </c>
      <c r="H463" s="20" t="str">
        <f t="shared" si="36"/>
        <v>Friday</v>
      </c>
      <c r="I463">
        <v>1</v>
      </c>
      <c r="J463" s="20" t="str">
        <f t="shared" si="38"/>
        <v>Clean</v>
      </c>
      <c r="K463">
        <v>0.22</v>
      </c>
      <c r="L463" s="20" t="str">
        <f t="shared" si="39"/>
        <v>Safe</v>
      </c>
      <c r="M463" s="20">
        <f t="shared" si="37"/>
        <v>0</v>
      </c>
    </row>
    <row r="464" spans="1:13" x14ac:dyDescent="0.3">
      <c r="A464">
        <v>463</v>
      </c>
      <c r="B464" s="46">
        <v>40564</v>
      </c>
      <c r="C464">
        <v>1</v>
      </c>
      <c r="D464">
        <v>7</v>
      </c>
      <c r="E464" t="b">
        <v>0</v>
      </c>
      <c r="F464">
        <v>5</v>
      </c>
      <c r="G464" s="20" t="str">
        <f t="shared" si="35"/>
        <v>No</v>
      </c>
      <c r="H464" s="20" t="str">
        <f t="shared" si="36"/>
        <v>Friday</v>
      </c>
      <c r="I464">
        <v>1</v>
      </c>
      <c r="J464" s="20" t="str">
        <f t="shared" si="38"/>
        <v>Clean</v>
      </c>
      <c r="K464">
        <v>0.2</v>
      </c>
      <c r="L464" s="20" t="str">
        <f t="shared" si="39"/>
        <v>Safe</v>
      </c>
      <c r="M464" s="20">
        <f t="shared" si="37"/>
        <v>0</v>
      </c>
    </row>
    <row r="465" spans="1:13" x14ac:dyDescent="0.3">
      <c r="A465">
        <v>464</v>
      </c>
      <c r="B465" s="46">
        <v>40564</v>
      </c>
      <c r="C465">
        <v>1</v>
      </c>
      <c r="D465">
        <v>8</v>
      </c>
      <c r="E465" t="b">
        <v>0</v>
      </c>
      <c r="F465">
        <v>5</v>
      </c>
      <c r="G465" s="20" t="str">
        <f t="shared" si="35"/>
        <v>No</v>
      </c>
      <c r="H465" s="20" t="str">
        <f t="shared" si="36"/>
        <v>Friday</v>
      </c>
      <c r="I465">
        <v>1</v>
      </c>
      <c r="J465" s="20" t="str">
        <f t="shared" si="38"/>
        <v>Clean</v>
      </c>
      <c r="K465">
        <v>0.2</v>
      </c>
      <c r="L465" s="20" t="str">
        <f t="shared" si="39"/>
        <v>Safe</v>
      </c>
      <c r="M465" s="20">
        <f t="shared" si="37"/>
        <v>0</v>
      </c>
    </row>
    <row r="466" spans="1:13" x14ac:dyDescent="0.3">
      <c r="A466">
        <v>465</v>
      </c>
      <c r="B466" s="46">
        <v>40564</v>
      </c>
      <c r="C466">
        <v>1</v>
      </c>
      <c r="D466">
        <v>9</v>
      </c>
      <c r="E466" t="b">
        <v>0</v>
      </c>
      <c r="F466">
        <v>5</v>
      </c>
      <c r="G466" s="20" t="str">
        <f t="shared" si="35"/>
        <v>No</v>
      </c>
      <c r="H466" s="20" t="str">
        <f t="shared" si="36"/>
        <v>Friday</v>
      </c>
      <c r="I466">
        <v>1</v>
      </c>
      <c r="J466" s="20" t="str">
        <f t="shared" si="38"/>
        <v>Clean</v>
      </c>
      <c r="K466">
        <v>0.2</v>
      </c>
      <c r="L466" s="20" t="str">
        <f t="shared" si="39"/>
        <v>Safe</v>
      </c>
      <c r="M466" s="20">
        <f t="shared" si="37"/>
        <v>0</v>
      </c>
    </row>
    <row r="467" spans="1:13" x14ac:dyDescent="0.3">
      <c r="A467">
        <v>466</v>
      </c>
      <c r="B467" s="46">
        <v>40564</v>
      </c>
      <c r="C467">
        <v>1</v>
      </c>
      <c r="D467">
        <v>10</v>
      </c>
      <c r="E467" t="b">
        <v>0</v>
      </c>
      <c r="F467">
        <v>5</v>
      </c>
      <c r="G467" s="20" t="str">
        <f t="shared" si="35"/>
        <v>No</v>
      </c>
      <c r="H467" s="20" t="str">
        <f t="shared" si="36"/>
        <v>Friday</v>
      </c>
      <c r="I467">
        <v>1</v>
      </c>
      <c r="J467" s="20" t="str">
        <f t="shared" si="38"/>
        <v>Clean</v>
      </c>
      <c r="K467">
        <v>0.2</v>
      </c>
      <c r="L467" s="20" t="str">
        <f t="shared" si="39"/>
        <v>Safe</v>
      </c>
      <c r="M467" s="20">
        <f t="shared" si="37"/>
        <v>0</v>
      </c>
    </row>
    <row r="468" spans="1:13" x14ac:dyDescent="0.3">
      <c r="A468">
        <v>467</v>
      </c>
      <c r="B468" s="46">
        <v>40564</v>
      </c>
      <c r="C468">
        <v>1</v>
      </c>
      <c r="D468">
        <v>11</v>
      </c>
      <c r="E468" t="b">
        <v>0</v>
      </c>
      <c r="F468">
        <v>5</v>
      </c>
      <c r="G468" s="20" t="str">
        <f t="shared" si="35"/>
        <v>No</v>
      </c>
      <c r="H468" s="20" t="str">
        <f t="shared" si="36"/>
        <v>Friday</v>
      </c>
      <c r="I468">
        <v>1</v>
      </c>
      <c r="J468" s="20" t="str">
        <f t="shared" si="38"/>
        <v>Clean</v>
      </c>
      <c r="K468">
        <v>0.22</v>
      </c>
      <c r="L468" s="20" t="str">
        <f t="shared" si="39"/>
        <v>Safe</v>
      </c>
      <c r="M468" s="20">
        <f t="shared" si="37"/>
        <v>0</v>
      </c>
    </row>
    <row r="469" spans="1:13" x14ac:dyDescent="0.3">
      <c r="A469">
        <v>468</v>
      </c>
      <c r="B469" s="46">
        <v>40564</v>
      </c>
      <c r="C469">
        <v>1</v>
      </c>
      <c r="D469">
        <v>12</v>
      </c>
      <c r="E469" t="b">
        <v>0</v>
      </c>
      <c r="F469">
        <v>5</v>
      </c>
      <c r="G469" s="20" t="str">
        <f t="shared" si="35"/>
        <v>No</v>
      </c>
      <c r="H469" s="20" t="str">
        <f t="shared" si="36"/>
        <v>Friday</v>
      </c>
      <c r="I469">
        <v>1</v>
      </c>
      <c r="J469" s="20" t="str">
        <f t="shared" si="38"/>
        <v>Clean</v>
      </c>
      <c r="K469">
        <v>0.22</v>
      </c>
      <c r="L469" s="20" t="str">
        <f t="shared" si="39"/>
        <v>Safe</v>
      </c>
      <c r="M469" s="20">
        <f t="shared" si="37"/>
        <v>0</v>
      </c>
    </row>
    <row r="470" spans="1:13" x14ac:dyDescent="0.3">
      <c r="A470">
        <v>469</v>
      </c>
      <c r="B470" s="46">
        <v>40564</v>
      </c>
      <c r="C470">
        <v>1</v>
      </c>
      <c r="D470">
        <v>13</v>
      </c>
      <c r="E470" t="b">
        <v>0</v>
      </c>
      <c r="F470">
        <v>5</v>
      </c>
      <c r="G470" s="20" t="str">
        <f t="shared" si="35"/>
        <v>No</v>
      </c>
      <c r="H470" s="20" t="str">
        <f t="shared" si="36"/>
        <v>Friday</v>
      </c>
      <c r="I470">
        <v>1</v>
      </c>
      <c r="J470" s="20" t="str">
        <f t="shared" si="38"/>
        <v>Clean</v>
      </c>
      <c r="K470">
        <v>0.2</v>
      </c>
      <c r="L470" s="20" t="str">
        <f t="shared" si="39"/>
        <v>Safe</v>
      </c>
      <c r="M470" s="20">
        <f t="shared" si="37"/>
        <v>0</v>
      </c>
    </row>
    <row r="471" spans="1:13" x14ac:dyDescent="0.3">
      <c r="A471">
        <v>470</v>
      </c>
      <c r="B471" s="46">
        <v>40564</v>
      </c>
      <c r="C471">
        <v>1</v>
      </c>
      <c r="D471">
        <v>14</v>
      </c>
      <c r="E471" t="b">
        <v>0</v>
      </c>
      <c r="F471">
        <v>5</v>
      </c>
      <c r="G471" s="20" t="str">
        <f t="shared" si="35"/>
        <v>No</v>
      </c>
      <c r="H471" s="20" t="str">
        <f t="shared" si="36"/>
        <v>Friday</v>
      </c>
      <c r="I471">
        <v>1</v>
      </c>
      <c r="J471" s="20" t="str">
        <f t="shared" si="38"/>
        <v>Clean</v>
      </c>
      <c r="K471">
        <v>0.2</v>
      </c>
      <c r="L471" s="20" t="str">
        <f t="shared" si="39"/>
        <v>Safe</v>
      </c>
      <c r="M471" s="20">
        <f t="shared" si="37"/>
        <v>0</v>
      </c>
    </row>
    <row r="472" spans="1:13" x14ac:dyDescent="0.3">
      <c r="A472">
        <v>471</v>
      </c>
      <c r="B472" s="46">
        <v>40564</v>
      </c>
      <c r="C472">
        <v>1</v>
      </c>
      <c r="D472">
        <v>15</v>
      </c>
      <c r="E472" t="b">
        <v>0</v>
      </c>
      <c r="F472">
        <v>5</v>
      </c>
      <c r="G472" s="20" t="str">
        <f t="shared" si="35"/>
        <v>No</v>
      </c>
      <c r="H472" s="20" t="str">
        <f t="shared" si="36"/>
        <v>Friday</v>
      </c>
      <c r="I472">
        <v>1</v>
      </c>
      <c r="J472" s="20" t="str">
        <f t="shared" si="38"/>
        <v>Clean</v>
      </c>
      <c r="K472">
        <v>0.16</v>
      </c>
      <c r="L472" s="20" t="str">
        <f t="shared" si="39"/>
        <v>Safe</v>
      </c>
      <c r="M472" s="20">
        <f t="shared" si="37"/>
        <v>0</v>
      </c>
    </row>
    <row r="473" spans="1:13" x14ac:dyDescent="0.3">
      <c r="A473">
        <v>472</v>
      </c>
      <c r="B473" s="46">
        <v>40564</v>
      </c>
      <c r="C473">
        <v>1</v>
      </c>
      <c r="D473">
        <v>16</v>
      </c>
      <c r="E473" t="b">
        <v>0</v>
      </c>
      <c r="F473">
        <v>5</v>
      </c>
      <c r="G473" s="20" t="str">
        <f t="shared" si="35"/>
        <v>No</v>
      </c>
      <c r="H473" s="20" t="str">
        <f t="shared" si="36"/>
        <v>Friday</v>
      </c>
      <c r="I473">
        <v>1</v>
      </c>
      <c r="J473" s="20" t="str">
        <f t="shared" si="38"/>
        <v>Clean</v>
      </c>
      <c r="K473">
        <v>0.16</v>
      </c>
      <c r="L473" s="20" t="str">
        <f t="shared" si="39"/>
        <v>Safe</v>
      </c>
      <c r="M473" s="20">
        <f t="shared" si="37"/>
        <v>0</v>
      </c>
    </row>
    <row r="474" spans="1:13" x14ac:dyDescent="0.3">
      <c r="A474">
        <v>473</v>
      </c>
      <c r="B474" s="46">
        <v>40564</v>
      </c>
      <c r="C474">
        <v>1</v>
      </c>
      <c r="D474">
        <v>17</v>
      </c>
      <c r="E474" t="b">
        <v>0</v>
      </c>
      <c r="F474">
        <v>5</v>
      </c>
      <c r="G474" s="20" t="str">
        <f t="shared" si="35"/>
        <v>No</v>
      </c>
      <c r="H474" s="20" t="str">
        <f t="shared" si="36"/>
        <v>Friday</v>
      </c>
      <c r="I474">
        <v>1</v>
      </c>
      <c r="J474" s="20" t="str">
        <f t="shared" si="38"/>
        <v>Clean</v>
      </c>
      <c r="K474">
        <v>0.14000000000000001</v>
      </c>
      <c r="L474" s="20" t="str">
        <f t="shared" si="39"/>
        <v>Safe</v>
      </c>
      <c r="M474" s="20">
        <f t="shared" si="37"/>
        <v>0</v>
      </c>
    </row>
    <row r="475" spans="1:13" x14ac:dyDescent="0.3">
      <c r="A475">
        <v>474</v>
      </c>
      <c r="B475" s="46">
        <v>40564</v>
      </c>
      <c r="C475">
        <v>1</v>
      </c>
      <c r="D475">
        <v>18</v>
      </c>
      <c r="E475" t="b">
        <v>0</v>
      </c>
      <c r="F475">
        <v>5</v>
      </c>
      <c r="G475" s="20" t="str">
        <f t="shared" si="35"/>
        <v>No</v>
      </c>
      <c r="H475" s="20" t="str">
        <f t="shared" si="36"/>
        <v>Friday</v>
      </c>
      <c r="I475">
        <v>1</v>
      </c>
      <c r="J475" s="20" t="str">
        <f t="shared" si="38"/>
        <v>Clean</v>
      </c>
      <c r="K475">
        <v>0.12</v>
      </c>
      <c r="L475" s="20" t="str">
        <f t="shared" si="39"/>
        <v>Safe</v>
      </c>
      <c r="M475" s="20">
        <f t="shared" si="37"/>
        <v>0</v>
      </c>
    </row>
    <row r="476" spans="1:13" x14ac:dyDescent="0.3">
      <c r="A476">
        <v>475</v>
      </c>
      <c r="B476" s="46">
        <v>40564</v>
      </c>
      <c r="C476">
        <v>1</v>
      </c>
      <c r="D476">
        <v>19</v>
      </c>
      <c r="E476" t="b">
        <v>0</v>
      </c>
      <c r="F476">
        <v>5</v>
      </c>
      <c r="G476" s="20" t="str">
        <f t="shared" si="35"/>
        <v>No</v>
      </c>
      <c r="H476" s="20" t="str">
        <f t="shared" si="36"/>
        <v>Friday</v>
      </c>
      <c r="I476">
        <v>1</v>
      </c>
      <c r="J476" s="20" t="str">
        <f t="shared" si="38"/>
        <v>Clean</v>
      </c>
      <c r="K476">
        <v>0.12</v>
      </c>
      <c r="L476" s="20" t="str">
        <f t="shared" si="39"/>
        <v>Safe</v>
      </c>
      <c r="M476" s="20">
        <f t="shared" si="37"/>
        <v>0</v>
      </c>
    </row>
    <row r="477" spans="1:13" x14ac:dyDescent="0.3">
      <c r="A477">
        <v>476</v>
      </c>
      <c r="B477" s="46">
        <v>40564</v>
      </c>
      <c r="C477">
        <v>1</v>
      </c>
      <c r="D477">
        <v>20</v>
      </c>
      <c r="E477" t="b">
        <v>0</v>
      </c>
      <c r="F477">
        <v>5</v>
      </c>
      <c r="G477" s="20" t="str">
        <f t="shared" si="35"/>
        <v>No</v>
      </c>
      <c r="H477" s="20" t="str">
        <f t="shared" si="36"/>
        <v>Friday</v>
      </c>
      <c r="I477">
        <v>1</v>
      </c>
      <c r="J477" s="20" t="str">
        <f t="shared" si="38"/>
        <v>Clean</v>
      </c>
      <c r="K477">
        <v>0.1</v>
      </c>
      <c r="L477" s="20" t="str">
        <f t="shared" si="39"/>
        <v>Safe</v>
      </c>
      <c r="M477" s="20">
        <f t="shared" si="37"/>
        <v>0</v>
      </c>
    </row>
    <row r="478" spans="1:13" x14ac:dyDescent="0.3">
      <c r="A478">
        <v>477</v>
      </c>
      <c r="B478" s="46">
        <v>40564</v>
      </c>
      <c r="C478">
        <v>1</v>
      </c>
      <c r="D478">
        <v>21</v>
      </c>
      <c r="E478" t="b">
        <v>0</v>
      </c>
      <c r="F478">
        <v>5</v>
      </c>
      <c r="G478" s="20" t="str">
        <f t="shared" si="35"/>
        <v>No</v>
      </c>
      <c r="H478" s="20" t="str">
        <f t="shared" si="36"/>
        <v>Friday</v>
      </c>
      <c r="I478">
        <v>1</v>
      </c>
      <c r="J478" s="20" t="str">
        <f t="shared" si="38"/>
        <v>Clean</v>
      </c>
      <c r="K478">
        <v>0.08</v>
      </c>
      <c r="L478" s="20" t="str">
        <f t="shared" si="39"/>
        <v>Risky</v>
      </c>
      <c r="M478" s="20">
        <f t="shared" si="37"/>
        <v>0</v>
      </c>
    </row>
    <row r="479" spans="1:13" x14ac:dyDescent="0.3">
      <c r="A479">
        <v>478</v>
      </c>
      <c r="B479" s="46">
        <v>40564</v>
      </c>
      <c r="C479">
        <v>1</v>
      </c>
      <c r="D479">
        <v>22</v>
      </c>
      <c r="E479" t="b">
        <v>0</v>
      </c>
      <c r="F479">
        <v>5</v>
      </c>
      <c r="G479" s="20" t="str">
        <f t="shared" si="35"/>
        <v>No</v>
      </c>
      <c r="H479" s="20" t="str">
        <f t="shared" si="36"/>
        <v>Friday</v>
      </c>
      <c r="I479">
        <v>1</v>
      </c>
      <c r="J479" s="20" t="str">
        <f t="shared" si="38"/>
        <v>Clean</v>
      </c>
      <c r="K479">
        <v>0.06</v>
      </c>
      <c r="L479" s="20" t="str">
        <f t="shared" si="39"/>
        <v>Risky</v>
      </c>
      <c r="M479" s="20">
        <f t="shared" si="37"/>
        <v>0</v>
      </c>
    </row>
    <row r="480" spans="1:13" x14ac:dyDescent="0.3">
      <c r="A480">
        <v>479</v>
      </c>
      <c r="B480" s="46">
        <v>40564</v>
      </c>
      <c r="C480">
        <v>1</v>
      </c>
      <c r="D480">
        <v>23</v>
      </c>
      <c r="E480" t="b">
        <v>0</v>
      </c>
      <c r="F480">
        <v>5</v>
      </c>
      <c r="G480" s="20" t="str">
        <f t="shared" si="35"/>
        <v>No</v>
      </c>
      <c r="H480" s="20" t="str">
        <f t="shared" si="36"/>
        <v>Friday</v>
      </c>
      <c r="I480">
        <v>1</v>
      </c>
      <c r="J480" s="20" t="str">
        <f t="shared" si="38"/>
        <v>Clean</v>
      </c>
      <c r="K480">
        <v>0.06</v>
      </c>
      <c r="L480" s="20" t="str">
        <f t="shared" si="39"/>
        <v>Risky</v>
      </c>
      <c r="M480" s="20">
        <f t="shared" si="37"/>
        <v>0</v>
      </c>
    </row>
    <row r="481" spans="1:13" x14ac:dyDescent="0.3">
      <c r="A481">
        <v>480</v>
      </c>
      <c r="B481" s="46">
        <v>40565</v>
      </c>
      <c r="C481">
        <v>1</v>
      </c>
      <c r="D481">
        <v>0</v>
      </c>
      <c r="E481" t="b">
        <v>0</v>
      </c>
      <c r="F481">
        <v>6</v>
      </c>
      <c r="G481" s="20" t="str">
        <f t="shared" si="35"/>
        <v>Yes</v>
      </c>
      <c r="H481" s="20" t="str">
        <f t="shared" si="36"/>
        <v>Saturday</v>
      </c>
      <c r="I481">
        <v>1</v>
      </c>
      <c r="J481" s="20" t="str">
        <f t="shared" si="38"/>
        <v>Clean</v>
      </c>
      <c r="K481">
        <v>0.04</v>
      </c>
      <c r="L481" s="20" t="str">
        <f t="shared" si="39"/>
        <v>Risky</v>
      </c>
      <c r="M481" s="20">
        <f t="shared" si="37"/>
        <v>0</v>
      </c>
    </row>
    <row r="482" spans="1:13" x14ac:dyDescent="0.3">
      <c r="A482">
        <v>481</v>
      </c>
      <c r="B482" s="46">
        <v>40565</v>
      </c>
      <c r="C482">
        <v>1</v>
      </c>
      <c r="D482">
        <v>1</v>
      </c>
      <c r="E482" t="b">
        <v>0</v>
      </c>
      <c r="F482">
        <v>6</v>
      </c>
      <c r="G482" s="20" t="str">
        <f t="shared" si="35"/>
        <v>Yes</v>
      </c>
      <c r="H482" s="20" t="str">
        <f t="shared" si="36"/>
        <v>Saturday</v>
      </c>
      <c r="I482">
        <v>2</v>
      </c>
      <c r="J482" s="20" t="str">
        <f t="shared" si="38"/>
        <v>Misty</v>
      </c>
      <c r="K482">
        <v>0.04</v>
      </c>
      <c r="L482" s="20" t="str">
        <f t="shared" si="39"/>
        <v>Risky</v>
      </c>
      <c r="M482" s="20">
        <f t="shared" si="37"/>
        <v>0</v>
      </c>
    </row>
    <row r="483" spans="1:13" x14ac:dyDescent="0.3">
      <c r="A483">
        <v>482</v>
      </c>
      <c r="B483" s="46">
        <v>40565</v>
      </c>
      <c r="C483">
        <v>1</v>
      </c>
      <c r="D483">
        <v>2</v>
      </c>
      <c r="E483" t="b">
        <v>0</v>
      </c>
      <c r="F483">
        <v>6</v>
      </c>
      <c r="G483" s="20" t="str">
        <f t="shared" si="35"/>
        <v>Yes</v>
      </c>
      <c r="H483" s="20" t="str">
        <f t="shared" si="36"/>
        <v>Saturday</v>
      </c>
      <c r="I483">
        <v>2</v>
      </c>
      <c r="J483" s="20" t="str">
        <f t="shared" si="38"/>
        <v>Misty</v>
      </c>
      <c r="K483">
        <v>0.04</v>
      </c>
      <c r="L483" s="20" t="str">
        <f t="shared" si="39"/>
        <v>Risky</v>
      </c>
      <c r="M483" s="20">
        <f t="shared" si="37"/>
        <v>0</v>
      </c>
    </row>
    <row r="484" spans="1:13" x14ac:dyDescent="0.3">
      <c r="A484">
        <v>483</v>
      </c>
      <c r="B484" s="46">
        <v>40565</v>
      </c>
      <c r="C484">
        <v>1</v>
      </c>
      <c r="D484">
        <v>3</v>
      </c>
      <c r="E484" t="b">
        <v>0</v>
      </c>
      <c r="F484">
        <v>6</v>
      </c>
      <c r="G484" s="20" t="str">
        <f t="shared" si="35"/>
        <v>Yes</v>
      </c>
      <c r="H484" s="20" t="str">
        <f t="shared" si="36"/>
        <v>Saturday</v>
      </c>
      <c r="I484">
        <v>2</v>
      </c>
      <c r="J484" s="20" t="str">
        <f t="shared" si="38"/>
        <v>Misty</v>
      </c>
      <c r="K484">
        <v>0.04</v>
      </c>
      <c r="L484" s="20" t="str">
        <f t="shared" si="39"/>
        <v>Risky</v>
      </c>
      <c r="M484" s="20">
        <f t="shared" si="37"/>
        <v>0</v>
      </c>
    </row>
    <row r="485" spans="1:13" x14ac:dyDescent="0.3">
      <c r="A485">
        <v>484</v>
      </c>
      <c r="B485" s="46">
        <v>40565</v>
      </c>
      <c r="C485">
        <v>1</v>
      </c>
      <c r="D485">
        <v>4</v>
      </c>
      <c r="E485" t="b">
        <v>0</v>
      </c>
      <c r="F485">
        <v>6</v>
      </c>
      <c r="G485" s="20" t="str">
        <f t="shared" si="35"/>
        <v>Yes</v>
      </c>
      <c r="H485" s="20" t="str">
        <f t="shared" si="36"/>
        <v>Saturday</v>
      </c>
      <c r="I485">
        <v>2</v>
      </c>
      <c r="J485" s="20" t="str">
        <f t="shared" si="38"/>
        <v>Misty</v>
      </c>
      <c r="K485">
        <v>0.02</v>
      </c>
      <c r="L485" s="20" t="str">
        <f t="shared" si="39"/>
        <v>Risky</v>
      </c>
      <c r="M485" s="20">
        <f t="shared" si="37"/>
        <v>0</v>
      </c>
    </row>
    <row r="486" spans="1:13" x14ac:dyDescent="0.3">
      <c r="A486">
        <v>485</v>
      </c>
      <c r="B486" s="46">
        <v>40565</v>
      </c>
      <c r="C486">
        <v>1</v>
      </c>
      <c r="D486">
        <v>6</v>
      </c>
      <c r="E486" t="b">
        <v>0</v>
      </c>
      <c r="F486">
        <v>6</v>
      </c>
      <c r="G486" s="20" t="str">
        <f t="shared" si="35"/>
        <v>Yes</v>
      </c>
      <c r="H486" s="20" t="str">
        <f t="shared" si="36"/>
        <v>Saturday</v>
      </c>
      <c r="I486">
        <v>2</v>
      </c>
      <c r="J486" s="20" t="str">
        <f t="shared" si="38"/>
        <v>Misty</v>
      </c>
      <c r="K486">
        <v>0.02</v>
      </c>
      <c r="L486" s="20" t="str">
        <f t="shared" si="39"/>
        <v>Risky</v>
      </c>
      <c r="M486" s="20">
        <f t="shared" si="37"/>
        <v>0</v>
      </c>
    </row>
    <row r="487" spans="1:13" x14ac:dyDescent="0.3">
      <c r="A487">
        <v>486</v>
      </c>
      <c r="B487" s="46">
        <v>40565</v>
      </c>
      <c r="C487">
        <v>1</v>
      </c>
      <c r="D487">
        <v>7</v>
      </c>
      <c r="E487" t="b">
        <v>0</v>
      </c>
      <c r="F487">
        <v>6</v>
      </c>
      <c r="G487" s="20" t="str">
        <f t="shared" si="35"/>
        <v>Yes</v>
      </c>
      <c r="H487" s="20" t="str">
        <f t="shared" si="36"/>
        <v>Saturday</v>
      </c>
      <c r="I487">
        <v>1</v>
      </c>
      <c r="J487" s="20" t="str">
        <f t="shared" si="38"/>
        <v>Clean</v>
      </c>
      <c r="K487">
        <v>0.02</v>
      </c>
      <c r="L487" s="20" t="str">
        <f t="shared" si="39"/>
        <v>Risky</v>
      </c>
      <c r="M487" s="20">
        <f t="shared" si="37"/>
        <v>0</v>
      </c>
    </row>
    <row r="488" spans="1:13" x14ac:dyDescent="0.3">
      <c r="A488">
        <v>487</v>
      </c>
      <c r="B488" s="46">
        <v>40565</v>
      </c>
      <c r="C488">
        <v>1</v>
      </c>
      <c r="D488">
        <v>8</v>
      </c>
      <c r="E488" t="b">
        <v>0</v>
      </c>
      <c r="F488">
        <v>6</v>
      </c>
      <c r="G488" s="20" t="str">
        <f t="shared" si="35"/>
        <v>Yes</v>
      </c>
      <c r="H488" s="20" t="str">
        <f t="shared" si="36"/>
        <v>Saturday</v>
      </c>
      <c r="I488">
        <v>1</v>
      </c>
      <c r="J488" s="20" t="str">
        <f t="shared" si="38"/>
        <v>Clean</v>
      </c>
      <c r="K488">
        <v>0.02</v>
      </c>
      <c r="L488" s="20" t="str">
        <f t="shared" si="39"/>
        <v>Risky</v>
      </c>
      <c r="M488" s="20">
        <f t="shared" si="37"/>
        <v>0</v>
      </c>
    </row>
    <row r="489" spans="1:13" x14ac:dyDescent="0.3">
      <c r="A489">
        <v>488</v>
      </c>
      <c r="B489" s="46">
        <v>40565</v>
      </c>
      <c r="C489">
        <v>1</v>
      </c>
      <c r="D489">
        <v>9</v>
      </c>
      <c r="E489" t="b">
        <v>0</v>
      </c>
      <c r="F489">
        <v>6</v>
      </c>
      <c r="G489" s="20" t="str">
        <f t="shared" si="35"/>
        <v>Yes</v>
      </c>
      <c r="H489" s="20" t="str">
        <f t="shared" si="36"/>
        <v>Saturday</v>
      </c>
      <c r="I489">
        <v>1</v>
      </c>
      <c r="J489" s="20" t="str">
        <f t="shared" si="38"/>
        <v>Clean</v>
      </c>
      <c r="K489">
        <v>0.04</v>
      </c>
      <c r="L489" s="20" t="str">
        <f t="shared" si="39"/>
        <v>Risky</v>
      </c>
      <c r="M489" s="20">
        <f t="shared" si="37"/>
        <v>0</v>
      </c>
    </row>
    <row r="490" spans="1:13" x14ac:dyDescent="0.3">
      <c r="A490">
        <v>489</v>
      </c>
      <c r="B490" s="46">
        <v>40565</v>
      </c>
      <c r="C490">
        <v>1</v>
      </c>
      <c r="D490">
        <v>10</v>
      </c>
      <c r="E490" t="b">
        <v>0</v>
      </c>
      <c r="F490">
        <v>6</v>
      </c>
      <c r="G490" s="20" t="str">
        <f t="shared" si="35"/>
        <v>Yes</v>
      </c>
      <c r="H490" s="20" t="str">
        <f t="shared" si="36"/>
        <v>Saturday</v>
      </c>
      <c r="I490">
        <v>2</v>
      </c>
      <c r="J490" s="20" t="str">
        <f t="shared" si="38"/>
        <v>Misty</v>
      </c>
      <c r="K490">
        <v>0.04</v>
      </c>
      <c r="L490" s="20" t="str">
        <f t="shared" si="39"/>
        <v>Risky</v>
      </c>
      <c r="M490" s="20">
        <f t="shared" si="37"/>
        <v>0</v>
      </c>
    </row>
    <row r="491" spans="1:13" x14ac:dyDescent="0.3">
      <c r="A491">
        <v>490</v>
      </c>
      <c r="B491" s="46">
        <v>40565</v>
      </c>
      <c r="C491">
        <v>1</v>
      </c>
      <c r="D491">
        <v>11</v>
      </c>
      <c r="E491" t="b">
        <v>0</v>
      </c>
      <c r="F491">
        <v>6</v>
      </c>
      <c r="G491" s="20" t="str">
        <f t="shared" si="35"/>
        <v>Yes</v>
      </c>
      <c r="H491" s="20" t="str">
        <f t="shared" si="36"/>
        <v>Saturday</v>
      </c>
      <c r="I491">
        <v>2</v>
      </c>
      <c r="J491" s="20" t="str">
        <f t="shared" si="38"/>
        <v>Misty</v>
      </c>
      <c r="K491">
        <v>0.06</v>
      </c>
      <c r="L491" s="20" t="str">
        <f t="shared" si="39"/>
        <v>Risky</v>
      </c>
      <c r="M491" s="20">
        <f t="shared" si="37"/>
        <v>0</v>
      </c>
    </row>
    <row r="492" spans="1:13" x14ac:dyDescent="0.3">
      <c r="A492">
        <v>491</v>
      </c>
      <c r="B492" s="46">
        <v>40565</v>
      </c>
      <c r="C492">
        <v>1</v>
      </c>
      <c r="D492">
        <v>12</v>
      </c>
      <c r="E492" t="b">
        <v>0</v>
      </c>
      <c r="F492">
        <v>6</v>
      </c>
      <c r="G492" s="20" t="str">
        <f t="shared" si="35"/>
        <v>Yes</v>
      </c>
      <c r="H492" s="20" t="str">
        <f t="shared" si="36"/>
        <v>Saturday</v>
      </c>
      <c r="I492">
        <v>2</v>
      </c>
      <c r="J492" s="20" t="str">
        <f t="shared" si="38"/>
        <v>Misty</v>
      </c>
      <c r="K492">
        <v>0.06</v>
      </c>
      <c r="L492" s="20" t="str">
        <f t="shared" si="39"/>
        <v>Risky</v>
      </c>
      <c r="M492" s="20">
        <f t="shared" si="37"/>
        <v>0</v>
      </c>
    </row>
    <row r="493" spans="1:13" x14ac:dyDescent="0.3">
      <c r="A493">
        <v>492</v>
      </c>
      <c r="B493" s="46">
        <v>40565</v>
      </c>
      <c r="C493">
        <v>1</v>
      </c>
      <c r="D493">
        <v>13</v>
      </c>
      <c r="E493" t="b">
        <v>0</v>
      </c>
      <c r="F493">
        <v>6</v>
      </c>
      <c r="G493" s="20" t="str">
        <f t="shared" si="35"/>
        <v>Yes</v>
      </c>
      <c r="H493" s="20" t="str">
        <f t="shared" si="36"/>
        <v>Saturday</v>
      </c>
      <c r="I493">
        <v>1</v>
      </c>
      <c r="J493" s="20" t="str">
        <f t="shared" si="38"/>
        <v>Clean</v>
      </c>
      <c r="K493">
        <v>0.08</v>
      </c>
      <c r="L493" s="20" t="str">
        <f t="shared" si="39"/>
        <v>Risky</v>
      </c>
      <c r="M493" s="20">
        <f t="shared" si="37"/>
        <v>0</v>
      </c>
    </row>
    <row r="494" spans="1:13" x14ac:dyDescent="0.3">
      <c r="A494">
        <v>493</v>
      </c>
      <c r="B494" s="46">
        <v>40565</v>
      </c>
      <c r="C494">
        <v>1</v>
      </c>
      <c r="D494">
        <v>14</v>
      </c>
      <c r="E494" t="b">
        <v>0</v>
      </c>
      <c r="F494">
        <v>6</v>
      </c>
      <c r="G494" s="20" t="str">
        <f t="shared" si="35"/>
        <v>Yes</v>
      </c>
      <c r="H494" s="20" t="str">
        <f t="shared" si="36"/>
        <v>Saturday</v>
      </c>
      <c r="I494">
        <v>1</v>
      </c>
      <c r="J494" s="20" t="str">
        <f t="shared" si="38"/>
        <v>Clean</v>
      </c>
      <c r="K494">
        <v>0.1</v>
      </c>
      <c r="L494" s="20" t="str">
        <f t="shared" si="39"/>
        <v>Safe</v>
      </c>
      <c r="M494" s="20">
        <f t="shared" si="37"/>
        <v>0</v>
      </c>
    </row>
    <row r="495" spans="1:13" x14ac:dyDescent="0.3">
      <c r="A495">
        <v>494</v>
      </c>
      <c r="B495" s="46">
        <v>40565</v>
      </c>
      <c r="C495">
        <v>1</v>
      </c>
      <c r="D495">
        <v>15</v>
      </c>
      <c r="E495" t="b">
        <v>0</v>
      </c>
      <c r="F495">
        <v>6</v>
      </c>
      <c r="G495" s="20" t="str">
        <f t="shared" si="35"/>
        <v>Yes</v>
      </c>
      <c r="H495" s="20" t="str">
        <f t="shared" si="36"/>
        <v>Saturday</v>
      </c>
      <c r="I495">
        <v>1</v>
      </c>
      <c r="J495" s="20" t="str">
        <f t="shared" si="38"/>
        <v>Clean</v>
      </c>
      <c r="K495">
        <v>0.12</v>
      </c>
      <c r="L495" s="20" t="str">
        <f t="shared" si="39"/>
        <v>Safe</v>
      </c>
      <c r="M495" s="20">
        <f t="shared" si="37"/>
        <v>0</v>
      </c>
    </row>
    <row r="496" spans="1:13" x14ac:dyDescent="0.3">
      <c r="A496">
        <v>495</v>
      </c>
      <c r="B496" s="46">
        <v>40565</v>
      </c>
      <c r="C496">
        <v>1</v>
      </c>
      <c r="D496">
        <v>16</v>
      </c>
      <c r="E496" t="b">
        <v>0</v>
      </c>
      <c r="F496">
        <v>6</v>
      </c>
      <c r="G496" s="20" t="str">
        <f t="shared" si="35"/>
        <v>Yes</v>
      </c>
      <c r="H496" s="20" t="str">
        <f t="shared" si="36"/>
        <v>Saturday</v>
      </c>
      <c r="I496">
        <v>1</v>
      </c>
      <c r="J496" s="20" t="str">
        <f t="shared" si="38"/>
        <v>Clean</v>
      </c>
      <c r="K496">
        <v>0.12</v>
      </c>
      <c r="L496" s="20" t="str">
        <f t="shared" si="39"/>
        <v>Safe</v>
      </c>
      <c r="M496" s="20">
        <f t="shared" si="37"/>
        <v>0</v>
      </c>
    </row>
    <row r="497" spans="1:13" x14ac:dyDescent="0.3">
      <c r="A497">
        <v>496</v>
      </c>
      <c r="B497" s="46">
        <v>40565</v>
      </c>
      <c r="C497">
        <v>1</v>
      </c>
      <c r="D497">
        <v>17</v>
      </c>
      <c r="E497" t="b">
        <v>0</v>
      </c>
      <c r="F497">
        <v>6</v>
      </c>
      <c r="G497" s="20" t="str">
        <f t="shared" si="35"/>
        <v>Yes</v>
      </c>
      <c r="H497" s="20" t="str">
        <f t="shared" si="36"/>
        <v>Saturday</v>
      </c>
      <c r="I497">
        <v>1</v>
      </c>
      <c r="J497" s="20" t="str">
        <f t="shared" si="38"/>
        <v>Clean</v>
      </c>
      <c r="K497">
        <v>0.12</v>
      </c>
      <c r="L497" s="20" t="str">
        <f t="shared" si="39"/>
        <v>Safe</v>
      </c>
      <c r="M497" s="20">
        <f t="shared" si="37"/>
        <v>0</v>
      </c>
    </row>
    <row r="498" spans="1:13" x14ac:dyDescent="0.3">
      <c r="A498">
        <v>497</v>
      </c>
      <c r="B498" s="46">
        <v>40565</v>
      </c>
      <c r="C498">
        <v>1</v>
      </c>
      <c r="D498">
        <v>18</v>
      </c>
      <c r="E498" t="b">
        <v>0</v>
      </c>
      <c r="F498">
        <v>6</v>
      </c>
      <c r="G498" s="20" t="str">
        <f t="shared" si="35"/>
        <v>Yes</v>
      </c>
      <c r="H498" s="20" t="str">
        <f t="shared" si="36"/>
        <v>Saturday</v>
      </c>
      <c r="I498">
        <v>1</v>
      </c>
      <c r="J498" s="20" t="str">
        <f t="shared" si="38"/>
        <v>Clean</v>
      </c>
      <c r="K498">
        <v>0.08</v>
      </c>
      <c r="L498" s="20" t="str">
        <f t="shared" si="39"/>
        <v>Risky</v>
      </c>
      <c r="M498" s="20">
        <f t="shared" si="37"/>
        <v>0</v>
      </c>
    </row>
    <row r="499" spans="1:13" x14ac:dyDescent="0.3">
      <c r="A499">
        <v>498</v>
      </c>
      <c r="B499" s="46">
        <v>40565</v>
      </c>
      <c r="C499">
        <v>1</v>
      </c>
      <c r="D499">
        <v>19</v>
      </c>
      <c r="E499" t="b">
        <v>0</v>
      </c>
      <c r="F499">
        <v>6</v>
      </c>
      <c r="G499" s="20" t="str">
        <f t="shared" si="35"/>
        <v>Yes</v>
      </c>
      <c r="H499" s="20" t="str">
        <f t="shared" si="36"/>
        <v>Saturday</v>
      </c>
      <c r="I499">
        <v>1</v>
      </c>
      <c r="J499" s="20" t="str">
        <f t="shared" si="38"/>
        <v>Clean</v>
      </c>
      <c r="K499">
        <v>0.08</v>
      </c>
      <c r="L499" s="20" t="str">
        <f t="shared" si="39"/>
        <v>Risky</v>
      </c>
      <c r="M499" s="20">
        <f t="shared" si="37"/>
        <v>0</v>
      </c>
    </row>
    <row r="500" spans="1:13" x14ac:dyDescent="0.3">
      <c r="A500">
        <v>499</v>
      </c>
      <c r="B500" s="46">
        <v>40565</v>
      </c>
      <c r="C500">
        <v>1</v>
      </c>
      <c r="D500">
        <v>20</v>
      </c>
      <c r="E500" t="b">
        <v>0</v>
      </c>
      <c r="F500">
        <v>6</v>
      </c>
      <c r="G500" s="20" t="str">
        <f t="shared" si="35"/>
        <v>Yes</v>
      </c>
      <c r="H500" s="20" t="str">
        <f t="shared" si="36"/>
        <v>Saturday</v>
      </c>
      <c r="I500">
        <v>1</v>
      </c>
      <c r="J500" s="20" t="str">
        <f t="shared" si="38"/>
        <v>Clean</v>
      </c>
      <c r="K500">
        <v>0.06</v>
      </c>
      <c r="L500" s="20" t="str">
        <f t="shared" si="39"/>
        <v>Risky</v>
      </c>
      <c r="M500" s="20">
        <f t="shared" si="37"/>
        <v>0</v>
      </c>
    </row>
    <row r="501" spans="1:13" x14ac:dyDescent="0.3">
      <c r="A501">
        <v>500</v>
      </c>
      <c r="B501" s="46">
        <v>40565</v>
      </c>
      <c r="C501">
        <v>1</v>
      </c>
      <c r="D501">
        <v>21</v>
      </c>
      <c r="E501" t="b">
        <v>0</v>
      </c>
      <c r="F501">
        <v>6</v>
      </c>
      <c r="G501" s="20" t="str">
        <f t="shared" si="35"/>
        <v>Yes</v>
      </c>
      <c r="H501" s="20" t="str">
        <f t="shared" si="36"/>
        <v>Saturday</v>
      </c>
      <c r="I501">
        <v>1</v>
      </c>
      <c r="J501" s="20" t="str">
        <f t="shared" si="38"/>
        <v>Clean</v>
      </c>
      <c r="K501">
        <v>0.06</v>
      </c>
      <c r="L501" s="20" t="str">
        <f t="shared" si="39"/>
        <v>Risky</v>
      </c>
      <c r="M501" s="20">
        <f t="shared" si="37"/>
        <v>0</v>
      </c>
    </row>
    <row r="502" spans="1:13" x14ac:dyDescent="0.3">
      <c r="A502">
        <v>501</v>
      </c>
      <c r="B502" s="46">
        <v>40565</v>
      </c>
      <c r="C502">
        <v>1</v>
      </c>
      <c r="D502">
        <v>22</v>
      </c>
      <c r="E502" t="b">
        <v>0</v>
      </c>
      <c r="F502">
        <v>6</v>
      </c>
      <c r="G502" s="20" t="str">
        <f t="shared" si="35"/>
        <v>Yes</v>
      </c>
      <c r="H502" s="20" t="str">
        <f t="shared" si="36"/>
        <v>Saturday</v>
      </c>
      <c r="I502">
        <v>1</v>
      </c>
      <c r="J502" s="20" t="str">
        <f t="shared" si="38"/>
        <v>Clean</v>
      </c>
      <c r="K502">
        <v>0.06</v>
      </c>
      <c r="L502" s="20" t="str">
        <f t="shared" si="39"/>
        <v>Risky</v>
      </c>
      <c r="M502" s="20">
        <f t="shared" si="37"/>
        <v>0</v>
      </c>
    </row>
    <row r="503" spans="1:13" x14ac:dyDescent="0.3">
      <c r="A503">
        <v>502</v>
      </c>
      <c r="B503" s="46">
        <v>40565</v>
      </c>
      <c r="C503">
        <v>1</v>
      </c>
      <c r="D503">
        <v>23</v>
      </c>
      <c r="E503" t="b">
        <v>0</v>
      </c>
      <c r="F503">
        <v>6</v>
      </c>
      <c r="G503" s="20" t="str">
        <f t="shared" si="35"/>
        <v>Yes</v>
      </c>
      <c r="H503" s="20" t="str">
        <f t="shared" si="36"/>
        <v>Saturday</v>
      </c>
      <c r="I503">
        <v>1</v>
      </c>
      <c r="J503" s="20" t="str">
        <f t="shared" si="38"/>
        <v>Clean</v>
      </c>
      <c r="K503">
        <v>0.04</v>
      </c>
      <c r="L503" s="20" t="str">
        <f t="shared" si="39"/>
        <v>Risky</v>
      </c>
      <c r="M503" s="20">
        <f t="shared" si="37"/>
        <v>0</v>
      </c>
    </row>
    <row r="504" spans="1:13" x14ac:dyDescent="0.3">
      <c r="A504">
        <v>503</v>
      </c>
      <c r="B504" s="46">
        <v>40566</v>
      </c>
      <c r="C504">
        <v>1</v>
      </c>
      <c r="D504">
        <v>0</v>
      </c>
      <c r="E504" t="b">
        <v>0</v>
      </c>
      <c r="F504">
        <v>0</v>
      </c>
      <c r="G504" s="20" t="str">
        <f t="shared" si="35"/>
        <v>Yes</v>
      </c>
      <c r="H504" s="20" t="str">
        <f t="shared" si="36"/>
        <v>Sunday</v>
      </c>
      <c r="I504">
        <v>1</v>
      </c>
      <c r="J504" s="20" t="str">
        <f t="shared" si="38"/>
        <v>Clean</v>
      </c>
      <c r="K504">
        <v>0.04</v>
      </c>
      <c r="L504" s="20" t="str">
        <f t="shared" si="39"/>
        <v>Risky</v>
      </c>
      <c r="M504" s="20">
        <f t="shared" si="37"/>
        <v>0</v>
      </c>
    </row>
    <row r="505" spans="1:13" x14ac:dyDescent="0.3">
      <c r="A505">
        <v>504</v>
      </c>
      <c r="B505" s="46">
        <v>40566</v>
      </c>
      <c r="C505">
        <v>1</v>
      </c>
      <c r="D505">
        <v>1</v>
      </c>
      <c r="E505" t="b">
        <v>0</v>
      </c>
      <c r="F505">
        <v>0</v>
      </c>
      <c r="G505" s="20" t="str">
        <f t="shared" si="35"/>
        <v>Yes</v>
      </c>
      <c r="H505" s="20" t="str">
        <f t="shared" si="36"/>
        <v>Sunday</v>
      </c>
      <c r="I505">
        <v>1</v>
      </c>
      <c r="J505" s="20" t="str">
        <f t="shared" si="38"/>
        <v>Clean</v>
      </c>
      <c r="K505">
        <v>0.04</v>
      </c>
      <c r="L505" s="20" t="str">
        <f t="shared" si="39"/>
        <v>Risky</v>
      </c>
      <c r="M505" s="20">
        <f t="shared" si="37"/>
        <v>0</v>
      </c>
    </row>
    <row r="506" spans="1:13" x14ac:dyDescent="0.3">
      <c r="A506">
        <v>505</v>
      </c>
      <c r="B506" s="46">
        <v>40566</v>
      </c>
      <c r="C506">
        <v>1</v>
      </c>
      <c r="D506">
        <v>2</v>
      </c>
      <c r="E506" t="b">
        <v>0</v>
      </c>
      <c r="F506">
        <v>0</v>
      </c>
      <c r="G506" s="20" t="str">
        <f t="shared" si="35"/>
        <v>Yes</v>
      </c>
      <c r="H506" s="20" t="str">
        <f t="shared" si="36"/>
        <v>Sunday</v>
      </c>
      <c r="I506">
        <v>1</v>
      </c>
      <c r="J506" s="20" t="str">
        <f t="shared" si="38"/>
        <v>Clean</v>
      </c>
      <c r="K506">
        <v>0.02</v>
      </c>
      <c r="L506" s="20" t="str">
        <f t="shared" si="39"/>
        <v>Risky</v>
      </c>
      <c r="M506" s="20">
        <f t="shared" si="37"/>
        <v>0</v>
      </c>
    </row>
    <row r="507" spans="1:13" x14ac:dyDescent="0.3">
      <c r="A507">
        <v>506</v>
      </c>
      <c r="B507" s="46">
        <v>40566</v>
      </c>
      <c r="C507">
        <v>1</v>
      </c>
      <c r="D507">
        <v>3</v>
      </c>
      <c r="E507" t="b">
        <v>0</v>
      </c>
      <c r="F507">
        <v>0</v>
      </c>
      <c r="G507" s="20" t="str">
        <f t="shared" si="35"/>
        <v>Yes</v>
      </c>
      <c r="H507" s="20" t="str">
        <f t="shared" si="36"/>
        <v>Sunday</v>
      </c>
      <c r="I507">
        <v>1</v>
      </c>
      <c r="J507" s="20" t="str">
        <f t="shared" si="38"/>
        <v>Clean</v>
      </c>
      <c r="K507">
        <v>0.02</v>
      </c>
      <c r="L507" s="20" t="str">
        <f t="shared" si="39"/>
        <v>Risky</v>
      </c>
      <c r="M507" s="20">
        <f t="shared" si="37"/>
        <v>0</v>
      </c>
    </row>
    <row r="508" spans="1:13" x14ac:dyDescent="0.3">
      <c r="A508">
        <v>507</v>
      </c>
      <c r="B508" s="46">
        <v>40566</v>
      </c>
      <c r="C508">
        <v>1</v>
      </c>
      <c r="D508">
        <v>5</v>
      </c>
      <c r="E508" t="b">
        <v>0</v>
      </c>
      <c r="F508">
        <v>0</v>
      </c>
      <c r="G508" s="20" t="str">
        <f t="shared" si="35"/>
        <v>Yes</v>
      </c>
      <c r="H508" s="20" t="str">
        <f t="shared" si="36"/>
        <v>Sunday</v>
      </c>
      <c r="I508">
        <v>2</v>
      </c>
      <c r="J508" s="20" t="str">
        <f t="shared" si="38"/>
        <v>Misty</v>
      </c>
      <c r="K508">
        <v>0.04</v>
      </c>
      <c r="L508" s="20" t="str">
        <f t="shared" si="39"/>
        <v>Risky</v>
      </c>
      <c r="M508" s="20">
        <f t="shared" si="37"/>
        <v>0</v>
      </c>
    </row>
    <row r="509" spans="1:13" x14ac:dyDescent="0.3">
      <c r="A509">
        <v>508</v>
      </c>
      <c r="B509" s="46">
        <v>40566</v>
      </c>
      <c r="C509">
        <v>1</v>
      </c>
      <c r="D509">
        <v>6</v>
      </c>
      <c r="E509" t="b">
        <v>0</v>
      </c>
      <c r="F509">
        <v>0</v>
      </c>
      <c r="G509" s="20" t="str">
        <f t="shared" si="35"/>
        <v>Yes</v>
      </c>
      <c r="H509" s="20" t="str">
        <f t="shared" si="36"/>
        <v>Sunday</v>
      </c>
      <c r="I509">
        <v>2</v>
      </c>
      <c r="J509" s="20" t="str">
        <f t="shared" si="38"/>
        <v>Misty</v>
      </c>
      <c r="K509">
        <v>0.04</v>
      </c>
      <c r="L509" s="20" t="str">
        <f t="shared" si="39"/>
        <v>Risky</v>
      </c>
      <c r="M509" s="20">
        <f t="shared" si="37"/>
        <v>0</v>
      </c>
    </row>
    <row r="510" spans="1:13" x14ac:dyDescent="0.3">
      <c r="A510">
        <v>509</v>
      </c>
      <c r="B510" s="46">
        <v>40566</v>
      </c>
      <c r="C510">
        <v>1</v>
      </c>
      <c r="D510">
        <v>7</v>
      </c>
      <c r="E510" t="b">
        <v>0</v>
      </c>
      <c r="F510">
        <v>0</v>
      </c>
      <c r="G510" s="20" t="str">
        <f t="shared" si="35"/>
        <v>Yes</v>
      </c>
      <c r="H510" s="20" t="str">
        <f t="shared" si="36"/>
        <v>Sunday</v>
      </c>
      <c r="I510">
        <v>1</v>
      </c>
      <c r="J510" s="20" t="str">
        <f t="shared" si="38"/>
        <v>Clean</v>
      </c>
      <c r="K510">
        <v>0.08</v>
      </c>
      <c r="L510" s="20" t="str">
        <f t="shared" si="39"/>
        <v>Risky</v>
      </c>
      <c r="M510" s="20">
        <f t="shared" si="37"/>
        <v>0</v>
      </c>
    </row>
    <row r="511" spans="1:13" x14ac:dyDescent="0.3">
      <c r="A511">
        <v>510</v>
      </c>
      <c r="B511" s="46">
        <v>40566</v>
      </c>
      <c r="C511">
        <v>1</v>
      </c>
      <c r="D511">
        <v>8</v>
      </c>
      <c r="E511" t="b">
        <v>0</v>
      </c>
      <c r="F511">
        <v>0</v>
      </c>
      <c r="G511" s="20" t="str">
        <f t="shared" si="35"/>
        <v>Yes</v>
      </c>
      <c r="H511" s="20" t="str">
        <f t="shared" si="36"/>
        <v>Sunday</v>
      </c>
      <c r="I511">
        <v>1</v>
      </c>
      <c r="J511" s="20" t="str">
        <f t="shared" si="38"/>
        <v>Clean</v>
      </c>
      <c r="K511">
        <v>0.06</v>
      </c>
      <c r="L511" s="20" t="str">
        <f t="shared" si="39"/>
        <v>Risky</v>
      </c>
      <c r="M511" s="20">
        <f t="shared" si="37"/>
        <v>0</v>
      </c>
    </row>
    <row r="512" spans="1:13" x14ac:dyDescent="0.3">
      <c r="A512">
        <v>511</v>
      </c>
      <c r="B512" s="46">
        <v>40566</v>
      </c>
      <c r="C512">
        <v>1</v>
      </c>
      <c r="D512">
        <v>9</v>
      </c>
      <c r="E512" t="b">
        <v>0</v>
      </c>
      <c r="F512">
        <v>0</v>
      </c>
      <c r="G512" s="20" t="str">
        <f t="shared" si="35"/>
        <v>Yes</v>
      </c>
      <c r="H512" s="20" t="str">
        <f t="shared" si="36"/>
        <v>Sunday</v>
      </c>
      <c r="I512">
        <v>1</v>
      </c>
      <c r="J512" s="20" t="str">
        <f t="shared" si="38"/>
        <v>Clean</v>
      </c>
      <c r="K512">
        <v>0.1</v>
      </c>
      <c r="L512" s="20" t="str">
        <f t="shared" si="39"/>
        <v>Safe</v>
      </c>
      <c r="M512" s="20">
        <f t="shared" si="37"/>
        <v>0</v>
      </c>
    </row>
    <row r="513" spans="1:13" x14ac:dyDescent="0.3">
      <c r="A513">
        <v>512</v>
      </c>
      <c r="B513" s="46">
        <v>40566</v>
      </c>
      <c r="C513">
        <v>1</v>
      </c>
      <c r="D513">
        <v>10</v>
      </c>
      <c r="E513" t="b">
        <v>0</v>
      </c>
      <c r="F513">
        <v>0</v>
      </c>
      <c r="G513" s="20" t="str">
        <f t="shared" si="35"/>
        <v>Yes</v>
      </c>
      <c r="H513" s="20" t="str">
        <f t="shared" si="36"/>
        <v>Sunday</v>
      </c>
      <c r="I513">
        <v>1</v>
      </c>
      <c r="J513" s="20" t="str">
        <f t="shared" si="38"/>
        <v>Clean</v>
      </c>
      <c r="K513">
        <v>0.14000000000000001</v>
      </c>
      <c r="L513" s="20" t="str">
        <f t="shared" si="39"/>
        <v>Safe</v>
      </c>
      <c r="M513" s="20">
        <f t="shared" si="37"/>
        <v>0</v>
      </c>
    </row>
    <row r="514" spans="1:13" x14ac:dyDescent="0.3">
      <c r="A514">
        <v>513</v>
      </c>
      <c r="B514" s="46">
        <v>40566</v>
      </c>
      <c r="C514">
        <v>1</v>
      </c>
      <c r="D514">
        <v>11</v>
      </c>
      <c r="E514" t="b">
        <v>0</v>
      </c>
      <c r="F514">
        <v>0</v>
      </c>
      <c r="G514" s="20" t="str">
        <f t="shared" ref="G514:G577" si="40">_xlfn.IFS(F514=0,"Yes",F514=6,"Yes",F514&gt;0,"No")</f>
        <v>Yes</v>
      </c>
      <c r="H514" s="20" t="str">
        <f t="shared" ref="H514:H577" si="41">TEXT(B514:B1123,"dddd")</f>
        <v>Sunday</v>
      </c>
      <c r="I514">
        <v>1</v>
      </c>
      <c r="J514" s="20" t="str">
        <f t="shared" si="38"/>
        <v>Clean</v>
      </c>
      <c r="K514">
        <v>0.14000000000000001</v>
      </c>
      <c r="L514" s="20" t="str">
        <f t="shared" si="39"/>
        <v>Safe</v>
      </c>
      <c r="M514" s="20">
        <f t="shared" ref="M514:M577" si="42">COUNTBLANK(A514:K514)</f>
        <v>0</v>
      </c>
    </row>
    <row r="515" spans="1:13" x14ac:dyDescent="0.3">
      <c r="A515">
        <v>514</v>
      </c>
      <c r="B515" s="46">
        <v>40566</v>
      </c>
      <c r="C515">
        <v>1</v>
      </c>
      <c r="D515">
        <v>12</v>
      </c>
      <c r="E515" t="b">
        <v>0</v>
      </c>
      <c r="F515">
        <v>0</v>
      </c>
      <c r="G515" s="20" t="str">
        <f t="shared" si="40"/>
        <v>Yes</v>
      </c>
      <c r="H515" s="20" t="str">
        <f t="shared" si="41"/>
        <v>Sunday</v>
      </c>
      <c r="I515">
        <v>1</v>
      </c>
      <c r="J515" s="20" t="str">
        <f t="shared" ref="J515:J578" si="43">_xlfn.IFS(I515=1,"Clean",I515=2,"Misty",I515=3,"Light Rain",I515=4,"Heavy Rain")</f>
        <v>Clean</v>
      </c>
      <c r="K515">
        <v>0.16</v>
      </c>
      <c r="L515" s="20" t="str">
        <f t="shared" ref="L515:L578" si="44">_xlfn.IFS(K515&lt;0.1,"Risky",K515&lt;0.35,"Safe",K515&gt;0.35,"Risky")</f>
        <v>Safe</v>
      </c>
      <c r="M515" s="20">
        <f t="shared" si="42"/>
        <v>0</v>
      </c>
    </row>
    <row r="516" spans="1:13" x14ac:dyDescent="0.3">
      <c r="A516">
        <v>515</v>
      </c>
      <c r="B516" s="46">
        <v>40566</v>
      </c>
      <c r="C516">
        <v>1</v>
      </c>
      <c r="D516">
        <v>13</v>
      </c>
      <c r="E516" t="b">
        <v>0</v>
      </c>
      <c r="F516">
        <v>0</v>
      </c>
      <c r="G516" s="20" t="str">
        <f t="shared" si="40"/>
        <v>Yes</v>
      </c>
      <c r="H516" s="20" t="str">
        <f t="shared" si="41"/>
        <v>Sunday</v>
      </c>
      <c r="I516">
        <v>1</v>
      </c>
      <c r="J516" s="20" t="str">
        <f t="shared" si="43"/>
        <v>Clean</v>
      </c>
      <c r="K516">
        <v>0.14000000000000001</v>
      </c>
      <c r="L516" s="20" t="str">
        <f t="shared" si="44"/>
        <v>Safe</v>
      </c>
      <c r="M516" s="20">
        <f t="shared" si="42"/>
        <v>0</v>
      </c>
    </row>
    <row r="517" spans="1:13" x14ac:dyDescent="0.3">
      <c r="A517">
        <v>516</v>
      </c>
      <c r="B517" s="46">
        <v>40566</v>
      </c>
      <c r="C517">
        <v>1</v>
      </c>
      <c r="D517">
        <v>14</v>
      </c>
      <c r="E517" t="b">
        <v>0</v>
      </c>
      <c r="F517">
        <v>0</v>
      </c>
      <c r="G517" s="20" t="str">
        <f t="shared" si="40"/>
        <v>Yes</v>
      </c>
      <c r="H517" s="20" t="str">
        <f t="shared" si="41"/>
        <v>Sunday</v>
      </c>
      <c r="I517">
        <v>1</v>
      </c>
      <c r="J517" s="20" t="str">
        <f t="shared" si="43"/>
        <v>Clean</v>
      </c>
      <c r="K517">
        <v>0.16</v>
      </c>
      <c r="L517" s="20" t="str">
        <f t="shared" si="44"/>
        <v>Safe</v>
      </c>
      <c r="M517" s="20">
        <f t="shared" si="42"/>
        <v>0</v>
      </c>
    </row>
    <row r="518" spans="1:13" x14ac:dyDescent="0.3">
      <c r="A518">
        <v>517</v>
      </c>
      <c r="B518" s="46">
        <v>40566</v>
      </c>
      <c r="C518">
        <v>1</v>
      </c>
      <c r="D518">
        <v>15</v>
      </c>
      <c r="E518" t="b">
        <v>0</v>
      </c>
      <c r="F518">
        <v>0</v>
      </c>
      <c r="G518" s="20" t="str">
        <f t="shared" si="40"/>
        <v>Yes</v>
      </c>
      <c r="H518" s="20" t="str">
        <f t="shared" si="41"/>
        <v>Sunday</v>
      </c>
      <c r="I518">
        <v>1</v>
      </c>
      <c r="J518" s="20" t="str">
        <f t="shared" si="43"/>
        <v>Clean</v>
      </c>
      <c r="K518">
        <v>0.16</v>
      </c>
      <c r="L518" s="20" t="str">
        <f t="shared" si="44"/>
        <v>Safe</v>
      </c>
      <c r="M518" s="20">
        <f t="shared" si="42"/>
        <v>0</v>
      </c>
    </row>
    <row r="519" spans="1:13" x14ac:dyDescent="0.3">
      <c r="A519">
        <v>518</v>
      </c>
      <c r="B519" s="46">
        <v>40566</v>
      </c>
      <c r="C519">
        <v>1</v>
      </c>
      <c r="D519">
        <v>16</v>
      </c>
      <c r="E519" t="b">
        <v>0</v>
      </c>
      <c r="F519">
        <v>0</v>
      </c>
      <c r="G519" s="20" t="str">
        <f t="shared" si="40"/>
        <v>Yes</v>
      </c>
      <c r="H519" s="20" t="str">
        <f t="shared" si="41"/>
        <v>Sunday</v>
      </c>
      <c r="I519">
        <v>1</v>
      </c>
      <c r="J519" s="20" t="str">
        <f t="shared" si="43"/>
        <v>Clean</v>
      </c>
      <c r="K519">
        <v>0.16</v>
      </c>
      <c r="L519" s="20" t="str">
        <f t="shared" si="44"/>
        <v>Safe</v>
      </c>
      <c r="M519" s="20">
        <f t="shared" si="42"/>
        <v>0</v>
      </c>
    </row>
    <row r="520" spans="1:13" x14ac:dyDescent="0.3">
      <c r="A520">
        <v>519</v>
      </c>
      <c r="B520" s="46">
        <v>40566</v>
      </c>
      <c r="C520">
        <v>1</v>
      </c>
      <c r="D520">
        <v>17</v>
      </c>
      <c r="E520" t="b">
        <v>0</v>
      </c>
      <c r="F520">
        <v>0</v>
      </c>
      <c r="G520" s="20" t="str">
        <f t="shared" si="40"/>
        <v>Yes</v>
      </c>
      <c r="H520" s="20" t="str">
        <f t="shared" si="41"/>
        <v>Sunday</v>
      </c>
      <c r="I520">
        <v>1</v>
      </c>
      <c r="J520" s="20" t="str">
        <f t="shared" si="43"/>
        <v>Clean</v>
      </c>
      <c r="K520">
        <v>0.14000000000000001</v>
      </c>
      <c r="L520" s="20" t="str">
        <f t="shared" si="44"/>
        <v>Safe</v>
      </c>
      <c r="M520" s="20">
        <f t="shared" si="42"/>
        <v>0</v>
      </c>
    </row>
    <row r="521" spans="1:13" x14ac:dyDescent="0.3">
      <c r="A521">
        <v>520</v>
      </c>
      <c r="B521" s="46">
        <v>40566</v>
      </c>
      <c r="C521">
        <v>1</v>
      </c>
      <c r="D521">
        <v>18</v>
      </c>
      <c r="E521" t="b">
        <v>0</v>
      </c>
      <c r="F521">
        <v>0</v>
      </c>
      <c r="G521" s="20" t="str">
        <f t="shared" si="40"/>
        <v>Yes</v>
      </c>
      <c r="H521" s="20" t="str">
        <f t="shared" si="41"/>
        <v>Sunday</v>
      </c>
      <c r="I521">
        <v>1</v>
      </c>
      <c r="J521" s="20" t="str">
        <f t="shared" si="43"/>
        <v>Clean</v>
      </c>
      <c r="K521">
        <v>0.12</v>
      </c>
      <c r="L521" s="20" t="str">
        <f t="shared" si="44"/>
        <v>Safe</v>
      </c>
      <c r="M521" s="20">
        <f t="shared" si="42"/>
        <v>0</v>
      </c>
    </row>
    <row r="522" spans="1:13" x14ac:dyDescent="0.3">
      <c r="A522">
        <v>521</v>
      </c>
      <c r="B522" s="46">
        <v>40566</v>
      </c>
      <c r="C522">
        <v>1</v>
      </c>
      <c r="D522">
        <v>19</v>
      </c>
      <c r="E522" t="b">
        <v>0</v>
      </c>
      <c r="F522">
        <v>0</v>
      </c>
      <c r="G522" s="20" t="str">
        <f t="shared" si="40"/>
        <v>Yes</v>
      </c>
      <c r="H522" s="20" t="str">
        <f t="shared" si="41"/>
        <v>Sunday</v>
      </c>
      <c r="I522">
        <v>1</v>
      </c>
      <c r="J522" s="20" t="str">
        <f t="shared" si="43"/>
        <v>Clean</v>
      </c>
      <c r="K522">
        <v>0.12</v>
      </c>
      <c r="L522" s="20" t="str">
        <f t="shared" si="44"/>
        <v>Safe</v>
      </c>
      <c r="M522" s="20">
        <f t="shared" si="42"/>
        <v>0</v>
      </c>
    </row>
    <row r="523" spans="1:13" x14ac:dyDescent="0.3">
      <c r="A523">
        <v>522</v>
      </c>
      <c r="B523" s="46">
        <v>40566</v>
      </c>
      <c r="C523">
        <v>1</v>
      </c>
      <c r="D523">
        <v>20</v>
      </c>
      <c r="E523" t="b">
        <v>0</v>
      </c>
      <c r="F523">
        <v>0</v>
      </c>
      <c r="G523" s="20" t="str">
        <f t="shared" si="40"/>
        <v>Yes</v>
      </c>
      <c r="H523" s="20" t="str">
        <f t="shared" si="41"/>
        <v>Sunday</v>
      </c>
      <c r="I523">
        <v>1</v>
      </c>
      <c r="J523" s="20" t="str">
        <f t="shared" si="43"/>
        <v>Clean</v>
      </c>
      <c r="K523">
        <v>0.1</v>
      </c>
      <c r="L523" s="20" t="str">
        <f t="shared" si="44"/>
        <v>Safe</v>
      </c>
      <c r="M523" s="20">
        <f t="shared" si="42"/>
        <v>0</v>
      </c>
    </row>
    <row r="524" spans="1:13" x14ac:dyDescent="0.3">
      <c r="A524">
        <v>523</v>
      </c>
      <c r="B524" s="46">
        <v>40566</v>
      </c>
      <c r="C524">
        <v>1</v>
      </c>
      <c r="D524">
        <v>21</v>
      </c>
      <c r="E524" t="b">
        <v>0</v>
      </c>
      <c r="F524">
        <v>0</v>
      </c>
      <c r="G524" s="20" t="str">
        <f t="shared" si="40"/>
        <v>Yes</v>
      </c>
      <c r="H524" s="20" t="str">
        <f t="shared" si="41"/>
        <v>Sunday</v>
      </c>
      <c r="I524">
        <v>1</v>
      </c>
      <c r="J524" s="20" t="str">
        <f t="shared" si="43"/>
        <v>Clean</v>
      </c>
      <c r="K524">
        <v>0.1</v>
      </c>
      <c r="L524" s="20" t="str">
        <f t="shared" si="44"/>
        <v>Safe</v>
      </c>
      <c r="M524" s="20">
        <f t="shared" si="42"/>
        <v>0</v>
      </c>
    </row>
    <row r="525" spans="1:13" x14ac:dyDescent="0.3">
      <c r="A525">
        <v>524</v>
      </c>
      <c r="B525" s="46">
        <v>40566</v>
      </c>
      <c r="C525">
        <v>1</v>
      </c>
      <c r="D525">
        <v>22</v>
      </c>
      <c r="E525" t="b">
        <v>0</v>
      </c>
      <c r="F525">
        <v>0</v>
      </c>
      <c r="G525" s="20" t="str">
        <f t="shared" si="40"/>
        <v>Yes</v>
      </c>
      <c r="H525" s="20" t="str">
        <f t="shared" si="41"/>
        <v>Sunday</v>
      </c>
      <c r="I525">
        <v>1</v>
      </c>
      <c r="J525" s="20" t="str">
        <f t="shared" si="43"/>
        <v>Clean</v>
      </c>
      <c r="K525">
        <v>0.08</v>
      </c>
      <c r="L525" s="20" t="str">
        <f t="shared" si="44"/>
        <v>Risky</v>
      </c>
      <c r="M525" s="20">
        <f t="shared" si="42"/>
        <v>0</v>
      </c>
    </row>
    <row r="526" spans="1:13" x14ac:dyDescent="0.3">
      <c r="A526">
        <v>525</v>
      </c>
      <c r="B526" s="46">
        <v>40566</v>
      </c>
      <c r="C526">
        <v>1</v>
      </c>
      <c r="D526">
        <v>23</v>
      </c>
      <c r="E526" t="b">
        <v>0</v>
      </c>
      <c r="F526">
        <v>0</v>
      </c>
      <c r="G526" s="20" t="str">
        <f t="shared" si="40"/>
        <v>Yes</v>
      </c>
      <c r="H526" s="20" t="str">
        <f t="shared" si="41"/>
        <v>Sunday</v>
      </c>
      <c r="I526">
        <v>1</v>
      </c>
      <c r="J526" s="20" t="str">
        <f t="shared" si="43"/>
        <v>Clean</v>
      </c>
      <c r="K526">
        <v>0.06</v>
      </c>
      <c r="L526" s="20" t="str">
        <f t="shared" si="44"/>
        <v>Risky</v>
      </c>
      <c r="M526" s="20">
        <f t="shared" si="42"/>
        <v>0</v>
      </c>
    </row>
    <row r="527" spans="1:13" x14ac:dyDescent="0.3">
      <c r="A527">
        <v>526</v>
      </c>
      <c r="B527" s="46">
        <v>40567</v>
      </c>
      <c r="C527">
        <v>1</v>
      </c>
      <c r="D527">
        <v>0</v>
      </c>
      <c r="E527" t="b">
        <v>0</v>
      </c>
      <c r="F527">
        <v>1</v>
      </c>
      <c r="G527" s="20" t="str">
        <f t="shared" si="40"/>
        <v>No</v>
      </c>
      <c r="H527" s="20" t="str">
        <f t="shared" si="41"/>
        <v>Monday</v>
      </c>
      <c r="I527">
        <v>1</v>
      </c>
      <c r="J527" s="20" t="str">
        <f t="shared" si="43"/>
        <v>Clean</v>
      </c>
      <c r="K527">
        <v>0.06</v>
      </c>
      <c r="L527" s="20" t="str">
        <f t="shared" si="44"/>
        <v>Risky</v>
      </c>
      <c r="M527" s="20">
        <f t="shared" si="42"/>
        <v>0</v>
      </c>
    </row>
    <row r="528" spans="1:13" x14ac:dyDescent="0.3">
      <c r="A528">
        <v>527</v>
      </c>
      <c r="B528" s="46">
        <v>40567</v>
      </c>
      <c r="C528">
        <v>1</v>
      </c>
      <c r="D528">
        <v>1</v>
      </c>
      <c r="E528" t="b">
        <v>0</v>
      </c>
      <c r="F528">
        <v>1</v>
      </c>
      <c r="G528" s="20" t="str">
        <f t="shared" si="40"/>
        <v>No</v>
      </c>
      <c r="H528" s="20" t="str">
        <f t="shared" si="41"/>
        <v>Monday</v>
      </c>
      <c r="I528">
        <v>1</v>
      </c>
      <c r="J528" s="20" t="str">
        <f t="shared" si="43"/>
        <v>Clean</v>
      </c>
      <c r="K528">
        <v>0.04</v>
      </c>
      <c r="L528" s="20" t="str">
        <f t="shared" si="44"/>
        <v>Risky</v>
      </c>
      <c r="M528" s="20">
        <f t="shared" si="42"/>
        <v>0</v>
      </c>
    </row>
    <row r="529" spans="1:13" x14ac:dyDescent="0.3">
      <c r="A529">
        <v>528</v>
      </c>
      <c r="B529" s="46">
        <v>40567</v>
      </c>
      <c r="C529">
        <v>1</v>
      </c>
      <c r="D529">
        <v>3</v>
      </c>
      <c r="E529" t="b">
        <v>0</v>
      </c>
      <c r="F529">
        <v>1</v>
      </c>
      <c r="G529" s="20" t="str">
        <f t="shared" si="40"/>
        <v>No</v>
      </c>
      <c r="H529" s="20" t="str">
        <f t="shared" si="41"/>
        <v>Monday</v>
      </c>
      <c r="I529">
        <v>1</v>
      </c>
      <c r="J529" s="20" t="str">
        <f t="shared" si="43"/>
        <v>Clean</v>
      </c>
      <c r="K529">
        <v>0.04</v>
      </c>
      <c r="L529" s="20" t="str">
        <f t="shared" si="44"/>
        <v>Risky</v>
      </c>
      <c r="M529" s="20">
        <f t="shared" si="42"/>
        <v>0</v>
      </c>
    </row>
    <row r="530" spans="1:13" x14ac:dyDescent="0.3">
      <c r="A530">
        <v>529</v>
      </c>
      <c r="B530" s="46">
        <v>40567</v>
      </c>
      <c r="C530">
        <v>1</v>
      </c>
      <c r="D530">
        <v>4</v>
      </c>
      <c r="E530" t="b">
        <v>0</v>
      </c>
      <c r="F530">
        <v>1</v>
      </c>
      <c r="G530" s="20" t="str">
        <f t="shared" si="40"/>
        <v>No</v>
      </c>
      <c r="H530" s="20" t="str">
        <f t="shared" si="41"/>
        <v>Monday</v>
      </c>
      <c r="I530">
        <v>1</v>
      </c>
      <c r="J530" s="20" t="str">
        <f t="shared" si="43"/>
        <v>Clean</v>
      </c>
      <c r="K530">
        <v>0.02</v>
      </c>
      <c r="L530" s="20" t="str">
        <f t="shared" si="44"/>
        <v>Risky</v>
      </c>
      <c r="M530" s="20">
        <f t="shared" si="42"/>
        <v>0</v>
      </c>
    </row>
    <row r="531" spans="1:13" x14ac:dyDescent="0.3">
      <c r="A531">
        <v>530</v>
      </c>
      <c r="B531" s="46">
        <v>40567</v>
      </c>
      <c r="C531">
        <v>1</v>
      </c>
      <c r="D531">
        <v>5</v>
      </c>
      <c r="E531" t="b">
        <v>0</v>
      </c>
      <c r="F531">
        <v>1</v>
      </c>
      <c r="G531" s="20" t="str">
        <f t="shared" si="40"/>
        <v>No</v>
      </c>
      <c r="H531" s="20" t="str">
        <f t="shared" si="41"/>
        <v>Monday</v>
      </c>
      <c r="I531">
        <v>1</v>
      </c>
      <c r="J531" s="20" t="str">
        <f t="shared" si="43"/>
        <v>Clean</v>
      </c>
      <c r="K531">
        <v>0.02</v>
      </c>
      <c r="L531" s="20" t="str">
        <f t="shared" si="44"/>
        <v>Risky</v>
      </c>
      <c r="M531" s="20">
        <f t="shared" si="42"/>
        <v>0</v>
      </c>
    </row>
    <row r="532" spans="1:13" x14ac:dyDescent="0.3">
      <c r="A532">
        <v>531</v>
      </c>
      <c r="B532" s="46">
        <v>40567</v>
      </c>
      <c r="C532">
        <v>1</v>
      </c>
      <c r="D532">
        <v>6</v>
      </c>
      <c r="E532" t="b">
        <v>0</v>
      </c>
      <c r="F532">
        <v>1</v>
      </c>
      <c r="G532" s="20" t="str">
        <f t="shared" si="40"/>
        <v>No</v>
      </c>
      <c r="H532" s="20" t="str">
        <f t="shared" si="41"/>
        <v>Monday</v>
      </c>
      <c r="I532">
        <v>1</v>
      </c>
      <c r="J532" s="20" t="str">
        <f t="shared" si="43"/>
        <v>Clean</v>
      </c>
      <c r="K532">
        <v>0.02</v>
      </c>
      <c r="L532" s="20" t="str">
        <f t="shared" si="44"/>
        <v>Risky</v>
      </c>
      <c r="M532" s="20">
        <f t="shared" si="42"/>
        <v>0</v>
      </c>
    </row>
    <row r="533" spans="1:13" x14ac:dyDescent="0.3">
      <c r="A533">
        <v>532</v>
      </c>
      <c r="B533" s="46">
        <v>40567</v>
      </c>
      <c r="C533">
        <v>1</v>
      </c>
      <c r="D533">
        <v>7</v>
      </c>
      <c r="E533" t="b">
        <v>0</v>
      </c>
      <c r="F533">
        <v>1</v>
      </c>
      <c r="G533" s="20" t="str">
        <f t="shared" si="40"/>
        <v>No</v>
      </c>
      <c r="H533" s="20" t="str">
        <f t="shared" si="41"/>
        <v>Monday</v>
      </c>
      <c r="I533">
        <v>1</v>
      </c>
      <c r="J533" s="20" t="str">
        <f t="shared" si="43"/>
        <v>Clean</v>
      </c>
      <c r="K533">
        <v>0.02</v>
      </c>
      <c r="L533" s="20" t="str">
        <f t="shared" si="44"/>
        <v>Risky</v>
      </c>
      <c r="M533" s="20">
        <f t="shared" si="42"/>
        <v>0</v>
      </c>
    </row>
    <row r="534" spans="1:13" x14ac:dyDescent="0.3">
      <c r="A534">
        <v>533</v>
      </c>
      <c r="B534" s="46">
        <v>40567</v>
      </c>
      <c r="C534">
        <v>1</v>
      </c>
      <c r="D534">
        <v>8</v>
      </c>
      <c r="E534" t="b">
        <v>0</v>
      </c>
      <c r="F534">
        <v>1</v>
      </c>
      <c r="G534" s="20" t="str">
        <f t="shared" si="40"/>
        <v>No</v>
      </c>
      <c r="H534" s="20" t="str">
        <f t="shared" si="41"/>
        <v>Monday</v>
      </c>
      <c r="I534">
        <v>1</v>
      </c>
      <c r="J534" s="20" t="str">
        <f t="shared" si="43"/>
        <v>Clean</v>
      </c>
      <c r="K534">
        <v>0.04</v>
      </c>
      <c r="L534" s="20" t="str">
        <f t="shared" si="44"/>
        <v>Risky</v>
      </c>
      <c r="M534" s="20">
        <f t="shared" si="42"/>
        <v>0</v>
      </c>
    </row>
    <row r="535" spans="1:13" x14ac:dyDescent="0.3">
      <c r="A535">
        <v>534</v>
      </c>
      <c r="B535" s="46">
        <v>40567</v>
      </c>
      <c r="C535">
        <v>1</v>
      </c>
      <c r="D535">
        <v>9</v>
      </c>
      <c r="E535" t="b">
        <v>0</v>
      </c>
      <c r="F535">
        <v>1</v>
      </c>
      <c r="G535" s="20" t="str">
        <f t="shared" si="40"/>
        <v>No</v>
      </c>
      <c r="H535" s="20" t="str">
        <f t="shared" si="41"/>
        <v>Monday</v>
      </c>
      <c r="I535">
        <v>1</v>
      </c>
      <c r="J535" s="20" t="str">
        <f t="shared" si="43"/>
        <v>Clean</v>
      </c>
      <c r="K535">
        <v>0.06</v>
      </c>
      <c r="L535" s="20" t="str">
        <f t="shared" si="44"/>
        <v>Risky</v>
      </c>
      <c r="M535" s="20">
        <f t="shared" si="42"/>
        <v>0</v>
      </c>
    </row>
    <row r="536" spans="1:13" x14ac:dyDescent="0.3">
      <c r="A536">
        <v>535</v>
      </c>
      <c r="B536" s="46">
        <v>40567</v>
      </c>
      <c r="C536">
        <v>1</v>
      </c>
      <c r="D536">
        <v>10</v>
      </c>
      <c r="E536" t="b">
        <v>0</v>
      </c>
      <c r="F536">
        <v>1</v>
      </c>
      <c r="G536" s="20" t="str">
        <f t="shared" si="40"/>
        <v>No</v>
      </c>
      <c r="H536" s="20" t="str">
        <f t="shared" si="41"/>
        <v>Monday</v>
      </c>
      <c r="I536">
        <v>1</v>
      </c>
      <c r="J536" s="20" t="str">
        <f t="shared" si="43"/>
        <v>Clean</v>
      </c>
      <c r="K536">
        <v>0.1</v>
      </c>
      <c r="L536" s="20" t="str">
        <f t="shared" si="44"/>
        <v>Safe</v>
      </c>
      <c r="M536" s="20">
        <f t="shared" si="42"/>
        <v>0</v>
      </c>
    </row>
    <row r="537" spans="1:13" x14ac:dyDescent="0.3">
      <c r="A537">
        <v>536</v>
      </c>
      <c r="B537" s="46">
        <v>40567</v>
      </c>
      <c r="C537">
        <v>1</v>
      </c>
      <c r="D537">
        <v>11</v>
      </c>
      <c r="E537" t="b">
        <v>0</v>
      </c>
      <c r="F537">
        <v>1</v>
      </c>
      <c r="G537" s="20" t="str">
        <f t="shared" si="40"/>
        <v>No</v>
      </c>
      <c r="H537" s="20" t="str">
        <f t="shared" si="41"/>
        <v>Monday</v>
      </c>
      <c r="I537">
        <v>1</v>
      </c>
      <c r="J537" s="20" t="str">
        <f t="shared" si="43"/>
        <v>Clean</v>
      </c>
      <c r="K537">
        <v>0.1</v>
      </c>
      <c r="L537" s="20" t="str">
        <f t="shared" si="44"/>
        <v>Safe</v>
      </c>
      <c r="M537" s="20">
        <f t="shared" si="42"/>
        <v>0</v>
      </c>
    </row>
    <row r="538" spans="1:13" x14ac:dyDescent="0.3">
      <c r="A538">
        <v>537</v>
      </c>
      <c r="B538" s="46">
        <v>40567</v>
      </c>
      <c r="C538">
        <v>1</v>
      </c>
      <c r="D538">
        <v>12</v>
      </c>
      <c r="E538" t="b">
        <v>0</v>
      </c>
      <c r="F538">
        <v>1</v>
      </c>
      <c r="G538" s="20" t="str">
        <f t="shared" si="40"/>
        <v>No</v>
      </c>
      <c r="H538" s="20" t="str">
        <f t="shared" si="41"/>
        <v>Monday</v>
      </c>
      <c r="I538">
        <v>2</v>
      </c>
      <c r="J538" s="20" t="str">
        <f t="shared" si="43"/>
        <v>Misty</v>
      </c>
      <c r="K538">
        <v>0.12</v>
      </c>
      <c r="L538" s="20" t="str">
        <f t="shared" si="44"/>
        <v>Safe</v>
      </c>
      <c r="M538" s="20">
        <f t="shared" si="42"/>
        <v>0</v>
      </c>
    </row>
    <row r="539" spans="1:13" x14ac:dyDescent="0.3">
      <c r="A539">
        <v>538</v>
      </c>
      <c r="B539" s="46">
        <v>40567</v>
      </c>
      <c r="C539">
        <v>1</v>
      </c>
      <c r="D539">
        <v>13</v>
      </c>
      <c r="E539" t="b">
        <v>0</v>
      </c>
      <c r="F539">
        <v>1</v>
      </c>
      <c r="G539" s="20" t="str">
        <f t="shared" si="40"/>
        <v>No</v>
      </c>
      <c r="H539" s="20" t="str">
        <f t="shared" si="41"/>
        <v>Monday</v>
      </c>
      <c r="I539">
        <v>2</v>
      </c>
      <c r="J539" s="20" t="str">
        <f t="shared" si="43"/>
        <v>Misty</v>
      </c>
      <c r="K539">
        <v>0.14000000000000001</v>
      </c>
      <c r="L539" s="20" t="str">
        <f t="shared" si="44"/>
        <v>Safe</v>
      </c>
      <c r="M539" s="20">
        <f t="shared" si="42"/>
        <v>0</v>
      </c>
    </row>
    <row r="540" spans="1:13" x14ac:dyDescent="0.3">
      <c r="A540">
        <v>539</v>
      </c>
      <c r="B540" s="46">
        <v>40567</v>
      </c>
      <c r="C540">
        <v>1</v>
      </c>
      <c r="D540">
        <v>14</v>
      </c>
      <c r="E540" t="b">
        <v>0</v>
      </c>
      <c r="F540">
        <v>1</v>
      </c>
      <c r="G540" s="20" t="str">
        <f t="shared" si="40"/>
        <v>No</v>
      </c>
      <c r="H540" s="20" t="str">
        <f t="shared" si="41"/>
        <v>Monday</v>
      </c>
      <c r="I540">
        <v>2</v>
      </c>
      <c r="J540" s="20" t="str">
        <f t="shared" si="43"/>
        <v>Misty</v>
      </c>
      <c r="K540">
        <v>0.14000000000000001</v>
      </c>
      <c r="L540" s="20" t="str">
        <f t="shared" si="44"/>
        <v>Safe</v>
      </c>
      <c r="M540" s="20">
        <f t="shared" si="42"/>
        <v>0</v>
      </c>
    </row>
    <row r="541" spans="1:13" x14ac:dyDescent="0.3">
      <c r="A541">
        <v>540</v>
      </c>
      <c r="B541" s="46">
        <v>40567</v>
      </c>
      <c r="C541">
        <v>1</v>
      </c>
      <c r="D541">
        <v>15</v>
      </c>
      <c r="E541" t="b">
        <v>0</v>
      </c>
      <c r="F541">
        <v>1</v>
      </c>
      <c r="G541" s="20" t="str">
        <f t="shared" si="40"/>
        <v>No</v>
      </c>
      <c r="H541" s="20" t="str">
        <f t="shared" si="41"/>
        <v>Monday</v>
      </c>
      <c r="I541">
        <v>1</v>
      </c>
      <c r="J541" s="20" t="str">
        <f t="shared" si="43"/>
        <v>Clean</v>
      </c>
      <c r="K541">
        <v>0.16</v>
      </c>
      <c r="L541" s="20" t="str">
        <f t="shared" si="44"/>
        <v>Safe</v>
      </c>
      <c r="M541" s="20">
        <f t="shared" si="42"/>
        <v>0</v>
      </c>
    </row>
    <row r="542" spans="1:13" x14ac:dyDescent="0.3">
      <c r="A542">
        <v>541</v>
      </c>
      <c r="B542" s="46">
        <v>40567</v>
      </c>
      <c r="C542">
        <v>1</v>
      </c>
      <c r="D542">
        <v>16</v>
      </c>
      <c r="E542" t="b">
        <v>0</v>
      </c>
      <c r="F542">
        <v>1</v>
      </c>
      <c r="G542" s="20" t="str">
        <f t="shared" si="40"/>
        <v>No</v>
      </c>
      <c r="H542" s="20" t="str">
        <f t="shared" si="41"/>
        <v>Monday</v>
      </c>
      <c r="I542">
        <v>1</v>
      </c>
      <c r="J542" s="20" t="str">
        <f t="shared" si="43"/>
        <v>Clean</v>
      </c>
      <c r="K542">
        <v>0.16</v>
      </c>
      <c r="L542" s="20" t="str">
        <f t="shared" si="44"/>
        <v>Safe</v>
      </c>
      <c r="M542" s="20">
        <f t="shared" si="42"/>
        <v>0</v>
      </c>
    </row>
    <row r="543" spans="1:13" x14ac:dyDescent="0.3">
      <c r="A543">
        <v>542</v>
      </c>
      <c r="B543" s="46">
        <v>40567</v>
      </c>
      <c r="C543">
        <v>1</v>
      </c>
      <c r="D543">
        <v>17</v>
      </c>
      <c r="E543" t="b">
        <v>0</v>
      </c>
      <c r="F543">
        <v>1</v>
      </c>
      <c r="G543" s="20" t="str">
        <f t="shared" si="40"/>
        <v>No</v>
      </c>
      <c r="H543" s="20" t="str">
        <f t="shared" si="41"/>
        <v>Monday</v>
      </c>
      <c r="I543">
        <v>1</v>
      </c>
      <c r="J543" s="20" t="str">
        <f t="shared" si="43"/>
        <v>Clean</v>
      </c>
      <c r="K543">
        <v>0.14000000000000001</v>
      </c>
      <c r="L543" s="20" t="str">
        <f t="shared" si="44"/>
        <v>Safe</v>
      </c>
      <c r="M543" s="20">
        <f t="shared" si="42"/>
        <v>0</v>
      </c>
    </row>
    <row r="544" spans="1:13" x14ac:dyDescent="0.3">
      <c r="A544">
        <v>543</v>
      </c>
      <c r="B544" s="46">
        <v>40567</v>
      </c>
      <c r="C544">
        <v>1</v>
      </c>
      <c r="D544">
        <v>18</v>
      </c>
      <c r="E544" t="b">
        <v>0</v>
      </c>
      <c r="F544">
        <v>1</v>
      </c>
      <c r="G544" s="20" t="str">
        <f t="shared" si="40"/>
        <v>No</v>
      </c>
      <c r="H544" s="20" t="str">
        <f t="shared" si="41"/>
        <v>Monday</v>
      </c>
      <c r="I544">
        <v>1</v>
      </c>
      <c r="J544" s="20" t="str">
        <f t="shared" si="43"/>
        <v>Clean</v>
      </c>
      <c r="K544">
        <v>0.14000000000000001</v>
      </c>
      <c r="L544" s="20" t="str">
        <f t="shared" si="44"/>
        <v>Safe</v>
      </c>
      <c r="M544" s="20">
        <f t="shared" si="42"/>
        <v>0</v>
      </c>
    </row>
    <row r="545" spans="1:13" x14ac:dyDescent="0.3">
      <c r="A545">
        <v>544</v>
      </c>
      <c r="B545" s="46">
        <v>40567</v>
      </c>
      <c r="C545">
        <v>1</v>
      </c>
      <c r="D545">
        <v>19</v>
      </c>
      <c r="E545" t="b">
        <v>0</v>
      </c>
      <c r="F545">
        <v>1</v>
      </c>
      <c r="G545" s="20" t="str">
        <f t="shared" si="40"/>
        <v>No</v>
      </c>
      <c r="H545" s="20" t="str">
        <f t="shared" si="41"/>
        <v>Monday</v>
      </c>
      <c r="I545">
        <v>1</v>
      </c>
      <c r="J545" s="20" t="str">
        <f t="shared" si="43"/>
        <v>Clean</v>
      </c>
      <c r="K545">
        <v>0.14000000000000001</v>
      </c>
      <c r="L545" s="20" t="str">
        <f t="shared" si="44"/>
        <v>Safe</v>
      </c>
      <c r="M545" s="20">
        <f t="shared" si="42"/>
        <v>0</v>
      </c>
    </row>
    <row r="546" spans="1:13" x14ac:dyDescent="0.3">
      <c r="A546">
        <v>545</v>
      </c>
      <c r="B546" s="46">
        <v>40567</v>
      </c>
      <c r="C546">
        <v>1</v>
      </c>
      <c r="D546">
        <v>20</v>
      </c>
      <c r="E546" t="b">
        <v>0</v>
      </c>
      <c r="F546">
        <v>1</v>
      </c>
      <c r="G546" s="20" t="str">
        <f t="shared" si="40"/>
        <v>No</v>
      </c>
      <c r="H546" s="20" t="str">
        <f t="shared" si="41"/>
        <v>Monday</v>
      </c>
      <c r="I546">
        <v>1</v>
      </c>
      <c r="J546" s="20" t="str">
        <f t="shared" si="43"/>
        <v>Clean</v>
      </c>
      <c r="K546">
        <v>0.14000000000000001</v>
      </c>
      <c r="L546" s="20" t="str">
        <f t="shared" si="44"/>
        <v>Safe</v>
      </c>
      <c r="M546" s="20">
        <f t="shared" si="42"/>
        <v>0</v>
      </c>
    </row>
    <row r="547" spans="1:13" x14ac:dyDescent="0.3">
      <c r="A547">
        <v>546</v>
      </c>
      <c r="B547" s="46">
        <v>40567</v>
      </c>
      <c r="C547">
        <v>1</v>
      </c>
      <c r="D547">
        <v>21</v>
      </c>
      <c r="E547" t="b">
        <v>0</v>
      </c>
      <c r="F547">
        <v>1</v>
      </c>
      <c r="G547" s="20" t="str">
        <f t="shared" si="40"/>
        <v>No</v>
      </c>
      <c r="H547" s="20" t="str">
        <f t="shared" si="41"/>
        <v>Monday</v>
      </c>
      <c r="I547">
        <v>1</v>
      </c>
      <c r="J547" s="20" t="str">
        <f t="shared" si="43"/>
        <v>Clean</v>
      </c>
      <c r="K547">
        <v>0.14000000000000001</v>
      </c>
      <c r="L547" s="20" t="str">
        <f t="shared" si="44"/>
        <v>Safe</v>
      </c>
      <c r="M547" s="20">
        <f t="shared" si="42"/>
        <v>0</v>
      </c>
    </row>
    <row r="548" spans="1:13" x14ac:dyDescent="0.3">
      <c r="A548">
        <v>547</v>
      </c>
      <c r="B548" s="46">
        <v>40567</v>
      </c>
      <c r="C548">
        <v>1</v>
      </c>
      <c r="D548">
        <v>22</v>
      </c>
      <c r="E548" t="b">
        <v>0</v>
      </c>
      <c r="F548">
        <v>1</v>
      </c>
      <c r="G548" s="20" t="str">
        <f t="shared" si="40"/>
        <v>No</v>
      </c>
      <c r="H548" s="20" t="str">
        <f t="shared" si="41"/>
        <v>Monday</v>
      </c>
      <c r="I548">
        <v>2</v>
      </c>
      <c r="J548" s="20" t="str">
        <f t="shared" si="43"/>
        <v>Misty</v>
      </c>
      <c r="K548">
        <v>0.14000000000000001</v>
      </c>
      <c r="L548" s="20" t="str">
        <f t="shared" si="44"/>
        <v>Safe</v>
      </c>
      <c r="M548" s="20">
        <f t="shared" si="42"/>
        <v>0</v>
      </c>
    </row>
    <row r="549" spans="1:13" x14ac:dyDescent="0.3">
      <c r="A549">
        <v>548</v>
      </c>
      <c r="B549" s="46">
        <v>40567</v>
      </c>
      <c r="C549">
        <v>1</v>
      </c>
      <c r="D549">
        <v>23</v>
      </c>
      <c r="E549" t="b">
        <v>0</v>
      </c>
      <c r="F549">
        <v>1</v>
      </c>
      <c r="G549" s="20" t="str">
        <f t="shared" si="40"/>
        <v>No</v>
      </c>
      <c r="H549" s="20" t="str">
        <f t="shared" si="41"/>
        <v>Monday</v>
      </c>
      <c r="I549">
        <v>2</v>
      </c>
      <c r="J549" s="20" t="str">
        <f t="shared" si="43"/>
        <v>Misty</v>
      </c>
      <c r="K549">
        <v>0.16</v>
      </c>
      <c r="L549" s="20" t="str">
        <f t="shared" si="44"/>
        <v>Safe</v>
      </c>
      <c r="M549" s="20">
        <f t="shared" si="42"/>
        <v>0</v>
      </c>
    </row>
    <row r="550" spans="1:13" x14ac:dyDescent="0.3">
      <c r="A550">
        <v>549</v>
      </c>
      <c r="B550" s="46">
        <v>40568</v>
      </c>
      <c r="C550">
        <v>1</v>
      </c>
      <c r="D550">
        <v>0</v>
      </c>
      <c r="E550" t="b">
        <v>0</v>
      </c>
      <c r="F550">
        <v>2</v>
      </c>
      <c r="G550" s="20" t="str">
        <f t="shared" si="40"/>
        <v>No</v>
      </c>
      <c r="H550" s="20" t="str">
        <f t="shared" si="41"/>
        <v>Tuesday</v>
      </c>
      <c r="I550">
        <v>2</v>
      </c>
      <c r="J550" s="20" t="str">
        <f t="shared" si="43"/>
        <v>Misty</v>
      </c>
      <c r="K550">
        <v>0.16</v>
      </c>
      <c r="L550" s="20" t="str">
        <f t="shared" si="44"/>
        <v>Safe</v>
      </c>
      <c r="M550" s="20">
        <f t="shared" si="42"/>
        <v>0</v>
      </c>
    </row>
    <row r="551" spans="1:13" x14ac:dyDescent="0.3">
      <c r="A551">
        <v>550</v>
      </c>
      <c r="B551" s="46">
        <v>40568</v>
      </c>
      <c r="C551">
        <v>1</v>
      </c>
      <c r="D551">
        <v>1</v>
      </c>
      <c r="E551" t="b">
        <v>0</v>
      </c>
      <c r="F551">
        <v>2</v>
      </c>
      <c r="G551" s="20" t="str">
        <f t="shared" si="40"/>
        <v>No</v>
      </c>
      <c r="H551" s="20" t="str">
        <f t="shared" si="41"/>
        <v>Tuesday</v>
      </c>
      <c r="I551">
        <v>2</v>
      </c>
      <c r="J551" s="20" t="str">
        <f t="shared" si="43"/>
        <v>Misty</v>
      </c>
      <c r="K551">
        <v>0.16</v>
      </c>
      <c r="L551" s="20" t="str">
        <f t="shared" si="44"/>
        <v>Safe</v>
      </c>
      <c r="M551" s="20">
        <f t="shared" si="42"/>
        <v>0</v>
      </c>
    </row>
    <row r="552" spans="1:13" x14ac:dyDescent="0.3">
      <c r="A552">
        <v>551</v>
      </c>
      <c r="B552" s="46">
        <v>40568</v>
      </c>
      <c r="C552">
        <v>1</v>
      </c>
      <c r="D552">
        <v>2</v>
      </c>
      <c r="E552" t="b">
        <v>0</v>
      </c>
      <c r="F552">
        <v>2</v>
      </c>
      <c r="G552" s="20" t="str">
        <f t="shared" si="40"/>
        <v>No</v>
      </c>
      <c r="H552" s="20" t="str">
        <f t="shared" si="41"/>
        <v>Tuesday</v>
      </c>
      <c r="I552">
        <v>1</v>
      </c>
      <c r="J552" s="20" t="str">
        <f t="shared" si="43"/>
        <v>Clean</v>
      </c>
      <c r="K552">
        <v>0.16</v>
      </c>
      <c r="L552" s="20" t="str">
        <f t="shared" si="44"/>
        <v>Safe</v>
      </c>
      <c r="M552" s="20">
        <f t="shared" si="42"/>
        <v>0</v>
      </c>
    </row>
    <row r="553" spans="1:13" x14ac:dyDescent="0.3">
      <c r="A553">
        <v>552</v>
      </c>
      <c r="B553" s="46">
        <v>40568</v>
      </c>
      <c r="C553">
        <v>1</v>
      </c>
      <c r="D553">
        <v>4</v>
      </c>
      <c r="E553" t="b">
        <v>0</v>
      </c>
      <c r="F553">
        <v>2</v>
      </c>
      <c r="G553" s="20" t="str">
        <f t="shared" si="40"/>
        <v>No</v>
      </c>
      <c r="H553" s="20" t="str">
        <f t="shared" si="41"/>
        <v>Tuesday</v>
      </c>
      <c r="I553">
        <v>1</v>
      </c>
      <c r="J553" s="20" t="str">
        <f t="shared" si="43"/>
        <v>Clean</v>
      </c>
      <c r="K553">
        <v>0.14000000000000001</v>
      </c>
      <c r="L553" s="20" t="str">
        <f t="shared" si="44"/>
        <v>Safe</v>
      </c>
      <c r="M553" s="20">
        <f t="shared" si="42"/>
        <v>0</v>
      </c>
    </row>
    <row r="554" spans="1:13" x14ac:dyDescent="0.3">
      <c r="A554">
        <v>553</v>
      </c>
      <c r="B554" s="46">
        <v>40568</v>
      </c>
      <c r="C554">
        <v>1</v>
      </c>
      <c r="D554">
        <v>5</v>
      </c>
      <c r="E554" t="b">
        <v>0</v>
      </c>
      <c r="F554">
        <v>2</v>
      </c>
      <c r="G554" s="20" t="str">
        <f t="shared" si="40"/>
        <v>No</v>
      </c>
      <c r="H554" s="20" t="str">
        <f t="shared" si="41"/>
        <v>Tuesday</v>
      </c>
      <c r="I554">
        <v>1</v>
      </c>
      <c r="J554" s="20" t="str">
        <f t="shared" si="43"/>
        <v>Clean</v>
      </c>
      <c r="K554">
        <v>0.14000000000000001</v>
      </c>
      <c r="L554" s="20" t="str">
        <f t="shared" si="44"/>
        <v>Safe</v>
      </c>
      <c r="M554" s="20">
        <f t="shared" si="42"/>
        <v>0</v>
      </c>
    </row>
    <row r="555" spans="1:13" x14ac:dyDescent="0.3">
      <c r="A555">
        <v>554</v>
      </c>
      <c r="B555" s="46">
        <v>40568</v>
      </c>
      <c r="C555">
        <v>1</v>
      </c>
      <c r="D555">
        <v>6</v>
      </c>
      <c r="E555" t="b">
        <v>0</v>
      </c>
      <c r="F555">
        <v>2</v>
      </c>
      <c r="G555" s="20" t="str">
        <f t="shared" si="40"/>
        <v>No</v>
      </c>
      <c r="H555" s="20" t="str">
        <f t="shared" si="41"/>
        <v>Tuesday</v>
      </c>
      <c r="I555">
        <v>1</v>
      </c>
      <c r="J555" s="20" t="str">
        <f t="shared" si="43"/>
        <v>Clean</v>
      </c>
      <c r="K555">
        <v>0.16</v>
      </c>
      <c r="L555" s="20" t="str">
        <f t="shared" si="44"/>
        <v>Safe</v>
      </c>
      <c r="M555" s="20">
        <f t="shared" si="42"/>
        <v>0</v>
      </c>
    </row>
    <row r="556" spans="1:13" x14ac:dyDescent="0.3">
      <c r="A556">
        <v>555</v>
      </c>
      <c r="B556" s="46">
        <v>40568</v>
      </c>
      <c r="C556">
        <v>1</v>
      </c>
      <c r="D556">
        <v>7</v>
      </c>
      <c r="E556" t="b">
        <v>0</v>
      </c>
      <c r="F556">
        <v>2</v>
      </c>
      <c r="G556" s="20" t="str">
        <f t="shared" si="40"/>
        <v>No</v>
      </c>
      <c r="H556" s="20" t="str">
        <f t="shared" si="41"/>
        <v>Tuesday</v>
      </c>
      <c r="I556">
        <v>1</v>
      </c>
      <c r="J556" s="20" t="str">
        <f t="shared" si="43"/>
        <v>Clean</v>
      </c>
      <c r="K556">
        <v>0.16</v>
      </c>
      <c r="L556" s="20" t="str">
        <f t="shared" si="44"/>
        <v>Safe</v>
      </c>
      <c r="M556" s="20">
        <f t="shared" si="42"/>
        <v>0</v>
      </c>
    </row>
    <row r="557" spans="1:13" x14ac:dyDescent="0.3">
      <c r="A557">
        <v>556</v>
      </c>
      <c r="B557" s="46">
        <v>40568</v>
      </c>
      <c r="C557">
        <v>1</v>
      </c>
      <c r="D557">
        <v>8</v>
      </c>
      <c r="E557" t="b">
        <v>0</v>
      </c>
      <c r="F557">
        <v>2</v>
      </c>
      <c r="G557" s="20" t="str">
        <f t="shared" si="40"/>
        <v>No</v>
      </c>
      <c r="H557" s="20" t="str">
        <f t="shared" si="41"/>
        <v>Tuesday</v>
      </c>
      <c r="I557">
        <v>2</v>
      </c>
      <c r="J557" s="20" t="str">
        <f t="shared" si="43"/>
        <v>Misty</v>
      </c>
      <c r="K557">
        <v>0.16</v>
      </c>
      <c r="L557" s="20" t="str">
        <f t="shared" si="44"/>
        <v>Safe</v>
      </c>
      <c r="M557" s="20">
        <f t="shared" si="42"/>
        <v>0</v>
      </c>
    </row>
    <row r="558" spans="1:13" x14ac:dyDescent="0.3">
      <c r="A558">
        <v>557</v>
      </c>
      <c r="B558" s="46">
        <v>40568</v>
      </c>
      <c r="C558">
        <v>1</v>
      </c>
      <c r="D558">
        <v>9</v>
      </c>
      <c r="E558" t="b">
        <v>0</v>
      </c>
      <c r="F558">
        <v>2</v>
      </c>
      <c r="G558" s="20" t="str">
        <f t="shared" si="40"/>
        <v>No</v>
      </c>
      <c r="H558" s="20" t="str">
        <f t="shared" si="41"/>
        <v>Tuesday</v>
      </c>
      <c r="I558">
        <v>2</v>
      </c>
      <c r="J558" s="20" t="str">
        <f t="shared" si="43"/>
        <v>Misty</v>
      </c>
      <c r="K558">
        <v>0.2</v>
      </c>
      <c r="L558" s="20" t="str">
        <f t="shared" si="44"/>
        <v>Safe</v>
      </c>
      <c r="M558" s="20">
        <f t="shared" si="42"/>
        <v>0</v>
      </c>
    </row>
    <row r="559" spans="1:13" x14ac:dyDescent="0.3">
      <c r="A559">
        <v>558</v>
      </c>
      <c r="B559" s="46">
        <v>40568</v>
      </c>
      <c r="C559">
        <v>1</v>
      </c>
      <c r="D559">
        <v>10</v>
      </c>
      <c r="E559" t="b">
        <v>0</v>
      </c>
      <c r="F559">
        <v>2</v>
      </c>
      <c r="G559" s="20" t="str">
        <f t="shared" si="40"/>
        <v>No</v>
      </c>
      <c r="H559" s="20" t="str">
        <f t="shared" si="41"/>
        <v>Tuesday</v>
      </c>
      <c r="I559">
        <v>2</v>
      </c>
      <c r="J559" s="20" t="str">
        <f t="shared" si="43"/>
        <v>Misty</v>
      </c>
      <c r="K559">
        <v>0.22</v>
      </c>
      <c r="L559" s="20" t="str">
        <f t="shared" si="44"/>
        <v>Safe</v>
      </c>
      <c r="M559" s="20">
        <f t="shared" si="42"/>
        <v>0</v>
      </c>
    </row>
    <row r="560" spans="1:13" x14ac:dyDescent="0.3">
      <c r="A560">
        <v>559</v>
      </c>
      <c r="B560" s="46">
        <v>40568</v>
      </c>
      <c r="C560">
        <v>1</v>
      </c>
      <c r="D560">
        <v>11</v>
      </c>
      <c r="E560" t="b">
        <v>0</v>
      </c>
      <c r="F560">
        <v>2</v>
      </c>
      <c r="G560" s="20" t="str">
        <f t="shared" si="40"/>
        <v>No</v>
      </c>
      <c r="H560" s="20" t="str">
        <f t="shared" si="41"/>
        <v>Tuesday</v>
      </c>
      <c r="I560">
        <v>2</v>
      </c>
      <c r="J560" s="20" t="str">
        <f t="shared" si="43"/>
        <v>Misty</v>
      </c>
      <c r="K560">
        <v>0.24</v>
      </c>
      <c r="L560" s="20" t="str">
        <f t="shared" si="44"/>
        <v>Safe</v>
      </c>
      <c r="M560" s="20">
        <f t="shared" si="42"/>
        <v>0</v>
      </c>
    </row>
    <row r="561" spans="1:13" x14ac:dyDescent="0.3">
      <c r="A561">
        <v>560</v>
      </c>
      <c r="B561" s="46">
        <v>40568</v>
      </c>
      <c r="C561">
        <v>1</v>
      </c>
      <c r="D561">
        <v>12</v>
      </c>
      <c r="E561" t="b">
        <v>0</v>
      </c>
      <c r="F561">
        <v>2</v>
      </c>
      <c r="G561" s="20" t="str">
        <f t="shared" si="40"/>
        <v>No</v>
      </c>
      <c r="H561" s="20" t="str">
        <f t="shared" si="41"/>
        <v>Tuesday</v>
      </c>
      <c r="I561">
        <v>2</v>
      </c>
      <c r="J561" s="20" t="str">
        <f t="shared" si="43"/>
        <v>Misty</v>
      </c>
      <c r="K561">
        <v>0.26</v>
      </c>
      <c r="L561" s="20" t="str">
        <f t="shared" si="44"/>
        <v>Safe</v>
      </c>
      <c r="M561" s="20">
        <f t="shared" si="42"/>
        <v>0</v>
      </c>
    </row>
    <row r="562" spans="1:13" x14ac:dyDescent="0.3">
      <c r="A562">
        <v>561</v>
      </c>
      <c r="B562" s="46">
        <v>40568</v>
      </c>
      <c r="C562">
        <v>1</v>
      </c>
      <c r="D562">
        <v>13</v>
      </c>
      <c r="E562" t="b">
        <v>0</v>
      </c>
      <c r="F562">
        <v>2</v>
      </c>
      <c r="G562" s="20" t="str">
        <f t="shared" si="40"/>
        <v>No</v>
      </c>
      <c r="H562" s="20" t="str">
        <f t="shared" si="41"/>
        <v>Tuesday</v>
      </c>
      <c r="I562">
        <v>2</v>
      </c>
      <c r="J562" s="20" t="str">
        <f t="shared" si="43"/>
        <v>Misty</v>
      </c>
      <c r="K562">
        <v>0.26</v>
      </c>
      <c r="L562" s="20" t="str">
        <f t="shared" si="44"/>
        <v>Safe</v>
      </c>
      <c r="M562" s="20">
        <f t="shared" si="42"/>
        <v>0</v>
      </c>
    </row>
    <row r="563" spans="1:13" x14ac:dyDescent="0.3">
      <c r="A563">
        <v>562</v>
      </c>
      <c r="B563" s="46">
        <v>40568</v>
      </c>
      <c r="C563">
        <v>1</v>
      </c>
      <c r="D563">
        <v>14</v>
      </c>
      <c r="E563" t="b">
        <v>0</v>
      </c>
      <c r="F563">
        <v>2</v>
      </c>
      <c r="G563" s="20" t="str">
        <f t="shared" si="40"/>
        <v>No</v>
      </c>
      <c r="H563" s="20" t="str">
        <f t="shared" si="41"/>
        <v>Tuesday</v>
      </c>
      <c r="I563">
        <v>2</v>
      </c>
      <c r="J563" s="20" t="str">
        <f t="shared" si="43"/>
        <v>Misty</v>
      </c>
      <c r="K563">
        <v>0.3</v>
      </c>
      <c r="L563" s="20" t="str">
        <f t="shared" si="44"/>
        <v>Safe</v>
      </c>
      <c r="M563" s="20">
        <f t="shared" si="42"/>
        <v>0</v>
      </c>
    </row>
    <row r="564" spans="1:13" x14ac:dyDescent="0.3">
      <c r="A564">
        <v>563</v>
      </c>
      <c r="B564" s="46">
        <v>40568</v>
      </c>
      <c r="C564">
        <v>1</v>
      </c>
      <c r="D564">
        <v>15</v>
      </c>
      <c r="E564" t="b">
        <v>0</v>
      </c>
      <c r="F564">
        <v>2</v>
      </c>
      <c r="G564" s="20" t="str">
        <f t="shared" si="40"/>
        <v>No</v>
      </c>
      <c r="H564" s="20" t="str">
        <f t="shared" si="41"/>
        <v>Tuesday</v>
      </c>
      <c r="I564">
        <v>2</v>
      </c>
      <c r="J564" s="20" t="str">
        <f t="shared" si="43"/>
        <v>Misty</v>
      </c>
      <c r="K564">
        <v>0.32</v>
      </c>
      <c r="L564" s="20" t="str">
        <f t="shared" si="44"/>
        <v>Safe</v>
      </c>
      <c r="M564" s="20">
        <f t="shared" si="42"/>
        <v>0</v>
      </c>
    </row>
    <row r="565" spans="1:13" x14ac:dyDescent="0.3">
      <c r="A565">
        <v>564</v>
      </c>
      <c r="B565" s="46">
        <v>40568</v>
      </c>
      <c r="C565">
        <v>1</v>
      </c>
      <c r="D565">
        <v>16</v>
      </c>
      <c r="E565" t="b">
        <v>0</v>
      </c>
      <c r="F565">
        <v>2</v>
      </c>
      <c r="G565" s="20" t="str">
        <f t="shared" si="40"/>
        <v>No</v>
      </c>
      <c r="H565" s="20" t="str">
        <f t="shared" si="41"/>
        <v>Tuesday</v>
      </c>
      <c r="I565">
        <v>2</v>
      </c>
      <c r="J565" s="20" t="str">
        <f t="shared" si="43"/>
        <v>Misty</v>
      </c>
      <c r="K565">
        <v>0.32</v>
      </c>
      <c r="L565" s="20" t="str">
        <f t="shared" si="44"/>
        <v>Safe</v>
      </c>
      <c r="M565" s="20">
        <f t="shared" si="42"/>
        <v>0</v>
      </c>
    </row>
    <row r="566" spans="1:13" x14ac:dyDescent="0.3">
      <c r="A566">
        <v>565</v>
      </c>
      <c r="B566" s="46">
        <v>40568</v>
      </c>
      <c r="C566">
        <v>1</v>
      </c>
      <c r="D566">
        <v>17</v>
      </c>
      <c r="E566" t="b">
        <v>0</v>
      </c>
      <c r="F566">
        <v>2</v>
      </c>
      <c r="G566" s="20" t="str">
        <f t="shared" si="40"/>
        <v>No</v>
      </c>
      <c r="H566" s="20" t="str">
        <f t="shared" si="41"/>
        <v>Tuesday</v>
      </c>
      <c r="I566">
        <v>1</v>
      </c>
      <c r="J566" s="20" t="str">
        <f t="shared" si="43"/>
        <v>Clean</v>
      </c>
      <c r="K566">
        <v>0.3</v>
      </c>
      <c r="L566" s="20" t="str">
        <f t="shared" si="44"/>
        <v>Safe</v>
      </c>
      <c r="M566" s="20">
        <f t="shared" si="42"/>
        <v>0</v>
      </c>
    </row>
    <row r="567" spans="1:13" x14ac:dyDescent="0.3">
      <c r="A567">
        <v>566</v>
      </c>
      <c r="B567" s="46">
        <v>40568</v>
      </c>
      <c r="C567">
        <v>1</v>
      </c>
      <c r="D567">
        <v>18</v>
      </c>
      <c r="E567" t="b">
        <v>0</v>
      </c>
      <c r="F567">
        <v>2</v>
      </c>
      <c r="G567" s="20" t="str">
        <f t="shared" si="40"/>
        <v>No</v>
      </c>
      <c r="H567" s="20" t="str">
        <f t="shared" si="41"/>
        <v>Tuesday</v>
      </c>
      <c r="I567">
        <v>2</v>
      </c>
      <c r="J567" s="20" t="str">
        <f t="shared" si="43"/>
        <v>Misty</v>
      </c>
      <c r="K567">
        <v>0.3</v>
      </c>
      <c r="L567" s="20" t="str">
        <f t="shared" si="44"/>
        <v>Safe</v>
      </c>
      <c r="M567" s="20">
        <f t="shared" si="42"/>
        <v>0</v>
      </c>
    </row>
    <row r="568" spans="1:13" x14ac:dyDescent="0.3">
      <c r="A568">
        <v>567</v>
      </c>
      <c r="B568" s="46">
        <v>40568</v>
      </c>
      <c r="C568">
        <v>1</v>
      </c>
      <c r="D568">
        <v>19</v>
      </c>
      <c r="E568" t="b">
        <v>0</v>
      </c>
      <c r="F568">
        <v>2</v>
      </c>
      <c r="G568" s="20" t="str">
        <f t="shared" si="40"/>
        <v>No</v>
      </c>
      <c r="H568" s="20" t="str">
        <f t="shared" si="41"/>
        <v>Tuesday</v>
      </c>
      <c r="I568">
        <v>2</v>
      </c>
      <c r="J568" s="20" t="str">
        <f t="shared" si="43"/>
        <v>Misty</v>
      </c>
      <c r="K568">
        <v>0.26</v>
      </c>
      <c r="L568" s="20" t="str">
        <f t="shared" si="44"/>
        <v>Safe</v>
      </c>
      <c r="M568" s="20">
        <f t="shared" si="42"/>
        <v>0</v>
      </c>
    </row>
    <row r="569" spans="1:13" x14ac:dyDescent="0.3">
      <c r="A569">
        <v>568</v>
      </c>
      <c r="B569" s="46">
        <v>40568</v>
      </c>
      <c r="C569">
        <v>1</v>
      </c>
      <c r="D569">
        <v>20</v>
      </c>
      <c r="E569" t="b">
        <v>0</v>
      </c>
      <c r="F569">
        <v>2</v>
      </c>
      <c r="G569" s="20" t="str">
        <f t="shared" si="40"/>
        <v>No</v>
      </c>
      <c r="H569" s="20" t="str">
        <f t="shared" si="41"/>
        <v>Tuesday</v>
      </c>
      <c r="I569">
        <v>1</v>
      </c>
      <c r="J569" s="20" t="str">
        <f t="shared" si="43"/>
        <v>Clean</v>
      </c>
      <c r="K569">
        <v>0.24</v>
      </c>
      <c r="L569" s="20" t="str">
        <f t="shared" si="44"/>
        <v>Safe</v>
      </c>
      <c r="M569" s="20">
        <f t="shared" si="42"/>
        <v>0</v>
      </c>
    </row>
    <row r="570" spans="1:13" x14ac:dyDescent="0.3">
      <c r="A570">
        <v>569</v>
      </c>
      <c r="B570" s="46">
        <v>40568</v>
      </c>
      <c r="C570">
        <v>1</v>
      </c>
      <c r="D570">
        <v>21</v>
      </c>
      <c r="E570" t="b">
        <v>0</v>
      </c>
      <c r="F570">
        <v>2</v>
      </c>
      <c r="G570" s="20" t="str">
        <f t="shared" si="40"/>
        <v>No</v>
      </c>
      <c r="H570" s="20" t="str">
        <f t="shared" si="41"/>
        <v>Tuesday</v>
      </c>
      <c r="I570">
        <v>1</v>
      </c>
      <c r="J570" s="20" t="str">
        <f t="shared" si="43"/>
        <v>Clean</v>
      </c>
      <c r="K570">
        <v>0.24</v>
      </c>
      <c r="L570" s="20" t="str">
        <f t="shared" si="44"/>
        <v>Safe</v>
      </c>
      <c r="M570" s="20">
        <f t="shared" si="42"/>
        <v>0</v>
      </c>
    </row>
    <row r="571" spans="1:13" x14ac:dyDescent="0.3">
      <c r="A571">
        <v>570</v>
      </c>
      <c r="B571" s="46">
        <v>40568</v>
      </c>
      <c r="C571">
        <v>1</v>
      </c>
      <c r="D571">
        <v>22</v>
      </c>
      <c r="E571" t="b">
        <v>0</v>
      </c>
      <c r="F571">
        <v>2</v>
      </c>
      <c r="G571" s="20" t="str">
        <f t="shared" si="40"/>
        <v>No</v>
      </c>
      <c r="H571" s="20" t="str">
        <f t="shared" si="41"/>
        <v>Tuesday</v>
      </c>
      <c r="I571">
        <v>1</v>
      </c>
      <c r="J571" s="20" t="str">
        <f t="shared" si="43"/>
        <v>Clean</v>
      </c>
      <c r="K571">
        <v>0.22</v>
      </c>
      <c r="L571" s="20" t="str">
        <f t="shared" si="44"/>
        <v>Safe</v>
      </c>
      <c r="M571" s="20">
        <f t="shared" si="42"/>
        <v>0</v>
      </c>
    </row>
    <row r="572" spans="1:13" x14ac:dyDescent="0.3">
      <c r="A572">
        <v>571</v>
      </c>
      <c r="B572" s="46">
        <v>40568</v>
      </c>
      <c r="C572">
        <v>1</v>
      </c>
      <c r="D572">
        <v>23</v>
      </c>
      <c r="E572" t="b">
        <v>0</v>
      </c>
      <c r="F572">
        <v>2</v>
      </c>
      <c r="G572" s="20" t="str">
        <f t="shared" si="40"/>
        <v>No</v>
      </c>
      <c r="H572" s="20" t="str">
        <f t="shared" si="41"/>
        <v>Tuesday</v>
      </c>
      <c r="I572">
        <v>2</v>
      </c>
      <c r="J572" s="20" t="str">
        <f t="shared" si="43"/>
        <v>Misty</v>
      </c>
      <c r="K572">
        <v>0.22</v>
      </c>
      <c r="L572" s="20" t="str">
        <f t="shared" si="44"/>
        <v>Safe</v>
      </c>
      <c r="M572" s="20">
        <f t="shared" si="42"/>
        <v>0</v>
      </c>
    </row>
    <row r="573" spans="1:13" x14ac:dyDescent="0.3">
      <c r="A573">
        <v>572</v>
      </c>
      <c r="B573" s="46">
        <v>40569</v>
      </c>
      <c r="C573">
        <v>1</v>
      </c>
      <c r="D573">
        <v>0</v>
      </c>
      <c r="E573" t="b">
        <v>0</v>
      </c>
      <c r="F573">
        <v>3</v>
      </c>
      <c r="G573" s="20" t="str">
        <f t="shared" si="40"/>
        <v>No</v>
      </c>
      <c r="H573" s="20" t="str">
        <f t="shared" si="41"/>
        <v>Wednesday</v>
      </c>
      <c r="I573">
        <v>2</v>
      </c>
      <c r="J573" s="20" t="str">
        <f t="shared" si="43"/>
        <v>Misty</v>
      </c>
      <c r="K573">
        <v>0.22</v>
      </c>
      <c r="L573" s="20" t="str">
        <f t="shared" si="44"/>
        <v>Safe</v>
      </c>
      <c r="M573" s="20">
        <f t="shared" si="42"/>
        <v>0</v>
      </c>
    </row>
    <row r="574" spans="1:13" x14ac:dyDescent="0.3">
      <c r="A574">
        <v>573</v>
      </c>
      <c r="B574" s="46">
        <v>40569</v>
      </c>
      <c r="C574">
        <v>1</v>
      </c>
      <c r="D574">
        <v>1</v>
      </c>
      <c r="E574" t="b">
        <v>0</v>
      </c>
      <c r="F574">
        <v>3</v>
      </c>
      <c r="G574" s="20" t="str">
        <f t="shared" si="40"/>
        <v>No</v>
      </c>
      <c r="H574" s="20" t="str">
        <f t="shared" si="41"/>
        <v>Wednesday</v>
      </c>
      <c r="I574">
        <v>2</v>
      </c>
      <c r="J574" s="20" t="str">
        <f t="shared" si="43"/>
        <v>Misty</v>
      </c>
      <c r="K574">
        <v>0.24</v>
      </c>
      <c r="L574" s="20" t="str">
        <f t="shared" si="44"/>
        <v>Safe</v>
      </c>
      <c r="M574" s="20">
        <f t="shared" si="42"/>
        <v>0</v>
      </c>
    </row>
    <row r="575" spans="1:13" x14ac:dyDescent="0.3">
      <c r="A575">
        <v>574</v>
      </c>
      <c r="B575" s="46">
        <v>40569</v>
      </c>
      <c r="C575">
        <v>1</v>
      </c>
      <c r="D575">
        <v>2</v>
      </c>
      <c r="E575" t="b">
        <v>0</v>
      </c>
      <c r="F575">
        <v>3</v>
      </c>
      <c r="G575" s="20" t="str">
        <f t="shared" si="40"/>
        <v>No</v>
      </c>
      <c r="H575" s="20" t="str">
        <f t="shared" si="41"/>
        <v>Wednesday</v>
      </c>
      <c r="I575">
        <v>3</v>
      </c>
      <c r="J575" s="20" t="str">
        <f t="shared" si="43"/>
        <v>Light Rain</v>
      </c>
      <c r="K575">
        <v>0.22</v>
      </c>
      <c r="L575" s="20" t="str">
        <f t="shared" si="44"/>
        <v>Safe</v>
      </c>
      <c r="M575" s="20">
        <f t="shared" si="42"/>
        <v>0</v>
      </c>
    </row>
    <row r="576" spans="1:13" x14ac:dyDescent="0.3">
      <c r="A576">
        <v>575</v>
      </c>
      <c r="B576" s="46">
        <v>40569</v>
      </c>
      <c r="C576">
        <v>1</v>
      </c>
      <c r="D576">
        <v>5</v>
      </c>
      <c r="E576" t="b">
        <v>0</v>
      </c>
      <c r="F576">
        <v>3</v>
      </c>
      <c r="G576" s="20" t="str">
        <f t="shared" si="40"/>
        <v>No</v>
      </c>
      <c r="H576" s="20" t="str">
        <f t="shared" si="41"/>
        <v>Wednesday</v>
      </c>
      <c r="I576">
        <v>3</v>
      </c>
      <c r="J576" s="20" t="str">
        <f t="shared" si="43"/>
        <v>Light Rain</v>
      </c>
      <c r="K576">
        <v>0.2</v>
      </c>
      <c r="L576" s="20" t="str">
        <f t="shared" si="44"/>
        <v>Safe</v>
      </c>
      <c r="M576" s="20">
        <f t="shared" si="42"/>
        <v>0</v>
      </c>
    </row>
    <row r="577" spans="1:13" x14ac:dyDescent="0.3">
      <c r="A577">
        <v>576</v>
      </c>
      <c r="B577" s="46">
        <v>40569</v>
      </c>
      <c r="C577">
        <v>1</v>
      </c>
      <c r="D577">
        <v>6</v>
      </c>
      <c r="E577" t="b">
        <v>0</v>
      </c>
      <c r="F577">
        <v>3</v>
      </c>
      <c r="G577" s="20" t="str">
        <f t="shared" si="40"/>
        <v>No</v>
      </c>
      <c r="H577" s="20" t="str">
        <f t="shared" si="41"/>
        <v>Wednesday</v>
      </c>
      <c r="I577">
        <v>3</v>
      </c>
      <c r="J577" s="20" t="str">
        <f t="shared" si="43"/>
        <v>Light Rain</v>
      </c>
      <c r="K577">
        <v>0.2</v>
      </c>
      <c r="L577" s="20" t="str">
        <f t="shared" si="44"/>
        <v>Safe</v>
      </c>
      <c r="M577" s="20">
        <f t="shared" si="42"/>
        <v>0</v>
      </c>
    </row>
    <row r="578" spans="1:13" x14ac:dyDescent="0.3">
      <c r="A578">
        <v>577</v>
      </c>
      <c r="B578" s="46">
        <v>40569</v>
      </c>
      <c r="C578">
        <v>1</v>
      </c>
      <c r="D578">
        <v>7</v>
      </c>
      <c r="E578" t="b">
        <v>0</v>
      </c>
      <c r="F578">
        <v>3</v>
      </c>
      <c r="G578" s="20" t="str">
        <f t="shared" ref="G578:G611" si="45">_xlfn.IFS(F578=0,"Yes",F578=6,"Yes",F578&gt;0,"No")</f>
        <v>No</v>
      </c>
      <c r="H578" s="20" t="str">
        <f t="shared" ref="H578:H611" si="46">TEXT(B578:B1187,"dddd")</f>
        <v>Wednesday</v>
      </c>
      <c r="I578">
        <v>3</v>
      </c>
      <c r="J578" s="20" t="str">
        <f t="shared" si="43"/>
        <v>Light Rain</v>
      </c>
      <c r="K578">
        <v>0.22</v>
      </c>
      <c r="L578" s="20" t="str">
        <f t="shared" si="44"/>
        <v>Safe</v>
      </c>
      <c r="M578" s="20">
        <f t="shared" ref="M578:M611" si="47">COUNTBLANK(A578:K578)</f>
        <v>0</v>
      </c>
    </row>
    <row r="579" spans="1:13" x14ac:dyDescent="0.3">
      <c r="A579">
        <v>578</v>
      </c>
      <c r="B579" s="46">
        <v>40569</v>
      </c>
      <c r="C579">
        <v>1</v>
      </c>
      <c r="D579">
        <v>8</v>
      </c>
      <c r="E579" t="b">
        <v>0</v>
      </c>
      <c r="F579">
        <v>3</v>
      </c>
      <c r="G579" s="20" t="str">
        <f t="shared" si="45"/>
        <v>No</v>
      </c>
      <c r="H579" s="20" t="str">
        <f t="shared" si="46"/>
        <v>Wednesday</v>
      </c>
      <c r="I579">
        <v>3</v>
      </c>
      <c r="J579" s="20" t="str">
        <f t="shared" ref="J579:J611" si="48">_xlfn.IFS(I579=1,"Clean",I579=2,"Misty",I579=3,"Light Rain",I579=4,"Heavy Rain")</f>
        <v>Light Rain</v>
      </c>
      <c r="K579">
        <v>0.22</v>
      </c>
      <c r="L579" s="20" t="str">
        <f t="shared" ref="L579:L611" si="49">_xlfn.IFS(K579&lt;0.1,"Risky",K579&lt;0.35,"Safe",K579&gt;0.35,"Risky")</f>
        <v>Safe</v>
      </c>
      <c r="M579" s="20">
        <f t="shared" si="47"/>
        <v>0</v>
      </c>
    </row>
    <row r="580" spans="1:13" x14ac:dyDescent="0.3">
      <c r="A580">
        <v>579</v>
      </c>
      <c r="B580" s="46">
        <v>40569</v>
      </c>
      <c r="C580">
        <v>1</v>
      </c>
      <c r="D580">
        <v>9</v>
      </c>
      <c r="E580" t="b">
        <v>0</v>
      </c>
      <c r="F580">
        <v>3</v>
      </c>
      <c r="G580" s="20" t="str">
        <f t="shared" si="45"/>
        <v>No</v>
      </c>
      <c r="H580" s="20" t="str">
        <f t="shared" si="46"/>
        <v>Wednesday</v>
      </c>
      <c r="I580">
        <v>3</v>
      </c>
      <c r="J580" s="20" t="str">
        <f t="shared" si="48"/>
        <v>Light Rain</v>
      </c>
      <c r="K580">
        <v>0.22</v>
      </c>
      <c r="L580" s="20" t="str">
        <f t="shared" si="49"/>
        <v>Safe</v>
      </c>
      <c r="M580" s="20">
        <f t="shared" si="47"/>
        <v>0</v>
      </c>
    </row>
    <row r="581" spans="1:13" x14ac:dyDescent="0.3">
      <c r="A581">
        <v>580</v>
      </c>
      <c r="B581" s="46">
        <v>40569</v>
      </c>
      <c r="C581">
        <v>1</v>
      </c>
      <c r="D581">
        <v>10</v>
      </c>
      <c r="E581" t="b">
        <v>0</v>
      </c>
      <c r="F581">
        <v>3</v>
      </c>
      <c r="G581" s="20" t="str">
        <f t="shared" si="45"/>
        <v>No</v>
      </c>
      <c r="H581" s="20" t="str">
        <f t="shared" si="46"/>
        <v>Wednesday</v>
      </c>
      <c r="I581">
        <v>3</v>
      </c>
      <c r="J581" s="20" t="str">
        <f t="shared" si="48"/>
        <v>Light Rain</v>
      </c>
      <c r="K581">
        <v>0.22</v>
      </c>
      <c r="L581" s="20" t="str">
        <f t="shared" si="49"/>
        <v>Safe</v>
      </c>
      <c r="M581" s="20">
        <f t="shared" si="47"/>
        <v>0</v>
      </c>
    </row>
    <row r="582" spans="1:13" x14ac:dyDescent="0.3">
      <c r="A582">
        <v>581</v>
      </c>
      <c r="B582" s="46">
        <v>40569</v>
      </c>
      <c r="C582">
        <v>1</v>
      </c>
      <c r="D582">
        <v>11</v>
      </c>
      <c r="E582" t="b">
        <v>0</v>
      </c>
      <c r="F582">
        <v>3</v>
      </c>
      <c r="G582" s="20" t="str">
        <f t="shared" si="45"/>
        <v>No</v>
      </c>
      <c r="H582" s="20" t="str">
        <f t="shared" si="46"/>
        <v>Wednesday</v>
      </c>
      <c r="I582">
        <v>3</v>
      </c>
      <c r="J582" s="20" t="str">
        <f t="shared" si="48"/>
        <v>Light Rain</v>
      </c>
      <c r="K582">
        <v>0.22</v>
      </c>
      <c r="L582" s="20" t="str">
        <f t="shared" si="49"/>
        <v>Safe</v>
      </c>
      <c r="M582" s="20">
        <f t="shared" si="47"/>
        <v>0</v>
      </c>
    </row>
    <row r="583" spans="1:13" x14ac:dyDescent="0.3">
      <c r="A583">
        <v>582</v>
      </c>
      <c r="B583" s="46">
        <v>40569</v>
      </c>
      <c r="C583">
        <v>1</v>
      </c>
      <c r="D583">
        <v>12</v>
      </c>
      <c r="E583" t="b">
        <v>0</v>
      </c>
      <c r="F583">
        <v>3</v>
      </c>
      <c r="G583" s="20" t="str">
        <f t="shared" si="45"/>
        <v>No</v>
      </c>
      <c r="H583" s="20" t="str">
        <f t="shared" si="46"/>
        <v>Wednesday</v>
      </c>
      <c r="I583">
        <v>3</v>
      </c>
      <c r="J583" s="20" t="str">
        <f t="shared" si="48"/>
        <v>Light Rain</v>
      </c>
      <c r="K583">
        <v>0.22</v>
      </c>
      <c r="L583" s="20" t="str">
        <f t="shared" si="49"/>
        <v>Safe</v>
      </c>
      <c r="M583" s="20">
        <f t="shared" si="47"/>
        <v>0</v>
      </c>
    </row>
    <row r="584" spans="1:13" x14ac:dyDescent="0.3">
      <c r="A584">
        <v>583</v>
      </c>
      <c r="B584" s="46">
        <v>40569</v>
      </c>
      <c r="C584">
        <v>1</v>
      </c>
      <c r="D584">
        <v>13</v>
      </c>
      <c r="E584" t="b">
        <v>0</v>
      </c>
      <c r="F584">
        <v>3</v>
      </c>
      <c r="G584" s="20" t="str">
        <f t="shared" si="45"/>
        <v>No</v>
      </c>
      <c r="H584" s="20" t="str">
        <f t="shared" si="46"/>
        <v>Wednesday</v>
      </c>
      <c r="I584">
        <v>3</v>
      </c>
      <c r="J584" s="20" t="str">
        <f t="shared" si="48"/>
        <v>Light Rain</v>
      </c>
      <c r="K584">
        <v>0.22</v>
      </c>
      <c r="L584" s="20" t="str">
        <f t="shared" si="49"/>
        <v>Safe</v>
      </c>
      <c r="M584" s="20">
        <f t="shared" si="47"/>
        <v>0</v>
      </c>
    </row>
    <row r="585" spans="1:13" x14ac:dyDescent="0.3">
      <c r="A585">
        <v>584</v>
      </c>
      <c r="B585" s="46">
        <v>40569</v>
      </c>
      <c r="C585">
        <v>1</v>
      </c>
      <c r="D585">
        <v>14</v>
      </c>
      <c r="E585" t="b">
        <v>0</v>
      </c>
      <c r="F585">
        <v>3</v>
      </c>
      <c r="G585" s="20" t="str">
        <f t="shared" si="45"/>
        <v>No</v>
      </c>
      <c r="H585" s="20" t="str">
        <f t="shared" si="46"/>
        <v>Wednesday</v>
      </c>
      <c r="I585">
        <v>3</v>
      </c>
      <c r="J585" s="20" t="str">
        <f t="shared" si="48"/>
        <v>Light Rain</v>
      </c>
      <c r="K585">
        <v>0.22</v>
      </c>
      <c r="L585" s="20" t="str">
        <f t="shared" si="49"/>
        <v>Safe</v>
      </c>
      <c r="M585" s="20">
        <f t="shared" si="47"/>
        <v>0</v>
      </c>
    </row>
    <row r="586" spans="1:13" x14ac:dyDescent="0.3">
      <c r="A586">
        <v>585</v>
      </c>
      <c r="B586" s="46">
        <v>40569</v>
      </c>
      <c r="C586">
        <v>1</v>
      </c>
      <c r="D586">
        <v>15</v>
      </c>
      <c r="E586" t="b">
        <v>0</v>
      </c>
      <c r="F586">
        <v>3</v>
      </c>
      <c r="G586" s="20" t="str">
        <f t="shared" si="45"/>
        <v>No</v>
      </c>
      <c r="H586" s="20" t="str">
        <f t="shared" si="46"/>
        <v>Wednesday</v>
      </c>
      <c r="I586">
        <v>3</v>
      </c>
      <c r="J586" s="20" t="str">
        <f t="shared" si="48"/>
        <v>Light Rain</v>
      </c>
      <c r="K586">
        <v>0.22</v>
      </c>
      <c r="L586" s="20" t="str">
        <f t="shared" si="49"/>
        <v>Safe</v>
      </c>
      <c r="M586" s="20">
        <f t="shared" si="47"/>
        <v>0</v>
      </c>
    </row>
    <row r="587" spans="1:13" x14ac:dyDescent="0.3">
      <c r="A587">
        <v>586</v>
      </c>
      <c r="B587" s="46">
        <v>40569</v>
      </c>
      <c r="C587">
        <v>1</v>
      </c>
      <c r="D587">
        <v>16</v>
      </c>
      <c r="E587" t="b">
        <v>0</v>
      </c>
      <c r="F587">
        <v>3</v>
      </c>
      <c r="G587" s="20" t="str">
        <f t="shared" si="45"/>
        <v>No</v>
      </c>
      <c r="H587" s="20" t="str">
        <f t="shared" si="46"/>
        <v>Wednesday</v>
      </c>
      <c r="I587">
        <v>4</v>
      </c>
      <c r="J587" s="20" t="str">
        <f t="shared" si="48"/>
        <v>Heavy Rain</v>
      </c>
      <c r="K587">
        <v>0.22</v>
      </c>
      <c r="L587" s="20" t="str">
        <f t="shared" si="49"/>
        <v>Safe</v>
      </c>
      <c r="M587" s="20">
        <f t="shared" si="47"/>
        <v>0</v>
      </c>
    </row>
    <row r="588" spans="1:13" x14ac:dyDescent="0.3">
      <c r="A588">
        <v>587</v>
      </c>
      <c r="B588" s="46">
        <v>40569</v>
      </c>
      <c r="C588">
        <v>1</v>
      </c>
      <c r="D588">
        <v>17</v>
      </c>
      <c r="E588" t="b">
        <v>0</v>
      </c>
      <c r="F588">
        <v>3</v>
      </c>
      <c r="G588" s="20" t="str">
        <f t="shared" si="45"/>
        <v>No</v>
      </c>
      <c r="H588" s="20" t="str">
        <f t="shared" si="46"/>
        <v>Wednesday</v>
      </c>
      <c r="I588">
        <v>3</v>
      </c>
      <c r="J588" s="20" t="str">
        <f t="shared" si="48"/>
        <v>Light Rain</v>
      </c>
      <c r="K588">
        <v>0.2</v>
      </c>
      <c r="L588" s="20" t="str">
        <f t="shared" si="49"/>
        <v>Safe</v>
      </c>
      <c r="M588" s="20">
        <f t="shared" si="47"/>
        <v>0</v>
      </c>
    </row>
    <row r="589" spans="1:13" x14ac:dyDescent="0.3">
      <c r="A589">
        <v>588</v>
      </c>
      <c r="B589" s="46">
        <v>40570</v>
      </c>
      <c r="C589">
        <v>1</v>
      </c>
      <c r="D589">
        <v>16</v>
      </c>
      <c r="E589" t="b">
        <v>0</v>
      </c>
      <c r="F589">
        <v>4</v>
      </c>
      <c r="G589" s="20" t="str">
        <f t="shared" si="45"/>
        <v>No</v>
      </c>
      <c r="H589" s="20" t="str">
        <f t="shared" si="46"/>
        <v>Thursday</v>
      </c>
      <c r="I589">
        <v>1</v>
      </c>
      <c r="J589" s="20" t="str">
        <f t="shared" si="48"/>
        <v>Clean</v>
      </c>
      <c r="K589">
        <v>0.22</v>
      </c>
      <c r="L589" s="20" t="str">
        <f t="shared" si="49"/>
        <v>Safe</v>
      </c>
      <c r="M589" s="20">
        <f t="shared" si="47"/>
        <v>0</v>
      </c>
    </row>
    <row r="590" spans="1:13" x14ac:dyDescent="0.3">
      <c r="A590">
        <v>589</v>
      </c>
      <c r="B590" s="46">
        <v>40570</v>
      </c>
      <c r="C590">
        <v>1</v>
      </c>
      <c r="D590">
        <v>17</v>
      </c>
      <c r="E590" t="b">
        <v>0</v>
      </c>
      <c r="F590">
        <v>4</v>
      </c>
      <c r="G590" s="20" t="str">
        <f t="shared" si="45"/>
        <v>No</v>
      </c>
      <c r="H590" s="20" t="str">
        <f t="shared" si="46"/>
        <v>Thursday</v>
      </c>
      <c r="I590">
        <v>1</v>
      </c>
      <c r="J590" s="20" t="str">
        <f t="shared" si="48"/>
        <v>Clean</v>
      </c>
      <c r="K590">
        <v>0.22</v>
      </c>
      <c r="L590" s="20" t="str">
        <f t="shared" si="49"/>
        <v>Safe</v>
      </c>
      <c r="M590" s="20">
        <f t="shared" si="47"/>
        <v>0</v>
      </c>
    </row>
    <row r="591" spans="1:13" x14ac:dyDescent="0.3">
      <c r="A591">
        <v>590</v>
      </c>
      <c r="B591" s="46">
        <v>40570</v>
      </c>
      <c r="C591">
        <v>1</v>
      </c>
      <c r="D591">
        <v>18</v>
      </c>
      <c r="E591" t="b">
        <v>0</v>
      </c>
      <c r="F591">
        <v>4</v>
      </c>
      <c r="G591" s="20" t="str">
        <f t="shared" si="45"/>
        <v>No</v>
      </c>
      <c r="H591" s="20" t="str">
        <f t="shared" si="46"/>
        <v>Thursday</v>
      </c>
      <c r="I591">
        <v>1</v>
      </c>
      <c r="J591" s="20" t="str">
        <f t="shared" si="48"/>
        <v>Clean</v>
      </c>
      <c r="K591">
        <v>0.2</v>
      </c>
      <c r="L591" s="20" t="str">
        <f t="shared" si="49"/>
        <v>Safe</v>
      </c>
      <c r="M591" s="20">
        <f t="shared" si="47"/>
        <v>0</v>
      </c>
    </row>
    <row r="592" spans="1:13" x14ac:dyDescent="0.3">
      <c r="A592">
        <v>591</v>
      </c>
      <c r="B592" s="46">
        <v>40570</v>
      </c>
      <c r="C592">
        <v>1</v>
      </c>
      <c r="D592">
        <v>19</v>
      </c>
      <c r="E592" t="b">
        <v>0</v>
      </c>
      <c r="F592">
        <v>4</v>
      </c>
      <c r="G592" s="20" t="str">
        <f t="shared" si="45"/>
        <v>No</v>
      </c>
      <c r="H592" s="20" t="str">
        <f t="shared" si="46"/>
        <v>Thursday</v>
      </c>
      <c r="I592">
        <v>1</v>
      </c>
      <c r="J592" s="20" t="str">
        <f t="shared" si="48"/>
        <v>Clean</v>
      </c>
      <c r="K592">
        <v>0.2</v>
      </c>
      <c r="L592" s="20" t="str">
        <f t="shared" si="49"/>
        <v>Safe</v>
      </c>
      <c r="M592" s="20">
        <f t="shared" si="47"/>
        <v>0</v>
      </c>
    </row>
    <row r="593" spans="1:16" x14ac:dyDescent="0.3">
      <c r="A593">
        <v>592</v>
      </c>
      <c r="B593" s="46">
        <v>40570</v>
      </c>
      <c r="C593">
        <v>1</v>
      </c>
      <c r="D593">
        <v>20</v>
      </c>
      <c r="E593" t="b">
        <v>0</v>
      </c>
      <c r="F593">
        <v>4</v>
      </c>
      <c r="G593" s="20" t="str">
        <f t="shared" si="45"/>
        <v>No</v>
      </c>
      <c r="H593" s="20" t="str">
        <f t="shared" si="46"/>
        <v>Thursday</v>
      </c>
      <c r="I593">
        <v>1</v>
      </c>
      <c r="J593" s="20" t="str">
        <f t="shared" si="48"/>
        <v>Clean</v>
      </c>
      <c r="K593">
        <v>0.18</v>
      </c>
      <c r="L593" s="20" t="str">
        <f t="shared" si="49"/>
        <v>Safe</v>
      </c>
      <c r="M593" s="20">
        <f t="shared" si="47"/>
        <v>0</v>
      </c>
    </row>
    <row r="594" spans="1:16" x14ac:dyDescent="0.3">
      <c r="A594">
        <v>593</v>
      </c>
      <c r="B594" s="46">
        <v>40570</v>
      </c>
      <c r="C594">
        <v>1</v>
      </c>
      <c r="D594">
        <v>21</v>
      </c>
      <c r="E594" t="b">
        <v>0</v>
      </c>
      <c r="F594">
        <v>4</v>
      </c>
      <c r="G594" s="20" t="str">
        <f t="shared" si="45"/>
        <v>No</v>
      </c>
      <c r="H594" s="20" t="str">
        <f t="shared" si="46"/>
        <v>Thursday</v>
      </c>
      <c r="I594">
        <v>1</v>
      </c>
      <c r="J594" s="20" t="str">
        <f t="shared" si="48"/>
        <v>Clean</v>
      </c>
      <c r="K594">
        <v>0.18</v>
      </c>
      <c r="L594" s="20" t="str">
        <f t="shared" si="49"/>
        <v>Safe</v>
      </c>
      <c r="M594" s="20">
        <f t="shared" si="47"/>
        <v>0</v>
      </c>
    </row>
    <row r="595" spans="1:16" x14ac:dyDescent="0.3">
      <c r="A595">
        <v>594</v>
      </c>
      <c r="B595" s="46">
        <v>40570</v>
      </c>
      <c r="C595">
        <v>1</v>
      </c>
      <c r="D595">
        <v>22</v>
      </c>
      <c r="E595" t="b">
        <v>0</v>
      </c>
      <c r="F595">
        <v>4</v>
      </c>
      <c r="G595" s="20" t="str">
        <f t="shared" si="45"/>
        <v>No</v>
      </c>
      <c r="H595" s="20" t="str">
        <f t="shared" si="46"/>
        <v>Thursday</v>
      </c>
      <c r="I595">
        <v>1</v>
      </c>
      <c r="J595" s="20" t="str">
        <f t="shared" si="48"/>
        <v>Clean</v>
      </c>
      <c r="K595">
        <v>0.18</v>
      </c>
      <c r="L595" s="20" t="str">
        <f t="shared" si="49"/>
        <v>Safe</v>
      </c>
      <c r="M595" s="20">
        <f t="shared" si="47"/>
        <v>0</v>
      </c>
    </row>
    <row r="596" spans="1:16" x14ac:dyDescent="0.3">
      <c r="A596">
        <v>595</v>
      </c>
      <c r="B596" s="46">
        <v>40570</v>
      </c>
      <c r="C596">
        <v>1</v>
      </c>
      <c r="D596">
        <v>23</v>
      </c>
      <c r="E596" t="b">
        <v>0</v>
      </c>
      <c r="F596">
        <v>4</v>
      </c>
      <c r="G596" s="20" t="str">
        <f t="shared" si="45"/>
        <v>No</v>
      </c>
      <c r="H596" s="20" t="str">
        <f t="shared" si="46"/>
        <v>Thursday</v>
      </c>
      <c r="I596">
        <v>1</v>
      </c>
      <c r="J596" s="20" t="str">
        <f t="shared" si="48"/>
        <v>Clean</v>
      </c>
      <c r="K596">
        <v>0.18</v>
      </c>
      <c r="L596" s="20" t="str">
        <f t="shared" si="49"/>
        <v>Safe</v>
      </c>
      <c r="M596" s="20">
        <f t="shared" si="47"/>
        <v>0</v>
      </c>
      <c r="P596" s="11"/>
    </row>
    <row r="597" spans="1:16" x14ac:dyDescent="0.3">
      <c r="A597">
        <v>596</v>
      </c>
      <c r="B597" s="46">
        <v>40571</v>
      </c>
      <c r="C597">
        <v>1</v>
      </c>
      <c r="D597">
        <v>0</v>
      </c>
      <c r="E597" t="b">
        <v>0</v>
      </c>
      <c r="F597">
        <v>5</v>
      </c>
      <c r="G597" s="20" t="str">
        <f t="shared" si="45"/>
        <v>No</v>
      </c>
      <c r="H597" s="20" t="str">
        <f t="shared" si="46"/>
        <v>Friday</v>
      </c>
      <c r="I597">
        <v>2</v>
      </c>
      <c r="J597" s="20" t="str">
        <f t="shared" si="48"/>
        <v>Misty</v>
      </c>
      <c r="K597">
        <v>0.2</v>
      </c>
      <c r="L597" s="20" t="str">
        <f t="shared" si="49"/>
        <v>Safe</v>
      </c>
      <c r="M597" s="20">
        <f t="shared" si="47"/>
        <v>0</v>
      </c>
    </row>
    <row r="598" spans="1:16" x14ac:dyDescent="0.3">
      <c r="A598">
        <v>597</v>
      </c>
      <c r="B598" s="46">
        <v>40571</v>
      </c>
      <c r="C598">
        <v>1</v>
      </c>
      <c r="D598">
        <v>1</v>
      </c>
      <c r="E598" t="b">
        <v>0</v>
      </c>
      <c r="F598">
        <v>5</v>
      </c>
      <c r="G598" s="20" t="str">
        <f t="shared" si="45"/>
        <v>No</v>
      </c>
      <c r="H598" s="20" t="str">
        <f t="shared" si="46"/>
        <v>Friday</v>
      </c>
      <c r="I598">
        <v>2</v>
      </c>
      <c r="J598" s="20" t="str">
        <f t="shared" si="48"/>
        <v>Misty</v>
      </c>
      <c r="K598">
        <v>0.2</v>
      </c>
      <c r="L598" s="20" t="str">
        <f t="shared" si="49"/>
        <v>Safe</v>
      </c>
      <c r="M598" s="20">
        <f t="shared" si="47"/>
        <v>0</v>
      </c>
    </row>
    <row r="599" spans="1:16" x14ac:dyDescent="0.3">
      <c r="A599">
        <v>598</v>
      </c>
      <c r="B599" s="46">
        <v>40571</v>
      </c>
      <c r="C599">
        <v>1</v>
      </c>
      <c r="D599">
        <v>2</v>
      </c>
      <c r="E599" t="b">
        <v>0</v>
      </c>
      <c r="F599">
        <v>5</v>
      </c>
      <c r="G599" s="20" t="str">
        <f t="shared" si="45"/>
        <v>No</v>
      </c>
      <c r="H599" s="20" t="str">
        <f t="shared" si="46"/>
        <v>Friday</v>
      </c>
      <c r="I599">
        <v>2</v>
      </c>
      <c r="J599" s="20" t="str">
        <f t="shared" si="48"/>
        <v>Misty</v>
      </c>
      <c r="K599">
        <v>0.2</v>
      </c>
      <c r="L599" s="20" t="str">
        <f t="shared" si="49"/>
        <v>Safe</v>
      </c>
      <c r="M599" s="20">
        <f t="shared" si="47"/>
        <v>0</v>
      </c>
    </row>
    <row r="600" spans="1:16" x14ac:dyDescent="0.3">
      <c r="A600">
        <v>599</v>
      </c>
      <c r="B600" s="46">
        <v>40571</v>
      </c>
      <c r="C600">
        <v>1</v>
      </c>
      <c r="D600">
        <v>3</v>
      </c>
      <c r="E600" t="b">
        <v>0</v>
      </c>
      <c r="F600">
        <v>5</v>
      </c>
      <c r="G600" s="20" t="str">
        <f t="shared" si="45"/>
        <v>No</v>
      </c>
      <c r="H600" s="20" t="str">
        <f t="shared" si="46"/>
        <v>Friday</v>
      </c>
      <c r="I600">
        <v>2</v>
      </c>
      <c r="J600" s="20" t="str">
        <f t="shared" si="48"/>
        <v>Misty</v>
      </c>
      <c r="K600">
        <v>0.2</v>
      </c>
      <c r="L600" s="20" t="str">
        <f t="shared" si="49"/>
        <v>Safe</v>
      </c>
      <c r="M600" s="20">
        <f t="shared" si="47"/>
        <v>0</v>
      </c>
    </row>
    <row r="601" spans="1:16" x14ac:dyDescent="0.3">
      <c r="A601">
        <v>600</v>
      </c>
      <c r="B601" s="46">
        <v>40571</v>
      </c>
      <c r="C601">
        <v>1</v>
      </c>
      <c r="D601">
        <v>5</v>
      </c>
      <c r="E601" t="b">
        <v>0</v>
      </c>
      <c r="F601">
        <v>5</v>
      </c>
      <c r="G601" s="20" t="str">
        <f t="shared" si="45"/>
        <v>No</v>
      </c>
      <c r="H601" s="20" t="str">
        <f t="shared" si="46"/>
        <v>Friday</v>
      </c>
      <c r="I601">
        <v>2</v>
      </c>
      <c r="J601" s="20" t="str">
        <f t="shared" si="48"/>
        <v>Misty</v>
      </c>
      <c r="K601">
        <v>0.18</v>
      </c>
      <c r="L601" s="20" t="str">
        <f t="shared" si="49"/>
        <v>Safe</v>
      </c>
      <c r="M601" s="20">
        <f t="shared" si="47"/>
        <v>0</v>
      </c>
    </row>
    <row r="602" spans="1:16" x14ac:dyDescent="0.3">
      <c r="A602">
        <v>601</v>
      </c>
      <c r="B602" s="46">
        <v>40571</v>
      </c>
      <c r="C602">
        <v>1</v>
      </c>
      <c r="D602">
        <v>6</v>
      </c>
      <c r="E602" t="b">
        <v>0</v>
      </c>
      <c r="F602">
        <v>5</v>
      </c>
      <c r="G602" s="20" t="str">
        <f t="shared" si="45"/>
        <v>No</v>
      </c>
      <c r="H602" s="20" t="str">
        <f t="shared" si="46"/>
        <v>Friday</v>
      </c>
      <c r="I602">
        <v>2</v>
      </c>
      <c r="J602" s="20" t="str">
        <f t="shared" si="48"/>
        <v>Misty</v>
      </c>
      <c r="K602">
        <v>0.18</v>
      </c>
      <c r="L602" s="20" t="str">
        <f t="shared" si="49"/>
        <v>Safe</v>
      </c>
      <c r="M602" s="20">
        <f t="shared" si="47"/>
        <v>0</v>
      </c>
    </row>
    <row r="603" spans="1:16" x14ac:dyDescent="0.3">
      <c r="A603">
        <v>602</v>
      </c>
      <c r="B603" s="46">
        <v>40571</v>
      </c>
      <c r="C603">
        <v>1</v>
      </c>
      <c r="D603">
        <v>7</v>
      </c>
      <c r="E603" t="b">
        <v>0</v>
      </c>
      <c r="F603">
        <v>5</v>
      </c>
      <c r="G603" s="20" t="str">
        <f t="shared" si="45"/>
        <v>No</v>
      </c>
      <c r="H603" s="20" t="str">
        <f t="shared" si="46"/>
        <v>Friday</v>
      </c>
      <c r="I603">
        <v>2</v>
      </c>
      <c r="J603" s="20" t="str">
        <f t="shared" si="48"/>
        <v>Misty</v>
      </c>
      <c r="K603">
        <v>0.16</v>
      </c>
      <c r="L603" s="20" t="str">
        <f t="shared" si="49"/>
        <v>Safe</v>
      </c>
      <c r="M603" s="20">
        <f t="shared" si="47"/>
        <v>0</v>
      </c>
    </row>
    <row r="604" spans="1:16" x14ac:dyDescent="0.3">
      <c r="A604">
        <v>603</v>
      </c>
      <c r="B604" s="46">
        <v>40571</v>
      </c>
      <c r="C604">
        <v>1</v>
      </c>
      <c r="D604">
        <v>8</v>
      </c>
      <c r="E604" t="b">
        <v>0</v>
      </c>
      <c r="F604">
        <v>5</v>
      </c>
      <c r="G604" s="20" t="str">
        <f t="shared" si="45"/>
        <v>No</v>
      </c>
      <c r="H604" s="20" t="str">
        <f t="shared" si="46"/>
        <v>Friday</v>
      </c>
      <c r="I604">
        <v>2</v>
      </c>
      <c r="J604" s="20" t="str">
        <f t="shared" si="48"/>
        <v>Misty</v>
      </c>
      <c r="K604">
        <v>0.16</v>
      </c>
      <c r="L604" s="20" t="str">
        <f t="shared" si="49"/>
        <v>Safe</v>
      </c>
      <c r="M604" s="20">
        <f t="shared" si="47"/>
        <v>0</v>
      </c>
    </row>
    <row r="605" spans="1:16" x14ac:dyDescent="0.3">
      <c r="A605">
        <v>604</v>
      </c>
      <c r="B605" s="46">
        <v>40571</v>
      </c>
      <c r="C605">
        <v>1</v>
      </c>
      <c r="D605">
        <v>9</v>
      </c>
      <c r="E605" t="b">
        <v>0</v>
      </c>
      <c r="F605">
        <v>5</v>
      </c>
      <c r="G605" s="20" t="str">
        <f t="shared" si="45"/>
        <v>No</v>
      </c>
      <c r="H605" s="20" t="str">
        <f t="shared" si="46"/>
        <v>Friday</v>
      </c>
      <c r="I605">
        <v>3</v>
      </c>
      <c r="J605" s="20" t="str">
        <f t="shared" si="48"/>
        <v>Light Rain</v>
      </c>
      <c r="K605">
        <v>0.18</v>
      </c>
      <c r="L605" s="20" t="str">
        <f t="shared" si="49"/>
        <v>Safe</v>
      </c>
      <c r="M605" s="20">
        <f t="shared" si="47"/>
        <v>0</v>
      </c>
    </row>
    <row r="606" spans="1:16" x14ac:dyDescent="0.3">
      <c r="A606">
        <v>605</v>
      </c>
      <c r="B606" s="46">
        <v>40571</v>
      </c>
      <c r="C606">
        <v>1</v>
      </c>
      <c r="D606">
        <v>10</v>
      </c>
      <c r="E606" t="b">
        <v>0</v>
      </c>
      <c r="F606">
        <v>5</v>
      </c>
      <c r="G606" s="20" t="str">
        <f t="shared" si="45"/>
        <v>No</v>
      </c>
      <c r="H606" s="20" t="str">
        <f t="shared" si="46"/>
        <v>Friday</v>
      </c>
      <c r="I606">
        <v>3</v>
      </c>
      <c r="J606" s="20" t="str">
        <f t="shared" si="48"/>
        <v>Light Rain</v>
      </c>
      <c r="K606">
        <v>0.18</v>
      </c>
      <c r="L606" s="20" t="str">
        <f t="shared" si="49"/>
        <v>Safe</v>
      </c>
      <c r="M606" s="20">
        <f t="shared" si="47"/>
        <v>0</v>
      </c>
    </row>
    <row r="607" spans="1:16" x14ac:dyDescent="0.3">
      <c r="A607">
        <v>606</v>
      </c>
      <c r="B607" s="46">
        <v>40571</v>
      </c>
      <c r="C607">
        <v>1</v>
      </c>
      <c r="D607">
        <v>11</v>
      </c>
      <c r="E607" t="b">
        <v>0</v>
      </c>
      <c r="F607">
        <v>5</v>
      </c>
      <c r="G607" s="20" t="str">
        <f t="shared" si="45"/>
        <v>No</v>
      </c>
      <c r="H607" s="20" t="str">
        <f t="shared" si="46"/>
        <v>Friday</v>
      </c>
      <c r="I607">
        <v>3</v>
      </c>
      <c r="J607" s="20" t="str">
        <f t="shared" si="48"/>
        <v>Light Rain</v>
      </c>
      <c r="K607">
        <v>0.18</v>
      </c>
      <c r="L607" s="20" t="str">
        <f t="shared" si="49"/>
        <v>Safe</v>
      </c>
      <c r="M607" s="20">
        <f t="shared" si="47"/>
        <v>0</v>
      </c>
    </row>
    <row r="608" spans="1:16" x14ac:dyDescent="0.3">
      <c r="A608">
        <v>607</v>
      </c>
      <c r="B608" s="46">
        <v>40571</v>
      </c>
      <c r="C608">
        <v>1</v>
      </c>
      <c r="D608">
        <v>12</v>
      </c>
      <c r="E608" t="b">
        <v>0</v>
      </c>
      <c r="F608">
        <v>5</v>
      </c>
      <c r="G608" s="20" t="str">
        <f t="shared" si="45"/>
        <v>No</v>
      </c>
      <c r="H608" s="20" t="str">
        <f t="shared" si="46"/>
        <v>Friday</v>
      </c>
      <c r="I608">
        <v>3</v>
      </c>
      <c r="J608" s="20" t="str">
        <f t="shared" si="48"/>
        <v>Light Rain</v>
      </c>
      <c r="K608">
        <v>0.18</v>
      </c>
      <c r="L608" s="20" t="str">
        <f t="shared" si="49"/>
        <v>Safe</v>
      </c>
      <c r="M608" s="20">
        <f t="shared" si="47"/>
        <v>0</v>
      </c>
    </row>
    <row r="609" spans="1:13" x14ac:dyDescent="0.3">
      <c r="A609">
        <v>608</v>
      </c>
      <c r="B609" s="46">
        <v>40571</v>
      </c>
      <c r="C609">
        <v>1</v>
      </c>
      <c r="D609">
        <v>13</v>
      </c>
      <c r="E609" t="b">
        <v>0</v>
      </c>
      <c r="F609">
        <v>5</v>
      </c>
      <c r="G609" s="20" t="str">
        <f t="shared" si="45"/>
        <v>No</v>
      </c>
      <c r="H609" s="20" t="str">
        <f t="shared" si="46"/>
        <v>Friday</v>
      </c>
      <c r="I609">
        <v>3</v>
      </c>
      <c r="J609" s="20" t="str">
        <f t="shared" si="48"/>
        <v>Light Rain</v>
      </c>
      <c r="K609">
        <v>0.18</v>
      </c>
      <c r="L609" s="20" t="str">
        <f t="shared" si="49"/>
        <v>Safe</v>
      </c>
      <c r="M609" s="20">
        <f t="shared" si="47"/>
        <v>0</v>
      </c>
    </row>
    <row r="610" spans="1:13" x14ac:dyDescent="0.3">
      <c r="A610">
        <v>609</v>
      </c>
      <c r="B610" s="46">
        <v>40571</v>
      </c>
      <c r="C610">
        <v>1</v>
      </c>
      <c r="D610">
        <v>14</v>
      </c>
      <c r="E610" t="b">
        <v>0</v>
      </c>
      <c r="F610">
        <v>5</v>
      </c>
      <c r="G610" s="20" t="str">
        <f t="shared" si="45"/>
        <v>No</v>
      </c>
      <c r="H610" s="20" t="str">
        <f t="shared" si="46"/>
        <v>Friday</v>
      </c>
      <c r="I610">
        <v>3</v>
      </c>
      <c r="J610" s="20" t="str">
        <f t="shared" si="48"/>
        <v>Light Rain</v>
      </c>
      <c r="K610">
        <v>0.22</v>
      </c>
      <c r="L610" s="20" t="str">
        <f t="shared" si="49"/>
        <v>Safe</v>
      </c>
      <c r="M610" s="20">
        <f t="shared" si="47"/>
        <v>0</v>
      </c>
    </row>
    <row r="611" spans="1:13" x14ac:dyDescent="0.3">
      <c r="A611">
        <v>610</v>
      </c>
      <c r="B611" s="46">
        <v>40571</v>
      </c>
      <c r="C611">
        <v>1</v>
      </c>
      <c r="D611">
        <v>15</v>
      </c>
      <c r="E611" t="b">
        <v>0</v>
      </c>
      <c r="F611">
        <v>5</v>
      </c>
      <c r="G611" s="20" t="str">
        <f t="shared" si="45"/>
        <v>No</v>
      </c>
      <c r="H611" s="20" t="str">
        <f t="shared" si="46"/>
        <v>Friday</v>
      </c>
      <c r="I611">
        <v>2</v>
      </c>
      <c r="J611" s="20" t="str">
        <f t="shared" si="48"/>
        <v>Misty</v>
      </c>
      <c r="K611">
        <v>0.2</v>
      </c>
      <c r="L611" s="20" t="str">
        <f t="shared" si="49"/>
        <v>Safe</v>
      </c>
      <c r="M611" s="20">
        <f t="shared" si="47"/>
        <v>0</v>
      </c>
    </row>
  </sheetData>
  <sortState xmlns:xlrd2="http://schemas.microsoft.com/office/spreadsheetml/2017/richdata2" ref="A2:K611">
    <sortCondition ref="A1:A611"/>
  </sortSt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AD459-FFEC-4FBC-B416-CF1546685828}">
  <dimension ref="A1:H611"/>
  <sheetViews>
    <sheetView workbookViewId="0">
      <selection activeCell="F23" sqref="F23"/>
    </sheetView>
  </sheetViews>
  <sheetFormatPr defaultRowHeight="14.4" x14ac:dyDescent="0.3"/>
  <sheetData>
    <row r="1" spans="1:8" ht="28.8" x14ac:dyDescent="0.3">
      <c r="A1" s="68" t="s">
        <v>75</v>
      </c>
      <c r="B1" s="68" t="s">
        <v>65</v>
      </c>
      <c r="C1" s="68" t="s">
        <v>12</v>
      </c>
      <c r="D1" s="68" t="s">
        <v>76</v>
      </c>
      <c r="E1" s="68" t="s">
        <v>77</v>
      </c>
      <c r="F1" s="68" t="s">
        <v>78</v>
      </c>
      <c r="G1" s="68" t="s">
        <v>79</v>
      </c>
      <c r="H1" s="68" t="s">
        <v>80</v>
      </c>
    </row>
    <row r="2" spans="1:8" x14ac:dyDescent="0.3">
      <c r="A2" s="69">
        <v>0</v>
      </c>
      <c r="B2" s="69">
        <v>1</v>
      </c>
      <c r="C2" s="69">
        <v>0.28789999999999999</v>
      </c>
      <c r="D2" s="69">
        <v>0.81</v>
      </c>
      <c r="E2" s="69">
        <v>0</v>
      </c>
      <c r="F2" s="69">
        <v>3</v>
      </c>
      <c r="G2" s="69">
        <v>13</v>
      </c>
      <c r="H2" s="69">
        <v>16</v>
      </c>
    </row>
    <row r="3" spans="1:8" x14ac:dyDescent="0.3">
      <c r="A3" s="69">
        <v>1</v>
      </c>
      <c r="B3" s="69">
        <v>2</v>
      </c>
      <c r="C3" s="69">
        <v>0.2727</v>
      </c>
      <c r="D3" s="69">
        <v>0.8</v>
      </c>
      <c r="E3" s="69">
        <v>0</v>
      </c>
      <c r="F3" s="69">
        <v>8</v>
      </c>
      <c r="G3" s="69">
        <v>32</v>
      </c>
      <c r="H3" s="69">
        <v>40</v>
      </c>
    </row>
    <row r="4" spans="1:8" x14ac:dyDescent="0.3">
      <c r="A4" s="69">
        <v>2</v>
      </c>
      <c r="B4" s="69">
        <v>3</v>
      </c>
      <c r="C4" s="69">
        <v>0.2727</v>
      </c>
      <c r="D4" s="69">
        <v>0.8</v>
      </c>
      <c r="E4" s="69">
        <v>0</v>
      </c>
      <c r="F4" s="69">
        <v>5</v>
      </c>
      <c r="G4" s="69">
        <v>27</v>
      </c>
      <c r="H4" s="69">
        <v>32</v>
      </c>
    </row>
    <row r="5" spans="1:8" x14ac:dyDescent="0.3">
      <c r="A5" s="69">
        <v>3</v>
      </c>
      <c r="B5" s="69">
        <v>4</v>
      </c>
      <c r="C5" s="69">
        <v>0.28789999999999999</v>
      </c>
      <c r="D5" s="69">
        <v>0.75</v>
      </c>
      <c r="E5" s="69">
        <v>0</v>
      </c>
      <c r="F5" s="69">
        <v>3</v>
      </c>
      <c r="G5" s="69">
        <v>10</v>
      </c>
      <c r="H5" s="69">
        <v>13</v>
      </c>
    </row>
    <row r="6" spans="1:8" x14ac:dyDescent="0.3">
      <c r="A6" s="69">
        <v>4</v>
      </c>
      <c r="B6" s="69">
        <v>5</v>
      </c>
      <c r="C6" s="69">
        <v>0.28789999999999999</v>
      </c>
      <c r="D6" s="69">
        <v>0.75</v>
      </c>
      <c r="E6" s="69">
        <v>0</v>
      </c>
      <c r="F6" s="69">
        <v>0</v>
      </c>
      <c r="G6" s="69">
        <v>1</v>
      </c>
      <c r="H6" s="69">
        <v>1</v>
      </c>
    </row>
    <row r="7" spans="1:8" x14ac:dyDescent="0.3">
      <c r="A7" s="69">
        <v>5</v>
      </c>
      <c r="B7" s="69">
        <v>6</v>
      </c>
      <c r="C7" s="69">
        <v>0.2576</v>
      </c>
      <c r="D7" s="69">
        <v>0.75</v>
      </c>
      <c r="E7" s="69">
        <v>8.9599999999999999E-2</v>
      </c>
      <c r="F7" s="69">
        <v>0</v>
      </c>
      <c r="G7" s="69">
        <v>1</v>
      </c>
      <c r="H7" s="69">
        <v>1</v>
      </c>
    </row>
    <row r="8" spans="1:8" x14ac:dyDescent="0.3">
      <c r="A8" s="69">
        <v>6</v>
      </c>
      <c r="B8" s="69">
        <v>7</v>
      </c>
      <c r="C8" s="69">
        <v>0.2727</v>
      </c>
      <c r="D8" s="69">
        <v>0.8</v>
      </c>
      <c r="E8" s="69">
        <v>0</v>
      </c>
      <c r="F8" s="69">
        <v>2</v>
      </c>
      <c r="G8" s="69">
        <v>0</v>
      </c>
      <c r="H8" s="69">
        <v>2</v>
      </c>
    </row>
    <row r="9" spans="1:8" x14ac:dyDescent="0.3">
      <c r="A9" s="69">
        <v>7</v>
      </c>
      <c r="B9" s="69">
        <v>8</v>
      </c>
      <c r="C9" s="69">
        <v>0.2576</v>
      </c>
      <c r="D9" s="69">
        <v>0.86</v>
      </c>
      <c r="E9" s="69">
        <v>0</v>
      </c>
      <c r="F9" s="69">
        <v>1</v>
      </c>
      <c r="G9" s="69">
        <v>2</v>
      </c>
      <c r="H9" s="69">
        <v>3</v>
      </c>
    </row>
    <row r="10" spans="1:8" x14ac:dyDescent="0.3">
      <c r="A10" s="69">
        <v>8</v>
      </c>
      <c r="B10" s="69">
        <v>9</v>
      </c>
      <c r="C10" s="68"/>
      <c r="D10" s="69">
        <v>0.75</v>
      </c>
      <c r="E10" s="69">
        <v>0</v>
      </c>
      <c r="F10" s="69">
        <v>1</v>
      </c>
      <c r="G10" s="69">
        <v>7</v>
      </c>
      <c r="H10" s="69">
        <v>8</v>
      </c>
    </row>
    <row r="11" spans="1:8" x14ac:dyDescent="0.3">
      <c r="A11" s="69">
        <v>9</v>
      </c>
      <c r="B11" s="69">
        <v>10</v>
      </c>
      <c r="C11" s="69">
        <v>0.34849999999999998</v>
      </c>
      <c r="D11" s="69">
        <v>0.76</v>
      </c>
      <c r="E11" s="69">
        <v>0</v>
      </c>
      <c r="F11" s="69">
        <v>8</v>
      </c>
      <c r="G11" s="69">
        <v>6</v>
      </c>
      <c r="H11" s="69">
        <v>14</v>
      </c>
    </row>
    <row r="12" spans="1:8" x14ac:dyDescent="0.3">
      <c r="A12" s="69">
        <v>10</v>
      </c>
      <c r="B12" s="69">
        <v>11</v>
      </c>
      <c r="C12" s="69">
        <v>0.39389999999999997</v>
      </c>
      <c r="D12" s="69">
        <v>0.76</v>
      </c>
      <c r="E12" s="69">
        <v>0.25369999999999998</v>
      </c>
      <c r="F12" s="69">
        <v>12</v>
      </c>
      <c r="G12" s="69">
        <v>24</v>
      </c>
      <c r="H12" s="69">
        <v>36</v>
      </c>
    </row>
    <row r="13" spans="1:8" x14ac:dyDescent="0.3">
      <c r="A13" s="69">
        <v>11</v>
      </c>
      <c r="B13" s="69">
        <v>12</v>
      </c>
      <c r="C13" s="69">
        <v>0.33329999999999999</v>
      </c>
      <c r="D13" s="69">
        <v>0.81</v>
      </c>
      <c r="E13" s="69">
        <v>0.28360000000000002</v>
      </c>
      <c r="F13" s="69">
        <v>26</v>
      </c>
      <c r="G13" s="69">
        <v>30</v>
      </c>
      <c r="H13" s="69">
        <v>56</v>
      </c>
    </row>
    <row r="14" spans="1:8" x14ac:dyDescent="0.3">
      <c r="A14" s="69">
        <v>12</v>
      </c>
      <c r="B14" s="69">
        <v>13</v>
      </c>
      <c r="C14" s="69">
        <v>0.42420000000000002</v>
      </c>
      <c r="D14" s="69">
        <v>0.77</v>
      </c>
      <c r="E14" s="69">
        <v>0.28360000000000002</v>
      </c>
      <c r="F14" s="69">
        <v>29</v>
      </c>
      <c r="G14" s="69">
        <v>55</v>
      </c>
      <c r="H14" s="69">
        <v>84</v>
      </c>
    </row>
    <row r="15" spans="1:8" x14ac:dyDescent="0.3">
      <c r="A15" s="69">
        <v>13</v>
      </c>
      <c r="B15" s="69">
        <v>14</v>
      </c>
      <c r="C15" s="69">
        <v>0.45450000000000002</v>
      </c>
      <c r="D15" s="69">
        <v>0.72</v>
      </c>
      <c r="E15" s="69">
        <v>0.29849999999999999</v>
      </c>
      <c r="F15" s="69">
        <v>47</v>
      </c>
      <c r="G15" s="69">
        <v>47</v>
      </c>
      <c r="H15" s="69">
        <v>94</v>
      </c>
    </row>
    <row r="16" spans="1:8" x14ac:dyDescent="0.3">
      <c r="A16" s="69">
        <v>14</v>
      </c>
      <c r="B16" s="69">
        <v>15</v>
      </c>
      <c r="C16" s="69">
        <v>0.45450000000000002</v>
      </c>
      <c r="D16" s="69">
        <v>0.72</v>
      </c>
      <c r="E16" s="69">
        <v>0.28360000000000002</v>
      </c>
      <c r="F16" s="69">
        <v>35</v>
      </c>
      <c r="G16" s="69">
        <v>71</v>
      </c>
      <c r="H16" s="69">
        <v>106</v>
      </c>
    </row>
    <row r="17" spans="1:8" x14ac:dyDescent="0.3">
      <c r="A17" s="69">
        <v>15</v>
      </c>
      <c r="B17" s="69">
        <v>16</v>
      </c>
      <c r="C17" s="69">
        <v>0.43940000000000001</v>
      </c>
      <c r="D17" s="69">
        <v>0.77</v>
      </c>
      <c r="E17" s="69">
        <v>0.29849999999999999</v>
      </c>
      <c r="F17" s="69">
        <v>40</v>
      </c>
      <c r="G17" s="69">
        <v>70</v>
      </c>
      <c r="H17" s="69">
        <v>110</v>
      </c>
    </row>
    <row r="18" spans="1:8" x14ac:dyDescent="0.3">
      <c r="A18" s="69">
        <v>16</v>
      </c>
      <c r="B18" s="69">
        <v>17</v>
      </c>
      <c r="C18" s="69">
        <v>0.42420000000000002</v>
      </c>
      <c r="D18" s="69">
        <v>0.82</v>
      </c>
      <c r="E18" s="69">
        <v>0.29849999999999999</v>
      </c>
      <c r="F18" s="69">
        <v>41</v>
      </c>
      <c r="G18" s="69">
        <v>52</v>
      </c>
      <c r="H18" s="69">
        <v>93</v>
      </c>
    </row>
    <row r="19" spans="1:8" x14ac:dyDescent="0.3">
      <c r="A19" s="69">
        <v>17</v>
      </c>
      <c r="B19" s="69">
        <v>18</v>
      </c>
      <c r="C19" s="68"/>
      <c r="D19" s="69">
        <v>0.82</v>
      </c>
      <c r="E19" s="69">
        <v>0.28360000000000002</v>
      </c>
      <c r="F19" s="69">
        <v>15</v>
      </c>
      <c r="G19" s="69">
        <v>52</v>
      </c>
      <c r="H19" s="69">
        <v>67</v>
      </c>
    </row>
    <row r="20" spans="1:8" x14ac:dyDescent="0.3">
      <c r="A20" s="69">
        <v>18</v>
      </c>
      <c r="B20" s="69">
        <v>19</v>
      </c>
      <c r="C20" s="69">
        <v>0.42420000000000002</v>
      </c>
      <c r="D20" s="69">
        <v>0.88</v>
      </c>
      <c r="E20" s="69">
        <v>0.25369999999999998</v>
      </c>
      <c r="F20" s="69">
        <v>9</v>
      </c>
      <c r="G20" s="69">
        <v>26</v>
      </c>
      <c r="H20" s="69">
        <v>35</v>
      </c>
    </row>
    <row r="21" spans="1:8" x14ac:dyDescent="0.3">
      <c r="A21" s="69">
        <v>19</v>
      </c>
      <c r="B21" s="69">
        <v>20</v>
      </c>
      <c r="C21" s="69">
        <v>0.42420000000000002</v>
      </c>
      <c r="D21" s="69">
        <v>0.88</v>
      </c>
      <c r="E21" s="69">
        <v>0.25369999999999998</v>
      </c>
      <c r="F21" s="69">
        <v>6</v>
      </c>
      <c r="G21" s="69">
        <v>31</v>
      </c>
      <c r="H21" s="69">
        <v>37</v>
      </c>
    </row>
    <row r="22" spans="1:8" x14ac:dyDescent="0.3">
      <c r="A22" s="69">
        <v>20</v>
      </c>
      <c r="B22" s="69">
        <v>21</v>
      </c>
      <c r="C22" s="69">
        <v>0.40910000000000002</v>
      </c>
      <c r="D22" s="69">
        <v>0.87</v>
      </c>
      <c r="E22" s="69">
        <v>0.25369999999999998</v>
      </c>
      <c r="F22" s="69">
        <v>11</v>
      </c>
      <c r="G22" s="69">
        <v>25</v>
      </c>
      <c r="H22" s="69">
        <v>36</v>
      </c>
    </row>
    <row r="23" spans="1:8" x14ac:dyDescent="0.3">
      <c r="A23" s="69">
        <v>21</v>
      </c>
      <c r="B23" s="69">
        <v>22</v>
      </c>
      <c r="C23" s="69">
        <v>0.40910000000000002</v>
      </c>
      <c r="D23" s="69">
        <v>0.87</v>
      </c>
      <c r="E23" s="69">
        <v>0.19400000000000001</v>
      </c>
      <c r="F23" s="69">
        <v>3</v>
      </c>
      <c r="G23" s="69">
        <v>31</v>
      </c>
      <c r="H23" s="69">
        <v>34</v>
      </c>
    </row>
    <row r="24" spans="1:8" x14ac:dyDescent="0.3">
      <c r="A24" s="69">
        <v>22</v>
      </c>
      <c r="B24" s="69">
        <v>23</v>
      </c>
      <c r="C24" s="69">
        <v>0.40910000000000002</v>
      </c>
      <c r="D24" s="69">
        <v>0.94</v>
      </c>
      <c r="E24" s="69">
        <v>0.22389999999999999</v>
      </c>
      <c r="F24" s="69">
        <v>11</v>
      </c>
      <c r="G24" s="69">
        <v>17</v>
      </c>
      <c r="H24" s="69">
        <v>28</v>
      </c>
    </row>
    <row r="25" spans="1:8" x14ac:dyDescent="0.3">
      <c r="A25" s="69">
        <v>23</v>
      </c>
      <c r="B25" s="69">
        <v>24</v>
      </c>
      <c r="C25" s="68"/>
      <c r="D25" s="69">
        <v>0.88</v>
      </c>
      <c r="E25" s="69">
        <v>0.29849999999999999</v>
      </c>
      <c r="F25" s="69">
        <v>15</v>
      </c>
      <c r="G25" s="69">
        <v>24</v>
      </c>
      <c r="H25" s="69">
        <v>39</v>
      </c>
    </row>
    <row r="26" spans="1:8" x14ac:dyDescent="0.3">
      <c r="A26" s="69">
        <v>24</v>
      </c>
      <c r="B26" s="69">
        <v>25</v>
      </c>
      <c r="C26" s="69">
        <v>0.45450000000000002</v>
      </c>
      <c r="D26" s="69">
        <v>0.88</v>
      </c>
      <c r="E26" s="69">
        <v>0.29849999999999999</v>
      </c>
      <c r="F26" s="69">
        <v>4</v>
      </c>
      <c r="G26" s="69">
        <v>13</v>
      </c>
      <c r="H26" s="69">
        <v>17</v>
      </c>
    </row>
    <row r="27" spans="1:8" x14ac:dyDescent="0.3">
      <c r="A27" s="69">
        <v>25</v>
      </c>
      <c r="B27" s="69">
        <v>26</v>
      </c>
      <c r="C27" s="69">
        <v>0.43940000000000001</v>
      </c>
      <c r="D27" s="69">
        <v>0.94</v>
      </c>
      <c r="E27" s="69">
        <v>0.25369999999999998</v>
      </c>
      <c r="F27" s="69">
        <v>1</v>
      </c>
      <c r="G27" s="69">
        <v>16</v>
      </c>
      <c r="H27" s="69">
        <v>17</v>
      </c>
    </row>
    <row r="28" spans="1:8" x14ac:dyDescent="0.3">
      <c r="A28" s="69">
        <v>26</v>
      </c>
      <c r="B28" s="69">
        <v>27</v>
      </c>
      <c r="C28" s="69">
        <v>0.42420000000000002</v>
      </c>
      <c r="D28" s="69">
        <v>1</v>
      </c>
      <c r="E28" s="69">
        <v>0.28360000000000002</v>
      </c>
      <c r="F28" s="69">
        <v>1</v>
      </c>
      <c r="G28" s="69">
        <v>8</v>
      </c>
      <c r="H28" s="69">
        <v>9</v>
      </c>
    </row>
    <row r="29" spans="1:8" x14ac:dyDescent="0.3">
      <c r="A29" s="69">
        <v>27</v>
      </c>
      <c r="B29" s="69">
        <v>28</v>
      </c>
      <c r="C29" s="69">
        <v>0.45450000000000002</v>
      </c>
      <c r="D29" s="69">
        <v>0.94</v>
      </c>
      <c r="E29" s="69">
        <v>0.19400000000000001</v>
      </c>
      <c r="F29" s="69">
        <v>2</v>
      </c>
      <c r="G29" s="69">
        <v>4</v>
      </c>
      <c r="H29" s="69">
        <v>6</v>
      </c>
    </row>
    <row r="30" spans="1:8" x14ac:dyDescent="0.3">
      <c r="A30" s="69">
        <v>28</v>
      </c>
      <c r="B30" s="69">
        <v>29</v>
      </c>
      <c r="C30" s="68"/>
      <c r="D30" s="69">
        <v>0.94</v>
      </c>
      <c r="E30" s="69">
        <v>0.19400000000000001</v>
      </c>
      <c r="F30" s="69">
        <v>2</v>
      </c>
      <c r="G30" s="69">
        <v>1</v>
      </c>
      <c r="H30" s="69">
        <v>3</v>
      </c>
    </row>
    <row r="31" spans="1:8" x14ac:dyDescent="0.3">
      <c r="A31" s="69">
        <v>29</v>
      </c>
      <c r="B31" s="69">
        <v>30</v>
      </c>
      <c r="C31" s="69">
        <v>0.42420000000000002</v>
      </c>
      <c r="D31" s="69">
        <v>0.77</v>
      </c>
      <c r="E31" s="69">
        <v>0.29849999999999999</v>
      </c>
      <c r="F31" s="69">
        <v>0</v>
      </c>
      <c r="G31" s="69">
        <v>2</v>
      </c>
      <c r="H31" s="69">
        <v>2</v>
      </c>
    </row>
    <row r="32" spans="1:8" x14ac:dyDescent="0.3">
      <c r="A32" s="69">
        <v>30</v>
      </c>
      <c r="B32" s="69">
        <v>31</v>
      </c>
      <c r="C32" s="69">
        <v>0.40910000000000002</v>
      </c>
      <c r="D32" s="69">
        <v>0.76</v>
      </c>
      <c r="E32" s="69">
        <v>0.19400000000000001</v>
      </c>
      <c r="F32" s="69">
        <v>0</v>
      </c>
      <c r="G32" s="69">
        <v>1</v>
      </c>
      <c r="H32" s="69">
        <v>1</v>
      </c>
    </row>
    <row r="33" spans="1:8" x14ac:dyDescent="0.3">
      <c r="A33" s="69">
        <v>31</v>
      </c>
      <c r="B33" s="69">
        <v>32</v>
      </c>
      <c r="C33" s="69">
        <v>0.40910000000000002</v>
      </c>
      <c r="D33" s="69">
        <v>0.71</v>
      </c>
      <c r="E33" s="69">
        <v>0.22389999999999999</v>
      </c>
      <c r="F33" s="69">
        <v>0</v>
      </c>
      <c r="G33" s="69">
        <v>8</v>
      </c>
      <c r="H33" s="69">
        <v>8</v>
      </c>
    </row>
    <row r="34" spans="1:8" x14ac:dyDescent="0.3">
      <c r="A34" s="69">
        <v>32</v>
      </c>
      <c r="B34" s="69">
        <v>33</v>
      </c>
      <c r="C34" s="68"/>
      <c r="D34" s="69">
        <v>0.76</v>
      </c>
      <c r="E34" s="69">
        <v>0.22389999999999999</v>
      </c>
      <c r="F34" s="69">
        <v>1</v>
      </c>
      <c r="G34" s="69">
        <v>19</v>
      </c>
      <c r="H34" s="69">
        <v>20</v>
      </c>
    </row>
    <row r="35" spans="1:8" x14ac:dyDescent="0.3">
      <c r="A35" s="69">
        <v>33</v>
      </c>
      <c r="B35" s="69">
        <v>34</v>
      </c>
      <c r="C35" s="69">
        <v>0.34849999999999998</v>
      </c>
      <c r="D35" s="69">
        <v>0.81</v>
      </c>
      <c r="E35" s="69">
        <v>0.22389999999999999</v>
      </c>
      <c r="F35" s="69">
        <v>7</v>
      </c>
      <c r="G35" s="69">
        <v>46</v>
      </c>
      <c r="H35" s="69">
        <v>53</v>
      </c>
    </row>
    <row r="36" spans="1:8" x14ac:dyDescent="0.3">
      <c r="A36" s="69">
        <v>34</v>
      </c>
      <c r="B36" s="69">
        <v>35</v>
      </c>
      <c r="C36" s="69">
        <v>0.33329999999999999</v>
      </c>
      <c r="D36" s="69">
        <v>0.71</v>
      </c>
      <c r="E36" s="69">
        <v>0.25369999999999998</v>
      </c>
      <c r="F36" s="69">
        <v>16</v>
      </c>
      <c r="G36" s="69">
        <v>54</v>
      </c>
      <c r="H36" s="69">
        <v>70</v>
      </c>
    </row>
    <row r="37" spans="1:8" x14ac:dyDescent="0.3">
      <c r="A37" s="69">
        <v>35</v>
      </c>
      <c r="B37" s="69">
        <v>36</v>
      </c>
      <c r="C37" s="69">
        <v>0.33329999999999999</v>
      </c>
      <c r="D37" s="69">
        <v>0.66</v>
      </c>
      <c r="E37" s="69">
        <v>0.29849999999999999</v>
      </c>
      <c r="F37" s="69">
        <v>20</v>
      </c>
      <c r="G37" s="69">
        <v>73</v>
      </c>
      <c r="H37" s="69">
        <v>93</v>
      </c>
    </row>
    <row r="38" spans="1:8" x14ac:dyDescent="0.3">
      <c r="A38" s="69">
        <v>36</v>
      </c>
      <c r="B38" s="69">
        <v>37</v>
      </c>
      <c r="C38" s="69">
        <v>0.34849999999999998</v>
      </c>
      <c r="D38" s="69">
        <v>0.66</v>
      </c>
      <c r="E38" s="69">
        <v>0.1343</v>
      </c>
      <c r="F38" s="69">
        <v>11</v>
      </c>
      <c r="G38" s="69">
        <v>64</v>
      </c>
      <c r="H38" s="69">
        <v>75</v>
      </c>
    </row>
    <row r="39" spans="1:8" x14ac:dyDescent="0.3">
      <c r="A39" s="69">
        <v>37</v>
      </c>
      <c r="B39" s="69">
        <v>38</v>
      </c>
      <c r="C39" s="68"/>
      <c r="D39" s="69">
        <v>0.76</v>
      </c>
      <c r="E39" s="69">
        <v>0.19400000000000001</v>
      </c>
      <c r="F39" s="69">
        <v>4</v>
      </c>
      <c r="G39" s="69">
        <v>55</v>
      </c>
      <c r="H39" s="69">
        <v>59</v>
      </c>
    </row>
    <row r="40" spans="1:8" x14ac:dyDescent="0.3">
      <c r="A40" s="69">
        <v>38</v>
      </c>
      <c r="B40" s="69">
        <v>39</v>
      </c>
      <c r="C40" s="69">
        <v>0.33329999999999999</v>
      </c>
      <c r="D40" s="69">
        <v>0.81</v>
      </c>
      <c r="E40" s="69">
        <v>0.16420000000000001</v>
      </c>
      <c r="F40" s="69">
        <v>19</v>
      </c>
      <c r="G40" s="69">
        <v>55</v>
      </c>
      <c r="H40" s="69">
        <v>74</v>
      </c>
    </row>
    <row r="41" spans="1:8" x14ac:dyDescent="0.3">
      <c r="A41" s="69">
        <v>39</v>
      </c>
      <c r="B41" s="69">
        <v>40</v>
      </c>
      <c r="C41" s="69">
        <v>0.33329999999999999</v>
      </c>
      <c r="D41" s="69">
        <v>0.71</v>
      </c>
      <c r="E41" s="69">
        <v>0.16420000000000001</v>
      </c>
      <c r="F41" s="69">
        <v>9</v>
      </c>
      <c r="G41" s="69">
        <v>67</v>
      </c>
      <c r="H41" s="69">
        <v>76</v>
      </c>
    </row>
    <row r="42" spans="1:8" x14ac:dyDescent="0.3">
      <c r="A42" s="69">
        <v>40</v>
      </c>
      <c r="B42" s="69">
        <v>41</v>
      </c>
      <c r="C42" s="69">
        <v>0.33329999999999999</v>
      </c>
      <c r="D42" s="69">
        <v>0.56999999999999995</v>
      </c>
      <c r="E42" s="69">
        <v>0.19400000000000001</v>
      </c>
      <c r="F42" s="69">
        <v>7</v>
      </c>
      <c r="G42" s="69">
        <v>58</v>
      </c>
      <c r="H42" s="69">
        <v>65</v>
      </c>
    </row>
    <row r="43" spans="1:8" x14ac:dyDescent="0.3">
      <c r="A43" s="69">
        <v>41</v>
      </c>
      <c r="B43" s="69">
        <v>42</v>
      </c>
      <c r="C43" s="69">
        <v>0.33329999999999999</v>
      </c>
      <c r="D43" s="69">
        <v>0.46</v>
      </c>
      <c r="E43" s="69">
        <v>0.32840000000000003</v>
      </c>
      <c r="F43" s="69">
        <v>10</v>
      </c>
      <c r="G43" s="69">
        <v>43</v>
      </c>
      <c r="H43" s="69">
        <v>53</v>
      </c>
    </row>
    <row r="44" spans="1:8" x14ac:dyDescent="0.3">
      <c r="A44" s="69">
        <v>42</v>
      </c>
      <c r="B44" s="69">
        <v>43</v>
      </c>
      <c r="C44" s="69">
        <v>0.28789999999999999</v>
      </c>
      <c r="D44" s="69">
        <v>0.42</v>
      </c>
      <c r="E44" s="69">
        <v>0.44779999999999998</v>
      </c>
      <c r="F44" s="69">
        <v>1</v>
      </c>
      <c r="G44" s="69">
        <v>29</v>
      </c>
      <c r="H44" s="69">
        <v>30</v>
      </c>
    </row>
    <row r="45" spans="1:8" x14ac:dyDescent="0.3">
      <c r="A45" s="69">
        <v>43</v>
      </c>
      <c r="B45" s="69">
        <v>44</v>
      </c>
      <c r="C45" s="68"/>
      <c r="D45" s="69">
        <v>0.39</v>
      </c>
      <c r="E45" s="69">
        <v>0.35820000000000002</v>
      </c>
      <c r="F45" s="69">
        <v>5</v>
      </c>
      <c r="G45" s="69">
        <v>17</v>
      </c>
      <c r="H45" s="69">
        <v>22</v>
      </c>
    </row>
    <row r="46" spans="1:8" x14ac:dyDescent="0.3">
      <c r="A46" s="69">
        <v>44</v>
      </c>
      <c r="B46" s="69">
        <v>45</v>
      </c>
      <c r="C46" s="69">
        <v>0.2273</v>
      </c>
      <c r="D46" s="69">
        <v>0.44</v>
      </c>
      <c r="E46" s="69">
        <v>0.32840000000000003</v>
      </c>
      <c r="F46" s="69">
        <v>11</v>
      </c>
      <c r="G46" s="69">
        <v>20</v>
      </c>
      <c r="H46" s="69">
        <v>31</v>
      </c>
    </row>
    <row r="47" spans="1:8" x14ac:dyDescent="0.3">
      <c r="A47" s="69">
        <v>45</v>
      </c>
      <c r="B47" s="69">
        <v>46</v>
      </c>
      <c r="C47" s="69">
        <v>0.21210000000000001</v>
      </c>
      <c r="D47" s="69">
        <v>0.44</v>
      </c>
      <c r="E47" s="69">
        <v>0.29849999999999999</v>
      </c>
      <c r="F47" s="69">
        <v>0</v>
      </c>
      <c r="G47" s="69">
        <v>9</v>
      </c>
      <c r="H47" s="69">
        <v>9</v>
      </c>
    </row>
    <row r="48" spans="1:8" x14ac:dyDescent="0.3">
      <c r="A48" s="69">
        <v>46</v>
      </c>
      <c r="B48" s="69">
        <v>47</v>
      </c>
      <c r="C48" s="69">
        <v>0.2273</v>
      </c>
      <c r="D48" s="69">
        <v>0.47</v>
      </c>
      <c r="E48" s="69">
        <v>0.16420000000000001</v>
      </c>
      <c r="F48" s="69">
        <v>0</v>
      </c>
      <c r="G48" s="69">
        <v>8</v>
      </c>
      <c r="H48" s="69">
        <v>8</v>
      </c>
    </row>
    <row r="49" spans="1:8" x14ac:dyDescent="0.3">
      <c r="A49" s="69">
        <v>47</v>
      </c>
      <c r="B49" s="69">
        <v>48</v>
      </c>
      <c r="C49" s="69">
        <v>0.19700000000000001</v>
      </c>
      <c r="D49" s="69">
        <v>0.44</v>
      </c>
      <c r="E49" s="69">
        <v>0.35820000000000002</v>
      </c>
      <c r="F49" s="69">
        <v>0</v>
      </c>
      <c r="G49" s="69">
        <v>5</v>
      </c>
      <c r="H49" s="69">
        <v>5</v>
      </c>
    </row>
    <row r="50" spans="1:8" x14ac:dyDescent="0.3">
      <c r="A50" s="69">
        <v>48</v>
      </c>
      <c r="B50" s="69">
        <v>49</v>
      </c>
      <c r="C50" s="68"/>
      <c r="D50" s="69">
        <v>0.44</v>
      </c>
      <c r="E50" s="69">
        <v>0.41789999999999999</v>
      </c>
      <c r="F50" s="69">
        <v>0</v>
      </c>
      <c r="G50" s="69">
        <v>2</v>
      </c>
      <c r="H50" s="69">
        <v>2</v>
      </c>
    </row>
    <row r="51" spans="1:8" x14ac:dyDescent="0.3">
      <c r="A51" s="69">
        <v>49</v>
      </c>
      <c r="B51" s="69">
        <v>50</v>
      </c>
      <c r="C51" s="69">
        <v>0.13639999999999999</v>
      </c>
      <c r="D51" s="69">
        <v>0.47</v>
      </c>
      <c r="E51" s="69">
        <v>0.3881</v>
      </c>
      <c r="F51" s="69">
        <v>0</v>
      </c>
      <c r="G51" s="69">
        <v>1</v>
      </c>
      <c r="H51" s="69">
        <v>1</v>
      </c>
    </row>
    <row r="52" spans="1:8" x14ac:dyDescent="0.3">
      <c r="A52" s="69">
        <v>50</v>
      </c>
      <c r="B52" s="69">
        <v>51</v>
      </c>
      <c r="C52" s="69">
        <v>0.13639999999999999</v>
      </c>
      <c r="D52" s="69">
        <v>0.47</v>
      </c>
      <c r="E52" s="69">
        <v>0.28360000000000002</v>
      </c>
      <c r="F52" s="69">
        <v>0</v>
      </c>
      <c r="G52" s="69">
        <v>3</v>
      </c>
      <c r="H52" s="69">
        <v>3</v>
      </c>
    </row>
    <row r="53" spans="1:8" x14ac:dyDescent="0.3">
      <c r="A53" s="69">
        <v>51</v>
      </c>
      <c r="B53" s="69">
        <v>52</v>
      </c>
      <c r="C53" s="69">
        <v>0.1061</v>
      </c>
      <c r="D53" s="69">
        <v>0.5</v>
      </c>
      <c r="E53" s="69">
        <v>0.3881</v>
      </c>
      <c r="F53" s="69">
        <v>0</v>
      </c>
      <c r="G53" s="69">
        <v>30</v>
      </c>
      <c r="H53" s="69">
        <v>30</v>
      </c>
    </row>
    <row r="54" spans="1:8" x14ac:dyDescent="0.3">
      <c r="A54" s="69">
        <v>52</v>
      </c>
      <c r="B54" s="69">
        <v>53</v>
      </c>
      <c r="C54" s="69">
        <v>0.13639999999999999</v>
      </c>
      <c r="D54" s="69">
        <v>0.5</v>
      </c>
      <c r="E54" s="69">
        <v>0.19400000000000001</v>
      </c>
      <c r="F54" s="69">
        <v>1</v>
      </c>
      <c r="G54" s="69">
        <v>63</v>
      </c>
      <c r="H54" s="69">
        <v>64</v>
      </c>
    </row>
    <row r="55" spans="1:8" x14ac:dyDescent="0.3">
      <c r="A55" s="69">
        <v>53</v>
      </c>
      <c r="B55" s="69">
        <v>54</v>
      </c>
      <c r="C55" s="69">
        <v>0.1212</v>
      </c>
      <c r="D55" s="69">
        <v>0.5</v>
      </c>
      <c r="E55" s="69">
        <v>0.28360000000000002</v>
      </c>
      <c r="F55" s="69">
        <v>1</v>
      </c>
      <c r="G55" s="69">
        <v>153</v>
      </c>
      <c r="H55" s="69">
        <v>154</v>
      </c>
    </row>
    <row r="56" spans="1:8" x14ac:dyDescent="0.3">
      <c r="A56" s="69">
        <v>54</v>
      </c>
      <c r="B56" s="69">
        <v>55</v>
      </c>
      <c r="C56" s="69">
        <v>0.13639999999999999</v>
      </c>
      <c r="D56" s="69">
        <v>0.43</v>
      </c>
      <c r="E56" s="69">
        <v>0.3881</v>
      </c>
      <c r="F56" s="69">
        <v>7</v>
      </c>
      <c r="G56" s="69">
        <v>81</v>
      </c>
      <c r="H56" s="69">
        <v>88</v>
      </c>
    </row>
    <row r="57" spans="1:8" x14ac:dyDescent="0.3">
      <c r="A57" s="69">
        <v>55</v>
      </c>
      <c r="B57" s="69">
        <v>56</v>
      </c>
      <c r="C57" s="69">
        <v>0.16669999999999999</v>
      </c>
      <c r="D57" s="69">
        <v>0.43</v>
      </c>
      <c r="E57" s="69">
        <v>0.25369999999999998</v>
      </c>
      <c r="F57" s="69">
        <v>11</v>
      </c>
      <c r="G57" s="69">
        <v>33</v>
      </c>
      <c r="H57" s="69">
        <v>44</v>
      </c>
    </row>
    <row r="58" spans="1:8" x14ac:dyDescent="0.3">
      <c r="A58" s="69">
        <v>56</v>
      </c>
      <c r="B58" s="69">
        <v>57</v>
      </c>
      <c r="C58" s="69">
        <v>0.18179999999999999</v>
      </c>
      <c r="D58" s="69">
        <v>0.4</v>
      </c>
      <c r="E58" s="69">
        <v>0.32840000000000003</v>
      </c>
      <c r="F58" s="69">
        <v>10</v>
      </c>
      <c r="G58" s="69">
        <v>41</v>
      </c>
      <c r="H58" s="69">
        <v>51</v>
      </c>
    </row>
    <row r="59" spans="1:8" x14ac:dyDescent="0.3">
      <c r="A59" s="69">
        <v>57</v>
      </c>
      <c r="B59" s="69">
        <v>58</v>
      </c>
      <c r="C59" s="69">
        <v>0.21210000000000001</v>
      </c>
      <c r="D59" s="69">
        <v>0.35</v>
      </c>
      <c r="E59" s="69">
        <v>0.29849999999999999</v>
      </c>
      <c r="F59" s="69">
        <v>13</v>
      </c>
      <c r="G59" s="69">
        <v>48</v>
      </c>
      <c r="H59" s="69">
        <v>61</v>
      </c>
    </row>
    <row r="60" spans="1:8" x14ac:dyDescent="0.3">
      <c r="A60" s="69">
        <v>58</v>
      </c>
      <c r="B60" s="69">
        <v>59</v>
      </c>
      <c r="C60" s="68"/>
      <c r="D60" s="69">
        <v>0.35</v>
      </c>
      <c r="E60" s="69">
        <v>0.28360000000000002</v>
      </c>
      <c r="F60" s="69">
        <v>8</v>
      </c>
      <c r="G60" s="69">
        <v>53</v>
      </c>
      <c r="H60" s="69">
        <v>61</v>
      </c>
    </row>
    <row r="61" spans="1:8" x14ac:dyDescent="0.3">
      <c r="A61" s="69">
        <v>59</v>
      </c>
      <c r="B61" s="69">
        <v>60</v>
      </c>
      <c r="C61" s="69">
        <v>0.2424</v>
      </c>
      <c r="D61" s="69">
        <v>0.3</v>
      </c>
      <c r="E61" s="69">
        <v>0.28360000000000002</v>
      </c>
      <c r="F61" s="69">
        <v>11</v>
      </c>
      <c r="G61" s="69">
        <v>66</v>
      </c>
      <c r="H61" s="69">
        <v>77</v>
      </c>
    </row>
    <row r="62" spans="1:8" x14ac:dyDescent="0.3">
      <c r="A62" s="69">
        <v>60</v>
      </c>
      <c r="B62" s="69">
        <v>61</v>
      </c>
      <c r="C62" s="69">
        <v>0.2424</v>
      </c>
      <c r="D62" s="69">
        <v>0.3</v>
      </c>
      <c r="E62" s="69">
        <v>0.25369999999999998</v>
      </c>
      <c r="F62" s="69">
        <v>14</v>
      </c>
      <c r="G62" s="69">
        <v>58</v>
      </c>
      <c r="H62" s="69">
        <v>72</v>
      </c>
    </row>
    <row r="63" spans="1:8" x14ac:dyDescent="0.3">
      <c r="A63" s="69">
        <v>61</v>
      </c>
      <c r="B63" s="69">
        <v>62</v>
      </c>
      <c r="C63" s="69">
        <v>0.2424</v>
      </c>
      <c r="D63" s="69">
        <v>0.3</v>
      </c>
      <c r="E63" s="69">
        <v>0.25369999999999998</v>
      </c>
      <c r="F63" s="69">
        <v>9</v>
      </c>
      <c r="G63" s="69">
        <v>67</v>
      </c>
      <c r="H63" s="69">
        <v>76</v>
      </c>
    </row>
    <row r="64" spans="1:8" x14ac:dyDescent="0.3">
      <c r="A64" s="69">
        <v>62</v>
      </c>
      <c r="B64" s="69">
        <v>63</v>
      </c>
      <c r="C64" s="69">
        <v>0.2273</v>
      </c>
      <c r="D64" s="69">
        <v>0.3</v>
      </c>
      <c r="E64" s="69">
        <v>0.22389999999999999</v>
      </c>
      <c r="F64" s="69">
        <v>11</v>
      </c>
      <c r="G64" s="69">
        <v>146</v>
      </c>
      <c r="H64" s="69">
        <v>157</v>
      </c>
    </row>
    <row r="65" spans="1:8" x14ac:dyDescent="0.3">
      <c r="A65" s="69">
        <v>63</v>
      </c>
      <c r="B65" s="69">
        <v>64</v>
      </c>
      <c r="C65" s="69">
        <v>0.2576</v>
      </c>
      <c r="D65" s="69">
        <v>0.32</v>
      </c>
      <c r="E65" s="69">
        <v>0.1045</v>
      </c>
      <c r="F65" s="69">
        <v>9</v>
      </c>
      <c r="G65" s="69">
        <v>148</v>
      </c>
      <c r="H65" s="69">
        <v>157</v>
      </c>
    </row>
    <row r="66" spans="1:8" x14ac:dyDescent="0.3">
      <c r="A66" s="69">
        <v>64</v>
      </c>
      <c r="B66" s="69">
        <v>65</v>
      </c>
      <c r="C66" s="69">
        <v>0.2576</v>
      </c>
      <c r="D66" s="69">
        <v>0.47</v>
      </c>
      <c r="E66" s="69">
        <v>0</v>
      </c>
      <c r="F66" s="69">
        <v>8</v>
      </c>
      <c r="G66" s="69">
        <v>102</v>
      </c>
      <c r="H66" s="69">
        <v>110</v>
      </c>
    </row>
    <row r="67" spans="1:8" x14ac:dyDescent="0.3">
      <c r="A67" s="69">
        <v>65</v>
      </c>
      <c r="B67" s="69">
        <v>66</v>
      </c>
      <c r="C67" s="68"/>
      <c r="D67" s="69">
        <v>0.47</v>
      </c>
      <c r="E67" s="69">
        <v>0.1045</v>
      </c>
      <c r="F67" s="69">
        <v>3</v>
      </c>
      <c r="G67" s="69">
        <v>49</v>
      </c>
      <c r="H67" s="69">
        <v>52</v>
      </c>
    </row>
    <row r="68" spans="1:8" x14ac:dyDescent="0.3">
      <c r="A68" s="69">
        <v>66</v>
      </c>
      <c r="B68" s="69">
        <v>67</v>
      </c>
      <c r="C68" s="69">
        <v>0.19700000000000001</v>
      </c>
      <c r="D68" s="69">
        <v>0.64</v>
      </c>
      <c r="E68" s="69">
        <v>0.1343</v>
      </c>
      <c r="F68" s="69">
        <v>3</v>
      </c>
      <c r="G68" s="69">
        <v>49</v>
      </c>
      <c r="H68" s="69">
        <v>52</v>
      </c>
    </row>
    <row r="69" spans="1:8" x14ac:dyDescent="0.3">
      <c r="A69" s="69">
        <v>67</v>
      </c>
      <c r="B69" s="69">
        <v>68</v>
      </c>
      <c r="C69" s="69">
        <v>0.1515</v>
      </c>
      <c r="D69" s="69">
        <v>0.69</v>
      </c>
      <c r="E69" s="69">
        <v>0.1343</v>
      </c>
      <c r="F69" s="69">
        <v>0</v>
      </c>
      <c r="G69" s="69">
        <v>20</v>
      </c>
      <c r="H69" s="69">
        <v>20</v>
      </c>
    </row>
    <row r="70" spans="1:8" x14ac:dyDescent="0.3">
      <c r="A70" s="69">
        <v>68</v>
      </c>
      <c r="B70" s="69">
        <v>69</v>
      </c>
      <c r="C70" s="69">
        <v>0.21210000000000001</v>
      </c>
      <c r="D70" s="69">
        <v>0.55000000000000004</v>
      </c>
      <c r="E70" s="69">
        <v>0.1045</v>
      </c>
      <c r="F70" s="69">
        <v>1</v>
      </c>
      <c r="G70" s="69">
        <v>11</v>
      </c>
      <c r="H70" s="69">
        <v>12</v>
      </c>
    </row>
    <row r="71" spans="1:8" x14ac:dyDescent="0.3">
      <c r="A71" s="69">
        <v>69</v>
      </c>
      <c r="B71" s="69">
        <v>70</v>
      </c>
      <c r="C71" s="68"/>
      <c r="D71" s="69">
        <v>0.55000000000000004</v>
      </c>
      <c r="E71" s="69">
        <v>0.1045</v>
      </c>
      <c r="F71" s="69">
        <v>0</v>
      </c>
      <c r="G71" s="69">
        <v>5</v>
      </c>
      <c r="H71" s="69">
        <v>5</v>
      </c>
    </row>
    <row r="72" spans="1:8" x14ac:dyDescent="0.3">
      <c r="A72" s="69">
        <v>70</v>
      </c>
      <c r="B72" s="69">
        <v>71</v>
      </c>
      <c r="C72" s="69">
        <v>0.18179999999999999</v>
      </c>
      <c r="D72" s="69">
        <v>0.59</v>
      </c>
      <c r="E72" s="69">
        <v>0.1045</v>
      </c>
      <c r="F72" s="69">
        <v>0</v>
      </c>
      <c r="G72" s="69">
        <v>2</v>
      </c>
      <c r="H72" s="69">
        <v>2</v>
      </c>
    </row>
    <row r="73" spans="1:8" x14ac:dyDescent="0.3">
      <c r="A73" s="69">
        <v>71</v>
      </c>
      <c r="B73" s="69">
        <v>72</v>
      </c>
      <c r="C73" s="69">
        <v>0.1515</v>
      </c>
      <c r="D73" s="69">
        <v>0.63</v>
      </c>
      <c r="E73" s="69">
        <v>0.1343</v>
      </c>
      <c r="F73" s="69">
        <v>0</v>
      </c>
      <c r="G73" s="69">
        <v>1</v>
      </c>
      <c r="H73" s="69">
        <v>1</v>
      </c>
    </row>
    <row r="74" spans="1:8" x14ac:dyDescent="0.3">
      <c r="A74" s="69">
        <v>72</v>
      </c>
      <c r="B74" s="69">
        <v>73</v>
      </c>
      <c r="C74" s="69">
        <v>0.18179999999999999</v>
      </c>
      <c r="D74" s="69">
        <v>0.63</v>
      </c>
      <c r="E74" s="69">
        <v>8.9599999999999999E-2</v>
      </c>
      <c r="F74" s="69">
        <v>0</v>
      </c>
      <c r="G74" s="69">
        <v>2</v>
      </c>
      <c r="H74" s="69">
        <v>2</v>
      </c>
    </row>
    <row r="75" spans="1:8" x14ac:dyDescent="0.3">
      <c r="A75" s="69">
        <v>73</v>
      </c>
      <c r="B75" s="69">
        <v>74</v>
      </c>
      <c r="C75" s="69">
        <v>0.1515</v>
      </c>
      <c r="D75" s="69">
        <v>0.68</v>
      </c>
      <c r="E75" s="69">
        <v>0.1045</v>
      </c>
      <c r="F75" s="69">
        <v>0</v>
      </c>
      <c r="G75" s="69">
        <v>4</v>
      </c>
      <c r="H75" s="69">
        <v>4</v>
      </c>
    </row>
    <row r="76" spans="1:8" x14ac:dyDescent="0.3">
      <c r="A76" s="69">
        <v>74</v>
      </c>
      <c r="B76" s="69">
        <v>75</v>
      </c>
      <c r="C76" s="69">
        <v>0.1515</v>
      </c>
      <c r="D76" s="69">
        <v>0.74</v>
      </c>
      <c r="E76" s="69">
        <v>0.1045</v>
      </c>
      <c r="F76" s="69">
        <v>0</v>
      </c>
      <c r="G76" s="69">
        <v>36</v>
      </c>
      <c r="H76" s="69">
        <v>36</v>
      </c>
    </row>
    <row r="77" spans="1:8" x14ac:dyDescent="0.3">
      <c r="A77" s="69">
        <v>75</v>
      </c>
      <c r="B77" s="69">
        <v>76</v>
      </c>
      <c r="C77" s="69">
        <v>0.1515</v>
      </c>
      <c r="D77" s="69">
        <v>0.74</v>
      </c>
      <c r="E77" s="69">
        <v>0.1343</v>
      </c>
      <c r="F77" s="69">
        <v>2</v>
      </c>
      <c r="G77" s="69">
        <v>92</v>
      </c>
      <c r="H77" s="69">
        <v>94</v>
      </c>
    </row>
    <row r="78" spans="1:8" x14ac:dyDescent="0.3">
      <c r="A78" s="69">
        <v>76</v>
      </c>
      <c r="B78" s="69">
        <v>77</v>
      </c>
      <c r="C78" s="69">
        <v>0.1515</v>
      </c>
      <c r="D78" s="69">
        <v>0.69</v>
      </c>
      <c r="E78" s="69">
        <v>0.16420000000000001</v>
      </c>
      <c r="F78" s="69">
        <v>2</v>
      </c>
      <c r="G78" s="69">
        <v>177</v>
      </c>
      <c r="H78" s="69">
        <v>179</v>
      </c>
    </row>
    <row r="79" spans="1:8" x14ac:dyDescent="0.3">
      <c r="A79" s="69">
        <v>77</v>
      </c>
      <c r="B79" s="69">
        <v>78</v>
      </c>
      <c r="C79" s="69">
        <v>0.1515</v>
      </c>
      <c r="D79" s="69">
        <v>0.64</v>
      </c>
      <c r="E79" s="69">
        <v>0.22389999999999999</v>
      </c>
      <c r="F79" s="69">
        <v>2</v>
      </c>
      <c r="G79" s="69">
        <v>98</v>
      </c>
      <c r="H79" s="69">
        <v>100</v>
      </c>
    </row>
    <row r="80" spans="1:8" x14ac:dyDescent="0.3">
      <c r="A80" s="69">
        <v>78</v>
      </c>
      <c r="B80" s="69">
        <v>79</v>
      </c>
      <c r="C80" s="69">
        <v>0.13639999999999999</v>
      </c>
      <c r="D80" s="69">
        <v>0.69</v>
      </c>
      <c r="E80" s="69">
        <v>0.32840000000000003</v>
      </c>
      <c r="F80" s="69">
        <v>5</v>
      </c>
      <c r="G80" s="69">
        <v>37</v>
      </c>
      <c r="H80" s="69">
        <v>42</v>
      </c>
    </row>
    <row r="81" spans="1:8" x14ac:dyDescent="0.3">
      <c r="A81" s="69">
        <v>79</v>
      </c>
      <c r="B81" s="69">
        <v>80</v>
      </c>
      <c r="C81" s="69">
        <v>0.21210000000000001</v>
      </c>
      <c r="D81" s="69">
        <v>0.51</v>
      </c>
      <c r="E81" s="69">
        <v>0.29849999999999999</v>
      </c>
      <c r="F81" s="69">
        <v>7</v>
      </c>
      <c r="G81" s="69">
        <v>50</v>
      </c>
      <c r="H81" s="69">
        <v>57</v>
      </c>
    </row>
    <row r="82" spans="1:8" x14ac:dyDescent="0.3">
      <c r="A82" s="69">
        <v>80</v>
      </c>
      <c r="B82" s="69">
        <v>81</v>
      </c>
      <c r="C82" s="69">
        <v>0.2273</v>
      </c>
      <c r="D82" s="69">
        <v>0.51</v>
      </c>
      <c r="E82" s="69">
        <v>0.16420000000000001</v>
      </c>
      <c r="F82" s="69">
        <v>12</v>
      </c>
      <c r="G82" s="69">
        <v>66</v>
      </c>
      <c r="H82" s="69">
        <v>78</v>
      </c>
    </row>
    <row r="83" spans="1:8" x14ac:dyDescent="0.3">
      <c r="A83" s="69">
        <v>81</v>
      </c>
      <c r="B83" s="69">
        <v>82</v>
      </c>
      <c r="C83" s="69">
        <v>0.2273</v>
      </c>
      <c r="D83" s="69">
        <v>0.56000000000000005</v>
      </c>
      <c r="E83" s="69">
        <v>0.19400000000000001</v>
      </c>
      <c r="F83" s="69">
        <v>18</v>
      </c>
      <c r="G83" s="69">
        <v>79</v>
      </c>
      <c r="H83" s="69">
        <v>97</v>
      </c>
    </row>
    <row r="84" spans="1:8" x14ac:dyDescent="0.3">
      <c r="A84" s="69">
        <v>82</v>
      </c>
      <c r="B84" s="69">
        <v>83</v>
      </c>
      <c r="C84" s="69">
        <v>0.2576</v>
      </c>
      <c r="D84" s="69">
        <v>0.52</v>
      </c>
      <c r="E84" s="69">
        <v>0.22389999999999999</v>
      </c>
      <c r="F84" s="69">
        <v>9</v>
      </c>
      <c r="G84" s="69">
        <v>54</v>
      </c>
      <c r="H84" s="69">
        <v>63</v>
      </c>
    </row>
    <row r="85" spans="1:8" x14ac:dyDescent="0.3">
      <c r="A85" s="69">
        <v>83</v>
      </c>
      <c r="B85" s="69">
        <v>84</v>
      </c>
      <c r="C85" s="69">
        <v>0.2727</v>
      </c>
      <c r="D85" s="69">
        <v>0.52</v>
      </c>
      <c r="E85" s="69">
        <v>0.25369999999999998</v>
      </c>
      <c r="F85" s="69">
        <v>17</v>
      </c>
      <c r="G85" s="69">
        <v>48</v>
      </c>
      <c r="H85" s="69">
        <v>65</v>
      </c>
    </row>
    <row r="86" spans="1:8" x14ac:dyDescent="0.3">
      <c r="A86" s="69">
        <v>84</v>
      </c>
      <c r="B86" s="69">
        <v>85</v>
      </c>
      <c r="C86" s="69">
        <v>0.28789999999999999</v>
      </c>
      <c r="D86" s="69">
        <v>0.49</v>
      </c>
      <c r="E86" s="69">
        <v>0.25369999999999998</v>
      </c>
      <c r="F86" s="69">
        <v>15</v>
      </c>
      <c r="G86" s="69">
        <v>68</v>
      </c>
      <c r="H86" s="69">
        <v>83</v>
      </c>
    </row>
    <row r="87" spans="1:8" x14ac:dyDescent="0.3">
      <c r="A87" s="69">
        <v>85</v>
      </c>
      <c r="B87" s="69">
        <v>86</v>
      </c>
      <c r="C87" s="69">
        <v>0.2727</v>
      </c>
      <c r="D87" s="69">
        <v>0.48</v>
      </c>
      <c r="E87" s="69">
        <v>0.22389999999999999</v>
      </c>
      <c r="F87" s="69">
        <v>10</v>
      </c>
      <c r="G87" s="69">
        <v>202</v>
      </c>
      <c r="H87" s="69">
        <v>212</v>
      </c>
    </row>
    <row r="88" spans="1:8" x14ac:dyDescent="0.3">
      <c r="A88" s="69">
        <v>86</v>
      </c>
      <c r="B88" s="69">
        <v>87</v>
      </c>
      <c r="C88" s="69">
        <v>0.2576</v>
      </c>
      <c r="D88" s="69">
        <v>0.48</v>
      </c>
      <c r="E88" s="69">
        <v>0.19400000000000001</v>
      </c>
      <c r="F88" s="69">
        <v>3</v>
      </c>
      <c r="G88" s="69">
        <v>179</v>
      </c>
      <c r="H88" s="69">
        <v>182</v>
      </c>
    </row>
    <row r="89" spans="1:8" x14ac:dyDescent="0.3">
      <c r="A89" s="69">
        <v>87</v>
      </c>
      <c r="B89" s="69">
        <v>88</v>
      </c>
      <c r="C89" s="69">
        <v>0.2576</v>
      </c>
      <c r="D89" s="69">
        <v>0.48</v>
      </c>
      <c r="E89" s="69">
        <v>0.1045</v>
      </c>
      <c r="F89" s="69">
        <v>2</v>
      </c>
      <c r="G89" s="69">
        <v>110</v>
      </c>
      <c r="H89" s="69">
        <v>112</v>
      </c>
    </row>
    <row r="90" spans="1:8" x14ac:dyDescent="0.3">
      <c r="A90" s="69">
        <v>88</v>
      </c>
      <c r="B90" s="69">
        <v>89</v>
      </c>
      <c r="C90" s="69">
        <v>0.2576</v>
      </c>
      <c r="D90" s="69">
        <v>0.48</v>
      </c>
      <c r="E90" s="69">
        <v>0.1045</v>
      </c>
      <c r="F90" s="69">
        <v>1</v>
      </c>
      <c r="G90" s="69">
        <v>53</v>
      </c>
      <c r="H90" s="69">
        <v>54</v>
      </c>
    </row>
    <row r="91" spans="1:8" x14ac:dyDescent="0.3">
      <c r="A91" s="69">
        <v>89</v>
      </c>
      <c r="B91" s="69">
        <v>90</v>
      </c>
      <c r="C91" s="69">
        <v>0.2727</v>
      </c>
      <c r="D91" s="69">
        <v>0.64</v>
      </c>
      <c r="E91" s="69">
        <v>0</v>
      </c>
      <c r="F91" s="69">
        <v>0</v>
      </c>
      <c r="G91" s="69">
        <v>48</v>
      </c>
      <c r="H91" s="69">
        <v>48</v>
      </c>
    </row>
    <row r="92" spans="1:8" x14ac:dyDescent="0.3">
      <c r="A92" s="69">
        <v>90</v>
      </c>
      <c r="B92" s="69">
        <v>91</v>
      </c>
      <c r="C92" s="69">
        <v>0.2576</v>
      </c>
      <c r="D92" s="69">
        <v>0.64</v>
      </c>
      <c r="E92" s="69">
        <v>8.9599999999999999E-2</v>
      </c>
      <c r="F92" s="69">
        <v>1</v>
      </c>
      <c r="G92" s="69">
        <v>34</v>
      </c>
      <c r="H92" s="69">
        <v>35</v>
      </c>
    </row>
    <row r="93" spans="1:8" x14ac:dyDescent="0.3">
      <c r="A93" s="69">
        <v>91</v>
      </c>
      <c r="B93" s="69">
        <v>92</v>
      </c>
      <c r="C93" s="69">
        <v>0.2273</v>
      </c>
      <c r="D93" s="69">
        <v>0.69</v>
      </c>
      <c r="E93" s="69">
        <v>8.9599999999999999E-2</v>
      </c>
      <c r="F93" s="69">
        <v>2</v>
      </c>
      <c r="G93" s="69">
        <v>9</v>
      </c>
      <c r="H93" s="69">
        <v>11</v>
      </c>
    </row>
    <row r="94" spans="1:8" x14ac:dyDescent="0.3">
      <c r="A94" s="69">
        <v>92</v>
      </c>
      <c r="B94" s="69">
        <v>93</v>
      </c>
      <c r="C94" s="69">
        <v>0.2576</v>
      </c>
      <c r="D94" s="69">
        <v>0.64</v>
      </c>
      <c r="E94" s="69">
        <v>0</v>
      </c>
      <c r="F94" s="69">
        <v>0</v>
      </c>
      <c r="G94" s="69">
        <v>6</v>
      </c>
      <c r="H94" s="69">
        <v>6</v>
      </c>
    </row>
    <row r="95" spans="1:8" x14ac:dyDescent="0.3">
      <c r="A95" s="69">
        <v>93</v>
      </c>
      <c r="B95" s="69">
        <v>94</v>
      </c>
      <c r="C95" s="69">
        <v>0.19700000000000001</v>
      </c>
      <c r="D95" s="69">
        <v>0.74</v>
      </c>
      <c r="E95" s="69">
        <v>8.9599999999999999E-2</v>
      </c>
      <c r="F95" s="69">
        <v>0</v>
      </c>
      <c r="G95" s="69">
        <v>6</v>
      </c>
      <c r="H95" s="69">
        <v>6</v>
      </c>
    </row>
    <row r="96" spans="1:8" x14ac:dyDescent="0.3">
      <c r="A96" s="69">
        <v>94</v>
      </c>
      <c r="B96" s="69">
        <v>95</v>
      </c>
      <c r="C96" s="69">
        <v>0.19700000000000001</v>
      </c>
      <c r="D96" s="69">
        <v>0.74</v>
      </c>
      <c r="E96" s="69">
        <v>8.9599999999999999E-2</v>
      </c>
      <c r="F96" s="69">
        <v>0</v>
      </c>
      <c r="G96" s="69">
        <v>2</v>
      </c>
      <c r="H96" s="69">
        <v>2</v>
      </c>
    </row>
    <row r="97" spans="1:8" x14ac:dyDescent="0.3">
      <c r="A97" s="69">
        <v>95</v>
      </c>
      <c r="B97" s="69">
        <v>96</v>
      </c>
      <c r="C97" s="69">
        <v>0.2273</v>
      </c>
      <c r="D97" s="69">
        <v>0.48</v>
      </c>
      <c r="E97" s="69">
        <v>0.22389999999999999</v>
      </c>
      <c r="F97" s="69">
        <v>0</v>
      </c>
      <c r="G97" s="69">
        <v>2</v>
      </c>
      <c r="H97" s="69">
        <v>2</v>
      </c>
    </row>
    <row r="98" spans="1:8" x14ac:dyDescent="0.3">
      <c r="A98" s="69">
        <v>96</v>
      </c>
      <c r="B98" s="69">
        <v>97</v>
      </c>
      <c r="C98" s="69">
        <v>0.2273</v>
      </c>
      <c r="D98" s="69">
        <v>0.47</v>
      </c>
      <c r="E98" s="69">
        <v>0.16420000000000001</v>
      </c>
      <c r="F98" s="69">
        <v>0</v>
      </c>
      <c r="G98" s="69">
        <v>3</v>
      </c>
      <c r="H98" s="69">
        <v>3</v>
      </c>
    </row>
    <row r="99" spans="1:8" x14ac:dyDescent="0.3">
      <c r="A99" s="69">
        <v>97</v>
      </c>
      <c r="B99" s="69">
        <v>98</v>
      </c>
      <c r="C99" s="69">
        <v>0.19700000000000001</v>
      </c>
      <c r="D99" s="69">
        <v>0.47</v>
      </c>
      <c r="E99" s="69">
        <v>0.22389999999999999</v>
      </c>
      <c r="F99" s="69">
        <v>0</v>
      </c>
      <c r="G99" s="69">
        <v>33</v>
      </c>
      <c r="H99" s="69">
        <v>33</v>
      </c>
    </row>
    <row r="100" spans="1:8" x14ac:dyDescent="0.3">
      <c r="A100" s="69">
        <v>98</v>
      </c>
      <c r="B100" s="69">
        <v>99</v>
      </c>
      <c r="C100" s="69">
        <v>0.18179999999999999</v>
      </c>
      <c r="D100" s="69">
        <v>0.43</v>
      </c>
      <c r="E100" s="69">
        <v>0.19400000000000001</v>
      </c>
      <c r="F100" s="69">
        <v>1</v>
      </c>
      <c r="G100" s="69">
        <v>87</v>
      </c>
      <c r="H100" s="69">
        <v>88</v>
      </c>
    </row>
    <row r="101" spans="1:8" x14ac:dyDescent="0.3">
      <c r="A101" s="69">
        <v>99</v>
      </c>
      <c r="B101" s="69">
        <v>100</v>
      </c>
      <c r="C101" s="69">
        <v>0.18179999999999999</v>
      </c>
      <c r="D101" s="69">
        <v>0.4</v>
      </c>
      <c r="E101" s="69">
        <v>0.29849999999999999</v>
      </c>
      <c r="F101" s="69">
        <v>3</v>
      </c>
      <c r="G101" s="69">
        <v>192</v>
      </c>
      <c r="H101" s="69">
        <v>195</v>
      </c>
    </row>
    <row r="102" spans="1:8" x14ac:dyDescent="0.3">
      <c r="A102" s="69">
        <v>100</v>
      </c>
      <c r="B102" s="69">
        <v>101</v>
      </c>
      <c r="C102" s="69">
        <v>0.19700000000000001</v>
      </c>
      <c r="D102" s="69">
        <v>0.37</v>
      </c>
      <c r="E102" s="69">
        <v>0.32840000000000003</v>
      </c>
      <c r="F102" s="69">
        <v>6</v>
      </c>
      <c r="G102" s="69">
        <v>109</v>
      </c>
      <c r="H102" s="69">
        <v>115</v>
      </c>
    </row>
    <row r="103" spans="1:8" x14ac:dyDescent="0.3">
      <c r="A103" s="69">
        <v>101</v>
      </c>
      <c r="B103" s="69">
        <v>102</v>
      </c>
      <c r="C103" s="69">
        <v>0.19700000000000001</v>
      </c>
      <c r="D103" s="69">
        <v>0.37</v>
      </c>
      <c r="E103" s="69">
        <v>0.32840000000000003</v>
      </c>
      <c r="F103" s="69">
        <v>4</v>
      </c>
      <c r="G103" s="69">
        <v>53</v>
      </c>
      <c r="H103" s="69">
        <v>57</v>
      </c>
    </row>
    <row r="104" spans="1:8" x14ac:dyDescent="0.3">
      <c r="A104" s="69">
        <v>102</v>
      </c>
      <c r="B104" s="69">
        <v>103</v>
      </c>
      <c r="C104" s="69">
        <v>0.2273</v>
      </c>
      <c r="D104" s="69">
        <v>0.33</v>
      </c>
      <c r="E104" s="69">
        <v>0.32840000000000003</v>
      </c>
      <c r="F104" s="69">
        <v>12</v>
      </c>
      <c r="G104" s="69">
        <v>34</v>
      </c>
      <c r="H104" s="69">
        <v>46</v>
      </c>
    </row>
    <row r="105" spans="1:8" x14ac:dyDescent="0.3">
      <c r="A105" s="69">
        <v>103</v>
      </c>
      <c r="B105" s="69">
        <v>104</v>
      </c>
      <c r="C105" s="69">
        <v>0.2273</v>
      </c>
      <c r="D105" s="69">
        <v>0.33</v>
      </c>
      <c r="E105" s="69">
        <v>0.32840000000000003</v>
      </c>
      <c r="F105" s="69">
        <v>5</v>
      </c>
      <c r="G105" s="69">
        <v>74</v>
      </c>
      <c r="H105" s="69">
        <v>79</v>
      </c>
    </row>
    <row r="106" spans="1:8" x14ac:dyDescent="0.3">
      <c r="A106" s="69">
        <v>104</v>
      </c>
      <c r="B106" s="69">
        <v>105</v>
      </c>
      <c r="C106" s="69">
        <v>0.2576</v>
      </c>
      <c r="D106" s="69">
        <v>0.3</v>
      </c>
      <c r="E106" s="69">
        <v>0.29849999999999999</v>
      </c>
      <c r="F106" s="69">
        <v>6</v>
      </c>
      <c r="G106" s="69">
        <v>65</v>
      </c>
      <c r="H106" s="69">
        <v>71</v>
      </c>
    </row>
    <row r="107" spans="1:8" x14ac:dyDescent="0.3">
      <c r="A107" s="69">
        <v>105</v>
      </c>
      <c r="B107" s="69">
        <v>106</v>
      </c>
      <c r="C107" s="69">
        <v>0.28789999999999999</v>
      </c>
      <c r="D107" s="69">
        <v>0.28000000000000003</v>
      </c>
      <c r="E107" s="69">
        <v>0.19400000000000001</v>
      </c>
      <c r="F107" s="69">
        <v>10</v>
      </c>
      <c r="G107" s="69">
        <v>52</v>
      </c>
      <c r="H107" s="69">
        <v>62</v>
      </c>
    </row>
    <row r="108" spans="1:8" x14ac:dyDescent="0.3">
      <c r="A108" s="69">
        <v>106</v>
      </c>
      <c r="B108" s="69">
        <v>107</v>
      </c>
      <c r="C108" s="69">
        <v>0.28789999999999999</v>
      </c>
      <c r="D108" s="69">
        <v>0.28000000000000003</v>
      </c>
      <c r="E108" s="69">
        <v>0.19400000000000001</v>
      </c>
      <c r="F108" s="69">
        <v>7</v>
      </c>
      <c r="G108" s="69">
        <v>55</v>
      </c>
      <c r="H108" s="69">
        <v>62</v>
      </c>
    </row>
    <row r="109" spans="1:8" x14ac:dyDescent="0.3">
      <c r="A109" s="69">
        <v>107</v>
      </c>
      <c r="B109" s="69">
        <v>108</v>
      </c>
      <c r="C109" s="69">
        <v>0.31819999999999998</v>
      </c>
      <c r="D109" s="69">
        <v>0.28000000000000003</v>
      </c>
      <c r="E109" s="69">
        <v>8.9599999999999999E-2</v>
      </c>
      <c r="F109" s="69">
        <v>4</v>
      </c>
      <c r="G109" s="69">
        <v>85</v>
      </c>
      <c r="H109" s="69">
        <v>89</v>
      </c>
    </row>
    <row r="110" spans="1:8" x14ac:dyDescent="0.3">
      <c r="A110" s="69">
        <v>108</v>
      </c>
      <c r="B110" s="69">
        <v>109</v>
      </c>
      <c r="C110" s="69">
        <v>0.2273</v>
      </c>
      <c r="D110" s="69">
        <v>0.38</v>
      </c>
      <c r="E110" s="69">
        <v>0.19400000000000001</v>
      </c>
      <c r="F110" s="69">
        <v>4</v>
      </c>
      <c r="G110" s="69">
        <v>186</v>
      </c>
      <c r="H110" s="69">
        <v>190</v>
      </c>
    </row>
    <row r="111" spans="1:8" x14ac:dyDescent="0.3">
      <c r="A111" s="69">
        <v>109</v>
      </c>
      <c r="B111" s="69">
        <v>110</v>
      </c>
      <c r="C111" s="69">
        <v>0.2424</v>
      </c>
      <c r="D111" s="69">
        <v>0.38</v>
      </c>
      <c r="E111" s="69">
        <v>0.1343</v>
      </c>
      <c r="F111" s="69">
        <v>3</v>
      </c>
      <c r="G111" s="69">
        <v>166</v>
      </c>
      <c r="H111" s="69">
        <v>169</v>
      </c>
    </row>
    <row r="112" spans="1:8" x14ac:dyDescent="0.3">
      <c r="A112" s="69">
        <v>110</v>
      </c>
      <c r="B112" s="69">
        <v>111</v>
      </c>
      <c r="C112" s="69">
        <v>0.2576</v>
      </c>
      <c r="D112" s="69">
        <v>0.38</v>
      </c>
      <c r="E112" s="69">
        <v>0.1045</v>
      </c>
      <c r="F112" s="69">
        <v>5</v>
      </c>
      <c r="G112" s="69">
        <v>127</v>
      </c>
      <c r="H112" s="69">
        <v>132</v>
      </c>
    </row>
    <row r="113" spans="1:8" x14ac:dyDescent="0.3">
      <c r="A113" s="69">
        <v>111</v>
      </c>
      <c r="B113" s="69">
        <v>112</v>
      </c>
      <c r="C113" s="69">
        <v>0.2273</v>
      </c>
      <c r="D113" s="69">
        <v>0.47</v>
      </c>
      <c r="E113" s="69">
        <v>0.16420000000000001</v>
      </c>
      <c r="F113" s="69">
        <v>7</v>
      </c>
      <c r="G113" s="69">
        <v>82</v>
      </c>
      <c r="H113" s="69">
        <v>89</v>
      </c>
    </row>
    <row r="114" spans="1:8" x14ac:dyDescent="0.3">
      <c r="A114" s="69">
        <v>112</v>
      </c>
      <c r="B114" s="69">
        <v>113</v>
      </c>
      <c r="C114" s="69">
        <v>0.19700000000000001</v>
      </c>
      <c r="D114" s="69">
        <v>0.51</v>
      </c>
      <c r="E114" s="69">
        <v>0.19400000000000001</v>
      </c>
      <c r="F114" s="69">
        <v>3</v>
      </c>
      <c r="G114" s="69">
        <v>40</v>
      </c>
      <c r="H114" s="69">
        <v>43</v>
      </c>
    </row>
    <row r="115" spans="1:8" x14ac:dyDescent="0.3">
      <c r="A115" s="69">
        <v>113</v>
      </c>
      <c r="B115" s="69">
        <v>114</v>
      </c>
      <c r="C115" s="69">
        <v>0.19700000000000001</v>
      </c>
      <c r="D115" s="69">
        <v>0.55000000000000004</v>
      </c>
      <c r="E115" s="69">
        <v>0.1343</v>
      </c>
      <c r="F115" s="69">
        <v>1</v>
      </c>
      <c r="G115" s="69">
        <v>41</v>
      </c>
      <c r="H115" s="69">
        <v>42</v>
      </c>
    </row>
    <row r="116" spans="1:8" x14ac:dyDescent="0.3">
      <c r="A116" s="69">
        <v>114</v>
      </c>
      <c r="B116" s="69">
        <v>115</v>
      </c>
      <c r="C116" s="69">
        <v>0.2576</v>
      </c>
      <c r="D116" s="69">
        <v>0.47</v>
      </c>
      <c r="E116" s="69">
        <v>0</v>
      </c>
      <c r="F116" s="69">
        <v>1</v>
      </c>
      <c r="G116" s="69">
        <v>18</v>
      </c>
      <c r="H116" s="69">
        <v>19</v>
      </c>
    </row>
    <row r="117" spans="1:8" x14ac:dyDescent="0.3">
      <c r="A117" s="69">
        <v>115</v>
      </c>
      <c r="B117" s="69">
        <v>116</v>
      </c>
      <c r="C117" s="69">
        <v>0.2424</v>
      </c>
      <c r="D117" s="69">
        <v>0.55000000000000004</v>
      </c>
      <c r="E117" s="69">
        <v>0</v>
      </c>
      <c r="F117" s="69">
        <v>0</v>
      </c>
      <c r="G117" s="69">
        <v>11</v>
      </c>
      <c r="H117" s="69">
        <v>11</v>
      </c>
    </row>
    <row r="118" spans="1:8" x14ac:dyDescent="0.3">
      <c r="A118" s="69">
        <v>116</v>
      </c>
      <c r="B118" s="69">
        <v>117</v>
      </c>
      <c r="C118" s="69">
        <v>0.2273</v>
      </c>
      <c r="D118" s="69">
        <v>0.64</v>
      </c>
      <c r="E118" s="69">
        <v>0</v>
      </c>
      <c r="F118" s="69">
        <v>0</v>
      </c>
      <c r="G118" s="69">
        <v>4</v>
      </c>
      <c r="H118" s="69">
        <v>4</v>
      </c>
    </row>
    <row r="119" spans="1:8" x14ac:dyDescent="0.3">
      <c r="A119" s="69">
        <v>117</v>
      </c>
      <c r="B119" s="69">
        <v>118</v>
      </c>
      <c r="C119" s="69">
        <v>0.2273</v>
      </c>
      <c r="D119" s="69">
        <v>0.64</v>
      </c>
      <c r="E119" s="69">
        <v>0</v>
      </c>
      <c r="F119" s="69">
        <v>0</v>
      </c>
      <c r="G119" s="69">
        <v>2</v>
      </c>
      <c r="H119" s="69">
        <v>2</v>
      </c>
    </row>
    <row r="120" spans="1:8" x14ac:dyDescent="0.3">
      <c r="A120" s="69">
        <v>118</v>
      </c>
      <c r="B120" s="69">
        <v>119</v>
      </c>
      <c r="C120" s="69">
        <v>0.19700000000000001</v>
      </c>
      <c r="D120" s="69">
        <v>0.64</v>
      </c>
      <c r="E120" s="69">
        <v>8.9599999999999999E-2</v>
      </c>
      <c r="F120" s="69">
        <v>0</v>
      </c>
      <c r="G120" s="69">
        <v>1</v>
      </c>
      <c r="H120" s="69">
        <v>1</v>
      </c>
    </row>
    <row r="121" spans="1:8" x14ac:dyDescent="0.3">
      <c r="A121" s="69">
        <v>119</v>
      </c>
      <c r="B121" s="69">
        <v>120</v>
      </c>
      <c r="C121" s="69">
        <v>0.18179999999999999</v>
      </c>
      <c r="D121" s="69">
        <v>0.69</v>
      </c>
      <c r="E121" s="69">
        <v>8.9599999999999999E-2</v>
      </c>
      <c r="F121" s="69">
        <v>0</v>
      </c>
      <c r="G121" s="69">
        <v>4</v>
      </c>
      <c r="H121" s="69">
        <v>4</v>
      </c>
    </row>
    <row r="122" spans="1:8" x14ac:dyDescent="0.3">
      <c r="A122" s="69">
        <v>120</v>
      </c>
      <c r="B122" s="69">
        <v>121</v>
      </c>
      <c r="C122" s="69">
        <v>0.16669999999999999</v>
      </c>
      <c r="D122" s="69">
        <v>0.63</v>
      </c>
      <c r="E122" s="69">
        <v>0.1045</v>
      </c>
      <c r="F122" s="69">
        <v>0</v>
      </c>
      <c r="G122" s="69">
        <v>36</v>
      </c>
      <c r="H122" s="69">
        <v>36</v>
      </c>
    </row>
    <row r="123" spans="1:8" x14ac:dyDescent="0.3">
      <c r="A123" s="69">
        <v>121</v>
      </c>
      <c r="B123" s="69">
        <v>122</v>
      </c>
      <c r="C123" s="69">
        <v>0.2273</v>
      </c>
      <c r="D123" s="69">
        <v>0.59</v>
      </c>
      <c r="E123" s="69">
        <v>0</v>
      </c>
      <c r="F123" s="69">
        <v>0</v>
      </c>
      <c r="G123" s="69">
        <v>95</v>
      </c>
      <c r="H123" s="69">
        <v>95</v>
      </c>
    </row>
    <row r="124" spans="1:8" x14ac:dyDescent="0.3">
      <c r="A124" s="69">
        <v>122</v>
      </c>
      <c r="B124" s="69">
        <v>123</v>
      </c>
      <c r="C124" s="69">
        <v>0.2273</v>
      </c>
      <c r="D124" s="69">
        <v>0.59</v>
      </c>
      <c r="E124" s="69">
        <v>0</v>
      </c>
      <c r="F124" s="69">
        <v>3</v>
      </c>
      <c r="G124" s="69">
        <v>216</v>
      </c>
      <c r="H124" s="69">
        <v>219</v>
      </c>
    </row>
    <row r="125" spans="1:8" x14ac:dyDescent="0.3">
      <c r="A125" s="69">
        <v>123</v>
      </c>
      <c r="B125" s="69">
        <v>124</v>
      </c>
      <c r="C125" s="69">
        <v>0.2424</v>
      </c>
      <c r="D125" s="69">
        <v>0.51</v>
      </c>
      <c r="E125" s="69">
        <v>0</v>
      </c>
      <c r="F125" s="69">
        <v>6</v>
      </c>
      <c r="G125" s="69">
        <v>116</v>
      </c>
      <c r="H125" s="69">
        <v>122</v>
      </c>
    </row>
    <row r="126" spans="1:8" x14ac:dyDescent="0.3">
      <c r="A126" s="69">
        <v>124</v>
      </c>
      <c r="B126" s="69">
        <v>125</v>
      </c>
      <c r="C126" s="69">
        <v>0.2576</v>
      </c>
      <c r="D126" s="69">
        <v>0.47</v>
      </c>
      <c r="E126" s="69">
        <v>0</v>
      </c>
      <c r="F126" s="69">
        <v>3</v>
      </c>
      <c r="G126" s="69">
        <v>42</v>
      </c>
      <c r="H126" s="69">
        <v>45</v>
      </c>
    </row>
    <row r="127" spans="1:8" x14ac:dyDescent="0.3">
      <c r="A127" s="69">
        <v>125</v>
      </c>
      <c r="B127" s="69">
        <v>126</v>
      </c>
      <c r="C127" s="69">
        <v>0.2576</v>
      </c>
      <c r="D127" s="69">
        <v>0.44</v>
      </c>
      <c r="E127" s="69">
        <v>8.9599999999999999E-2</v>
      </c>
      <c r="F127" s="69">
        <v>2</v>
      </c>
      <c r="G127" s="69">
        <v>57</v>
      </c>
      <c r="H127" s="69">
        <v>59</v>
      </c>
    </row>
    <row r="128" spans="1:8" x14ac:dyDescent="0.3">
      <c r="A128" s="69">
        <v>126</v>
      </c>
      <c r="B128" s="69">
        <v>127</v>
      </c>
      <c r="C128" s="69">
        <v>0.28789999999999999</v>
      </c>
      <c r="D128" s="69">
        <v>0.35</v>
      </c>
      <c r="E128" s="69">
        <v>0</v>
      </c>
      <c r="F128" s="69">
        <v>6</v>
      </c>
      <c r="G128" s="69">
        <v>78</v>
      </c>
      <c r="H128" s="69">
        <v>84</v>
      </c>
    </row>
    <row r="129" spans="1:8" x14ac:dyDescent="0.3">
      <c r="A129" s="69">
        <v>127</v>
      </c>
      <c r="B129" s="69">
        <v>128</v>
      </c>
      <c r="C129" s="69">
        <v>0.2727</v>
      </c>
      <c r="D129" s="69">
        <v>0.35</v>
      </c>
      <c r="E129" s="69">
        <v>0.1045</v>
      </c>
      <c r="F129" s="69">
        <v>12</v>
      </c>
      <c r="G129" s="69">
        <v>55</v>
      </c>
      <c r="H129" s="69">
        <v>67</v>
      </c>
    </row>
    <row r="130" spans="1:8" x14ac:dyDescent="0.3">
      <c r="A130" s="69">
        <v>128</v>
      </c>
      <c r="B130" s="69">
        <v>129</v>
      </c>
      <c r="C130" s="69">
        <v>0.2727</v>
      </c>
      <c r="D130" s="69">
        <v>0.36</v>
      </c>
      <c r="E130" s="69">
        <v>0.16420000000000001</v>
      </c>
      <c r="F130" s="69">
        <v>11</v>
      </c>
      <c r="G130" s="69">
        <v>59</v>
      </c>
      <c r="H130" s="69">
        <v>70</v>
      </c>
    </row>
    <row r="131" spans="1:8" x14ac:dyDescent="0.3">
      <c r="A131" s="69">
        <v>129</v>
      </c>
      <c r="B131" s="69">
        <v>130</v>
      </c>
      <c r="C131" s="69">
        <v>0.2727</v>
      </c>
      <c r="D131" s="69">
        <v>0.36</v>
      </c>
      <c r="E131" s="69">
        <v>0</v>
      </c>
      <c r="F131" s="69">
        <v>8</v>
      </c>
      <c r="G131" s="69">
        <v>54</v>
      </c>
      <c r="H131" s="69">
        <v>62</v>
      </c>
    </row>
    <row r="132" spans="1:8" x14ac:dyDescent="0.3">
      <c r="A132" s="69">
        <v>130</v>
      </c>
      <c r="B132" s="69">
        <v>131</v>
      </c>
      <c r="C132" s="69">
        <v>0.2576</v>
      </c>
      <c r="D132" s="69">
        <v>0.38</v>
      </c>
      <c r="E132" s="69">
        <v>0.16420000000000001</v>
      </c>
      <c r="F132" s="69">
        <v>12</v>
      </c>
      <c r="G132" s="69">
        <v>74</v>
      </c>
      <c r="H132" s="69">
        <v>86</v>
      </c>
    </row>
    <row r="133" spans="1:8" x14ac:dyDescent="0.3">
      <c r="A133" s="69">
        <v>131</v>
      </c>
      <c r="B133" s="69">
        <v>132</v>
      </c>
      <c r="C133" s="69">
        <v>0.2273</v>
      </c>
      <c r="D133" s="69">
        <v>0.51</v>
      </c>
      <c r="E133" s="69">
        <v>0.16420000000000001</v>
      </c>
      <c r="F133" s="69">
        <v>9</v>
      </c>
      <c r="G133" s="69">
        <v>163</v>
      </c>
      <c r="H133" s="69">
        <v>172</v>
      </c>
    </row>
    <row r="134" spans="1:8" x14ac:dyDescent="0.3">
      <c r="A134" s="69">
        <v>132</v>
      </c>
      <c r="B134" s="69">
        <v>133</v>
      </c>
      <c r="C134" s="69">
        <v>0.2273</v>
      </c>
      <c r="D134" s="69">
        <v>0.51</v>
      </c>
      <c r="E134" s="69">
        <v>0.1343</v>
      </c>
      <c r="F134" s="69">
        <v>5</v>
      </c>
      <c r="G134" s="69">
        <v>158</v>
      </c>
      <c r="H134" s="69">
        <v>163</v>
      </c>
    </row>
    <row r="135" spans="1:8" x14ac:dyDescent="0.3">
      <c r="A135" s="69">
        <v>133</v>
      </c>
      <c r="B135" s="69">
        <v>134</v>
      </c>
      <c r="C135" s="69">
        <v>0.2576</v>
      </c>
      <c r="D135" s="69">
        <v>0.55000000000000004</v>
      </c>
      <c r="E135" s="69">
        <v>8.9599999999999999E-2</v>
      </c>
      <c r="F135" s="69">
        <v>3</v>
      </c>
      <c r="G135" s="69">
        <v>109</v>
      </c>
      <c r="H135" s="69">
        <v>112</v>
      </c>
    </row>
    <row r="136" spans="1:8" x14ac:dyDescent="0.3">
      <c r="A136" s="69">
        <v>134</v>
      </c>
      <c r="B136" s="69">
        <v>135</v>
      </c>
      <c r="C136" s="69">
        <v>0.21210000000000001</v>
      </c>
      <c r="D136" s="69">
        <v>0.51</v>
      </c>
      <c r="E136" s="69">
        <v>0.16420000000000001</v>
      </c>
      <c r="F136" s="69">
        <v>3</v>
      </c>
      <c r="G136" s="69">
        <v>66</v>
      </c>
      <c r="H136" s="69">
        <v>69</v>
      </c>
    </row>
    <row r="137" spans="1:8" x14ac:dyDescent="0.3">
      <c r="A137" s="69">
        <v>135</v>
      </c>
      <c r="B137" s="69">
        <v>136</v>
      </c>
      <c r="C137" s="69">
        <v>0.21210000000000001</v>
      </c>
      <c r="D137" s="69">
        <v>0.55000000000000004</v>
      </c>
      <c r="E137" s="69">
        <v>0.22389999999999999</v>
      </c>
      <c r="F137" s="69">
        <v>0</v>
      </c>
      <c r="G137" s="69">
        <v>48</v>
      </c>
      <c r="H137" s="69">
        <v>48</v>
      </c>
    </row>
    <row r="138" spans="1:8" x14ac:dyDescent="0.3">
      <c r="A138" s="69">
        <v>136</v>
      </c>
      <c r="B138" s="69">
        <v>137</v>
      </c>
      <c r="C138" s="69">
        <v>0.21210000000000001</v>
      </c>
      <c r="D138" s="69">
        <v>0.51</v>
      </c>
      <c r="E138" s="69">
        <v>0.28360000000000002</v>
      </c>
      <c r="F138" s="69">
        <v>1</v>
      </c>
      <c r="G138" s="69">
        <v>51</v>
      </c>
      <c r="H138" s="69">
        <v>52</v>
      </c>
    </row>
    <row r="139" spans="1:8" x14ac:dyDescent="0.3">
      <c r="A139" s="69">
        <v>137</v>
      </c>
      <c r="B139" s="69">
        <v>138</v>
      </c>
      <c r="C139" s="69">
        <v>0.19700000000000001</v>
      </c>
      <c r="D139" s="69">
        <v>0.59</v>
      </c>
      <c r="E139" s="69">
        <v>0.19400000000000001</v>
      </c>
      <c r="F139" s="69">
        <v>4</v>
      </c>
      <c r="G139" s="69">
        <v>19</v>
      </c>
      <c r="H139" s="69">
        <v>23</v>
      </c>
    </row>
    <row r="140" spans="1:8" x14ac:dyDescent="0.3">
      <c r="A140" s="69">
        <v>138</v>
      </c>
      <c r="B140" s="69">
        <v>139</v>
      </c>
      <c r="C140" s="69">
        <v>0.19700000000000001</v>
      </c>
      <c r="D140" s="69">
        <v>0.64</v>
      </c>
      <c r="E140" s="69">
        <v>0.19400000000000001</v>
      </c>
      <c r="F140" s="69">
        <v>4</v>
      </c>
      <c r="G140" s="69">
        <v>13</v>
      </c>
      <c r="H140" s="69">
        <v>17</v>
      </c>
    </row>
    <row r="141" spans="1:8" x14ac:dyDescent="0.3">
      <c r="A141" s="69">
        <v>139</v>
      </c>
      <c r="B141" s="69">
        <v>140</v>
      </c>
      <c r="C141" s="69">
        <v>0.19700000000000001</v>
      </c>
      <c r="D141" s="69">
        <v>0.69</v>
      </c>
      <c r="E141" s="69">
        <v>0.22389999999999999</v>
      </c>
      <c r="F141" s="69">
        <v>2</v>
      </c>
      <c r="G141" s="69">
        <v>5</v>
      </c>
      <c r="H141" s="69">
        <v>7</v>
      </c>
    </row>
    <row r="142" spans="1:8" x14ac:dyDescent="0.3">
      <c r="A142" s="69">
        <v>140</v>
      </c>
      <c r="B142" s="69">
        <v>141</v>
      </c>
      <c r="C142" s="69">
        <v>0.19700000000000001</v>
      </c>
      <c r="D142" s="69">
        <v>0.69</v>
      </c>
      <c r="E142" s="69">
        <v>0.22389999999999999</v>
      </c>
      <c r="F142" s="69">
        <v>0</v>
      </c>
      <c r="G142" s="69">
        <v>1</v>
      </c>
      <c r="H142" s="69">
        <v>1</v>
      </c>
    </row>
    <row r="143" spans="1:8" x14ac:dyDescent="0.3">
      <c r="A143" s="69">
        <v>141</v>
      </c>
      <c r="B143" s="69">
        <v>142</v>
      </c>
      <c r="C143" s="69">
        <v>0.21210000000000001</v>
      </c>
      <c r="D143" s="69">
        <v>0.69</v>
      </c>
      <c r="E143" s="69">
        <v>0.1343</v>
      </c>
      <c r="F143" s="69">
        <v>0</v>
      </c>
      <c r="G143" s="69">
        <v>1</v>
      </c>
      <c r="H143" s="69">
        <v>1</v>
      </c>
    </row>
    <row r="144" spans="1:8" x14ac:dyDescent="0.3">
      <c r="A144" s="69">
        <v>142</v>
      </c>
      <c r="B144" s="69">
        <v>143</v>
      </c>
      <c r="C144" s="69">
        <v>0.2727</v>
      </c>
      <c r="D144" s="69">
        <v>0.55000000000000004</v>
      </c>
      <c r="E144" s="69">
        <v>0</v>
      </c>
      <c r="F144" s="69">
        <v>0</v>
      </c>
      <c r="G144" s="69">
        <v>5</v>
      </c>
      <c r="H144" s="69">
        <v>5</v>
      </c>
    </row>
    <row r="145" spans="1:8" x14ac:dyDescent="0.3">
      <c r="A145" s="69">
        <v>143</v>
      </c>
      <c r="B145" s="69">
        <v>144</v>
      </c>
      <c r="C145" s="69">
        <v>0.2576</v>
      </c>
      <c r="D145" s="69">
        <v>0.69</v>
      </c>
      <c r="E145" s="69">
        <v>0</v>
      </c>
      <c r="F145" s="69">
        <v>8</v>
      </c>
      <c r="G145" s="69">
        <v>26</v>
      </c>
      <c r="H145" s="69">
        <v>34</v>
      </c>
    </row>
    <row r="146" spans="1:8" x14ac:dyDescent="0.3">
      <c r="A146" s="69">
        <v>144</v>
      </c>
      <c r="B146" s="69">
        <v>145</v>
      </c>
      <c r="C146" s="69">
        <v>0.21210000000000001</v>
      </c>
      <c r="D146" s="69">
        <v>0.69</v>
      </c>
      <c r="E146" s="69">
        <v>0.1343</v>
      </c>
      <c r="F146" s="69">
        <v>8</v>
      </c>
      <c r="G146" s="69">
        <v>76</v>
      </c>
      <c r="H146" s="69">
        <v>84</v>
      </c>
    </row>
    <row r="147" spans="1:8" x14ac:dyDescent="0.3">
      <c r="A147" s="69">
        <v>145</v>
      </c>
      <c r="B147" s="69">
        <v>146</v>
      </c>
      <c r="C147" s="69">
        <v>0.19700000000000001</v>
      </c>
      <c r="D147" s="69">
        <v>0.51</v>
      </c>
      <c r="E147" s="69">
        <v>0.25369999999999998</v>
      </c>
      <c r="F147" s="69">
        <v>20</v>
      </c>
      <c r="G147" s="69">
        <v>190</v>
      </c>
      <c r="H147" s="69">
        <v>210</v>
      </c>
    </row>
    <row r="148" spans="1:8" x14ac:dyDescent="0.3">
      <c r="A148" s="69">
        <v>146</v>
      </c>
      <c r="B148" s="69">
        <v>147</v>
      </c>
      <c r="C148" s="69">
        <v>0.18179999999999999</v>
      </c>
      <c r="D148" s="69">
        <v>0.47</v>
      </c>
      <c r="E148" s="69">
        <v>0.29849999999999999</v>
      </c>
      <c r="F148" s="69">
        <v>9</v>
      </c>
      <c r="G148" s="69">
        <v>125</v>
      </c>
      <c r="H148" s="69">
        <v>134</v>
      </c>
    </row>
    <row r="149" spans="1:8" x14ac:dyDescent="0.3">
      <c r="A149" s="69">
        <v>147</v>
      </c>
      <c r="B149" s="69">
        <v>148</v>
      </c>
      <c r="C149" s="69">
        <v>0.19700000000000001</v>
      </c>
      <c r="D149" s="69">
        <v>0.37</v>
      </c>
      <c r="E149" s="69">
        <v>0.32840000000000003</v>
      </c>
      <c r="F149" s="69">
        <v>16</v>
      </c>
      <c r="G149" s="69">
        <v>47</v>
      </c>
      <c r="H149" s="69">
        <v>63</v>
      </c>
    </row>
    <row r="150" spans="1:8" x14ac:dyDescent="0.3">
      <c r="A150" s="69">
        <v>148</v>
      </c>
      <c r="B150" s="69">
        <v>149</v>
      </c>
      <c r="C150" s="69">
        <v>0.19700000000000001</v>
      </c>
      <c r="D150" s="69">
        <v>0.4</v>
      </c>
      <c r="E150" s="69">
        <v>0.22389999999999999</v>
      </c>
      <c r="F150" s="69">
        <v>19</v>
      </c>
      <c r="G150" s="69">
        <v>48</v>
      </c>
      <c r="H150" s="69">
        <v>67</v>
      </c>
    </row>
    <row r="151" spans="1:8" x14ac:dyDescent="0.3">
      <c r="A151" s="69">
        <v>149</v>
      </c>
      <c r="B151" s="69">
        <v>150</v>
      </c>
      <c r="C151" s="69">
        <v>0.19700000000000001</v>
      </c>
      <c r="D151" s="69">
        <v>0.37</v>
      </c>
      <c r="E151" s="69">
        <v>0.25369999999999998</v>
      </c>
      <c r="F151" s="69">
        <v>9</v>
      </c>
      <c r="G151" s="69">
        <v>50</v>
      </c>
      <c r="H151" s="69">
        <v>59</v>
      </c>
    </row>
    <row r="152" spans="1:8" x14ac:dyDescent="0.3">
      <c r="A152" s="69">
        <v>150</v>
      </c>
      <c r="B152" s="69">
        <v>151</v>
      </c>
      <c r="C152" s="69">
        <v>0.18179999999999999</v>
      </c>
      <c r="D152" s="69">
        <v>0.37</v>
      </c>
      <c r="E152" s="69">
        <v>0.28360000000000002</v>
      </c>
      <c r="F152" s="69">
        <v>9</v>
      </c>
      <c r="G152" s="69">
        <v>64</v>
      </c>
      <c r="H152" s="69">
        <v>73</v>
      </c>
    </row>
    <row r="153" spans="1:8" x14ac:dyDescent="0.3">
      <c r="A153" s="69">
        <v>151</v>
      </c>
      <c r="B153" s="69">
        <v>152</v>
      </c>
      <c r="C153" s="69">
        <v>0.19700000000000001</v>
      </c>
      <c r="D153" s="69">
        <v>0.4</v>
      </c>
      <c r="E153" s="69">
        <v>0.25369999999999998</v>
      </c>
      <c r="F153" s="69">
        <v>7</v>
      </c>
      <c r="G153" s="69">
        <v>43</v>
      </c>
      <c r="H153" s="69">
        <v>50</v>
      </c>
    </row>
    <row r="154" spans="1:8" x14ac:dyDescent="0.3">
      <c r="A154" s="69">
        <v>152</v>
      </c>
      <c r="B154" s="69">
        <v>153</v>
      </c>
      <c r="C154" s="69">
        <v>0.21210000000000001</v>
      </c>
      <c r="D154" s="69">
        <v>0.37</v>
      </c>
      <c r="E154" s="69">
        <v>0.16420000000000001</v>
      </c>
      <c r="F154" s="69">
        <v>9</v>
      </c>
      <c r="G154" s="69">
        <v>63</v>
      </c>
      <c r="H154" s="69">
        <v>72</v>
      </c>
    </row>
    <row r="155" spans="1:8" x14ac:dyDescent="0.3">
      <c r="A155" s="69">
        <v>153</v>
      </c>
      <c r="B155" s="69">
        <v>154</v>
      </c>
      <c r="C155" s="69">
        <v>0.21210000000000001</v>
      </c>
      <c r="D155" s="69">
        <v>0.37</v>
      </c>
      <c r="E155" s="69">
        <v>0.16420000000000001</v>
      </c>
      <c r="F155" s="69">
        <v>5</v>
      </c>
      <c r="G155" s="69">
        <v>82</v>
      </c>
      <c r="H155" s="69">
        <v>87</v>
      </c>
    </row>
    <row r="156" spans="1:8" x14ac:dyDescent="0.3">
      <c r="A156" s="69">
        <v>154</v>
      </c>
      <c r="B156" s="69">
        <v>155</v>
      </c>
      <c r="C156" s="69">
        <v>0.2576</v>
      </c>
      <c r="D156" s="69">
        <v>0.37</v>
      </c>
      <c r="E156" s="69">
        <v>0</v>
      </c>
      <c r="F156" s="69">
        <v>9</v>
      </c>
      <c r="G156" s="69">
        <v>178</v>
      </c>
      <c r="H156" s="69">
        <v>187</v>
      </c>
    </row>
    <row r="157" spans="1:8" x14ac:dyDescent="0.3">
      <c r="A157" s="69">
        <v>155</v>
      </c>
      <c r="B157" s="69">
        <v>156</v>
      </c>
      <c r="C157" s="69">
        <v>0.2273</v>
      </c>
      <c r="D157" s="69">
        <v>0.4</v>
      </c>
      <c r="E157" s="69">
        <v>8.9599999999999999E-2</v>
      </c>
      <c r="F157" s="69">
        <v>7</v>
      </c>
      <c r="G157" s="69">
        <v>116</v>
      </c>
      <c r="H157" s="69">
        <v>123</v>
      </c>
    </row>
    <row r="158" spans="1:8" x14ac:dyDescent="0.3">
      <c r="A158" s="69">
        <v>156</v>
      </c>
      <c r="B158" s="69">
        <v>157</v>
      </c>
      <c r="C158" s="69">
        <v>0.19700000000000001</v>
      </c>
      <c r="D158" s="69">
        <v>0.55000000000000004</v>
      </c>
      <c r="E158" s="69">
        <v>8.9599999999999999E-2</v>
      </c>
      <c r="F158" s="69">
        <v>3</v>
      </c>
      <c r="G158" s="69">
        <v>92</v>
      </c>
      <c r="H158" s="69">
        <v>95</v>
      </c>
    </row>
    <row r="159" spans="1:8" x14ac:dyDescent="0.3">
      <c r="A159" s="69">
        <v>157</v>
      </c>
      <c r="B159" s="69">
        <v>158</v>
      </c>
      <c r="C159" s="69">
        <v>0.21210000000000001</v>
      </c>
      <c r="D159" s="69">
        <v>0.47</v>
      </c>
      <c r="E159" s="69">
        <v>0.1045</v>
      </c>
      <c r="F159" s="69">
        <v>1</v>
      </c>
      <c r="G159" s="69">
        <v>50</v>
      </c>
      <c r="H159" s="69">
        <v>51</v>
      </c>
    </row>
    <row r="160" spans="1:8" x14ac:dyDescent="0.3">
      <c r="A160" s="69">
        <v>158</v>
      </c>
      <c r="B160" s="69">
        <v>159</v>
      </c>
      <c r="C160" s="69">
        <v>0.19700000000000001</v>
      </c>
      <c r="D160" s="69">
        <v>0.47</v>
      </c>
      <c r="E160" s="69">
        <v>0.1343</v>
      </c>
      <c r="F160" s="69">
        <v>0</v>
      </c>
      <c r="G160" s="69">
        <v>39</v>
      </c>
      <c r="H160" s="69">
        <v>39</v>
      </c>
    </row>
    <row r="161" spans="1:8" x14ac:dyDescent="0.3">
      <c r="A161" s="69">
        <v>159</v>
      </c>
      <c r="B161" s="69">
        <v>160</v>
      </c>
      <c r="C161" s="69">
        <v>0.19700000000000001</v>
      </c>
      <c r="D161" s="69">
        <v>0.43</v>
      </c>
      <c r="E161" s="69">
        <v>0.16420000000000001</v>
      </c>
      <c r="F161" s="69">
        <v>2</v>
      </c>
      <c r="G161" s="69">
        <v>34</v>
      </c>
      <c r="H161" s="69">
        <v>36</v>
      </c>
    </row>
    <row r="162" spans="1:8" x14ac:dyDescent="0.3">
      <c r="A162" s="69">
        <v>160</v>
      </c>
      <c r="B162" s="69">
        <v>161</v>
      </c>
      <c r="C162" s="69">
        <v>0.19700000000000001</v>
      </c>
      <c r="D162" s="69">
        <v>0.51</v>
      </c>
      <c r="E162" s="69">
        <v>0.16420000000000001</v>
      </c>
      <c r="F162" s="69">
        <v>1</v>
      </c>
      <c r="G162" s="69">
        <v>14</v>
      </c>
      <c r="H162" s="69">
        <v>15</v>
      </c>
    </row>
    <row r="163" spans="1:8" x14ac:dyDescent="0.3">
      <c r="A163" s="69">
        <v>161</v>
      </c>
      <c r="B163" s="69">
        <v>162</v>
      </c>
      <c r="C163" s="69">
        <v>0.19700000000000001</v>
      </c>
      <c r="D163" s="69">
        <v>0.51</v>
      </c>
      <c r="E163" s="69">
        <v>0.16420000000000001</v>
      </c>
      <c r="F163" s="69">
        <v>1</v>
      </c>
      <c r="G163" s="69">
        <v>24</v>
      </c>
      <c r="H163" s="69">
        <v>25</v>
      </c>
    </row>
    <row r="164" spans="1:8" x14ac:dyDescent="0.3">
      <c r="A164" s="69">
        <v>162</v>
      </c>
      <c r="B164" s="69">
        <v>163</v>
      </c>
      <c r="C164" s="69">
        <v>0.21210000000000001</v>
      </c>
      <c r="D164" s="69">
        <v>0.55000000000000004</v>
      </c>
      <c r="E164" s="69">
        <v>8.9599999999999999E-2</v>
      </c>
      <c r="F164" s="69">
        <v>1</v>
      </c>
      <c r="G164" s="69">
        <v>15</v>
      </c>
      <c r="H164" s="69">
        <v>16</v>
      </c>
    </row>
    <row r="165" spans="1:8" x14ac:dyDescent="0.3">
      <c r="A165" s="69">
        <v>163</v>
      </c>
      <c r="B165" s="69">
        <v>164</v>
      </c>
      <c r="C165" s="69">
        <v>0.2424</v>
      </c>
      <c r="D165" s="69">
        <v>0.55000000000000004</v>
      </c>
      <c r="E165" s="69">
        <v>0</v>
      </c>
      <c r="F165" s="69">
        <v>3</v>
      </c>
      <c r="G165" s="69">
        <v>13</v>
      </c>
      <c r="H165" s="69">
        <v>16</v>
      </c>
    </row>
    <row r="166" spans="1:8" x14ac:dyDescent="0.3">
      <c r="A166" s="69">
        <v>164</v>
      </c>
      <c r="B166" s="69">
        <v>165</v>
      </c>
      <c r="C166" s="69">
        <v>0.19700000000000001</v>
      </c>
      <c r="D166" s="69">
        <v>0.55000000000000004</v>
      </c>
      <c r="E166" s="69">
        <v>0.16420000000000001</v>
      </c>
      <c r="F166" s="69">
        <v>0</v>
      </c>
      <c r="G166" s="69">
        <v>7</v>
      </c>
      <c r="H166" s="69">
        <v>7</v>
      </c>
    </row>
    <row r="167" spans="1:8" x14ac:dyDescent="0.3">
      <c r="A167" s="69">
        <v>165</v>
      </c>
      <c r="B167" s="69">
        <v>166</v>
      </c>
      <c r="C167" s="69">
        <v>0.19700000000000001</v>
      </c>
      <c r="D167" s="69">
        <v>0.55000000000000004</v>
      </c>
      <c r="E167" s="69">
        <v>0.16420000000000001</v>
      </c>
      <c r="F167" s="69">
        <v>0</v>
      </c>
      <c r="G167" s="69">
        <v>1</v>
      </c>
      <c r="H167" s="69">
        <v>1</v>
      </c>
    </row>
    <row r="168" spans="1:8" x14ac:dyDescent="0.3">
      <c r="A168" s="69">
        <v>166</v>
      </c>
      <c r="B168" s="69">
        <v>167</v>
      </c>
      <c r="C168" s="69">
        <v>0.16669999999999999</v>
      </c>
      <c r="D168" s="69">
        <v>0.74</v>
      </c>
      <c r="E168" s="69">
        <v>0.16420000000000001</v>
      </c>
      <c r="F168" s="69">
        <v>0</v>
      </c>
      <c r="G168" s="69">
        <v>5</v>
      </c>
      <c r="H168" s="69">
        <v>5</v>
      </c>
    </row>
    <row r="169" spans="1:8" x14ac:dyDescent="0.3">
      <c r="A169" s="69">
        <v>167</v>
      </c>
      <c r="B169" s="69">
        <v>168</v>
      </c>
      <c r="C169" s="69">
        <v>0.16669999999999999</v>
      </c>
      <c r="D169" s="69">
        <v>0.74</v>
      </c>
      <c r="E169" s="69">
        <v>0.16420000000000001</v>
      </c>
      <c r="F169" s="69">
        <v>0</v>
      </c>
      <c r="G169" s="69">
        <v>2</v>
      </c>
      <c r="H169" s="69">
        <v>2</v>
      </c>
    </row>
    <row r="170" spans="1:8" x14ac:dyDescent="0.3">
      <c r="A170" s="69">
        <v>168</v>
      </c>
      <c r="B170" s="69">
        <v>169</v>
      </c>
      <c r="C170" s="69">
        <v>0.18179999999999999</v>
      </c>
      <c r="D170" s="69">
        <v>0.74</v>
      </c>
      <c r="E170" s="69">
        <v>0.1045</v>
      </c>
      <c r="F170" s="69">
        <v>1</v>
      </c>
      <c r="G170" s="69">
        <v>8</v>
      </c>
      <c r="H170" s="69">
        <v>9</v>
      </c>
    </row>
    <row r="171" spans="1:8" x14ac:dyDescent="0.3">
      <c r="A171" s="69">
        <v>169</v>
      </c>
      <c r="B171" s="69">
        <v>170</v>
      </c>
      <c r="C171" s="69">
        <v>0.18179999999999999</v>
      </c>
      <c r="D171" s="69">
        <v>0.93</v>
      </c>
      <c r="E171" s="69">
        <v>0.1045</v>
      </c>
      <c r="F171" s="69">
        <v>0</v>
      </c>
      <c r="G171" s="69">
        <v>15</v>
      </c>
      <c r="H171" s="69">
        <v>15</v>
      </c>
    </row>
    <row r="172" spans="1:8" x14ac:dyDescent="0.3">
      <c r="A172" s="69">
        <v>170</v>
      </c>
      <c r="B172" s="69">
        <v>171</v>
      </c>
      <c r="C172" s="69">
        <v>0.18179999999999999</v>
      </c>
      <c r="D172" s="69">
        <v>0.93</v>
      </c>
      <c r="E172" s="69">
        <v>0.1045</v>
      </c>
      <c r="F172" s="69">
        <v>0</v>
      </c>
      <c r="G172" s="69">
        <v>20</v>
      </c>
      <c r="H172" s="69">
        <v>20</v>
      </c>
    </row>
    <row r="173" spans="1:8" x14ac:dyDescent="0.3">
      <c r="A173" s="69">
        <v>171</v>
      </c>
      <c r="B173" s="69">
        <v>172</v>
      </c>
      <c r="C173" s="69">
        <v>0.19700000000000001</v>
      </c>
      <c r="D173" s="69">
        <v>0.8</v>
      </c>
      <c r="E173" s="69">
        <v>0.16420000000000001</v>
      </c>
      <c r="F173" s="69">
        <v>5</v>
      </c>
      <c r="G173" s="69">
        <v>56</v>
      </c>
      <c r="H173" s="69">
        <v>61</v>
      </c>
    </row>
    <row r="174" spans="1:8" x14ac:dyDescent="0.3">
      <c r="A174" s="69">
        <v>172</v>
      </c>
      <c r="B174" s="69">
        <v>173</v>
      </c>
      <c r="C174" s="69">
        <v>0.18179999999999999</v>
      </c>
      <c r="D174" s="69">
        <v>0.69</v>
      </c>
      <c r="E174" s="69">
        <v>0.3881</v>
      </c>
      <c r="F174" s="69">
        <v>2</v>
      </c>
      <c r="G174" s="69">
        <v>60</v>
      </c>
      <c r="H174" s="69">
        <v>62</v>
      </c>
    </row>
    <row r="175" spans="1:8" x14ac:dyDescent="0.3">
      <c r="A175" s="69">
        <v>173</v>
      </c>
      <c r="B175" s="69">
        <v>174</v>
      </c>
      <c r="C175" s="69">
        <v>0.18179999999999999</v>
      </c>
      <c r="D175" s="69">
        <v>0.59</v>
      </c>
      <c r="E175" s="69">
        <v>0.35820000000000002</v>
      </c>
      <c r="F175" s="69">
        <v>8</v>
      </c>
      <c r="G175" s="69">
        <v>90</v>
      </c>
      <c r="H175" s="69">
        <v>98</v>
      </c>
    </row>
    <row r="176" spans="1:8" x14ac:dyDescent="0.3">
      <c r="A176" s="69">
        <v>174</v>
      </c>
      <c r="B176" s="69">
        <v>175</v>
      </c>
      <c r="C176" s="69">
        <v>0.18179999999999999</v>
      </c>
      <c r="D176" s="69">
        <v>0.44</v>
      </c>
      <c r="E176" s="69">
        <v>0.32840000000000003</v>
      </c>
      <c r="F176" s="69">
        <v>7</v>
      </c>
      <c r="G176" s="69">
        <v>95</v>
      </c>
      <c r="H176" s="69">
        <v>102</v>
      </c>
    </row>
    <row r="177" spans="1:8" x14ac:dyDescent="0.3">
      <c r="A177" s="69">
        <v>175</v>
      </c>
      <c r="B177" s="69">
        <v>176</v>
      </c>
      <c r="C177" s="69">
        <v>0.16669999999999999</v>
      </c>
      <c r="D177" s="69">
        <v>0.32</v>
      </c>
      <c r="E177" s="69">
        <v>0.49249999999999999</v>
      </c>
      <c r="F177" s="69">
        <v>12</v>
      </c>
      <c r="G177" s="69">
        <v>83</v>
      </c>
      <c r="H177" s="69">
        <v>95</v>
      </c>
    </row>
    <row r="178" spans="1:8" x14ac:dyDescent="0.3">
      <c r="A178" s="69">
        <v>176</v>
      </c>
      <c r="B178" s="69">
        <v>177</v>
      </c>
      <c r="C178" s="69">
        <v>0.16669999999999999</v>
      </c>
      <c r="D178" s="69">
        <v>0.32</v>
      </c>
      <c r="E178" s="69">
        <v>0.44779999999999998</v>
      </c>
      <c r="F178" s="69">
        <v>5</v>
      </c>
      <c r="G178" s="69">
        <v>69</v>
      </c>
      <c r="H178" s="69">
        <v>74</v>
      </c>
    </row>
    <row r="179" spans="1:8" x14ac:dyDescent="0.3">
      <c r="A179" s="69">
        <v>177</v>
      </c>
      <c r="B179" s="69">
        <v>178</v>
      </c>
      <c r="C179" s="69">
        <v>0.13639999999999999</v>
      </c>
      <c r="D179" s="69">
        <v>0.28999999999999998</v>
      </c>
      <c r="E179" s="69">
        <v>0.44779999999999998</v>
      </c>
      <c r="F179" s="69">
        <v>8</v>
      </c>
      <c r="G179" s="69">
        <v>68</v>
      </c>
      <c r="H179" s="69">
        <v>76</v>
      </c>
    </row>
    <row r="180" spans="1:8" x14ac:dyDescent="0.3">
      <c r="A180" s="69">
        <v>178</v>
      </c>
      <c r="B180" s="69">
        <v>179</v>
      </c>
      <c r="C180" s="69">
        <v>0.1212</v>
      </c>
      <c r="D180" s="69">
        <v>0.37</v>
      </c>
      <c r="E180" s="69">
        <v>0.55220000000000002</v>
      </c>
      <c r="F180" s="69">
        <v>5</v>
      </c>
      <c r="G180" s="69">
        <v>64</v>
      </c>
      <c r="H180" s="69">
        <v>69</v>
      </c>
    </row>
    <row r="181" spans="1:8" x14ac:dyDescent="0.3">
      <c r="A181" s="69">
        <v>179</v>
      </c>
      <c r="B181" s="69">
        <v>180</v>
      </c>
      <c r="C181" s="69">
        <v>0.1212</v>
      </c>
      <c r="D181" s="69">
        <v>0.39</v>
      </c>
      <c r="E181" s="69">
        <v>0.29849999999999999</v>
      </c>
      <c r="F181" s="69">
        <v>3</v>
      </c>
      <c r="G181" s="69">
        <v>52</v>
      </c>
      <c r="H181" s="69">
        <v>55</v>
      </c>
    </row>
    <row r="182" spans="1:8" x14ac:dyDescent="0.3">
      <c r="A182" s="69">
        <v>180</v>
      </c>
      <c r="B182" s="69">
        <v>181</v>
      </c>
      <c r="C182" s="69">
        <v>0.1212</v>
      </c>
      <c r="D182" s="69">
        <v>0.36</v>
      </c>
      <c r="E182" s="69">
        <v>0.25369999999999998</v>
      </c>
      <c r="F182" s="69">
        <v>4</v>
      </c>
      <c r="G182" s="69">
        <v>26</v>
      </c>
      <c r="H182" s="69">
        <v>30</v>
      </c>
    </row>
    <row r="183" spans="1:8" x14ac:dyDescent="0.3">
      <c r="A183" s="69">
        <v>181</v>
      </c>
      <c r="B183" s="69">
        <v>182</v>
      </c>
      <c r="C183" s="69">
        <v>0.1212</v>
      </c>
      <c r="D183" s="69">
        <v>0.36</v>
      </c>
      <c r="E183" s="69">
        <v>0.25369999999999998</v>
      </c>
      <c r="F183" s="69">
        <v>0</v>
      </c>
      <c r="G183" s="69">
        <v>28</v>
      </c>
      <c r="H183" s="69">
        <v>28</v>
      </c>
    </row>
    <row r="184" spans="1:8" x14ac:dyDescent="0.3">
      <c r="A184" s="69">
        <v>182</v>
      </c>
      <c r="B184" s="69">
        <v>183</v>
      </c>
      <c r="C184" s="69">
        <v>0.1061</v>
      </c>
      <c r="D184" s="69">
        <v>0.39</v>
      </c>
      <c r="E184" s="69">
        <v>0.35820000000000002</v>
      </c>
      <c r="F184" s="69">
        <v>2</v>
      </c>
      <c r="G184" s="69">
        <v>35</v>
      </c>
      <c r="H184" s="69">
        <v>37</v>
      </c>
    </row>
    <row r="185" spans="1:8" x14ac:dyDescent="0.3">
      <c r="A185" s="69">
        <v>183</v>
      </c>
      <c r="B185" s="69">
        <v>184</v>
      </c>
      <c r="C185" s="69">
        <v>0.1061</v>
      </c>
      <c r="D185" s="69">
        <v>0.36</v>
      </c>
      <c r="E185" s="69">
        <v>0.3881</v>
      </c>
      <c r="F185" s="69">
        <v>1</v>
      </c>
      <c r="G185" s="69">
        <v>33</v>
      </c>
      <c r="H185" s="69">
        <v>34</v>
      </c>
    </row>
    <row r="186" spans="1:8" x14ac:dyDescent="0.3">
      <c r="A186" s="69">
        <v>184</v>
      </c>
      <c r="B186" s="69">
        <v>185</v>
      </c>
      <c r="C186" s="69">
        <v>6.0600000000000001E-2</v>
      </c>
      <c r="D186" s="69">
        <v>0.39</v>
      </c>
      <c r="E186" s="69">
        <v>0.44779999999999998</v>
      </c>
      <c r="F186" s="69">
        <v>0</v>
      </c>
      <c r="G186" s="69">
        <v>22</v>
      </c>
      <c r="H186" s="69">
        <v>22</v>
      </c>
    </row>
    <row r="187" spans="1:8" x14ac:dyDescent="0.3">
      <c r="A187" s="69">
        <v>185</v>
      </c>
      <c r="B187" s="69">
        <v>186</v>
      </c>
      <c r="C187" s="69">
        <v>7.5800000000000006E-2</v>
      </c>
      <c r="D187" s="69">
        <v>0.42</v>
      </c>
      <c r="E187" s="69">
        <v>0.3881</v>
      </c>
      <c r="F187" s="69">
        <v>1</v>
      </c>
      <c r="G187" s="69">
        <v>24</v>
      </c>
      <c r="H187" s="69">
        <v>25</v>
      </c>
    </row>
    <row r="188" spans="1:8" x14ac:dyDescent="0.3">
      <c r="A188" s="69">
        <v>186</v>
      </c>
      <c r="B188" s="69">
        <v>187</v>
      </c>
      <c r="C188" s="69">
        <v>6.0600000000000001E-2</v>
      </c>
      <c r="D188" s="69">
        <v>0.42</v>
      </c>
      <c r="E188" s="69">
        <v>0.4627</v>
      </c>
      <c r="F188" s="69">
        <v>0</v>
      </c>
      <c r="G188" s="69">
        <v>12</v>
      </c>
      <c r="H188" s="69">
        <v>12</v>
      </c>
    </row>
    <row r="189" spans="1:8" x14ac:dyDescent="0.3">
      <c r="A189" s="69">
        <v>187</v>
      </c>
      <c r="B189" s="69">
        <v>188</v>
      </c>
      <c r="C189" s="69">
        <v>6.0600000000000001E-2</v>
      </c>
      <c r="D189" s="69">
        <v>0.46</v>
      </c>
      <c r="E189" s="69">
        <v>0.4627</v>
      </c>
      <c r="F189" s="69">
        <v>0</v>
      </c>
      <c r="G189" s="69">
        <v>11</v>
      </c>
      <c r="H189" s="69">
        <v>11</v>
      </c>
    </row>
    <row r="190" spans="1:8" x14ac:dyDescent="0.3">
      <c r="A190" s="69">
        <v>188</v>
      </c>
      <c r="B190" s="69">
        <v>189</v>
      </c>
      <c r="C190" s="69">
        <v>7.5800000000000006E-2</v>
      </c>
      <c r="D190" s="69">
        <v>0.46</v>
      </c>
      <c r="E190" s="69">
        <v>0.41789999999999999</v>
      </c>
      <c r="F190" s="69">
        <v>0</v>
      </c>
      <c r="G190" s="69">
        <v>4</v>
      </c>
      <c r="H190" s="69">
        <v>4</v>
      </c>
    </row>
    <row r="191" spans="1:8" x14ac:dyDescent="0.3">
      <c r="A191" s="69">
        <v>189</v>
      </c>
      <c r="B191" s="69">
        <v>190</v>
      </c>
      <c r="C191" s="69">
        <v>9.0899999999999995E-2</v>
      </c>
      <c r="D191" s="69">
        <v>0.53</v>
      </c>
      <c r="E191" s="69">
        <v>0.19400000000000001</v>
      </c>
      <c r="F191" s="69">
        <v>0</v>
      </c>
      <c r="G191" s="69">
        <v>1</v>
      </c>
      <c r="H191" s="69">
        <v>1</v>
      </c>
    </row>
    <row r="192" spans="1:8" x14ac:dyDescent="0.3">
      <c r="A192" s="69">
        <v>190</v>
      </c>
      <c r="B192" s="69">
        <v>191</v>
      </c>
      <c r="C192" s="69">
        <v>9.0899999999999995E-2</v>
      </c>
      <c r="D192" s="69">
        <v>0.53</v>
      </c>
      <c r="E192" s="69">
        <v>0.19400000000000001</v>
      </c>
      <c r="F192" s="69">
        <v>0</v>
      </c>
      <c r="G192" s="69">
        <v>1</v>
      </c>
      <c r="H192" s="69">
        <v>1</v>
      </c>
    </row>
    <row r="193" spans="1:8" x14ac:dyDescent="0.3">
      <c r="A193" s="69">
        <v>191</v>
      </c>
      <c r="B193" s="69">
        <v>192</v>
      </c>
      <c r="C193" s="69">
        <v>9.0899999999999995E-2</v>
      </c>
      <c r="D193" s="69">
        <v>0.49</v>
      </c>
      <c r="E193" s="69">
        <v>0.28360000000000002</v>
      </c>
      <c r="F193" s="69">
        <v>0</v>
      </c>
      <c r="G193" s="69">
        <v>1</v>
      </c>
      <c r="H193" s="69">
        <v>1</v>
      </c>
    </row>
    <row r="194" spans="1:8" x14ac:dyDescent="0.3">
      <c r="A194" s="69">
        <v>192</v>
      </c>
      <c r="B194" s="69">
        <v>193</v>
      </c>
      <c r="C194" s="69">
        <v>9.0899999999999995E-2</v>
      </c>
      <c r="D194" s="69">
        <v>0.53</v>
      </c>
      <c r="E194" s="69">
        <v>0.19400000000000001</v>
      </c>
      <c r="F194" s="69">
        <v>1</v>
      </c>
      <c r="G194" s="69">
        <v>5</v>
      </c>
      <c r="H194" s="69">
        <v>6</v>
      </c>
    </row>
    <row r="195" spans="1:8" x14ac:dyDescent="0.3">
      <c r="A195" s="69">
        <v>193</v>
      </c>
      <c r="B195" s="69">
        <v>194</v>
      </c>
      <c r="C195" s="69">
        <v>9.0899999999999995E-2</v>
      </c>
      <c r="D195" s="69">
        <v>0.49</v>
      </c>
      <c r="E195" s="69">
        <v>0.28360000000000002</v>
      </c>
      <c r="F195" s="69">
        <v>0</v>
      </c>
      <c r="G195" s="69">
        <v>10</v>
      </c>
      <c r="H195" s="69">
        <v>10</v>
      </c>
    </row>
    <row r="196" spans="1:8" x14ac:dyDescent="0.3">
      <c r="A196" s="69">
        <v>194</v>
      </c>
      <c r="B196" s="69">
        <v>195</v>
      </c>
      <c r="C196" s="69">
        <v>7.5800000000000006E-2</v>
      </c>
      <c r="D196" s="69">
        <v>0.46</v>
      </c>
      <c r="E196" s="69">
        <v>0.52239999999999998</v>
      </c>
      <c r="F196" s="69">
        <v>0</v>
      </c>
      <c r="G196" s="69">
        <v>19</v>
      </c>
      <c r="H196" s="69">
        <v>19</v>
      </c>
    </row>
    <row r="197" spans="1:8" x14ac:dyDescent="0.3">
      <c r="A197" s="69">
        <v>195</v>
      </c>
      <c r="B197" s="69">
        <v>196</v>
      </c>
      <c r="C197" s="69">
        <v>0.1061</v>
      </c>
      <c r="D197" s="69">
        <v>0.43</v>
      </c>
      <c r="E197" s="69">
        <v>0.3881</v>
      </c>
      <c r="F197" s="69">
        <v>0</v>
      </c>
      <c r="G197" s="69">
        <v>49</v>
      </c>
      <c r="H197" s="69">
        <v>49</v>
      </c>
    </row>
    <row r="198" spans="1:8" x14ac:dyDescent="0.3">
      <c r="A198" s="69">
        <v>196</v>
      </c>
      <c r="B198" s="69">
        <v>197</v>
      </c>
      <c r="C198" s="69">
        <v>0.1212</v>
      </c>
      <c r="D198" s="69">
        <v>0.4</v>
      </c>
      <c r="E198" s="69">
        <v>0.52239999999999998</v>
      </c>
      <c r="F198" s="69">
        <v>2</v>
      </c>
      <c r="G198" s="69">
        <v>47</v>
      </c>
      <c r="H198" s="69">
        <v>49</v>
      </c>
    </row>
    <row r="199" spans="1:8" x14ac:dyDescent="0.3">
      <c r="A199" s="69">
        <v>197</v>
      </c>
      <c r="B199" s="69">
        <v>198</v>
      </c>
      <c r="C199" s="69">
        <v>0.13639999999999999</v>
      </c>
      <c r="D199" s="69">
        <v>0.37</v>
      </c>
      <c r="E199" s="69">
        <v>0.44779999999999998</v>
      </c>
      <c r="F199" s="69">
        <v>4</v>
      </c>
      <c r="G199" s="69">
        <v>79</v>
      </c>
      <c r="H199" s="69">
        <v>83</v>
      </c>
    </row>
    <row r="200" spans="1:8" x14ac:dyDescent="0.3">
      <c r="A200" s="69">
        <v>198</v>
      </c>
      <c r="B200" s="69">
        <v>199</v>
      </c>
      <c r="C200" s="69">
        <v>0.16669999999999999</v>
      </c>
      <c r="D200" s="69">
        <v>0.34</v>
      </c>
      <c r="E200" s="69">
        <v>0.44779999999999998</v>
      </c>
      <c r="F200" s="69">
        <v>6</v>
      </c>
      <c r="G200" s="69">
        <v>69</v>
      </c>
      <c r="H200" s="69">
        <v>75</v>
      </c>
    </row>
    <row r="201" spans="1:8" x14ac:dyDescent="0.3">
      <c r="A201" s="69">
        <v>199</v>
      </c>
      <c r="B201" s="69">
        <v>200</v>
      </c>
      <c r="C201" s="69">
        <v>0.18179999999999999</v>
      </c>
      <c r="D201" s="69">
        <v>0.32</v>
      </c>
      <c r="E201" s="69">
        <v>0.4627</v>
      </c>
      <c r="F201" s="69">
        <v>8</v>
      </c>
      <c r="G201" s="69">
        <v>64</v>
      </c>
      <c r="H201" s="69">
        <v>72</v>
      </c>
    </row>
    <row r="202" spans="1:8" x14ac:dyDescent="0.3">
      <c r="A202" s="69">
        <v>200</v>
      </c>
      <c r="B202" s="69">
        <v>201</v>
      </c>
      <c r="C202" s="69">
        <v>0.19700000000000001</v>
      </c>
      <c r="D202" s="69">
        <v>0.35</v>
      </c>
      <c r="E202" s="69">
        <v>0.35820000000000002</v>
      </c>
      <c r="F202" s="69">
        <v>5</v>
      </c>
      <c r="G202" s="69">
        <v>77</v>
      </c>
      <c r="H202" s="69">
        <v>82</v>
      </c>
    </row>
    <row r="203" spans="1:8" x14ac:dyDescent="0.3">
      <c r="A203" s="69">
        <v>201</v>
      </c>
      <c r="B203" s="69">
        <v>202</v>
      </c>
      <c r="C203" s="69">
        <v>0.16669999999999999</v>
      </c>
      <c r="D203" s="69">
        <v>0.34</v>
      </c>
      <c r="E203" s="69">
        <v>0.44779999999999998</v>
      </c>
      <c r="F203" s="69">
        <v>13</v>
      </c>
      <c r="G203" s="69">
        <v>79</v>
      </c>
      <c r="H203" s="69">
        <v>92</v>
      </c>
    </row>
    <row r="204" spans="1:8" x14ac:dyDescent="0.3">
      <c r="A204" s="69">
        <v>202</v>
      </c>
      <c r="B204" s="69">
        <v>203</v>
      </c>
      <c r="C204" s="69">
        <v>0.1515</v>
      </c>
      <c r="D204" s="69">
        <v>0.37</v>
      </c>
      <c r="E204" s="69">
        <v>0.3881</v>
      </c>
      <c r="F204" s="69">
        <v>3</v>
      </c>
      <c r="G204" s="69">
        <v>59</v>
      </c>
      <c r="H204" s="69">
        <v>62</v>
      </c>
    </row>
    <row r="205" spans="1:8" x14ac:dyDescent="0.3">
      <c r="A205" s="69">
        <v>203</v>
      </c>
      <c r="B205" s="69">
        <v>204</v>
      </c>
      <c r="C205" s="69">
        <v>0.13639999999999999</v>
      </c>
      <c r="D205" s="69">
        <v>0.4</v>
      </c>
      <c r="E205" s="69">
        <v>0.32840000000000003</v>
      </c>
      <c r="F205" s="69">
        <v>4</v>
      </c>
      <c r="G205" s="69">
        <v>44</v>
      </c>
      <c r="H205" s="69">
        <v>48</v>
      </c>
    </row>
    <row r="206" spans="1:8" x14ac:dyDescent="0.3">
      <c r="A206" s="69">
        <v>204</v>
      </c>
      <c r="B206" s="69">
        <v>205</v>
      </c>
      <c r="C206" s="69">
        <v>0.13639999999999999</v>
      </c>
      <c r="D206" s="69">
        <v>0.43</v>
      </c>
      <c r="E206" s="69">
        <v>0.32840000000000003</v>
      </c>
      <c r="F206" s="69">
        <v>1</v>
      </c>
      <c r="G206" s="69">
        <v>40</v>
      </c>
      <c r="H206" s="69">
        <v>41</v>
      </c>
    </row>
    <row r="207" spans="1:8" x14ac:dyDescent="0.3">
      <c r="A207" s="69">
        <v>205</v>
      </c>
      <c r="B207" s="69">
        <v>206</v>
      </c>
      <c r="C207" s="69">
        <v>0.1212</v>
      </c>
      <c r="D207" s="69">
        <v>0.46</v>
      </c>
      <c r="E207" s="69">
        <v>0.25369999999999998</v>
      </c>
      <c r="F207" s="69">
        <v>0</v>
      </c>
      <c r="G207" s="69">
        <v>38</v>
      </c>
      <c r="H207" s="69">
        <v>38</v>
      </c>
    </row>
    <row r="208" spans="1:8" x14ac:dyDescent="0.3">
      <c r="A208" s="69">
        <v>206</v>
      </c>
      <c r="B208" s="69">
        <v>207</v>
      </c>
      <c r="C208" s="69">
        <v>0.1061</v>
      </c>
      <c r="D208" s="69">
        <v>0.46</v>
      </c>
      <c r="E208" s="69">
        <v>0.41789999999999999</v>
      </c>
      <c r="F208" s="69">
        <v>1</v>
      </c>
      <c r="G208" s="69">
        <v>19</v>
      </c>
      <c r="H208" s="69">
        <v>20</v>
      </c>
    </row>
    <row r="209" spans="1:8" x14ac:dyDescent="0.3">
      <c r="A209" s="69">
        <v>207</v>
      </c>
      <c r="B209" s="69">
        <v>208</v>
      </c>
      <c r="C209" s="69">
        <v>0.1212</v>
      </c>
      <c r="D209" s="69">
        <v>0.46</v>
      </c>
      <c r="E209" s="69">
        <v>0.29849999999999999</v>
      </c>
      <c r="F209" s="69">
        <v>5</v>
      </c>
      <c r="G209" s="69">
        <v>10</v>
      </c>
      <c r="H209" s="69">
        <v>15</v>
      </c>
    </row>
    <row r="210" spans="1:8" x14ac:dyDescent="0.3">
      <c r="A210" s="69">
        <v>208</v>
      </c>
      <c r="B210" s="69">
        <v>209</v>
      </c>
      <c r="C210" s="69">
        <v>0.13639999999999999</v>
      </c>
      <c r="D210" s="69">
        <v>0.5</v>
      </c>
      <c r="E210" s="69">
        <v>0.19400000000000001</v>
      </c>
      <c r="F210" s="69">
        <v>0</v>
      </c>
      <c r="G210" s="69">
        <v>6</v>
      </c>
      <c r="H210" s="69">
        <v>6</v>
      </c>
    </row>
    <row r="211" spans="1:8" x14ac:dyDescent="0.3">
      <c r="A211" s="69">
        <v>209</v>
      </c>
      <c r="B211" s="69">
        <v>210</v>
      </c>
      <c r="C211" s="69">
        <v>0.1212</v>
      </c>
      <c r="D211" s="69">
        <v>0.5</v>
      </c>
      <c r="E211" s="69">
        <v>0.28360000000000002</v>
      </c>
      <c r="F211" s="69">
        <v>2</v>
      </c>
      <c r="G211" s="69">
        <v>3</v>
      </c>
      <c r="H211" s="69">
        <v>5</v>
      </c>
    </row>
    <row r="212" spans="1:8" x14ac:dyDescent="0.3">
      <c r="A212" s="69">
        <v>210</v>
      </c>
      <c r="B212" s="69">
        <v>211</v>
      </c>
      <c r="C212" s="69">
        <v>0.1212</v>
      </c>
      <c r="D212" s="69">
        <v>0.5</v>
      </c>
      <c r="E212" s="69">
        <v>0.28360000000000002</v>
      </c>
      <c r="F212" s="69">
        <v>1</v>
      </c>
      <c r="G212" s="69">
        <v>0</v>
      </c>
      <c r="H212" s="69">
        <v>1</v>
      </c>
    </row>
    <row r="213" spans="1:8" x14ac:dyDescent="0.3">
      <c r="A213" s="69">
        <v>211</v>
      </c>
      <c r="B213" s="69">
        <v>212</v>
      </c>
      <c r="C213" s="69">
        <v>0.1212</v>
      </c>
      <c r="D213" s="69">
        <v>0.5</v>
      </c>
      <c r="E213" s="69">
        <v>0.22389999999999999</v>
      </c>
      <c r="F213" s="69">
        <v>0</v>
      </c>
      <c r="G213" s="69">
        <v>3</v>
      </c>
      <c r="H213" s="69">
        <v>3</v>
      </c>
    </row>
    <row r="214" spans="1:8" x14ac:dyDescent="0.3">
      <c r="A214" s="69">
        <v>212</v>
      </c>
      <c r="B214" s="69">
        <v>213</v>
      </c>
      <c r="C214" s="69">
        <v>0.1212</v>
      </c>
      <c r="D214" s="69">
        <v>0.5</v>
      </c>
      <c r="E214" s="69">
        <v>0.22389999999999999</v>
      </c>
      <c r="F214" s="69">
        <v>0</v>
      </c>
      <c r="G214" s="69">
        <v>1</v>
      </c>
      <c r="H214" s="69">
        <v>1</v>
      </c>
    </row>
    <row r="215" spans="1:8" x14ac:dyDescent="0.3">
      <c r="A215" s="69">
        <v>213</v>
      </c>
      <c r="B215" s="69">
        <v>214</v>
      </c>
      <c r="C215" s="69">
        <v>0.1212</v>
      </c>
      <c r="D215" s="69">
        <v>0.54</v>
      </c>
      <c r="E215" s="69">
        <v>0.1343</v>
      </c>
      <c r="F215" s="69">
        <v>1</v>
      </c>
      <c r="G215" s="69">
        <v>2</v>
      </c>
      <c r="H215" s="69">
        <v>3</v>
      </c>
    </row>
    <row r="216" spans="1:8" x14ac:dyDescent="0.3">
      <c r="A216" s="69">
        <v>214</v>
      </c>
      <c r="B216" s="69">
        <v>215</v>
      </c>
      <c r="C216" s="69">
        <v>0.1061</v>
      </c>
      <c r="D216" s="69">
        <v>0.54</v>
      </c>
      <c r="E216" s="69">
        <v>0.25369999999999998</v>
      </c>
      <c r="F216" s="69">
        <v>0</v>
      </c>
      <c r="G216" s="69">
        <v>3</v>
      </c>
      <c r="H216" s="69">
        <v>3</v>
      </c>
    </row>
    <row r="217" spans="1:8" x14ac:dyDescent="0.3">
      <c r="A217" s="69">
        <v>215</v>
      </c>
      <c r="B217" s="69">
        <v>216</v>
      </c>
      <c r="C217" s="69">
        <v>0.1212</v>
      </c>
      <c r="D217" s="69">
        <v>0.5</v>
      </c>
      <c r="E217" s="69">
        <v>0.28360000000000002</v>
      </c>
      <c r="F217" s="69">
        <v>0</v>
      </c>
      <c r="G217" s="69">
        <v>31</v>
      </c>
      <c r="H217" s="69">
        <v>31</v>
      </c>
    </row>
    <row r="218" spans="1:8" x14ac:dyDescent="0.3">
      <c r="A218" s="69">
        <v>216</v>
      </c>
      <c r="B218" s="69">
        <v>217</v>
      </c>
      <c r="C218" s="69">
        <v>0.1212</v>
      </c>
      <c r="D218" s="69">
        <v>0.5</v>
      </c>
      <c r="E218" s="69">
        <v>0.22389999999999999</v>
      </c>
      <c r="F218" s="69">
        <v>2</v>
      </c>
      <c r="G218" s="69">
        <v>75</v>
      </c>
      <c r="H218" s="69">
        <v>77</v>
      </c>
    </row>
    <row r="219" spans="1:8" x14ac:dyDescent="0.3">
      <c r="A219" s="69">
        <v>217</v>
      </c>
      <c r="B219" s="69">
        <v>218</v>
      </c>
      <c r="C219" s="69">
        <v>0.1212</v>
      </c>
      <c r="D219" s="69">
        <v>0.5</v>
      </c>
      <c r="E219" s="69">
        <v>0.28360000000000002</v>
      </c>
      <c r="F219" s="69">
        <v>4</v>
      </c>
      <c r="G219" s="69">
        <v>184</v>
      </c>
      <c r="H219" s="69">
        <v>188</v>
      </c>
    </row>
    <row r="220" spans="1:8" x14ac:dyDescent="0.3">
      <c r="A220" s="69">
        <v>218</v>
      </c>
      <c r="B220" s="69">
        <v>219</v>
      </c>
      <c r="C220" s="69">
        <v>0.1212</v>
      </c>
      <c r="D220" s="69">
        <v>0.5</v>
      </c>
      <c r="E220" s="69">
        <v>0.25369999999999998</v>
      </c>
      <c r="F220" s="69">
        <v>2</v>
      </c>
      <c r="G220" s="69">
        <v>92</v>
      </c>
      <c r="H220" s="69">
        <v>94</v>
      </c>
    </row>
    <row r="221" spans="1:8" x14ac:dyDescent="0.3">
      <c r="A221" s="69">
        <v>219</v>
      </c>
      <c r="B221" s="69">
        <v>220</v>
      </c>
      <c r="C221" s="69">
        <v>0.1212</v>
      </c>
      <c r="D221" s="69">
        <v>0.5</v>
      </c>
      <c r="E221" s="69">
        <v>0.29849999999999999</v>
      </c>
      <c r="F221" s="69">
        <v>0</v>
      </c>
      <c r="G221" s="69">
        <v>31</v>
      </c>
      <c r="H221" s="69">
        <v>31</v>
      </c>
    </row>
    <row r="222" spans="1:8" x14ac:dyDescent="0.3">
      <c r="A222" s="69">
        <v>220</v>
      </c>
      <c r="B222" s="69">
        <v>221</v>
      </c>
      <c r="C222" s="69">
        <v>0.13639999999999999</v>
      </c>
      <c r="D222" s="69">
        <v>0.47</v>
      </c>
      <c r="E222" s="69">
        <v>0.28360000000000002</v>
      </c>
      <c r="F222" s="69">
        <v>2</v>
      </c>
      <c r="G222" s="69">
        <v>28</v>
      </c>
      <c r="H222" s="69">
        <v>30</v>
      </c>
    </row>
    <row r="223" spans="1:8" x14ac:dyDescent="0.3">
      <c r="A223" s="69">
        <v>221</v>
      </c>
      <c r="B223" s="69">
        <v>222</v>
      </c>
      <c r="C223" s="69">
        <v>0.18179999999999999</v>
      </c>
      <c r="D223" s="69">
        <v>0.4</v>
      </c>
      <c r="E223" s="69">
        <v>0.28360000000000002</v>
      </c>
      <c r="F223" s="69">
        <v>5</v>
      </c>
      <c r="G223" s="69">
        <v>47</v>
      </c>
      <c r="H223" s="69">
        <v>52</v>
      </c>
    </row>
    <row r="224" spans="1:8" x14ac:dyDescent="0.3">
      <c r="A224" s="69">
        <v>222</v>
      </c>
      <c r="B224" s="69">
        <v>223</v>
      </c>
      <c r="C224" s="69">
        <v>0.18179999999999999</v>
      </c>
      <c r="D224" s="69">
        <v>0.4</v>
      </c>
      <c r="E224" s="69">
        <v>0.28360000000000002</v>
      </c>
      <c r="F224" s="69">
        <v>4</v>
      </c>
      <c r="G224" s="69">
        <v>50</v>
      </c>
      <c r="H224" s="69">
        <v>54</v>
      </c>
    </row>
    <row r="225" spans="1:8" x14ac:dyDescent="0.3">
      <c r="A225" s="69">
        <v>223</v>
      </c>
      <c r="B225" s="69">
        <v>224</v>
      </c>
      <c r="C225" s="69">
        <v>0.19700000000000001</v>
      </c>
      <c r="D225" s="69">
        <v>0.4</v>
      </c>
      <c r="E225" s="69">
        <v>0.22389999999999999</v>
      </c>
      <c r="F225" s="69">
        <v>0</v>
      </c>
      <c r="G225" s="69">
        <v>47</v>
      </c>
      <c r="H225" s="69">
        <v>47</v>
      </c>
    </row>
    <row r="226" spans="1:8" x14ac:dyDescent="0.3">
      <c r="A226" s="69">
        <v>224</v>
      </c>
      <c r="B226" s="69">
        <v>225</v>
      </c>
      <c r="C226" s="69">
        <v>0.19700000000000001</v>
      </c>
      <c r="D226" s="69">
        <v>0.4</v>
      </c>
      <c r="E226" s="69">
        <v>0.22389999999999999</v>
      </c>
      <c r="F226" s="69">
        <v>2</v>
      </c>
      <c r="G226" s="69">
        <v>43</v>
      </c>
      <c r="H226" s="69">
        <v>45</v>
      </c>
    </row>
    <row r="227" spans="1:8" x14ac:dyDescent="0.3">
      <c r="A227" s="69">
        <v>225</v>
      </c>
      <c r="B227" s="69">
        <v>226</v>
      </c>
      <c r="C227" s="69">
        <v>0.21210000000000001</v>
      </c>
      <c r="D227" s="69">
        <v>0.4</v>
      </c>
      <c r="E227" s="69">
        <v>0.1343</v>
      </c>
      <c r="F227" s="69">
        <v>4</v>
      </c>
      <c r="G227" s="69">
        <v>70</v>
      </c>
      <c r="H227" s="69">
        <v>74</v>
      </c>
    </row>
    <row r="228" spans="1:8" x14ac:dyDescent="0.3">
      <c r="A228" s="69">
        <v>226</v>
      </c>
      <c r="B228" s="69">
        <v>227</v>
      </c>
      <c r="C228" s="69">
        <v>0.2273</v>
      </c>
      <c r="D228" s="69">
        <v>0.4</v>
      </c>
      <c r="E228" s="69">
        <v>0.1045</v>
      </c>
      <c r="F228" s="69">
        <v>4</v>
      </c>
      <c r="G228" s="69">
        <v>174</v>
      </c>
      <c r="H228" s="69">
        <v>178</v>
      </c>
    </row>
    <row r="229" spans="1:8" x14ac:dyDescent="0.3">
      <c r="A229" s="69">
        <v>227</v>
      </c>
      <c r="B229" s="69">
        <v>228</v>
      </c>
      <c r="C229" s="69">
        <v>0.19700000000000001</v>
      </c>
      <c r="D229" s="69">
        <v>0.4</v>
      </c>
      <c r="E229" s="69">
        <v>0.22389999999999999</v>
      </c>
      <c r="F229" s="69">
        <v>1</v>
      </c>
      <c r="G229" s="69">
        <v>154</v>
      </c>
      <c r="H229" s="69">
        <v>155</v>
      </c>
    </row>
    <row r="230" spans="1:8" x14ac:dyDescent="0.3">
      <c r="A230" s="69">
        <v>228</v>
      </c>
      <c r="B230" s="69">
        <v>229</v>
      </c>
      <c r="C230" s="69">
        <v>0.16669999999999999</v>
      </c>
      <c r="D230" s="69">
        <v>0.47</v>
      </c>
      <c r="E230" s="69">
        <v>0.16420000000000001</v>
      </c>
      <c r="F230" s="69">
        <v>3</v>
      </c>
      <c r="G230" s="69">
        <v>92</v>
      </c>
      <c r="H230" s="69">
        <v>95</v>
      </c>
    </row>
    <row r="231" spans="1:8" x14ac:dyDescent="0.3">
      <c r="A231" s="69">
        <v>229</v>
      </c>
      <c r="B231" s="69">
        <v>230</v>
      </c>
      <c r="C231" s="69">
        <v>0.16669999999999999</v>
      </c>
      <c r="D231" s="69">
        <v>0.5</v>
      </c>
      <c r="E231" s="69">
        <v>0.16420000000000001</v>
      </c>
      <c r="F231" s="69">
        <v>1</v>
      </c>
      <c r="G231" s="69">
        <v>73</v>
      </c>
      <c r="H231" s="69">
        <v>74</v>
      </c>
    </row>
    <row r="232" spans="1:8" x14ac:dyDescent="0.3">
      <c r="A232" s="69">
        <v>230</v>
      </c>
      <c r="B232" s="69">
        <v>231</v>
      </c>
      <c r="C232" s="69">
        <v>0.13639999999999999</v>
      </c>
      <c r="D232" s="69">
        <v>0.59</v>
      </c>
      <c r="E232" s="69">
        <v>0.19400000000000001</v>
      </c>
      <c r="F232" s="69">
        <v>1</v>
      </c>
      <c r="G232" s="69">
        <v>37</v>
      </c>
      <c r="H232" s="69">
        <v>38</v>
      </c>
    </row>
    <row r="233" spans="1:8" x14ac:dyDescent="0.3">
      <c r="A233" s="69">
        <v>231</v>
      </c>
      <c r="B233" s="69">
        <v>232</v>
      </c>
      <c r="C233" s="69">
        <v>0.1515</v>
      </c>
      <c r="D233" s="69">
        <v>0.59</v>
      </c>
      <c r="E233" s="69">
        <v>0.16420000000000001</v>
      </c>
      <c r="F233" s="69">
        <v>2</v>
      </c>
      <c r="G233" s="69">
        <v>22</v>
      </c>
      <c r="H233" s="69">
        <v>24</v>
      </c>
    </row>
    <row r="234" spans="1:8" x14ac:dyDescent="0.3">
      <c r="A234" s="69">
        <v>232</v>
      </c>
      <c r="B234" s="69">
        <v>233</v>
      </c>
      <c r="C234" s="69">
        <v>0.1515</v>
      </c>
      <c r="D234" s="69">
        <v>0.59</v>
      </c>
      <c r="E234" s="69">
        <v>0.16420000000000001</v>
      </c>
      <c r="F234" s="69">
        <v>0</v>
      </c>
      <c r="G234" s="69">
        <v>18</v>
      </c>
      <c r="H234" s="69">
        <v>18</v>
      </c>
    </row>
    <row r="235" spans="1:8" x14ac:dyDescent="0.3">
      <c r="A235" s="69">
        <v>233</v>
      </c>
      <c r="B235" s="69">
        <v>234</v>
      </c>
      <c r="C235" s="69">
        <v>0.16669999999999999</v>
      </c>
      <c r="D235" s="69">
        <v>0.59</v>
      </c>
      <c r="E235" s="69">
        <v>0.1045</v>
      </c>
      <c r="F235" s="69">
        <v>2</v>
      </c>
      <c r="G235" s="69">
        <v>10</v>
      </c>
      <c r="H235" s="69">
        <v>12</v>
      </c>
    </row>
    <row r="236" spans="1:8" x14ac:dyDescent="0.3">
      <c r="A236" s="69">
        <v>234</v>
      </c>
      <c r="B236" s="69">
        <v>235</v>
      </c>
      <c r="C236" s="69">
        <v>0.1515</v>
      </c>
      <c r="D236" s="69">
        <v>0.59</v>
      </c>
      <c r="E236" s="69">
        <v>0.16420000000000001</v>
      </c>
      <c r="F236" s="69">
        <v>0</v>
      </c>
      <c r="G236" s="69">
        <v>3</v>
      </c>
      <c r="H236" s="69">
        <v>3</v>
      </c>
    </row>
    <row r="237" spans="1:8" x14ac:dyDescent="0.3">
      <c r="A237" s="69">
        <v>235</v>
      </c>
      <c r="B237" s="69">
        <v>236</v>
      </c>
      <c r="C237" s="69">
        <v>0.1515</v>
      </c>
      <c r="D237" s="69">
        <v>0.55000000000000004</v>
      </c>
      <c r="E237" s="69">
        <v>0.19400000000000001</v>
      </c>
      <c r="F237" s="69">
        <v>0</v>
      </c>
      <c r="G237" s="69">
        <v>3</v>
      </c>
      <c r="H237" s="69">
        <v>3</v>
      </c>
    </row>
    <row r="238" spans="1:8" x14ac:dyDescent="0.3">
      <c r="A238" s="69">
        <v>236</v>
      </c>
      <c r="B238" s="69">
        <v>237</v>
      </c>
      <c r="C238" s="69">
        <v>0.18179999999999999</v>
      </c>
      <c r="D238" s="69">
        <v>0.55000000000000004</v>
      </c>
      <c r="E238" s="69">
        <v>0.1343</v>
      </c>
      <c r="F238" s="69">
        <v>0</v>
      </c>
      <c r="G238" s="69">
        <v>6</v>
      </c>
      <c r="H238" s="69">
        <v>6</v>
      </c>
    </row>
    <row r="239" spans="1:8" x14ac:dyDescent="0.3">
      <c r="A239" s="69">
        <v>237</v>
      </c>
      <c r="B239" s="69">
        <v>238</v>
      </c>
      <c r="C239" s="69">
        <v>0.18179999999999999</v>
      </c>
      <c r="D239" s="69">
        <v>0.55000000000000004</v>
      </c>
      <c r="E239" s="69">
        <v>0.1343</v>
      </c>
      <c r="F239" s="69">
        <v>0</v>
      </c>
      <c r="G239" s="69">
        <v>27</v>
      </c>
      <c r="H239" s="69">
        <v>27</v>
      </c>
    </row>
    <row r="240" spans="1:8" x14ac:dyDescent="0.3">
      <c r="A240" s="69">
        <v>238</v>
      </c>
      <c r="B240" s="69">
        <v>239</v>
      </c>
      <c r="C240" s="69">
        <v>0.2273</v>
      </c>
      <c r="D240" s="69">
        <v>0.55000000000000004</v>
      </c>
      <c r="E240" s="69">
        <v>0</v>
      </c>
      <c r="F240" s="69">
        <v>2</v>
      </c>
      <c r="G240" s="69">
        <v>97</v>
      </c>
      <c r="H240" s="69">
        <v>99</v>
      </c>
    </row>
    <row r="241" spans="1:8" x14ac:dyDescent="0.3">
      <c r="A241" s="69">
        <v>239</v>
      </c>
      <c r="B241" s="69">
        <v>240</v>
      </c>
      <c r="C241" s="69">
        <v>0.21210000000000001</v>
      </c>
      <c r="D241" s="69">
        <v>0.51</v>
      </c>
      <c r="E241" s="69">
        <v>8.9599999999999999E-2</v>
      </c>
      <c r="F241" s="69">
        <v>3</v>
      </c>
      <c r="G241" s="69">
        <v>214</v>
      </c>
      <c r="H241" s="69">
        <v>217</v>
      </c>
    </row>
    <row r="242" spans="1:8" x14ac:dyDescent="0.3">
      <c r="A242" s="69">
        <v>240</v>
      </c>
      <c r="B242" s="69">
        <v>241</v>
      </c>
      <c r="C242" s="69">
        <v>0.19700000000000001</v>
      </c>
      <c r="D242" s="69">
        <v>0.51</v>
      </c>
      <c r="E242" s="69">
        <v>0.16420000000000001</v>
      </c>
      <c r="F242" s="69">
        <v>3</v>
      </c>
      <c r="G242" s="69">
        <v>127</v>
      </c>
      <c r="H242" s="69">
        <v>130</v>
      </c>
    </row>
    <row r="243" spans="1:8" x14ac:dyDescent="0.3">
      <c r="A243" s="69">
        <v>241</v>
      </c>
      <c r="B243" s="69">
        <v>242</v>
      </c>
      <c r="C243" s="69">
        <v>0.21210000000000001</v>
      </c>
      <c r="D243" s="69">
        <v>0.51</v>
      </c>
      <c r="E243" s="69">
        <v>0.16420000000000001</v>
      </c>
      <c r="F243" s="69">
        <v>3</v>
      </c>
      <c r="G243" s="69">
        <v>51</v>
      </c>
      <c r="H243" s="69">
        <v>54</v>
      </c>
    </row>
    <row r="244" spans="1:8" x14ac:dyDescent="0.3">
      <c r="A244" s="69">
        <v>242</v>
      </c>
      <c r="B244" s="69">
        <v>243</v>
      </c>
      <c r="C244" s="69">
        <v>0.21210000000000001</v>
      </c>
      <c r="D244" s="69">
        <v>0.47</v>
      </c>
      <c r="E244" s="69">
        <v>0.1343</v>
      </c>
      <c r="F244" s="69">
        <v>4</v>
      </c>
      <c r="G244" s="69">
        <v>31</v>
      </c>
      <c r="H244" s="69">
        <v>35</v>
      </c>
    </row>
    <row r="245" spans="1:8" x14ac:dyDescent="0.3">
      <c r="A245" s="69">
        <v>243</v>
      </c>
      <c r="B245" s="69">
        <v>244</v>
      </c>
      <c r="C245" s="69">
        <v>0.2273</v>
      </c>
      <c r="D245" s="69">
        <v>0.51</v>
      </c>
      <c r="E245" s="69">
        <v>0.1045</v>
      </c>
      <c r="F245" s="69">
        <v>2</v>
      </c>
      <c r="G245" s="69">
        <v>55</v>
      </c>
      <c r="H245" s="69">
        <v>57</v>
      </c>
    </row>
    <row r="246" spans="1:8" x14ac:dyDescent="0.3">
      <c r="A246" s="69">
        <v>244</v>
      </c>
      <c r="B246" s="69">
        <v>245</v>
      </c>
      <c r="C246" s="69">
        <v>0.2273</v>
      </c>
      <c r="D246" s="69">
        <v>0.59</v>
      </c>
      <c r="E246" s="69">
        <v>8.9599999999999999E-2</v>
      </c>
      <c r="F246" s="69">
        <v>6</v>
      </c>
      <c r="G246" s="69">
        <v>46</v>
      </c>
      <c r="H246" s="69">
        <v>52</v>
      </c>
    </row>
    <row r="247" spans="1:8" x14ac:dyDescent="0.3">
      <c r="A247" s="69">
        <v>245</v>
      </c>
      <c r="B247" s="69">
        <v>246</v>
      </c>
      <c r="C247" s="69">
        <v>0.2273</v>
      </c>
      <c r="D247" s="69">
        <v>0.59</v>
      </c>
      <c r="E247" s="69">
        <v>8.9599999999999999E-2</v>
      </c>
      <c r="F247" s="69">
        <v>3</v>
      </c>
      <c r="G247" s="69">
        <v>60</v>
      </c>
      <c r="H247" s="69">
        <v>63</v>
      </c>
    </row>
    <row r="248" spans="1:8" x14ac:dyDescent="0.3">
      <c r="A248" s="69">
        <v>246</v>
      </c>
      <c r="B248" s="69">
        <v>247</v>
      </c>
      <c r="C248" s="69">
        <v>0.19700000000000001</v>
      </c>
      <c r="D248" s="69">
        <v>0.8</v>
      </c>
      <c r="E248" s="69">
        <v>8.9599999999999999E-2</v>
      </c>
      <c r="F248" s="69">
        <v>2</v>
      </c>
      <c r="G248" s="69">
        <v>45</v>
      </c>
      <c r="H248" s="69">
        <v>47</v>
      </c>
    </row>
    <row r="249" spans="1:8" x14ac:dyDescent="0.3">
      <c r="A249" s="69">
        <v>247</v>
      </c>
      <c r="B249" s="69">
        <v>248</v>
      </c>
      <c r="C249" s="69">
        <v>0.1515</v>
      </c>
      <c r="D249" s="69">
        <v>0.86</v>
      </c>
      <c r="E249" s="69">
        <v>0.22389999999999999</v>
      </c>
      <c r="F249" s="69">
        <v>4</v>
      </c>
      <c r="G249" s="69">
        <v>72</v>
      </c>
      <c r="H249" s="69">
        <v>76</v>
      </c>
    </row>
    <row r="250" spans="1:8" x14ac:dyDescent="0.3">
      <c r="A250" s="69">
        <v>248</v>
      </c>
      <c r="B250" s="69">
        <v>249</v>
      </c>
      <c r="C250" s="69">
        <v>0.1515</v>
      </c>
      <c r="D250" s="69">
        <v>0.86</v>
      </c>
      <c r="E250" s="69">
        <v>0.22389999999999999</v>
      </c>
      <c r="F250" s="69">
        <v>6</v>
      </c>
      <c r="G250" s="69">
        <v>130</v>
      </c>
      <c r="H250" s="69">
        <v>136</v>
      </c>
    </row>
    <row r="251" spans="1:8" x14ac:dyDescent="0.3">
      <c r="A251" s="69">
        <v>249</v>
      </c>
      <c r="B251" s="69">
        <v>250</v>
      </c>
      <c r="C251" s="69">
        <v>0.18179999999999999</v>
      </c>
      <c r="D251" s="69">
        <v>0.93</v>
      </c>
      <c r="E251" s="69">
        <v>0.1045</v>
      </c>
      <c r="F251" s="69">
        <v>1</v>
      </c>
      <c r="G251" s="69">
        <v>94</v>
      </c>
      <c r="H251" s="69">
        <v>95</v>
      </c>
    </row>
    <row r="252" spans="1:8" x14ac:dyDescent="0.3">
      <c r="A252" s="69">
        <v>250</v>
      </c>
      <c r="B252" s="69">
        <v>251</v>
      </c>
      <c r="C252" s="69">
        <v>0.2273</v>
      </c>
      <c r="D252" s="69">
        <v>0.93</v>
      </c>
      <c r="E252" s="69">
        <v>0</v>
      </c>
      <c r="F252" s="69">
        <v>0</v>
      </c>
      <c r="G252" s="69">
        <v>51</v>
      </c>
      <c r="H252" s="69">
        <v>51</v>
      </c>
    </row>
    <row r="253" spans="1:8" x14ac:dyDescent="0.3">
      <c r="A253" s="69">
        <v>251</v>
      </c>
      <c r="B253" s="69">
        <v>252</v>
      </c>
      <c r="C253" s="69">
        <v>0.1515</v>
      </c>
      <c r="D253" s="69">
        <v>0.93</v>
      </c>
      <c r="E253" s="69">
        <v>0.19400000000000001</v>
      </c>
      <c r="F253" s="69">
        <v>0</v>
      </c>
      <c r="G253" s="69">
        <v>32</v>
      </c>
      <c r="H253" s="69">
        <v>32</v>
      </c>
    </row>
    <row r="254" spans="1:8" x14ac:dyDescent="0.3">
      <c r="A254" s="69">
        <v>252</v>
      </c>
      <c r="B254" s="69">
        <v>253</v>
      </c>
      <c r="C254" s="69">
        <v>0.19700000000000001</v>
      </c>
      <c r="D254" s="69">
        <v>0.86</v>
      </c>
      <c r="E254" s="69">
        <v>8.9599999999999999E-2</v>
      </c>
      <c r="F254" s="69">
        <v>0</v>
      </c>
      <c r="G254" s="69">
        <v>20</v>
      </c>
      <c r="H254" s="69">
        <v>20</v>
      </c>
    </row>
    <row r="255" spans="1:8" x14ac:dyDescent="0.3">
      <c r="A255" s="69">
        <v>253</v>
      </c>
      <c r="B255" s="69">
        <v>254</v>
      </c>
      <c r="C255" s="69">
        <v>0.18179999999999999</v>
      </c>
      <c r="D255" s="69">
        <v>0.93</v>
      </c>
      <c r="E255" s="69">
        <v>0.1045</v>
      </c>
      <c r="F255" s="69">
        <v>1</v>
      </c>
      <c r="G255" s="69">
        <v>28</v>
      </c>
      <c r="H255" s="69">
        <v>29</v>
      </c>
    </row>
    <row r="256" spans="1:8" x14ac:dyDescent="0.3">
      <c r="A256" s="69">
        <v>254</v>
      </c>
      <c r="B256" s="69">
        <v>255</v>
      </c>
      <c r="C256" s="69">
        <v>0.19700000000000001</v>
      </c>
      <c r="D256" s="69">
        <v>0.93</v>
      </c>
      <c r="E256" s="69">
        <v>8.9599999999999999E-2</v>
      </c>
      <c r="F256" s="69">
        <v>1</v>
      </c>
      <c r="G256" s="69">
        <v>18</v>
      </c>
      <c r="H256" s="69">
        <v>19</v>
      </c>
    </row>
    <row r="257" spans="1:8" x14ac:dyDescent="0.3">
      <c r="A257" s="69">
        <v>255</v>
      </c>
      <c r="B257" s="69">
        <v>256</v>
      </c>
      <c r="C257" s="69">
        <v>0.19700000000000001</v>
      </c>
      <c r="D257" s="69">
        <v>0.86</v>
      </c>
      <c r="E257" s="69">
        <v>8.9599999999999999E-2</v>
      </c>
      <c r="F257" s="69">
        <v>0</v>
      </c>
      <c r="G257" s="69">
        <v>7</v>
      </c>
      <c r="H257" s="69">
        <v>7</v>
      </c>
    </row>
    <row r="258" spans="1:8" x14ac:dyDescent="0.3">
      <c r="A258" s="69">
        <v>256</v>
      </c>
      <c r="B258" s="69">
        <v>257</v>
      </c>
      <c r="C258" s="69">
        <v>0.18179999999999999</v>
      </c>
      <c r="D258" s="69">
        <v>0.86</v>
      </c>
      <c r="E258" s="69">
        <v>0.1045</v>
      </c>
      <c r="F258" s="69">
        <v>0</v>
      </c>
      <c r="G258" s="69">
        <v>6</v>
      </c>
      <c r="H258" s="69">
        <v>6</v>
      </c>
    </row>
    <row r="259" spans="1:8" x14ac:dyDescent="0.3">
      <c r="A259" s="69">
        <v>257</v>
      </c>
      <c r="B259" s="69">
        <v>258</v>
      </c>
      <c r="C259" s="69">
        <v>0.1515</v>
      </c>
      <c r="D259" s="69">
        <v>0.86</v>
      </c>
      <c r="E259" s="69">
        <v>0.1343</v>
      </c>
      <c r="F259" s="69">
        <v>0</v>
      </c>
      <c r="G259" s="69">
        <v>1</v>
      </c>
      <c r="H259" s="69">
        <v>1</v>
      </c>
    </row>
    <row r="260" spans="1:8" x14ac:dyDescent="0.3">
      <c r="A260" s="69">
        <v>258</v>
      </c>
      <c r="B260" s="69">
        <v>259</v>
      </c>
      <c r="C260" s="69">
        <v>0.1515</v>
      </c>
      <c r="D260" s="69">
        <v>0.86</v>
      </c>
      <c r="E260" s="69">
        <v>0.16420000000000001</v>
      </c>
      <c r="F260" s="69">
        <v>0</v>
      </c>
      <c r="G260" s="69">
        <v>5</v>
      </c>
      <c r="H260" s="69">
        <v>5</v>
      </c>
    </row>
    <row r="261" spans="1:8" x14ac:dyDescent="0.3">
      <c r="A261" s="69">
        <v>259</v>
      </c>
      <c r="B261" s="69">
        <v>260</v>
      </c>
      <c r="C261" s="69">
        <v>0.1515</v>
      </c>
      <c r="D261" s="69">
        <v>0.93</v>
      </c>
      <c r="E261" s="69">
        <v>0.1343</v>
      </c>
      <c r="F261" s="69">
        <v>0</v>
      </c>
      <c r="G261" s="69">
        <v>16</v>
      </c>
      <c r="H261" s="69">
        <v>16</v>
      </c>
    </row>
    <row r="262" spans="1:8" x14ac:dyDescent="0.3">
      <c r="A262" s="69">
        <v>260</v>
      </c>
      <c r="B262" s="69">
        <v>261</v>
      </c>
      <c r="C262" s="69">
        <v>0.1515</v>
      </c>
      <c r="D262" s="69">
        <v>0.69</v>
      </c>
      <c r="E262" s="69">
        <v>0.1343</v>
      </c>
      <c r="F262" s="69">
        <v>0</v>
      </c>
      <c r="G262" s="69">
        <v>54</v>
      </c>
      <c r="H262" s="69">
        <v>54</v>
      </c>
    </row>
    <row r="263" spans="1:8" x14ac:dyDescent="0.3">
      <c r="A263" s="69">
        <v>261</v>
      </c>
      <c r="B263" s="69">
        <v>262</v>
      </c>
      <c r="C263" s="69">
        <v>0.16669999999999999</v>
      </c>
      <c r="D263" s="69">
        <v>0.59</v>
      </c>
      <c r="E263" s="69">
        <v>0.16420000000000001</v>
      </c>
      <c r="F263" s="69">
        <v>3</v>
      </c>
      <c r="G263" s="69">
        <v>125</v>
      </c>
      <c r="H263" s="69">
        <v>128</v>
      </c>
    </row>
    <row r="264" spans="1:8" x14ac:dyDescent="0.3">
      <c r="A264" s="69">
        <v>262</v>
      </c>
      <c r="B264" s="69">
        <v>263</v>
      </c>
      <c r="C264" s="69">
        <v>0.13639999999999999</v>
      </c>
      <c r="D264" s="69">
        <v>0.59</v>
      </c>
      <c r="E264" s="69">
        <v>0.32840000000000003</v>
      </c>
      <c r="F264" s="69">
        <v>3</v>
      </c>
      <c r="G264" s="69">
        <v>78</v>
      </c>
      <c r="H264" s="69">
        <v>81</v>
      </c>
    </row>
    <row r="265" spans="1:8" x14ac:dyDescent="0.3">
      <c r="A265" s="69">
        <v>263</v>
      </c>
      <c r="B265" s="69">
        <v>264</v>
      </c>
      <c r="C265" s="69">
        <v>0.18179999999999999</v>
      </c>
      <c r="D265" s="69">
        <v>0.55000000000000004</v>
      </c>
      <c r="E265" s="69">
        <v>0.22389999999999999</v>
      </c>
      <c r="F265" s="69">
        <v>0</v>
      </c>
      <c r="G265" s="69">
        <v>39</v>
      </c>
      <c r="H265" s="69">
        <v>39</v>
      </c>
    </row>
    <row r="266" spans="1:8" x14ac:dyDescent="0.3">
      <c r="A266" s="69">
        <v>264</v>
      </c>
      <c r="B266" s="69">
        <v>265</v>
      </c>
      <c r="C266" s="69">
        <v>0.18179999999999999</v>
      </c>
      <c r="D266" s="69">
        <v>0.51</v>
      </c>
      <c r="E266" s="69">
        <v>0.3881</v>
      </c>
      <c r="F266" s="69">
        <v>3</v>
      </c>
      <c r="G266" s="69">
        <v>32</v>
      </c>
      <c r="H266" s="69">
        <v>35</v>
      </c>
    </row>
    <row r="267" spans="1:8" x14ac:dyDescent="0.3">
      <c r="A267" s="69">
        <v>265</v>
      </c>
      <c r="B267" s="69">
        <v>266</v>
      </c>
      <c r="C267" s="69">
        <v>0.1515</v>
      </c>
      <c r="D267" s="69">
        <v>0.47</v>
      </c>
      <c r="E267" s="69">
        <v>0.58209999999999995</v>
      </c>
      <c r="F267" s="69">
        <v>3</v>
      </c>
      <c r="G267" s="69">
        <v>52</v>
      </c>
      <c r="H267" s="69">
        <v>55</v>
      </c>
    </row>
    <row r="268" spans="1:8" x14ac:dyDescent="0.3">
      <c r="A268" s="69">
        <v>266</v>
      </c>
      <c r="B268" s="69">
        <v>267</v>
      </c>
      <c r="C268" s="69">
        <v>0.19700000000000001</v>
      </c>
      <c r="D268" s="69">
        <v>0.44</v>
      </c>
      <c r="E268" s="69">
        <v>0.35820000000000002</v>
      </c>
      <c r="F268" s="69">
        <v>0</v>
      </c>
      <c r="G268" s="69">
        <v>49</v>
      </c>
      <c r="H268" s="69">
        <v>49</v>
      </c>
    </row>
    <row r="269" spans="1:8" x14ac:dyDescent="0.3">
      <c r="A269" s="69">
        <v>267</v>
      </c>
      <c r="B269" s="69">
        <v>268</v>
      </c>
      <c r="C269" s="69">
        <v>0.18179999999999999</v>
      </c>
      <c r="D269" s="69">
        <v>0.47</v>
      </c>
      <c r="E269" s="69">
        <v>0.32840000000000003</v>
      </c>
      <c r="F269" s="69">
        <v>0</v>
      </c>
      <c r="G269" s="69">
        <v>44</v>
      </c>
      <c r="H269" s="69">
        <v>44</v>
      </c>
    </row>
    <row r="270" spans="1:8" x14ac:dyDescent="0.3">
      <c r="A270" s="69">
        <v>268</v>
      </c>
      <c r="B270" s="69">
        <v>269</v>
      </c>
      <c r="C270" s="69">
        <v>0.16669999999999999</v>
      </c>
      <c r="D270" s="69">
        <v>0.47</v>
      </c>
      <c r="E270" s="69">
        <v>0.41789999999999999</v>
      </c>
      <c r="F270" s="69">
        <v>1</v>
      </c>
      <c r="G270" s="69">
        <v>48</v>
      </c>
      <c r="H270" s="69">
        <v>49</v>
      </c>
    </row>
    <row r="271" spans="1:8" x14ac:dyDescent="0.3">
      <c r="A271" s="69">
        <v>269</v>
      </c>
      <c r="B271" s="69">
        <v>270</v>
      </c>
      <c r="C271" s="69">
        <v>0.19700000000000001</v>
      </c>
      <c r="D271" s="69">
        <v>0.44</v>
      </c>
      <c r="E271" s="69">
        <v>0.32840000000000003</v>
      </c>
      <c r="F271" s="69">
        <v>5</v>
      </c>
      <c r="G271" s="69">
        <v>63</v>
      </c>
      <c r="H271" s="69">
        <v>68</v>
      </c>
    </row>
    <row r="272" spans="1:8" x14ac:dyDescent="0.3">
      <c r="A272" s="69">
        <v>270</v>
      </c>
      <c r="B272" s="69">
        <v>271</v>
      </c>
      <c r="C272" s="69">
        <v>0.18179999999999999</v>
      </c>
      <c r="D272" s="69">
        <v>0.47</v>
      </c>
      <c r="E272" s="69">
        <v>0.35820000000000002</v>
      </c>
      <c r="F272" s="69">
        <v>0</v>
      </c>
      <c r="G272" s="69">
        <v>139</v>
      </c>
      <c r="H272" s="69">
        <v>139</v>
      </c>
    </row>
    <row r="273" spans="1:8" x14ac:dyDescent="0.3">
      <c r="A273" s="69">
        <v>271</v>
      </c>
      <c r="B273" s="69">
        <v>272</v>
      </c>
      <c r="C273" s="69">
        <v>0.1515</v>
      </c>
      <c r="D273" s="69">
        <v>0.47</v>
      </c>
      <c r="E273" s="69">
        <v>0.52239999999999998</v>
      </c>
      <c r="F273" s="69">
        <v>2</v>
      </c>
      <c r="G273" s="69">
        <v>135</v>
      </c>
      <c r="H273" s="69">
        <v>137</v>
      </c>
    </row>
    <row r="274" spans="1:8" x14ac:dyDescent="0.3">
      <c r="A274" s="69">
        <v>272</v>
      </c>
      <c r="B274" s="69">
        <v>273</v>
      </c>
      <c r="C274" s="69">
        <v>0.1515</v>
      </c>
      <c r="D274" s="69">
        <v>0.47</v>
      </c>
      <c r="E274" s="69">
        <v>0.41789999999999999</v>
      </c>
      <c r="F274" s="69">
        <v>1</v>
      </c>
      <c r="G274" s="69">
        <v>82</v>
      </c>
      <c r="H274" s="69">
        <v>83</v>
      </c>
    </row>
    <row r="275" spans="1:8" x14ac:dyDescent="0.3">
      <c r="A275" s="69">
        <v>273</v>
      </c>
      <c r="B275" s="69">
        <v>274</v>
      </c>
      <c r="C275" s="69">
        <v>0.13639999999999999</v>
      </c>
      <c r="D275" s="69">
        <v>0.5</v>
      </c>
      <c r="E275" s="69">
        <v>0.32840000000000003</v>
      </c>
      <c r="F275" s="69">
        <v>2</v>
      </c>
      <c r="G275" s="69">
        <v>54</v>
      </c>
      <c r="H275" s="69">
        <v>56</v>
      </c>
    </row>
    <row r="276" spans="1:8" x14ac:dyDescent="0.3">
      <c r="A276" s="69">
        <v>274</v>
      </c>
      <c r="B276" s="69">
        <v>275</v>
      </c>
      <c r="C276" s="69">
        <v>0.13639999999999999</v>
      </c>
      <c r="D276" s="69">
        <v>0.55000000000000004</v>
      </c>
      <c r="E276" s="69">
        <v>0.32840000000000003</v>
      </c>
      <c r="F276" s="69">
        <v>0</v>
      </c>
      <c r="G276" s="69">
        <v>57</v>
      </c>
      <c r="H276" s="69">
        <v>57</v>
      </c>
    </row>
    <row r="277" spans="1:8" x14ac:dyDescent="0.3">
      <c r="A277" s="69">
        <v>275</v>
      </c>
      <c r="B277" s="69">
        <v>276</v>
      </c>
      <c r="C277" s="69">
        <v>0.1212</v>
      </c>
      <c r="D277" s="69">
        <v>0.55000000000000004</v>
      </c>
      <c r="E277" s="69">
        <v>0.44779999999999998</v>
      </c>
      <c r="F277" s="69">
        <v>1</v>
      </c>
      <c r="G277" s="69">
        <v>32</v>
      </c>
      <c r="H277" s="69">
        <v>33</v>
      </c>
    </row>
    <row r="278" spans="1:8" x14ac:dyDescent="0.3">
      <c r="A278" s="69">
        <v>276</v>
      </c>
      <c r="B278" s="69">
        <v>277</v>
      </c>
      <c r="C278" s="69">
        <v>0.1061</v>
      </c>
      <c r="D278" s="69">
        <v>0.59</v>
      </c>
      <c r="E278" s="69">
        <v>0.41789999999999999</v>
      </c>
      <c r="F278" s="69">
        <v>1</v>
      </c>
      <c r="G278" s="69">
        <v>19</v>
      </c>
      <c r="H278" s="69">
        <v>20</v>
      </c>
    </row>
    <row r="279" spans="1:8" x14ac:dyDescent="0.3">
      <c r="A279" s="69">
        <v>277</v>
      </c>
      <c r="B279" s="69">
        <v>278</v>
      </c>
      <c r="C279" s="69">
        <v>0.1212</v>
      </c>
      <c r="D279" s="69">
        <v>0.59</v>
      </c>
      <c r="E279" s="69">
        <v>0.28360000000000002</v>
      </c>
      <c r="F279" s="69">
        <v>1</v>
      </c>
      <c r="G279" s="69">
        <v>6</v>
      </c>
      <c r="H279" s="69">
        <v>7</v>
      </c>
    </row>
    <row r="280" spans="1:8" x14ac:dyDescent="0.3">
      <c r="A280" s="69">
        <v>278</v>
      </c>
      <c r="B280" s="69">
        <v>279</v>
      </c>
      <c r="C280" s="69">
        <v>0.1212</v>
      </c>
      <c r="D280" s="69">
        <v>0.5</v>
      </c>
      <c r="E280" s="69">
        <v>0.28360000000000002</v>
      </c>
      <c r="F280" s="69">
        <v>0</v>
      </c>
      <c r="G280" s="69">
        <v>2</v>
      </c>
      <c r="H280" s="69">
        <v>2</v>
      </c>
    </row>
    <row r="281" spans="1:8" x14ac:dyDescent="0.3">
      <c r="A281" s="69">
        <v>279</v>
      </c>
      <c r="B281" s="69">
        <v>280</v>
      </c>
      <c r="C281" s="69">
        <v>0.1212</v>
      </c>
      <c r="D281" s="69">
        <v>0.5</v>
      </c>
      <c r="E281" s="69">
        <v>0.35820000000000002</v>
      </c>
      <c r="F281" s="69">
        <v>0</v>
      </c>
      <c r="G281" s="69">
        <v>2</v>
      </c>
      <c r="H281" s="69">
        <v>2</v>
      </c>
    </row>
    <row r="282" spans="1:8" x14ac:dyDescent="0.3">
      <c r="A282" s="69">
        <v>280</v>
      </c>
      <c r="B282" s="69">
        <v>281</v>
      </c>
      <c r="C282" s="69">
        <v>0.1212</v>
      </c>
      <c r="D282" s="69">
        <v>0.5</v>
      </c>
      <c r="E282" s="69">
        <v>0.32840000000000003</v>
      </c>
      <c r="F282" s="69">
        <v>0</v>
      </c>
      <c r="G282" s="69">
        <v>3</v>
      </c>
      <c r="H282" s="69">
        <v>3</v>
      </c>
    </row>
    <row r="283" spans="1:8" x14ac:dyDescent="0.3">
      <c r="A283" s="69">
        <v>281</v>
      </c>
      <c r="B283" s="69">
        <v>282</v>
      </c>
      <c r="C283" s="69">
        <v>0.1212</v>
      </c>
      <c r="D283" s="69">
        <v>0.5</v>
      </c>
      <c r="E283" s="69">
        <v>0.25369999999999998</v>
      </c>
      <c r="F283" s="69">
        <v>0</v>
      </c>
      <c r="G283" s="69">
        <v>4</v>
      </c>
      <c r="H283" s="69">
        <v>4</v>
      </c>
    </row>
    <row r="284" spans="1:8" x14ac:dyDescent="0.3">
      <c r="A284" s="69">
        <v>282</v>
      </c>
      <c r="B284" s="69">
        <v>283</v>
      </c>
      <c r="C284" s="69">
        <v>0.1212</v>
      </c>
      <c r="D284" s="69">
        <v>0.5</v>
      </c>
      <c r="E284" s="69">
        <v>0.29849999999999999</v>
      </c>
      <c r="F284" s="69">
        <v>0</v>
      </c>
      <c r="G284" s="69">
        <v>3</v>
      </c>
      <c r="H284" s="69">
        <v>3</v>
      </c>
    </row>
    <row r="285" spans="1:8" x14ac:dyDescent="0.3">
      <c r="A285" s="69">
        <v>283</v>
      </c>
      <c r="B285" s="69">
        <v>284</v>
      </c>
      <c r="C285" s="69">
        <v>0.1515</v>
      </c>
      <c r="D285" s="69">
        <v>0.54</v>
      </c>
      <c r="E285" s="69">
        <v>0.1343</v>
      </c>
      <c r="F285" s="69">
        <v>0</v>
      </c>
      <c r="G285" s="69">
        <v>28</v>
      </c>
      <c r="H285" s="69">
        <v>28</v>
      </c>
    </row>
    <row r="286" spans="1:8" x14ac:dyDescent="0.3">
      <c r="A286" s="69">
        <v>284</v>
      </c>
      <c r="B286" s="69">
        <v>285</v>
      </c>
      <c r="C286" s="69">
        <v>0.1515</v>
      </c>
      <c r="D286" s="69">
        <v>0.54</v>
      </c>
      <c r="E286" s="69">
        <v>0.1343</v>
      </c>
      <c r="F286" s="69">
        <v>0</v>
      </c>
      <c r="G286" s="69">
        <v>72</v>
      </c>
      <c r="H286" s="69">
        <v>72</v>
      </c>
    </row>
    <row r="287" spans="1:8" x14ac:dyDescent="0.3">
      <c r="A287" s="69">
        <v>285</v>
      </c>
      <c r="B287" s="69">
        <v>286</v>
      </c>
      <c r="C287" s="69">
        <v>0.13639999999999999</v>
      </c>
      <c r="D287" s="69">
        <v>0.5</v>
      </c>
      <c r="E287" s="69">
        <v>0.19400000000000001</v>
      </c>
      <c r="F287" s="69">
        <v>5</v>
      </c>
      <c r="G287" s="69">
        <v>197</v>
      </c>
      <c r="H287" s="69">
        <v>202</v>
      </c>
    </row>
    <row r="288" spans="1:8" x14ac:dyDescent="0.3">
      <c r="A288" s="69">
        <v>286</v>
      </c>
      <c r="B288" s="69">
        <v>287</v>
      </c>
      <c r="C288" s="69">
        <v>0.1212</v>
      </c>
      <c r="D288" s="69">
        <v>0.5</v>
      </c>
      <c r="E288" s="69">
        <v>0.32840000000000003</v>
      </c>
      <c r="F288" s="69">
        <v>2</v>
      </c>
      <c r="G288" s="69">
        <v>137</v>
      </c>
      <c r="H288" s="69">
        <v>139</v>
      </c>
    </row>
    <row r="289" spans="1:8" x14ac:dyDescent="0.3">
      <c r="A289" s="69">
        <v>287</v>
      </c>
      <c r="B289" s="69">
        <v>288</v>
      </c>
      <c r="C289" s="69">
        <v>0.13639999999999999</v>
      </c>
      <c r="D289" s="69">
        <v>0.5</v>
      </c>
      <c r="E289" s="69">
        <v>0.35820000000000002</v>
      </c>
      <c r="F289" s="69">
        <v>2</v>
      </c>
      <c r="G289" s="69">
        <v>36</v>
      </c>
      <c r="H289" s="69">
        <v>38</v>
      </c>
    </row>
    <row r="290" spans="1:8" x14ac:dyDescent="0.3">
      <c r="A290" s="69">
        <v>288</v>
      </c>
      <c r="B290" s="69">
        <v>289</v>
      </c>
      <c r="C290" s="69">
        <v>0.16669999999999999</v>
      </c>
      <c r="D290" s="69">
        <v>0.44</v>
      </c>
      <c r="E290" s="69">
        <v>0.44779999999999998</v>
      </c>
      <c r="F290" s="69">
        <v>4</v>
      </c>
      <c r="G290" s="69">
        <v>33</v>
      </c>
      <c r="H290" s="69">
        <v>37</v>
      </c>
    </row>
    <row r="291" spans="1:8" x14ac:dyDescent="0.3">
      <c r="A291" s="69">
        <v>289</v>
      </c>
      <c r="B291" s="69">
        <v>290</v>
      </c>
      <c r="C291" s="69">
        <v>0.16669999999999999</v>
      </c>
      <c r="D291" s="69">
        <v>0.44</v>
      </c>
      <c r="E291" s="69">
        <v>0.41789999999999999</v>
      </c>
      <c r="F291" s="69">
        <v>3</v>
      </c>
      <c r="G291" s="69">
        <v>49</v>
      </c>
      <c r="H291" s="69">
        <v>52</v>
      </c>
    </row>
    <row r="292" spans="1:8" x14ac:dyDescent="0.3">
      <c r="A292" s="69">
        <v>290</v>
      </c>
      <c r="B292" s="69">
        <v>291</v>
      </c>
      <c r="C292" s="69">
        <v>0.19700000000000001</v>
      </c>
      <c r="D292" s="69">
        <v>0.41</v>
      </c>
      <c r="E292" s="69">
        <v>0.44779999999999998</v>
      </c>
      <c r="F292" s="69">
        <v>2</v>
      </c>
      <c r="G292" s="69">
        <v>81</v>
      </c>
      <c r="H292" s="69">
        <v>83</v>
      </c>
    </row>
    <row r="293" spans="1:8" x14ac:dyDescent="0.3">
      <c r="A293" s="69">
        <v>291</v>
      </c>
      <c r="B293" s="69">
        <v>292</v>
      </c>
      <c r="C293" s="69">
        <v>0.19700000000000001</v>
      </c>
      <c r="D293" s="69">
        <v>0.41</v>
      </c>
      <c r="E293" s="69">
        <v>0.3881</v>
      </c>
      <c r="F293" s="69">
        <v>3</v>
      </c>
      <c r="G293" s="69">
        <v>39</v>
      </c>
      <c r="H293" s="69">
        <v>42</v>
      </c>
    </row>
    <row r="294" spans="1:8" x14ac:dyDescent="0.3">
      <c r="A294" s="69">
        <v>292</v>
      </c>
      <c r="B294" s="69">
        <v>293</v>
      </c>
      <c r="C294" s="69">
        <v>0.21210000000000001</v>
      </c>
      <c r="D294" s="69">
        <v>0.38</v>
      </c>
      <c r="E294" s="69">
        <v>0.29849999999999999</v>
      </c>
      <c r="F294" s="69">
        <v>5</v>
      </c>
      <c r="G294" s="69">
        <v>55</v>
      </c>
      <c r="H294" s="69">
        <v>60</v>
      </c>
    </row>
    <row r="295" spans="1:8" x14ac:dyDescent="0.3">
      <c r="A295" s="69">
        <v>293</v>
      </c>
      <c r="B295" s="69">
        <v>294</v>
      </c>
      <c r="C295" s="69">
        <v>0.21210000000000001</v>
      </c>
      <c r="D295" s="69">
        <v>0.38</v>
      </c>
      <c r="E295" s="69">
        <v>0.35820000000000002</v>
      </c>
      <c r="F295" s="69">
        <v>2</v>
      </c>
      <c r="G295" s="69">
        <v>76</v>
      </c>
      <c r="H295" s="69">
        <v>78</v>
      </c>
    </row>
    <row r="296" spans="1:8" x14ac:dyDescent="0.3">
      <c r="A296" s="69">
        <v>294</v>
      </c>
      <c r="B296" s="69">
        <v>295</v>
      </c>
      <c r="C296" s="69">
        <v>0.18179999999999999</v>
      </c>
      <c r="D296" s="69">
        <v>0.4</v>
      </c>
      <c r="E296" s="69">
        <v>0.28360000000000002</v>
      </c>
      <c r="F296" s="69">
        <v>4</v>
      </c>
      <c r="G296" s="69">
        <v>158</v>
      </c>
      <c r="H296" s="69">
        <v>162</v>
      </c>
    </row>
    <row r="297" spans="1:8" x14ac:dyDescent="0.3">
      <c r="A297" s="69">
        <v>295</v>
      </c>
      <c r="B297" s="69">
        <v>296</v>
      </c>
      <c r="C297" s="69">
        <v>0.18179999999999999</v>
      </c>
      <c r="D297" s="69">
        <v>0.4</v>
      </c>
      <c r="E297" s="69">
        <v>0.32840000000000003</v>
      </c>
      <c r="F297" s="69">
        <v>3</v>
      </c>
      <c r="G297" s="69">
        <v>141</v>
      </c>
      <c r="H297" s="69">
        <v>144</v>
      </c>
    </row>
    <row r="298" spans="1:8" x14ac:dyDescent="0.3">
      <c r="A298" s="69">
        <v>296</v>
      </c>
      <c r="B298" s="69">
        <v>297</v>
      </c>
      <c r="C298" s="69">
        <v>0.1515</v>
      </c>
      <c r="D298" s="69">
        <v>0.47</v>
      </c>
      <c r="E298" s="69">
        <v>0.25369999999999998</v>
      </c>
      <c r="F298" s="69">
        <v>1</v>
      </c>
      <c r="G298" s="69">
        <v>98</v>
      </c>
      <c r="H298" s="69">
        <v>99</v>
      </c>
    </row>
    <row r="299" spans="1:8" x14ac:dyDescent="0.3">
      <c r="A299" s="69">
        <v>297</v>
      </c>
      <c r="B299" s="69">
        <v>298</v>
      </c>
      <c r="C299" s="69">
        <v>0.1515</v>
      </c>
      <c r="D299" s="69">
        <v>0.47</v>
      </c>
      <c r="E299" s="69">
        <v>0.22389999999999999</v>
      </c>
      <c r="F299" s="69">
        <v>0</v>
      </c>
      <c r="G299" s="69">
        <v>64</v>
      </c>
      <c r="H299" s="69">
        <v>64</v>
      </c>
    </row>
    <row r="300" spans="1:8" x14ac:dyDescent="0.3">
      <c r="A300" s="69">
        <v>298</v>
      </c>
      <c r="B300" s="69">
        <v>299</v>
      </c>
      <c r="C300" s="69">
        <v>0.1212</v>
      </c>
      <c r="D300" s="69">
        <v>0.46</v>
      </c>
      <c r="E300" s="69">
        <v>0.29849999999999999</v>
      </c>
      <c r="F300" s="69">
        <v>0</v>
      </c>
      <c r="G300" s="69">
        <v>40</v>
      </c>
      <c r="H300" s="69">
        <v>40</v>
      </c>
    </row>
    <row r="301" spans="1:8" x14ac:dyDescent="0.3">
      <c r="A301" s="69">
        <v>299</v>
      </c>
      <c r="B301" s="69">
        <v>300</v>
      </c>
      <c r="C301" s="69">
        <v>0.1212</v>
      </c>
      <c r="D301" s="69">
        <v>0.46</v>
      </c>
      <c r="E301" s="69">
        <v>0.32840000000000003</v>
      </c>
      <c r="F301" s="69">
        <v>0</v>
      </c>
      <c r="G301" s="69">
        <v>30</v>
      </c>
      <c r="H301" s="69">
        <v>30</v>
      </c>
    </row>
    <row r="302" spans="1:8" x14ac:dyDescent="0.3">
      <c r="A302" s="69">
        <v>300</v>
      </c>
      <c r="B302" s="69">
        <v>301</v>
      </c>
      <c r="C302" s="69">
        <v>0.13639999999999999</v>
      </c>
      <c r="D302" s="69">
        <v>0.5</v>
      </c>
      <c r="E302" s="69">
        <v>0.19400000000000001</v>
      </c>
      <c r="F302" s="69">
        <v>1</v>
      </c>
      <c r="G302" s="69">
        <v>14</v>
      </c>
      <c r="H302" s="69">
        <v>15</v>
      </c>
    </row>
    <row r="303" spans="1:8" x14ac:dyDescent="0.3">
      <c r="A303" s="69">
        <v>301</v>
      </c>
      <c r="B303" s="69">
        <v>302</v>
      </c>
      <c r="C303" s="69">
        <v>0.13639999999999999</v>
      </c>
      <c r="D303" s="69">
        <v>0.5</v>
      </c>
      <c r="E303" s="69">
        <v>0.19400000000000001</v>
      </c>
      <c r="F303" s="69">
        <v>0</v>
      </c>
      <c r="G303" s="69">
        <v>14</v>
      </c>
      <c r="H303" s="69">
        <v>14</v>
      </c>
    </row>
    <row r="304" spans="1:8" x14ac:dyDescent="0.3">
      <c r="A304" s="69">
        <v>302</v>
      </c>
      <c r="B304" s="69">
        <v>303</v>
      </c>
      <c r="C304" s="69">
        <v>0.1212</v>
      </c>
      <c r="D304" s="69">
        <v>0.54</v>
      </c>
      <c r="E304" s="69">
        <v>0.16420000000000001</v>
      </c>
      <c r="F304" s="69">
        <v>0</v>
      </c>
      <c r="G304" s="69">
        <v>5</v>
      </c>
      <c r="H304" s="69">
        <v>5</v>
      </c>
    </row>
    <row r="305" spans="1:8" x14ac:dyDescent="0.3">
      <c r="A305" s="69">
        <v>303</v>
      </c>
      <c r="B305" s="69">
        <v>304</v>
      </c>
      <c r="C305" s="69">
        <v>0.1212</v>
      </c>
      <c r="D305" s="69">
        <v>0.54</v>
      </c>
      <c r="E305" s="69">
        <v>0.1343</v>
      </c>
      <c r="F305" s="69">
        <v>0</v>
      </c>
      <c r="G305" s="69">
        <v>1</v>
      </c>
      <c r="H305" s="69">
        <v>1</v>
      </c>
    </row>
    <row r="306" spans="1:8" x14ac:dyDescent="0.3">
      <c r="A306" s="69">
        <v>304</v>
      </c>
      <c r="B306" s="69">
        <v>305</v>
      </c>
      <c r="C306" s="69">
        <v>0.13639999999999999</v>
      </c>
      <c r="D306" s="69">
        <v>0.54</v>
      </c>
      <c r="E306" s="69">
        <v>0.1045</v>
      </c>
      <c r="F306" s="69">
        <v>0</v>
      </c>
      <c r="G306" s="69">
        <v>1</v>
      </c>
      <c r="H306" s="69">
        <v>1</v>
      </c>
    </row>
    <row r="307" spans="1:8" x14ac:dyDescent="0.3">
      <c r="A307" s="69">
        <v>305</v>
      </c>
      <c r="B307" s="69">
        <v>306</v>
      </c>
      <c r="C307" s="69">
        <v>0.13639999999999999</v>
      </c>
      <c r="D307" s="69">
        <v>0.54</v>
      </c>
      <c r="E307" s="69">
        <v>8.9599999999999999E-2</v>
      </c>
      <c r="F307" s="69">
        <v>0</v>
      </c>
      <c r="G307" s="69">
        <v>8</v>
      </c>
      <c r="H307" s="69">
        <v>8</v>
      </c>
    </row>
    <row r="308" spans="1:8" x14ac:dyDescent="0.3">
      <c r="A308" s="69">
        <v>306</v>
      </c>
      <c r="B308" s="69">
        <v>307</v>
      </c>
      <c r="C308" s="69">
        <v>0.18179999999999999</v>
      </c>
      <c r="D308" s="69">
        <v>0.54</v>
      </c>
      <c r="E308" s="69">
        <v>0</v>
      </c>
      <c r="F308" s="69">
        <v>0</v>
      </c>
      <c r="G308" s="69">
        <v>17</v>
      </c>
      <c r="H308" s="69">
        <v>17</v>
      </c>
    </row>
    <row r="309" spans="1:8" x14ac:dyDescent="0.3">
      <c r="A309" s="69">
        <v>307</v>
      </c>
      <c r="B309" s="69">
        <v>308</v>
      </c>
      <c r="C309" s="69">
        <v>0.1212</v>
      </c>
      <c r="D309" s="69">
        <v>0.74</v>
      </c>
      <c r="E309" s="69">
        <v>0.16420000000000001</v>
      </c>
      <c r="F309" s="69">
        <v>0</v>
      </c>
      <c r="G309" s="69">
        <v>70</v>
      </c>
      <c r="H309" s="69">
        <v>70</v>
      </c>
    </row>
    <row r="310" spans="1:8" x14ac:dyDescent="0.3">
      <c r="A310" s="69">
        <v>308</v>
      </c>
      <c r="B310" s="69">
        <v>309</v>
      </c>
      <c r="C310" s="69">
        <v>0.16669999999999999</v>
      </c>
      <c r="D310" s="69">
        <v>0.68</v>
      </c>
      <c r="E310" s="69">
        <v>0</v>
      </c>
      <c r="F310" s="69">
        <v>2</v>
      </c>
      <c r="G310" s="69">
        <v>156</v>
      </c>
      <c r="H310" s="69">
        <v>158</v>
      </c>
    </row>
    <row r="311" spans="1:8" x14ac:dyDescent="0.3">
      <c r="A311" s="69">
        <v>309</v>
      </c>
      <c r="B311" s="69">
        <v>310</v>
      </c>
      <c r="C311" s="69">
        <v>0.1515</v>
      </c>
      <c r="D311" s="69">
        <v>0.69</v>
      </c>
      <c r="E311" s="69">
        <v>0.1343</v>
      </c>
      <c r="F311" s="69">
        <v>0</v>
      </c>
      <c r="G311" s="69">
        <v>117</v>
      </c>
      <c r="H311" s="69">
        <v>117</v>
      </c>
    </row>
    <row r="312" spans="1:8" x14ac:dyDescent="0.3">
      <c r="A312" s="69">
        <v>310</v>
      </c>
      <c r="B312" s="69">
        <v>311</v>
      </c>
      <c r="C312" s="69">
        <v>0.18179999999999999</v>
      </c>
      <c r="D312" s="69">
        <v>0.55000000000000004</v>
      </c>
      <c r="E312" s="69">
        <v>0.19400000000000001</v>
      </c>
      <c r="F312" s="69">
        <v>4</v>
      </c>
      <c r="G312" s="69">
        <v>40</v>
      </c>
      <c r="H312" s="69">
        <v>44</v>
      </c>
    </row>
    <row r="313" spans="1:8" x14ac:dyDescent="0.3">
      <c r="A313" s="69">
        <v>311</v>
      </c>
      <c r="B313" s="69">
        <v>312</v>
      </c>
      <c r="C313" s="69">
        <v>0.16669999999999999</v>
      </c>
      <c r="D313" s="69">
        <v>0.51</v>
      </c>
      <c r="E313" s="69">
        <v>0.28360000000000002</v>
      </c>
      <c r="F313" s="69">
        <v>6</v>
      </c>
      <c r="G313" s="69">
        <v>47</v>
      </c>
      <c r="H313" s="69">
        <v>53</v>
      </c>
    </row>
    <row r="314" spans="1:8" x14ac:dyDescent="0.3">
      <c r="A314" s="69">
        <v>312</v>
      </c>
      <c r="B314" s="69">
        <v>313</v>
      </c>
      <c r="C314" s="69">
        <v>0.19700000000000001</v>
      </c>
      <c r="D314" s="69">
        <v>0.44</v>
      </c>
      <c r="E314" s="69">
        <v>0.25369999999999998</v>
      </c>
      <c r="F314" s="69">
        <v>2</v>
      </c>
      <c r="G314" s="69">
        <v>59</v>
      </c>
      <c r="H314" s="69">
        <v>61</v>
      </c>
    </row>
    <row r="315" spans="1:8" x14ac:dyDescent="0.3">
      <c r="A315" s="69">
        <v>313</v>
      </c>
      <c r="B315" s="69">
        <v>314</v>
      </c>
      <c r="C315" s="69">
        <v>0.19700000000000001</v>
      </c>
      <c r="D315" s="69">
        <v>0.37</v>
      </c>
      <c r="E315" s="69">
        <v>0.3881</v>
      </c>
      <c r="F315" s="69">
        <v>4</v>
      </c>
      <c r="G315" s="69">
        <v>73</v>
      </c>
      <c r="H315" s="69">
        <v>77</v>
      </c>
    </row>
    <row r="316" spans="1:8" x14ac:dyDescent="0.3">
      <c r="A316" s="69">
        <v>314</v>
      </c>
      <c r="B316" s="69">
        <v>315</v>
      </c>
      <c r="C316" s="69">
        <v>0.21210000000000001</v>
      </c>
      <c r="D316" s="69">
        <v>0.41</v>
      </c>
      <c r="E316" s="69">
        <v>0.28360000000000002</v>
      </c>
      <c r="F316" s="69">
        <v>5</v>
      </c>
      <c r="G316" s="69">
        <v>59</v>
      </c>
      <c r="H316" s="69">
        <v>64</v>
      </c>
    </row>
    <row r="317" spans="1:8" x14ac:dyDescent="0.3">
      <c r="A317" s="69">
        <v>315</v>
      </c>
      <c r="B317" s="69">
        <v>316</v>
      </c>
      <c r="C317" s="69">
        <v>0.2424</v>
      </c>
      <c r="D317" s="69">
        <v>0.38</v>
      </c>
      <c r="E317" s="69">
        <v>0.16420000000000001</v>
      </c>
      <c r="F317" s="69">
        <v>9</v>
      </c>
      <c r="G317" s="69">
        <v>59</v>
      </c>
      <c r="H317" s="69">
        <v>68</v>
      </c>
    </row>
    <row r="318" spans="1:8" x14ac:dyDescent="0.3">
      <c r="A318" s="69">
        <v>316</v>
      </c>
      <c r="B318" s="69">
        <v>317</v>
      </c>
      <c r="C318" s="69">
        <v>0.2424</v>
      </c>
      <c r="D318" s="69">
        <v>0.41</v>
      </c>
      <c r="E318" s="69">
        <v>0.1045</v>
      </c>
      <c r="F318" s="69">
        <v>3</v>
      </c>
      <c r="G318" s="69">
        <v>87</v>
      </c>
      <c r="H318" s="69">
        <v>90</v>
      </c>
    </row>
    <row r="319" spans="1:8" x14ac:dyDescent="0.3">
      <c r="A319" s="69">
        <v>317</v>
      </c>
      <c r="B319" s="69">
        <v>318</v>
      </c>
      <c r="C319" s="69">
        <v>0.2273</v>
      </c>
      <c r="D319" s="69">
        <v>0.41</v>
      </c>
      <c r="E319" s="69">
        <v>0.16420000000000001</v>
      </c>
      <c r="F319" s="69">
        <v>4</v>
      </c>
      <c r="G319" s="69">
        <v>155</v>
      </c>
      <c r="H319" s="69">
        <v>159</v>
      </c>
    </row>
    <row r="320" spans="1:8" x14ac:dyDescent="0.3">
      <c r="A320" s="69">
        <v>318</v>
      </c>
      <c r="B320" s="69">
        <v>319</v>
      </c>
      <c r="C320" s="69">
        <v>0.2576</v>
      </c>
      <c r="D320" s="69">
        <v>0.47</v>
      </c>
      <c r="E320" s="69">
        <v>0</v>
      </c>
      <c r="F320" s="69">
        <v>5</v>
      </c>
      <c r="G320" s="69">
        <v>134</v>
      </c>
      <c r="H320" s="69">
        <v>139</v>
      </c>
    </row>
    <row r="321" spans="1:8" x14ac:dyDescent="0.3">
      <c r="A321" s="69">
        <v>319</v>
      </c>
      <c r="B321" s="69">
        <v>320</v>
      </c>
      <c r="C321" s="69">
        <v>0.19700000000000001</v>
      </c>
      <c r="D321" s="69">
        <v>0.59</v>
      </c>
      <c r="E321" s="69">
        <v>8.9599999999999999E-2</v>
      </c>
      <c r="F321" s="69">
        <v>3</v>
      </c>
      <c r="G321" s="69">
        <v>89</v>
      </c>
      <c r="H321" s="69">
        <v>92</v>
      </c>
    </row>
    <row r="322" spans="1:8" x14ac:dyDescent="0.3">
      <c r="A322" s="69">
        <v>320</v>
      </c>
      <c r="B322" s="69">
        <v>321</v>
      </c>
      <c r="C322" s="69">
        <v>0.2424</v>
      </c>
      <c r="D322" s="69">
        <v>0.59</v>
      </c>
      <c r="E322" s="69">
        <v>0</v>
      </c>
      <c r="F322" s="69">
        <v>0</v>
      </c>
      <c r="G322" s="69">
        <v>68</v>
      </c>
      <c r="H322" s="69">
        <v>68</v>
      </c>
    </row>
    <row r="323" spans="1:8" x14ac:dyDescent="0.3">
      <c r="A323" s="69">
        <v>321</v>
      </c>
      <c r="B323" s="69">
        <v>322</v>
      </c>
      <c r="C323" s="69">
        <v>0.2273</v>
      </c>
      <c r="D323" s="69">
        <v>0.69</v>
      </c>
      <c r="E323" s="69">
        <v>0</v>
      </c>
      <c r="F323" s="69">
        <v>4</v>
      </c>
      <c r="G323" s="69">
        <v>48</v>
      </c>
      <c r="H323" s="69">
        <v>52</v>
      </c>
    </row>
    <row r="324" spans="1:8" x14ac:dyDescent="0.3">
      <c r="A324" s="69">
        <v>322</v>
      </c>
      <c r="B324" s="69">
        <v>323</v>
      </c>
      <c r="C324" s="69">
        <v>0.2273</v>
      </c>
      <c r="D324" s="69">
        <v>0.69</v>
      </c>
      <c r="E324" s="69">
        <v>0</v>
      </c>
      <c r="F324" s="69">
        <v>2</v>
      </c>
      <c r="G324" s="69">
        <v>34</v>
      </c>
      <c r="H324" s="69">
        <v>36</v>
      </c>
    </row>
    <row r="325" spans="1:8" x14ac:dyDescent="0.3">
      <c r="A325" s="69">
        <v>323</v>
      </c>
      <c r="B325" s="69">
        <v>324</v>
      </c>
      <c r="C325" s="69">
        <v>0.2424</v>
      </c>
      <c r="D325" s="69">
        <v>0.55000000000000004</v>
      </c>
      <c r="E325" s="69">
        <v>0</v>
      </c>
      <c r="F325" s="69">
        <v>1</v>
      </c>
      <c r="G325" s="69">
        <v>26</v>
      </c>
      <c r="H325" s="69">
        <v>27</v>
      </c>
    </row>
    <row r="326" spans="1:8" x14ac:dyDescent="0.3">
      <c r="A326" s="69">
        <v>324</v>
      </c>
      <c r="B326" s="69">
        <v>325</v>
      </c>
      <c r="C326" s="69">
        <v>0.2424</v>
      </c>
      <c r="D326" s="69">
        <v>0.55000000000000004</v>
      </c>
      <c r="E326" s="69">
        <v>0</v>
      </c>
      <c r="F326" s="69">
        <v>3</v>
      </c>
      <c r="G326" s="69">
        <v>25</v>
      </c>
      <c r="H326" s="69">
        <v>28</v>
      </c>
    </row>
    <row r="327" spans="1:8" x14ac:dyDescent="0.3">
      <c r="A327" s="69">
        <v>325</v>
      </c>
      <c r="B327" s="69">
        <v>326</v>
      </c>
      <c r="C327" s="69">
        <v>0.19700000000000001</v>
      </c>
      <c r="D327" s="69">
        <v>0.59</v>
      </c>
      <c r="E327" s="69">
        <v>8.9599999999999999E-2</v>
      </c>
      <c r="F327" s="69">
        <v>2</v>
      </c>
      <c r="G327" s="69">
        <v>18</v>
      </c>
      <c r="H327" s="69">
        <v>20</v>
      </c>
    </row>
    <row r="328" spans="1:8" x14ac:dyDescent="0.3">
      <c r="A328" s="69">
        <v>326</v>
      </c>
      <c r="B328" s="69">
        <v>327</v>
      </c>
      <c r="C328" s="69">
        <v>0.19700000000000001</v>
      </c>
      <c r="D328" s="69">
        <v>0.59</v>
      </c>
      <c r="E328" s="69">
        <v>8.9599999999999999E-2</v>
      </c>
      <c r="F328" s="69">
        <v>0</v>
      </c>
      <c r="G328" s="69">
        <v>12</v>
      </c>
      <c r="H328" s="69">
        <v>12</v>
      </c>
    </row>
    <row r="329" spans="1:8" x14ac:dyDescent="0.3">
      <c r="A329" s="69">
        <v>327</v>
      </c>
      <c r="B329" s="69">
        <v>328</v>
      </c>
      <c r="C329" s="69">
        <v>0.2273</v>
      </c>
      <c r="D329" s="69">
        <v>0.59</v>
      </c>
      <c r="E329" s="69">
        <v>0</v>
      </c>
      <c r="F329" s="69">
        <v>1</v>
      </c>
      <c r="G329" s="69">
        <v>7</v>
      </c>
      <c r="H329" s="69">
        <v>8</v>
      </c>
    </row>
    <row r="330" spans="1:8" x14ac:dyDescent="0.3">
      <c r="A330" s="69">
        <v>328</v>
      </c>
      <c r="B330" s="69">
        <v>329</v>
      </c>
      <c r="C330" s="69">
        <v>0.2273</v>
      </c>
      <c r="D330" s="69">
        <v>0.59</v>
      </c>
      <c r="E330" s="69">
        <v>0</v>
      </c>
      <c r="F330" s="69">
        <v>0</v>
      </c>
      <c r="G330" s="69">
        <v>5</v>
      </c>
      <c r="H330" s="69">
        <v>5</v>
      </c>
    </row>
    <row r="331" spans="1:8" x14ac:dyDescent="0.3">
      <c r="A331" s="69">
        <v>329</v>
      </c>
      <c r="B331" s="69">
        <v>330</v>
      </c>
      <c r="C331" s="69">
        <v>0.2273</v>
      </c>
      <c r="D331" s="69">
        <v>0.59</v>
      </c>
      <c r="E331" s="69">
        <v>0</v>
      </c>
      <c r="F331" s="69">
        <v>0</v>
      </c>
      <c r="G331" s="69">
        <v>1</v>
      </c>
      <c r="H331" s="69">
        <v>1</v>
      </c>
    </row>
    <row r="332" spans="1:8" x14ac:dyDescent="0.3">
      <c r="A332" s="69">
        <v>330</v>
      </c>
      <c r="B332" s="69">
        <v>331</v>
      </c>
      <c r="C332" s="69">
        <v>0.16669999999999999</v>
      </c>
      <c r="D332" s="69">
        <v>0.63</v>
      </c>
      <c r="E332" s="69">
        <v>0.1045</v>
      </c>
      <c r="F332" s="69">
        <v>1</v>
      </c>
      <c r="G332" s="69">
        <v>2</v>
      </c>
      <c r="H332" s="69">
        <v>3</v>
      </c>
    </row>
    <row r="333" spans="1:8" x14ac:dyDescent="0.3">
      <c r="A333" s="69">
        <v>331</v>
      </c>
      <c r="B333" s="69">
        <v>332</v>
      </c>
      <c r="C333" s="69">
        <v>0.21210000000000001</v>
      </c>
      <c r="D333" s="69">
        <v>0.63</v>
      </c>
      <c r="E333" s="69">
        <v>0</v>
      </c>
      <c r="F333" s="69">
        <v>1</v>
      </c>
      <c r="G333" s="69">
        <v>9</v>
      </c>
      <c r="H333" s="69">
        <v>10</v>
      </c>
    </row>
    <row r="334" spans="1:8" x14ac:dyDescent="0.3">
      <c r="A334" s="69">
        <v>332</v>
      </c>
      <c r="B334" s="69">
        <v>333</v>
      </c>
      <c r="C334" s="69">
        <v>0.1515</v>
      </c>
      <c r="D334" s="69">
        <v>0.63</v>
      </c>
      <c r="E334" s="69">
        <v>0.1343</v>
      </c>
      <c r="F334" s="69">
        <v>1</v>
      </c>
      <c r="G334" s="69">
        <v>22</v>
      </c>
      <c r="H334" s="69">
        <v>23</v>
      </c>
    </row>
    <row r="335" spans="1:8" x14ac:dyDescent="0.3">
      <c r="A335" s="69">
        <v>333</v>
      </c>
      <c r="B335" s="69">
        <v>334</v>
      </c>
      <c r="C335" s="69">
        <v>0.18179999999999999</v>
      </c>
      <c r="D335" s="69">
        <v>0.64</v>
      </c>
      <c r="E335" s="69">
        <v>0.1343</v>
      </c>
      <c r="F335" s="69">
        <v>2</v>
      </c>
      <c r="G335" s="69">
        <v>31</v>
      </c>
      <c r="H335" s="69">
        <v>33</v>
      </c>
    </row>
    <row r="336" spans="1:8" x14ac:dyDescent="0.3">
      <c r="A336" s="69">
        <v>334</v>
      </c>
      <c r="B336" s="69">
        <v>335</v>
      </c>
      <c r="C336" s="69">
        <v>0.19700000000000001</v>
      </c>
      <c r="D336" s="69">
        <v>0.59</v>
      </c>
      <c r="E336" s="69">
        <v>0.16420000000000001</v>
      </c>
      <c r="F336" s="69">
        <v>2</v>
      </c>
      <c r="G336" s="69">
        <v>57</v>
      </c>
      <c r="H336" s="69">
        <v>59</v>
      </c>
    </row>
    <row r="337" spans="1:8" x14ac:dyDescent="0.3">
      <c r="A337" s="69">
        <v>335</v>
      </c>
      <c r="B337" s="69">
        <v>336</v>
      </c>
      <c r="C337" s="69">
        <v>0.19700000000000001</v>
      </c>
      <c r="D337" s="69">
        <v>0.55000000000000004</v>
      </c>
      <c r="E337" s="69">
        <v>0.22389999999999999</v>
      </c>
      <c r="F337" s="69">
        <v>18</v>
      </c>
      <c r="G337" s="69">
        <v>54</v>
      </c>
      <c r="H337" s="69">
        <v>72</v>
      </c>
    </row>
    <row r="338" spans="1:8" x14ac:dyDescent="0.3">
      <c r="A338" s="69">
        <v>336</v>
      </c>
      <c r="B338" s="69">
        <v>337</v>
      </c>
      <c r="C338" s="69">
        <v>0.2273</v>
      </c>
      <c r="D338" s="69">
        <v>0.48</v>
      </c>
      <c r="E338" s="69">
        <v>0.22389999999999999</v>
      </c>
      <c r="F338" s="69">
        <v>15</v>
      </c>
      <c r="G338" s="69">
        <v>74</v>
      </c>
      <c r="H338" s="69">
        <v>89</v>
      </c>
    </row>
    <row r="339" spans="1:8" x14ac:dyDescent="0.3">
      <c r="A339" s="69">
        <v>337</v>
      </c>
      <c r="B339" s="69">
        <v>338</v>
      </c>
      <c r="C339" s="69">
        <v>0.2576</v>
      </c>
      <c r="D339" s="69">
        <v>0.38</v>
      </c>
      <c r="E339" s="69">
        <v>0.29849999999999999</v>
      </c>
      <c r="F339" s="69">
        <v>21</v>
      </c>
      <c r="G339" s="69">
        <v>80</v>
      </c>
      <c r="H339" s="69">
        <v>101</v>
      </c>
    </row>
    <row r="340" spans="1:8" x14ac:dyDescent="0.3">
      <c r="A340" s="69">
        <v>338</v>
      </c>
      <c r="B340" s="69">
        <v>339</v>
      </c>
      <c r="C340" s="69">
        <v>0.28789999999999999</v>
      </c>
      <c r="D340" s="69">
        <v>0.39</v>
      </c>
      <c r="E340" s="69">
        <v>0.28360000000000002</v>
      </c>
      <c r="F340" s="69">
        <v>26</v>
      </c>
      <c r="G340" s="69">
        <v>92</v>
      </c>
      <c r="H340" s="69">
        <v>118</v>
      </c>
    </row>
    <row r="341" spans="1:8" x14ac:dyDescent="0.3">
      <c r="A341" s="69">
        <v>339</v>
      </c>
      <c r="B341" s="69">
        <v>340</v>
      </c>
      <c r="C341" s="69">
        <v>0.31819999999999998</v>
      </c>
      <c r="D341" s="69">
        <v>0.36</v>
      </c>
      <c r="E341" s="69">
        <v>0.19400000000000001</v>
      </c>
      <c r="F341" s="69">
        <v>21</v>
      </c>
      <c r="G341" s="69">
        <v>108</v>
      </c>
      <c r="H341" s="69">
        <v>129</v>
      </c>
    </row>
    <row r="342" spans="1:8" x14ac:dyDescent="0.3">
      <c r="A342" s="69">
        <v>340</v>
      </c>
      <c r="B342" s="69">
        <v>341</v>
      </c>
      <c r="C342" s="69">
        <v>0.33329999999999999</v>
      </c>
      <c r="D342" s="69">
        <v>0.34</v>
      </c>
      <c r="E342" s="69">
        <v>0.19400000000000001</v>
      </c>
      <c r="F342" s="69">
        <v>33</v>
      </c>
      <c r="G342" s="69">
        <v>95</v>
      </c>
      <c r="H342" s="69">
        <v>128</v>
      </c>
    </row>
    <row r="343" spans="1:8" x14ac:dyDescent="0.3">
      <c r="A343" s="69">
        <v>341</v>
      </c>
      <c r="B343" s="69">
        <v>342</v>
      </c>
      <c r="C343" s="69">
        <v>0.30299999999999999</v>
      </c>
      <c r="D343" s="69">
        <v>0.36</v>
      </c>
      <c r="E343" s="69">
        <v>0.28360000000000002</v>
      </c>
      <c r="F343" s="69">
        <v>29</v>
      </c>
      <c r="G343" s="69">
        <v>54</v>
      </c>
      <c r="H343" s="69">
        <v>83</v>
      </c>
    </row>
    <row r="344" spans="1:8" x14ac:dyDescent="0.3">
      <c r="A344" s="69">
        <v>342</v>
      </c>
      <c r="B344" s="69">
        <v>343</v>
      </c>
      <c r="C344" s="69">
        <v>0.28789999999999999</v>
      </c>
      <c r="D344" s="69">
        <v>0.45</v>
      </c>
      <c r="E344" s="69">
        <v>0.25369999999999998</v>
      </c>
      <c r="F344" s="69">
        <v>15</v>
      </c>
      <c r="G344" s="69">
        <v>69</v>
      </c>
      <c r="H344" s="69">
        <v>84</v>
      </c>
    </row>
    <row r="345" spans="1:8" x14ac:dyDescent="0.3">
      <c r="A345" s="69">
        <v>343</v>
      </c>
      <c r="B345" s="69">
        <v>344</v>
      </c>
      <c r="C345" s="69">
        <v>0.30299999999999999</v>
      </c>
      <c r="D345" s="69">
        <v>0.39</v>
      </c>
      <c r="E345" s="69">
        <v>0.25369999999999998</v>
      </c>
      <c r="F345" s="69">
        <v>14</v>
      </c>
      <c r="G345" s="69">
        <v>60</v>
      </c>
      <c r="H345" s="69">
        <v>74</v>
      </c>
    </row>
    <row r="346" spans="1:8" x14ac:dyDescent="0.3">
      <c r="A346" s="69">
        <v>344</v>
      </c>
      <c r="B346" s="69">
        <v>345</v>
      </c>
      <c r="C346" s="69">
        <v>0.30299999999999999</v>
      </c>
      <c r="D346" s="69">
        <v>0.39</v>
      </c>
      <c r="E346" s="69">
        <v>0.25369999999999998</v>
      </c>
      <c r="F346" s="69">
        <v>6</v>
      </c>
      <c r="G346" s="69">
        <v>35</v>
      </c>
      <c r="H346" s="69">
        <v>41</v>
      </c>
    </row>
    <row r="347" spans="1:8" x14ac:dyDescent="0.3">
      <c r="A347" s="69">
        <v>345</v>
      </c>
      <c r="B347" s="69">
        <v>346</v>
      </c>
      <c r="C347" s="69">
        <v>0.30299999999999999</v>
      </c>
      <c r="D347" s="69">
        <v>0.39</v>
      </c>
      <c r="E347" s="69">
        <v>0.22389999999999999</v>
      </c>
      <c r="F347" s="69">
        <v>6</v>
      </c>
      <c r="G347" s="69">
        <v>51</v>
      </c>
      <c r="H347" s="69">
        <v>57</v>
      </c>
    </row>
    <row r="348" spans="1:8" x14ac:dyDescent="0.3">
      <c r="A348" s="69">
        <v>346</v>
      </c>
      <c r="B348" s="69">
        <v>347</v>
      </c>
      <c r="C348" s="69">
        <v>0.31819999999999998</v>
      </c>
      <c r="D348" s="69">
        <v>0.42</v>
      </c>
      <c r="E348" s="69">
        <v>0.1045</v>
      </c>
      <c r="F348" s="69">
        <v>0</v>
      </c>
      <c r="G348" s="69">
        <v>26</v>
      </c>
      <c r="H348" s="69">
        <v>26</v>
      </c>
    </row>
    <row r="349" spans="1:8" x14ac:dyDescent="0.3">
      <c r="A349" s="69">
        <v>347</v>
      </c>
      <c r="B349" s="69">
        <v>348</v>
      </c>
      <c r="C349" s="69">
        <v>0.28789999999999999</v>
      </c>
      <c r="D349" s="69">
        <v>0.45</v>
      </c>
      <c r="E349" s="69">
        <v>0.28360000000000002</v>
      </c>
      <c r="F349" s="69">
        <v>5</v>
      </c>
      <c r="G349" s="69">
        <v>39</v>
      </c>
      <c r="H349" s="69">
        <v>44</v>
      </c>
    </row>
    <row r="350" spans="1:8" x14ac:dyDescent="0.3">
      <c r="A350" s="69">
        <v>348</v>
      </c>
      <c r="B350" s="69">
        <v>349</v>
      </c>
      <c r="C350" s="69">
        <v>0.30299999999999999</v>
      </c>
      <c r="D350" s="69">
        <v>0.56000000000000005</v>
      </c>
      <c r="E350" s="69">
        <v>0</v>
      </c>
      <c r="F350" s="69">
        <v>6</v>
      </c>
      <c r="G350" s="69">
        <v>33</v>
      </c>
      <c r="H350" s="69">
        <v>39</v>
      </c>
    </row>
    <row r="351" spans="1:8" x14ac:dyDescent="0.3">
      <c r="A351" s="69">
        <v>349</v>
      </c>
      <c r="B351" s="69">
        <v>350</v>
      </c>
      <c r="C351" s="69">
        <v>0.2727</v>
      </c>
      <c r="D351" s="69">
        <v>0.56000000000000005</v>
      </c>
      <c r="E351" s="69">
        <v>0.1343</v>
      </c>
      <c r="F351" s="69">
        <v>4</v>
      </c>
      <c r="G351" s="69">
        <v>19</v>
      </c>
      <c r="H351" s="69">
        <v>23</v>
      </c>
    </row>
    <row r="352" spans="1:8" x14ac:dyDescent="0.3">
      <c r="A352" s="69">
        <v>350</v>
      </c>
      <c r="B352" s="69">
        <v>351</v>
      </c>
      <c r="C352" s="69">
        <v>0.28789999999999999</v>
      </c>
      <c r="D352" s="69">
        <v>0.56000000000000005</v>
      </c>
      <c r="E352" s="69">
        <v>8.9599999999999999E-2</v>
      </c>
      <c r="F352" s="69">
        <v>3</v>
      </c>
      <c r="G352" s="69">
        <v>13</v>
      </c>
      <c r="H352" s="69">
        <v>16</v>
      </c>
    </row>
    <row r="353" spans="1:8" x14ac:dyDescent="0.3">
      <c r="A353" s="69">
        <v>351</v>
      </c>
      <c r="B353" s="69">
        <v>352</v>
      </c>
      <c r="C353" s="69">
        <v>0.2727</v>
      </c>
      <c r="D353" s="69">
        <v>0.69</v>
      </c>
      <c r="E353" s="69">
        <v>0</v>
      </c>
      <c r="F353" s="69">
        <v>9</v>
      </c>
      <c r="G353" s="69">
        <v>6</v>
      </c>
      <c r="H353" s="69">
        <v>15</v>
      </c>
    </row>
    <row r="354" spans="1:8" x14ac:dyDescent="0.3">
      <c r="A354" s="69">
        <v>352</v>
      </c>
      <c r="B354" s="69">
        <v>353</v>
      </c>
      <c r="C354" s="69">
        <v>0.2576</v>
      </c>
      <c r="D354" s="69">
        <v>0.56000000000000005</v>
      </c>
      <c r="E354" s="69">
        <v>0.16420000000000001</v>
      </c>
      <c r="F354" s="69">
        <v>0</v>
      </c>
      <c r="G354" s="69">
        <v>1</v>
      </c>
      <c r="H354" s="69">
        <v>1</v>
      </c>
    </row>
    <row r="355" spans="1:8" x14ac:dyDescent="0.3">
      <c r="A355" s="69">
        <v>353</v>
      </c>
      <c r="B355" s="69">
        <v>354</v>
      </c>
      <c r="C355" s="69">
        <v>0.2576</v>
      </c>
      <c r="D355" s="69">
        <v>0.56000000000000005</v>
      </c>
      <c r="E355" s="69">
        <v>0.16420000000000001</v>
      </c>
      <c r="F355" s="69">
        <v>1</v>
      </c>
      <c r="G355" s="69">
        <v>1</v>
      </c>
      <c r="H355" s="69">
        <v>2</v>
      </c>
    </row>
    <row r="356" spans="1:8" x14ac:dyDescent="0.3">
      <c r="A356" s="69">
        <v>354</v>
      </c>
      <c r="B356" s="69">
        <v>355</v>
      </c>
      <c r="C356" s="69">
        <v>0.2576</v>
      </c>
      <c r="D356" s="69">
        <v>0.56000000000000005</v>
      </c>
      <c r="E356" s="69">
        <v>0.16420000000000001</v>
      </c>
      <c r="F356" s="69">
        <v>0</v>
      </c>
      <c r="G356" s="69">
        <v>1</v>
      </c>
      <c r="H356" s="69">
        <v>1</v>
      </c>
    </row>
    <row r="357" spans="1:8" x14ac:dyDescent="0.3">
      <c r="A357" s="69">
        <v>355</v>
      </c>
      <c r="B357" s="69">
        <v>356</v>
      </c>
      <c r="C357" s="69">
        <v>0.21210000000000001</v>
      </c>
      <c r="D357" s="69">
        <v>0.56000000000000005</v>
      </c>
      <c r="E357" s="69">
        <v>0.29849999999999999</v>
      </c>
      <c r="F357" s="69">
        <v>0</v>
      </c>
      <c r="G357" s="69">
        <v>3</v>
      </c>
      <c r="H357" s="69">
        <v>3</v>
      </c>
    </row>
    <row r="358" spans="1:8" x14ac:dyDescent="0.3">
      <c r="A358" s="69">
        <v>356</v>
      </c>
      <c r="B358" s="69">
        <v>357</v>
      </c>
      <c r="C358" s="69">
        <v>0.21210000000000001</v>
      </c>
      <c r="D358" s="69">
        <v>0.55000000000000004</v>
      </c>
      <c r="E358" s="69">
        <v>0.28360000000000002</v>
      </c>
      <c r="F358" s="69">
        <v>0</v>
      </c>
      <c r="G358" s="69">
        <v>18</v>
      </c>
      <c r="H358" s="69">
        <v>18</v>
      </c>
    </row>
    <row r="359" spans="1:8" x14ac:dyDescent="0.3">
      <c r="A359" s="69">
        <v>357</v>
      </c>
      <c r="B359" s="69">
        <v>358</v>
      </c>
      <c r="C359" s="69">
        <v>0.21210000000000001</v>
      </c>
      <c r="D359" s="69">
        <v>0.51</v>
      </c>
      <c r="E359" s="69">
        <v>0.25369999999999998</v>
      </c>
      <c r="F359" s="69">
        <v>3</v>
      </c>
      <c r="G359" s="69">
        <v>29</v>
      </c>
      <c r="H359" s="69">
        <v>32</v>
      </c>
    </row>
    <row r="360" spans="1:8" x14ac:dyDescent="0.3">
      <c r="A360" s="69">
        <v>358</v>
      </c>
      <c r="B360" s="69">
        <v>359</v>
      </c>
      <c r="C360" s="69">
        <v>0.21210000000000001</v>
      </c>
      <c r="D360" s="69">
        <v>0.51</v>
      </c>
      <c r="E360" s="69">
        <v>0.28360000000000002</v>
      </c>
      <c r="F360" s="69">
        <v>8</v>
      </c>
      <c r="G360" s="69">
        <v>71</v>
      </c>
      <c r="H360" s="69">
        <v>79</v>
      </c>
    </row>
    <row r="361" spans="1:8" x14ac:dyDescent="0.3">
      <c r="A361" s="69">
        <v>359</v>
      </c>
      <c r="B361" s="69">
        <v>360</v>
      </c>
      <c r="C361" s="69">
        <v>0.2273</v>
      </c>
      <c r="D361" s="69">
        <v>0.44</v>
      </c>
      <c r="E361" s="69">
        <v>0.25369999999999998</v>
      </c>
      <c r="F361" s="69">
        <v>23</v>
      </c>
      <c r="G361" s="69">
        <v>70</v>
      </c>
      <c r="H361" s="69">
        <v>93</v>
      </c>
    </row>
    <row r="362" spans="1:8" x14ac:dyDescent="0.3">
      <c r="A362" s="69">
        <v>360</v>
      </c>
      <c r="B362" s="69">
        <v>361</v>
      </c>
      <c r="C362" s="69">
        <v>0.21210000000000001</v>
      </c>
      <c r="D362" s="69">
        <v>0.41</v>
      </c>
      <c r="E362" s="69">
        <v>0.28360000000000002</v>
      </c>
      <c r="F362" s="69">
        <v>29</v>
      </c>
      <c r="G362" s="69">
        <v>75</v>
      </c>
      <c r="H362" s="69">
        <v>104</v>
      </c>
    </row>
    <row r="363" spans="1:8" x14ac:dyDescent="0.3">
      <c r="A363" s="69">
        <v>361</v>
      </c>
      <c r="B363" s="69">
        <v>362</v>
      </c>
      <c r="C363" s="69">
        <v>0.2273</v>
      </c>
      <c r="D363" s="69">
        <v>0.35</v>
      </c>
      <c r="E363" s="69">
        <v>0.29849999999999999</v>
      </c>
      <c r="F363" s="69">
        <v>23</v>
      </c>
      <c r="G363" s="69">
        <v>95</v>
      </c>
      <c r="H363" s="69">
        <v>118</v>
      </c>
    </row>
    <row r="364" spans="1:8" x14ac:dyDescent="0.3">
      <c r="A364" s="69">
        <v>362</v>
      </c>
      <c r="B364" s="69">
        <v>363</v>
      </c>
      <c r="C364" s="69">
        <v>0.2727</v>
      </c>
      <c r="D364" s="69">
        <v>0.36</v>
      </c>
      <c r="E364" s="69">
        <v>0.25369999999999998</v>
      </c>
      <c r="F364" s="69">
        <v>22</v>
      </c>
      <c r="G364" s="69">
        <v>69</v>
      </c>
      <c r="H364" s="69">
        <v>91</v>
      </c>
    </row>
    <row r="365" spans="1:8" x14ac:dyDescent="0.3">
      <c r="A365" s="69">
        <v>363</v>
      </c>
      <c r="B365" s="69">
        <v>364</v>
      </c>
      <c r="C365" s="69">
        <v>0.2424</v>
      </c>
      <c r="D365" s="69">
        <v>0.38</v>
      </c>
      <c r="E365" s="69">
        <v>0.25369999999999998</v>
      </c>
      <c r="F365" s="69">
        <v>35</v>
      </c>
      <c r="G365" s="69">
        <v>78</v>
      </c>
      <c r="H365" s="69">
        <v>113</v>
      </c>
    </row>
    <row r="366" spans="1:8" x14ac:dyDescent="0.3">
      <c r="A366" s="69">
        <v>364</v>
      </c>
      <c r="B366" s="69">
        <v>365</v>
      </c>
      <c r="C366" s="69">
        <v>0.2273</v>
      </c>
      <c r="D366" s="69">
        <v>0.38</v>
      </c>
      <c r="E366" s="69">
        <v>0.22389999999999999</v>
      </c>
      <c r="F366" s="69">
        <v>22</v>
      </c>
      <c r="G366" s="69">
        <v>77</v>
      </c>
      <c r="H366" s="69">
        <v>99</v>
      </c>
    </row>
    <row r="367" spans="1:8" x14ac:dyDescent="0.3">
      <c r="A367" s="69">
        <v>365</v>
      </c>
      <c r="B367" s="69">
        <v>366</v>
      </c>
      <c r="C367" s="69">
        <v>0.21210000000000001</v>
      </c>
      <c r="D367" s="69">
        <v>0.37</v>
      </c>
      <c r="E367" s="69">
        <v>0.25369999999999998</v>
      </c>
      <c r="F367" s="69">
        <v>23</v>
      </c>
      <c r="G367" s="69">
        <v>82</v>
      </c>
      <c r="H367" s="69">
        <v>105</v>
      </c>
    </row>
    <row r="368" spans="1:8" x14ac:dyDescent="0.3">
      <c r="A368" s="69">
        <v>366</v>
      </c>
      <c r="B368" s="69">
        <v>367</v>
      </c>
      <c r="C368" s="69">
        <v>0.21210000000000001</v>
      </c>
      <c r="D368" s="69">
        <v>0.4</v>
      </c>
      <c r="E368" s="69">
        <v>0.16420000000000001</v>
      </c>
      <c r="F368" s="69">
        <v>11</v>
      </c>
      <c r="G368" s="69">
        <v>56</v>
      </c>
      <c r="H368" s="69">
        <v>67</v>
      </c>
    </row>
    <row r="369" spans="1:8" x14ac:dyDescent="0.3">
      <c r="A369" s="69">
        <v>367</v>
      </c>
      <c r="B369" s="69">
        <v>368</v>
      </c>
      <c r="C369" s="69">
        <v>0.19700000000000001</v>
      </c>
      <c r="D369" s="69">
        <v>0.47</v>
      </c>
      <c r="E369" s="69">
        <v>0.1343</v>
      </c>
      <c r="F369" s="69">
        <v>14</v>
      </c>
      <c r="G369" s="69">
        <v>47</v>
      </c>
      <c r="H369" s="69">
        <v>61</v>
      </c>
    </row>
    <row r="370" spans="1:8" x14ac:dyDescent="0.3">
      <c r="A370" s="69">
        <v>368</v>
      </c>
      <c r="B370" s="69">
        <v>369</v>
      </c>
      <c r="C370" s="69">
        <v>0.19700000000000001</v>
      </c>
      <c r="D370" s="69">
        <v>0.47</v>
      </c>
      <c r="E370" s="69">
        <v>0.16420000000000001</v>
      </c>
      <c r="F370" s="69">
        <v>7</v>
      </c>
      <c r="G370" s="69">
        <v>50</v>
      </c>
      <c r="H370" s="69">
        <v>57</v>
      </c>
    </row>
    <row r="371" spans="1:8" x14ac:dyDescent="0.3">
      <c r="A371" s="69">
        <v>369</v>
      </c>
      <c r="B371" s="69">
        <v>370</v>
      </c>
      <c r="C371" s="69">
        <v>0.19700000000000001</v>
      </c>
      <c r="D371" s="69">
        <v>0.51</v>
      </c>
      <c r="E371" s="69">
        <v>0.16420000000000001</v>
      </c>
      <c r="F371" s="69">
        <v>6</v>
      </c>
      <c r="G371" s="69">
        <v>22</v>
      </c>
      <c r="H371" s="69">
        <v>28</v>
      </c>
    </row>
    <row r="372" spans="1:8" x14ac:dyDescent="0.3">
      <c r="A372" s="69">
        <v>370</v>
      </c>
      <c r="B372" s="69">
        <v>371</v>
      </c>
      <c r="C372" s="69">
        <v>0.21210000000000001</v>
      </c>
      <c r="D372" s="69">
        <v>0.49</v>
      </c>
      <c r="E372" s="69">
        <v>0.1343</v>
      </c>
      <c r="F372" s="69">
        <v>2</v>
      </c>
      <c r="G372" s="69">
        <v>19</v>
      </c>
      <c r="H372" s="69">
        <v>21</v>
      </c>
    </row>
    <row r="373" spans="1:8" x14ac:dyDescent="0.3">
      <c r="A373" s="69">
        <v>371</v>
      </c>
      <c r="B373" s="69">
        <v>372</v>
      </c>
      <c r="C373" s="69">
        <v>0.2273</v>
      </c>
      <c r="D373" s="69">
        <v>0.4</v>
      </c>
      <c r="E373" s="69">
        <v>0.1045</v>
      </c>
      <c r="F373" s="69">
        <v>0</v>
      </c>
      <c r="G373" s="69">
        <v>18</v>
      </c>
      <c r="H373" s="69">
        <v>18</v>
      </c>
    </row>
    <row r="374" spans="1:8" x14ac:dyDescent="0.3">
      <c r="A374" s="69">
        <v>372</v>
      </c>
      <c r="B374" s="69">
        <v>373</v>
      </c>
      <c r="C374" s="69">
        <v>0.19700000000000001</v>
      </c>
      <c r="D374" s="69">
        <v>0.47</v>
      </c>
      <c r="E374" s="69">
        <v>0.22389999999999999</v>
      </c>
      <c r="F374" s="69">
        <v>1</v>
      </c>
      <c r="G374" s="69">
        <v>16</v>
      </c>
      <c r="H374" s="69">
        <v>17</v>
      </c>
    </row>
    <row r="375" spans="1:8" x14ac:dyDescent="0.3">
      <c r="A375" s="69">
        <v>373</v>
      </c>
      <c r="B375" s="69">
        <v>374</v>
      </c>
      <c r="C375" s="69">
        <v>0.19700000000000001</v>
      </c>
      <c r="D375" s="69">
        <v>0.44</v>
      </c>
      <c r="E375" s="69">
        <v>0.19400000000000001</v>
      </c>
      <c r="F375" s="69">
        <v>1</v>
      </c>
      <c r="G375" s="69">
        <v>15</v>
      </c>
      <c r="H375" s="69">
        <v>16</v>
      </c>
    </row>
    <row r="376" spans="1:8" x14ac:dyDescent="0.3">
      <c r="A376" s="69">
        <v>374</v>
      </c>
      <c r="B376" s="69">
        <v>375</v>
      </c>
      <c r="C376" s="69">
        <v>0.16669999999999999</v>
      </c>
      <c r="D376" s="69">
        <v>0.43</v>
      </c>
      <c r="E376" s="69">
        <v>0.25369999999999998</v>
      </c>
      <c r="F376" s="69">
        <v>0</v>
      </c>
      <c r="G376" s="69">
        <v>8</v>
      </c>
      <c r="H376" s="69">
        <v>8</v>
      </c>
    </row>
    <row r="377" spans="1:8" x14ac:dyDescent="0.3">
      <c r="A377" s="69">
        <v>375</v>
      </c>
      <c r="B377" s="69">
        <v>376</v>
      </c>
      <c r="C377" s="69">
        <v>0.18179999999999999</v>
      </c>
      <c r="D377" s="69">
        <v>0.43</v>
      </c>
      <c r="E377" s="69">
        <v>0.19400000000000001</v>
      </c>
      <c r="F377" s="69">
        <v>0</v>
      </c>
      <c r="G377" s="69">
        <v>2</v>
      </c>
      <c r="H377" s="69">
        <v>2</v>
      </c>
    </row>
    <row r="378" spans="1:8" x14ac:dyDescent="0.3">
      <c r="A378" s="69">
        <v>376</v>
      </c>
      <c r="B378" s="69">
        <v>377</v>
      </c>
      <c r="C378" s="69">
        <v>0.19700000000000001</v>
      </c>
      <c r="D378" s="69">
        <v>0.43</v>
      </c>
      <c r="E378" s="69">
        <v>0.1343</v>
      </c>
      <c r="F378" s="69">
        <v>1</v>
      </c>
      <c r="G378" s="69">
        <v>2</v>
      </c>
      <c r="H378" s="69">
        <v>3</v>
      </c>
    </row>
    <row r="379" spans="1:8" x14ac:dyDescent="0.3">
      <c r="A379" s="69">
        <v>377</v>
      </c>
      <c r="B379" s="69">
        <v>378</v>
      </c>
      <c r="C379" s="69">
        <v>0.19700000000000001</v>
      </c>
      <c r="D379" s="69">
        <v>0.43</v>
      </c>
      <c r="E379" s="69">
        <v>0.16420000000000001</v>
      </c>
      <c r="F379" s="69">
        <v>0</v>
      </c>
      <c r="G379" s="69">
        <v>1</v>
      </c>
      <c r="H379" s="69">
        <v>1</v>
      </c>
    </row>
    <row r="380" spans="1:8" x14ac:dyDescent="0.3">
      <c r="A380" s="69">
        <v>378</v>
      </c>
      <c r="B380" s="69">
        <v>379</v>
      </c>
      <c r="C380" s="69">
        <v>0.18179999999999999</v>
      </c>
      <c r="D380" s="69">
        <v>0.43</v>
      </c>
      <c r="E380" s="69">
        <v>0.19400000000000001</v>
      </c>
      <c r="F380" s="69">
        <v>0</v>
      </c>
      <c r="G380" s="69">
        <v>5</v>
      </c>
      <c r="H380" s="69">
        <v>5</v>
      </c>
    </row>
    <row r="381" spans="1:8" x14ac:dyDescent="0.3">
      <c r="A381" s="69">
        <v>379</v>
      </c>
      <c r="B381" s="69">
        <v>380</v>
      </c>
      <c r="C381" s="69">
        <v>0.18179999999999999</v>
      </c>
      <c r="D381" s="69">
        <v>0.5</v>
      </c>
      <c r="E381" s="69">
        <v>0.1343</v>
      </c>
      <c r="F381" s="69">
        <v>4</v>
      </c>
      <c r="G381" s="69">
        <v>9</v>
      </c>
      <c r="H381" s="69">
        <v>13</v>
      </c>
    </row>
    <row r="382" spans="1:8" x14ac:dyDescent="0.3">
      <c r="A382" s="69">
        <v>380</v>
      </c>
      <c r="B382" s="69">
        <v>381</v>
      </c>
      <c r="C382" s="69">
        <v>0.1515</v>
      </c>
      <c r="D382" s="69">
        <v>0.47</v>
      </c>
      <c r="E382" s="69">
        <v>0.22389999999999999</v>
      </c>
      <c r="F382" s="69">
        <v>3</v>
      </c>
      <c r="G382" s="69">
        <v>30</v>
      </c>
      <c r="H382" s="69">
        <v>33</v>
      </c>
    </row>
    <row r="383" spans="1:8" x14ac:dyDescent="0.3">
      <c r="A383" s="69">
        <v>381</v>
      </c>
      <c r="B383" s="69">
        <v>382</v>
      </c>
      <c r="C383" s="69">
        <v>0.1515</v>
      </c>
      <c r="D383" s="69">
        <v>0.47</v>
      </c>
      <c r="E383" s="69">
        <v>0.22389999999999999</v>
      </c>
      <c r="F383" s="69">
        <v>8</v>
      </c>
      <c r="G383" s="69">
        <v>39</v>
      </c>
      <c r="H383" s="69">
        <v>47</v>
      </c>
    </row>
    <row r="384" spans="1:8" x14ac:dyDescent="0.3">
      <c r="A384" s="69">
        <v>382</v>
      </c>
      <c r="B384" s="69">
        <v>383</v>
      </c>
      <c r="C384" s="69">
        <v>0.1515</v>
      </c>
      <c r="D384" s="69">
        <v>0.5</v>
      </c>
      <c r="E384" s="69">
        <v>0.25369999999999998</v>
      </c>
      <c r="F384" s="69">
        <v>7</v>
      </c>
      <c r="G384" s="69">
        <v>50</v>
      </c>
      <c r="H384" s="69">
        <v>57</v>
      </c>
    </row>
    <row r="385" spans="1:8" x14ac:dyDescent="0.3">
      <c r="A385" s="69">
        <v>383</v>
      </c>
      <c r="B385" s="69">
        <v>384</v>
      </c>
      <c r="C385" s="69">
        <v>0.1515</v>
      </c>
      <c r="D385" s="69">
        <v>0.55000000000000004</v>
      </c>
      <c r="E385" s="69">
        <v>0.19400000000000001</v>
      </c>
      <c r="F385" s="69">
        <v>9</v>
      </c>
      <c r="G385" s="69">
        <v>55</v>
      </c>
      <c r="H385" s="69">
        <v>64</v>
      </c>
    </row>
    <row r="386" spans="1:8" x14ac:dyDescent="0.3">
      <c r="A386" s="69">
        <v>384</v>
      </c>
      <c r="B386" s="69">
        <v>385</v>
      </c>
      <c r="C386" s="69">
        <v>0.19700000000000001</v>
      </c>
      <c r="D386" s="69">
        <v>0.47</v>
      </c>
      <c r="E386" s="69">
        <v>0.1343</v>
      </c>
      <c r="F386" s="69">
        <v>10</v>
      </c>
      <c r="G386" s="69">
        <v>70</v>
      </c>
      <c r="H386" s="69">
        <v>80</v>
      </c>
    </row>
    <row r="387" spans="1:8" x14ac:dyDescent="0.3">
      <c r="A387" s="69">
        <v>385</v>
      </c>
      <c r="B387" s="69">
        <v>386</v>
      </c>
      <c r="C387" s="69">
        <v>0.19700000000000001</v>
      </c>
      <c r="D387" s="69">
        <v>0.47</v>
      </c>
      <c r="E387" s="69">
        <v>0.1343</v>
      </c>
      <c r="F387" s="69">
        <v>13</v>
      </c>
      <c r="G387" s="69">
        <v>80</v>
      </c>
      <c r="H387" s="69">
        <v>93</v>
      </c>
    </row>
    <row r="388" spans="1:8" x14ac:dyDescent="0.3">
      <c r="A388" s="69">
        <v>386</v>
      </c>
      <c r="B388" s="69">
        <v>387</v>
      </c>
      <c r="C388" s="69">
        <v>0.21210000000000001</v>
      </c>
      <c r="D388" s="69">
        <v>0.43</v>
      </c>
      <c r="E388" s="69">
        <v>0.1045</v>
      </c>
      <c r="F388" s="69">
        <v>12</v>
      </c>
      <c r="G388" s="69">
        <v>74</v>
      </c>
      <c r="H388" s="69">
        <v>86</v>
      </c>
    </row>
    <row r="389" spans="1:8" x14ac:dyDescent="0.3">
      <c r="A389" s="69">
        <v>387</v>
      </c>
      <c r="B389" s="69">
        <v>388</v>
      </c>
      <c r="C389" s="69">
        <v>0.21210000000000001</v>
      </c>
      <c r="D389" s="69">
        <v>0.47</v>
      </c>
      <c r="E389" s="69">
        <v>0.16420000000000001</v>
      </c>
      <c r="F389" s="69">
        <v>21</v>
      </c>
      <c r="G389" s="69">
        <v>72</v>
      </c>
      <c r="H389" s="69">
        <v>93</v>
      </c>
    </row>
    <row r="390" spans="1:8" x14ac:dyDescent="0.3">
      <c r="A390" s="69">
        <v>388</v>
      </c>
      <c r="B390" s="69">
        <v>389</v>
      </c>
      <c r="C390" s="69">
        <v>0.21210000000000001</v>
      </c>
      <c r="D390" s="69">
        <v>0.47</v>
      </c>
      <c r="E390" s="69">
        <v>0.16420000000000001</v>
      </c>
      <c r="F390" s="69">
        <v>6</v>
      </c>
      <c r="G390" s="69">
        <v>76</v>
      </c>
      <c r="H390" s="69">
        <v>82</v>
      </c>
    </row>
    <row r="391" spans="1:8" x14ac:dyDescent="0.3">
      <c r="A391" s="69">
        <v>389</v>
      </c>
      <c r="B391" s="69">
        <v>390</v>
      </c>
      <c r="C391" s="69">
        <v>0.19700000000000001</v>
      </c>
      <c r="D391" s="69">
        <v>0.51</v>
      </c>
      <c r="E391" s="69">
        <v>0.19400000000000001</v>
      </c>
      <c r="F391" s="69">
        <v>4</v>
      </c>
      <c r="G391" s="69">
        <v>67</v>
      </c>
      <c r="H391" s="69">
        <v>71</v>
      </c>
    </row>
    <row r="392" spans="1:8" x14ac:dyDescent="0.3">
      <c r="A392" s="69">
        <v>390</v>
      </c>
      <c r="B392" s="69">
        <v>391</v>
      </c>
      <c r="C392" s="69">
        <v>0.16669999999999999</v>
      </c>
      <c r="D392" s="69">
        <v>0.55000000000000004</v>
      </c>
      <c r="E392" s="69">
        <v>0.25369999999999998</v>
      </c>
      <c r="F392" s="69">
        <v>7</v>
      </c>
      <c r="G392" s="69">
        <v>85</v>
      </c>
      <c r="H392" s="69">
        <v>92</v>
      </c>
    </row>
    <row r="393" spans="1:8" x14ac:dyDescent="0.3">
      <c r="A393" s="69">
        <v>391</v>
      </c>
      <c r="B393" s="69">
        <v>392</v>
      </c>
      <c r="C393" s="69">
        <v>0.18179999999999999</v>
      </c>
      <c r="D393" s="69">
        <v>0.59</v>
      </c>
      <c r="E393" s="69">
        <v>0.19400000000000001</v>
      </c>
      <c r="F393" s="69">
        <v>2</v>
      </c>
      <c r="G393" s="69">
        <v>58</v>
      </c>
      <c r="H393" s="69">
        <v>60</v>
      </c>
    </row>
    <row r="394" spans="1:8" x14ac:dyDescent="0.3">
      <c r="A394" s="69">
        <v>392</v>
      </c>
      <c r="B394" s="69">
        <v>393</v>
      </c>
      <c r="C394" s="69">
        <v>0.1515</v>
      </c>
      <c r="D394" s="69">
        <v>0.8</v>
      </c>
      <c r="E394" s="69">
        <v>0.19400000000000001</v>
      </c>
      <c r="F394" s="69">
        <v>4</v>
      </c>
      <c r="G394" s="69">
        <v>29</v>
      </c>
      <c r="H394" s="69">
        <v>33</v>
      </c>
    </row>
    <row r="395" spans="1:8" x14ac:dyDescent="0.3">
      <c r="A395" s="69">
        <v>393</v>
      </c>
      <c r="B395" s="69">
        <v>394</v>
      </c>
      <c r="C395" s="69">
        <v>0.1515</v>
      </c>
      <c r="D395" s="69">
        <v>0.8</v>
      </c>
      <c r="E395" s="69">
        <v>0.19400000000000001</v>
      </c>
      <c r="F395" s="69">
        <v>3</v>
      </c>
      <c r="G395" s="69">
        <v>24</v>
      </c>
      <c r="H395" s="69">
        <v>27</v>
      </c>
    </row>
    <row r="396" spans="1:8" x14ac:dyDescent="0.3">
      <c r="A396" s="69">
        <v>394</v>
      </c>
      <c r="B396" s="69">
        <v>395</v>
      </c>
      <c r="C396" s="69">
        <v>0.1212</v>
      </c>
      <c r="D396" s="69">
        <v>0.93</v>
      </c>
      <c r="E396" s="69">
        <v>0.25369999999999998</v>
      </c>
      <c r="F396" s="69">
        <v>0</v>
      </c>
      <c r="G396" s="69">
        <v>13</v>
      </c>
      <c r="H396" s="69">
        <v>13</v>
      </c>
    </row>
    <row r="397" spans="1:8" x14ac:dyDescent="0.3">
      <c r="A397" s="69">
        <v>395</v>
      </c>
      <c r="B397" s="69">
        <v>396</v>
      </c>
      <c r="C397" s="69">
        <v>0.13639999999999999</v>
      </c>
      <c r="D397" s="69">
        <v>0.86</v>
      </c>
      <c r="E397" s="69">
        <v>0.28360000000000002</v>
      </c>
      <c r="F397" s="69">
        <v>1</v>
      </c>
      <c r="G397" s="69">
        <v>3</v>
      </c>
      <c r="H397" s="69">
        <v>4</v>
      </c>
    </row>
    <row r="398" spans="1:8" x14ac:dyDescent="0.3">
      <c r="A398" s="69">
        <v>396</v>
      </c>
      <c r="B398" s="69">
        <v>397</v>
      </c>
      <c r="C398" s="69">
        <v>0.18179999999999999</v>
      </c>
      <c r="D398" s="69">
        <v>0.86</v>
      </c>
      <c r="E398" s="69">
        <v>0.32840000000000003</v>
      </c>
      <c r="F398" s="69">
        <v>0</v>
      </c>
      <c r="G398" s="69">
        <v>3</v>
      </c>
      <c r="H398" s="69">
        <v>3</v>
      </c>
    </row>
    <row r="399" spans="1:8" x14ac:dyDescent="0.3">
      <c r="A399" s="69">
        <v>397</v>
      </c>
      <c r="B399" s="69">
        <v>398</v>
      </c>
      <c r="C399" s="69">
        <v>0.19700000000000001</v>
      </c>
      <c r="D399" s="69">
        <v>0.86</v>
      </c>
      <c r="E399" s="69">
        <v>0.22389999999999999</v>
      </c>
      <c r="F399" s="69">
        <v>0</v>
      </c>
      <c r="G399" s="69">
        <v>22</v>
      </c>
      <c r="H399" s="69">
        <v>22</v>
      </c>
    </row>
    <row r="400" spans="1:8" x14ac:dyDescent="0.3">
      <c r="A400" s="69">
        <v>398</v>
      </c>
      <c r="B400" s="69">
        <v>399</v>
      </c>
      <c r="C400" s="69">
        <v>0.2273</v>
      </c>
      <c r="D400" s="69">
        <v>0.8</v>
      </c>
      <c r="E400" s="69">
        <v>0.16420000000000001</v>
      </c>
      <c r="F400" s="69">
        <v>2</v>
      </c>
      <c r="G400" s="69">
        <v>26</v>
      </c>
      <c r="H400" s="69">
        <v>28</v>
      </c>
    </row>
    <row r="401" spans="1:8" x14ac:dyDescent="0.3">
      <c r="A401" s="69">
        <v>399</v>
      </c>
      <c r="B401" s="69">
        <v>400</v>
      </c>
      <c r="C401" s="69">
        <v>0.2273</v>
      </c>
      <c r="D401" s="69">
        <v>0.87</v>
      </c>
      <c r="E401" s="69">
        <v>0.16420000000000001</v>
      </c>
      <c r="F401" s="69">
        <v>3</v>
      </c>
      <c r="G401" s="69">
        <v>32</v>
      </c>
      <c r="H401" s="69">
        <v>35</v>
      </c>
    </row>
    <row r="402" spans="1:8" x14ac:dyDescent="0.3">
      <c r="A402" s="69">
        <v>400</v>
      </c>
      <c r="B402" s="69">
        <v>401</v>
      </c>
      <c r="C402" s="69">
        <v>0.2273</v>
      </c>
      <c r="D402" s="69">
        <v>0.87</v>
      </c>
      <c r="E402" s="69">
        <v>0.19400000000000001</v>
      </c>
      <c r="F402" s="69">
        <v>0</v>
      </c>
      <c r="G402" s="69">
        <v>61</v>
      </c>
      <c r="H402" s="69">
        <v>61</v>
      </c>
    </row>
    <row r="403" spans="1:8" x14ac:dyDescent="0.3">
      <c r="A403" s="69">
        <v>401</v>
      </c>
      <c r="B403" s="69">
        <v>402</v>
      </c>
      <c r="C403" s="69">
        <v>0.2273</v>
      </c>
      <c r="D403" s="69">
        <v>0.82</v>
      </c>
      <c r="E403" s="69">
        <v>0.19400000000000001</v>
      </c>
      <c r="F403" s="69">
        <v>1</v>
      </c>
      <c r="G403" s="69">
        <v>124</v>
      </c>
      <c r="H403" s="69">
        <v>125</v>
      </c>
    </row>
    <row r="404" spans="1:8" x14ac:dyDescent="0.3">
      <c r="A404" s="69">
        <v>402</v>
      </c>
      <c r="B404" s="69">
        <v>403</v>
      </c>
      <c r="C404" s="69">
        <v>0.2273</v>
      </c>
      <c r="D404" s="69">
        <v>0.8</v>
      </c>
      <c r="E404" s="69">
        <v>0.16420000000000001</v>
      </c>
      <c r="F404" s="69">
        <v>1</v>
      </c>
      <c r="G404" s="69">
        <v>132</v>
      </c>
      <c r="H404" s="69">
        <v>133</v>
      </c>
    </row>
    <row r="405" spans="1:8" x14ac:dyDescent="0.3">
      <c r="A405" s="69">
        <v>403</v>
      </c>
      <c r="B405" s="69">
        <v>404</v>
      </c>
      <c r="C405" s="69">
        <v>0.2273</v>
      </c>
      <c r="D405" s="69">
        <v>0.8</v>
      </c>
      <c r="E405" s="69">
        <v>0.1343</v>
      </c>
      <c r="F405" s="69">
        <v>1</v>
      </c>
      <c r="G405" s="69">
        <v>98</v>
      </c>
      <c r="H405" s="69">
        <v>99</v>
      </c>
    </row>
    <row r="406" spans="1:8" x14ac:dyDescent="0.3">
      <c r="A406" s="69">
        <v>404</v>
      </c>
      <c r="B406" s="69">
        <v>405</v>
      </c>
      <c r="C406" s="69">
        <v>0.2727</v>
      </c>
      <c r="D406" s="69">
        <v>0.87</v>
      </c>
      <c r="E406" s="69">
        <v>0</v>
      </c>
      <c r="F406" s="69">
        <v>0</v>
      </c>
      <c r="G406" s="69">
        <v>83</v>
      </c>
      <c r="H406" s="69">
        <v>83</v>
      </c>
    </row>
    <row r="407" spans="1:8" x14ac:dyDescent="0.3">
      <c r="A407" s="69">
        <v>405</v>
      </c>
      <c r="B407" s="69">
        <v>406</v>
      </c>
      <c r="C407" s="69">
        <v>0.2424</v>
      </c>
      <c r="D407" s="69">
        <v>0.93</v>
      </c>
      <c r="E407" s="69">
        <v>0.1045</v>
      </c>
      <c r="F407" s="69">
        <v>0</v>
      </c>
      <c r="G407" s="69">
        <v>41</v>
      </c>
      <c r="H407" s="69">
        <v>41</v>
      </c>
    </row>
    <row r="408" spans="1:8" x14ac:dyDescent="0.3">
      <c r="A408" s="69">
        <v>406</v>
      </c>
      <c r="B408" s="69">
        <v>407</v>
      </c>
      <c r="C408" s="69">
        <v>0.2576</v>
      </c>
      <c r="D408" s="69">
        <v>0.93</v>
      </c>
      <c r="E408" s="69">
        <v>8.9599999999999999E-2</v>
      </c>
      <c r="F408" s="69">
        <v>0</v>
      </c>
      <c r="G408" s="69">
        <v>33</v>
      </c>
      <c r="H408" s="69">
        <v>33</v>
      </c>
    </row>
    <row r="409" spans="1:8" x14ac:dyDescent="0.3">
      <c r="A409" s="69">
        <v>407</v>
      </c>
      <c r="B409" s="69">
        <v>408</v>
      </c>
      <c r="C409" s="69">
        <v>0.2727</v>
      </c>
      <c r="D409" s="69">
        <v>0.93</v>
      </c>
      <c r="E409" s="69">
        <v>0</v>
      </c>
      <c r="F409" s="69">
        <v>1</v>
      </c>
      <c r="G409" s="69">
        <v>19</v>
      </c>
      <c r="H409" s="69">
        <v>20</v>
      </c>
    </row>
    <row r="410" spans="1:8" x14ac:dyDescent="0.3">
      <c r="A410" s="69">
        <v>408</v>
      </c>
      <c r="B410" s="69">
        <v>409</v>
      </c>
      <c r="C410" s="69">
        <v>0.2727</v>
      </c>
      <c r="D410" s="69">
        <v>0.93</v>
      </c>
      <c r="E410" s="69">
        <v>0</v>
      </c>
      <c r="F410" s="69">
        <v>0</v>
      </c>
      <c r="G410" s="69">
        <v>3</v>
      </c>
      <c r="H410" s="69">
        <v>3</v>
      </c>
    </row>
    <row r="411" spans="1:8" x14ac:dyDescent="0.3">
      <c r="A411" s="69">
        <v>409</v>
      </c>
      <c r="B411" s="69">
        <v>410</v>
      </c>
      <c r="C411" s="69">
        <v>0.2273</v>
      </c>
      <c r="D411" s="69">
        <v>0.93</v>
      </c>
      <c r="E411" s="69">
        <v>0.1343</v>
      </c>
      <c r="F411" s="69">
        <v>1</v>
      </c>
      <c r="G411" s="69">
        <v>6</v>
      </c>
      <c r="H411" s="69">
        <v>7</v>
      </c>
    </row>
    <row r="412" spans="1:8" x14ac:dyDescent="0.3">
      <c r="A412" s="69">
        <v>410</v>
      </c>
      <c r="B412" s="69">
        <v>411</v>
      </c>
      <c r="C412" s="69">
        <v>0.2273</v>
      </c>
      <c r="D412" s="69">
        <v>0.93</v>
      </c>
      <c r="E412" s="69">
        <v>0.1343</v>
      </c>
      <c r="F412" s="69">
        <v>0</v>
      </c>
      <c r="G412" s="69">
        <v>3</v>
      </c>
      <c r="H412" s="69">
        <v>3</v>
      </c>
    </row>
    <row r="413" spans="1:8" x14ac:dyDescent="0.3">
      <c r="A413" s="69">
        <v>411</v>
      </c>
      <c r="B413" s="69">
        <v>412</v>
      </c>
      <c r="C413" s="69">
        <v>0.2273</v>
      </c>
      <c r="D413" s="69">
        <v>0.93</v>
      </c>
      <c r="E413" s="69">
        <v>0.1343</v>
      </c>
      <c r="F413" s="69">
        <v>1</v>
      </c>
      <c r="G413" s="69">
        <v>1</v>
      </c>
      <c r="H413" s="69">
        <v>2</v>
      </c>
    </row>
    <row r="414" spans="1:8" x14ac:dyDescent="0.3">
      <c r="A414" s="69">
        <v>412</v>
      </c>
      <c r="B414" s="69">
        <v>413</v>
      </c>
      <c r="C414" s="69">
        <v>0.2576</v>
      </c>
      <c r="D414" s="69">
        <v>0.93</v>
      </c>
      <c r="E414" s="69">
        <v>8.9599999999999999E-2</v>
      </c>
      <c r="F414" s="69">
        <v>0</v>
      </c>
      <c r="G414" s="69">
        <v>7</v>
      </c>
      <c r="H414" s="69">
        <v>7</v>
      </c>
    </row>
    <row r="415" spans="1:8" x14ac:dyDescent="0.3">
      <c r="A415" s="69">
        <v>413</v>
      </c>
      <c r="B415" s="69">
        <v>414</v>
      </c>
      <c r="C415" s="69">
        <v>0.2576</v>
      </c>
      <c r="D415" s="69">
        <v>0.93</v>
      </c>
      <c r="E415" s="69">
        <v>8.9599999999999999E-2</v>
      </c>
      <c r="F415" s="69">
        <v>0</v>
      </c>
      <c r="G415" s="69">
        <v>32</v>
      </c>
      <c r="H415" s="69">
        <v>32</v>
      </c>
    </row>
    <row r="416" spans="1:8" x14ac:dyDescent="0.3">
      <c r="A416" s="69">
        <v>414</v>
      </c>
      <c r="B416" s="69">
        <v>415</v>
      </c>
      <c r="C416" s="69">
        <v>0.2576</v>
      </c>
      <c r="D416" s="69">
        <v>0.92</v>
      </c>
      <c r="E416" s="69">
        <v>0.1045</v>
      </c>
      <c r="F416" s="69">
        <v>1</v>
      </c>
      <c r="G416" s="69">
        <v>89</v>
      </c>
      <c r="H416" s="69">
        <v>90</v>
      </c>
    </row>
    <row r="417" spans="1:8" x14ac:dyDescent="0.3">
      <c r="A417" s="69">
        <v>415</v>
      </c>
      <c r="B417" s="69">
        <v>416</v>
      </c>
      <c r="C417" s="69">
        <v>0.2576</v>
      </c>
      <c r="D417" s="69">
        <v>0.93</v>
      </c>
      <c r="E417" s="69">
        <v>0.1045</v>
      </c>
      <c r="F417" s="69">
        <v>1</v>
      </c>
      <c r="G417" s="69">
        <v>196</v>
      </c>
      <c r="H417" s="69">
        <v>197</v>
      </c>
    </row>
    <row r="418" spans="1:8" x14ac:dyDescent="0.3">
      <c r="A418" s="69">
        <v>416</v>
      </c>
      <c r="B418" s="69">
        <v>417</v>
      </c>
      <c r="C418" s="69">
        <v>0.2576</v>
      </c>
      <c r="D418" s="69">
        <v>0.93</v>
      </c>
      <c r="E418" s="69">
        <v>0.1045</v>
      </c>
      <c r="F418" s="69">
        <v>2</v>
      </c>
      <c r="G418" s="69">
        <v>107</v>
      </c>
      <c r="H418" s="69">
        <v>109</v>
      </c>
    </row>
    <row r="419" spans="1:8" x14ac:dyDescent="0.3">
      <c r="A419" s="69">
        <v>417</v>
      </c>
      <c r="B419" s="69">
        <v>418</v>
      </c>
      <c r="C419" s="69">
        <v>0.2727</v>
      </c>
      <c r="D419" s="69">
        <v>0.93</v>
      </c>
      <c r="E419" s="69">
        <v>0.1343</v>
      </c>
      <c r="F419" s="69">
        <v>1</v>
      </c>
      <c r="G419" s="69">
        <v>46</v>
      </c>
      <c r="H419" s="69">
        <v>47</v>
      </c>
    </row>
    <row r="420" spans="1:8" x14ac:dyDescent="0.3">
      <c r="A420" s="69">
        <v>418</v>
      </c>
      <c r="B420" s="69">
        <v>419</v>
      </c>
      <c r="C420" s="69">
        <v>0.30299999999999999</v>
      </c>
      <c r="D420" s="69">
        <v>0.87</v>
      </c>
      <c r="E420" s="69">
        <v>8.9599999999999999E-2</v>
      </c>
      <c r="F420" s="69">
        <v>5</v>
      </c>
      <c r="G420" s="69">
        <v>47</v>
      </c>
      <c r="H420" s="69">
        <v>52</v>
      </c>
    </row>
    <row r="421" spans="1:8" x14ac:dyDescent="0.3">
      <c r="A421" s="69">
        <v>419</v>
      </c>
      <c r="B421" s="69">
        <v>420</v>
      </c>
      <c r="C421" s="69">
        <v>0.31819999999999998</v>
      </c>
      <c r="D421" s="69">
        <v>0.81</v>
      </c>
      <c r="E421" s="69">
        <v>8.9599999999999999E-2</v>
      </c>
      <c r="F421" s="69">
        <v>5</v>
      </c>
      <c r="G421" s="69">
        <v>65</v>
      </c>
      <c r="H421" s="69">
        <v>70</v>
      </c>
    </row>
    <row r="422" spans="1:8" x14ac:dyDescent="0.3">
      <c r="A422" s="69">
        <v>420</v>
      </c>
      <c r="B422" s="69">
        <v>421</v>
      </c>
      <c r="C422" s="69">
        <v>0.40910000000000002</v>
      </c>
      <c r="D422" s="69">
        <v>0.62</v>
      </c>
      <c r="E422" s="69">
        <v>0.28360000000000002</v>
      </c>
      <c r="F422" s="69">
        <v>11</v>
      </c>
      <c r="G422" s="69">
        <v>67</v>
      </c>
      <c r="H422" s="69">
        <v>78</v>
      </c>
    </row>
    <row r="423" spans="1:8" x14ac:dyDescent="0.3">
      <c r="A423" s="69">
        <v>421</v>
      </c>
      <c r="B423" s="69">
        <v>422</v>
      </c>
      <c r="C423" s="69">
        <v>0.40910000000000002</v>
      </c>
      <c r="D423" s="69">
        <v>0.57999999999999996</v>
      </c>
      <c r="E423" s="69">
        <v>0.25369999999999998</v>
      </c>
      <c r="F423" s="69">
        <v>7</v>
      </c>
      <c r="G423" s="69">
        <v>68</v>
      </c>
      <c r="H423" s="69">
        <v>75</v>
      </c>
    </row>
    <row r="424" spans="1:8" x14ac:dyDescent="0.3">
      <c r="A424" s="69">
        <v>422</v>
      </c>
      <c r="B424" s="69">
        <v>423</v>
      </c>
      <c r="C424" s="69">
        <v>0.40910000000000002</v>
      </c>
      <c r="D424" s="69">
        <v>0.54</v>
      </c>
      <c r="E424" s="69">
        <v>0.28360000000000002</v>
      </c>
      <c r="F424" s="69">
        <v>4</v>
      </c>
      <c r="G424" s="69">
        <v>78</v>
      </c>
      <c r="H424" s="69">
        <v>82</v>
      </c>
    </row>
    <row r="425" spans="1:8" x14ac:dyDescent="0.3">
      <c r="A425" s="69">
        <v>423</v>
      </c>
      <c r="B425" s="69">
        <v>424</v>
      </c>
      <c r="C425" s="69">
        <v>0.39389999999999997</v>
      </c>
      <c r="D425" s="69">
        <v>0.57999999999999996</v>
      </c>
      <c r="E425" s="69">
        <v>0.3881</v>
      </c>
      <c r="F425" s="69">
        <v>10</v>
      </c>
      <c r="G425" s="69">
        <v>94</v>
      </c>
      <c r="H425" s="69">
        <v>104</v>
      </c>
    </row>
    <row r="426" spans="1:8" x14ac:dyDescent="0.3">
      <c r="A426" s="69">
        <v>424</v>
      </c>
      <c r="B426" s="69">
        <v>425</v>
      </c>
      <c r="C426" s="69">
        <v>0.33329999999999999</v>
      </c>
      <c r="D426" s="69">
        <v>0.56999999999999995</v>
      </c>
      <c r="E426" s="69">
        <v>0.32840000000000003</v>
      </c>
      <c r="F426" s="69">
        <v>7</v>
      </c>
      <c r="G426" s="69">
        <v>190</v>
      </c>
      <c r="H426" s="69">
        <v>197</v>
      </c>
    </row>
    <row r="427" spans="1:8" x14ac:dyDescent="0.3">
      <c r="A427" s="69">
        <v>425</v>
      </c>
      <c r="B427" s="69">
        <v>426</v>
      </c>
      <c r="C427" s="69">
        <v>0.31819999999999998</v>
      </c>
      <c r="D427" s="69">
        <v>0.61</v>
      </c>
      <c r="E427" s="69">
        <v>0.28360000000000002</v>
      </c>
      <c r="F427" s="69">
        <v>5</v>
      </c>
      <c r="G427" s="69">
        <v>156</v>
      </c>
      <c r="H427" s="69">
        <v>161</v>
      </c>
    </row>
    <row r="428" spans="1:8" x14ac:dyDescent="0.3">
      <c r="A428" s="69">
        <v>426</v>
      </c>
      <c r="B428" s="69">
        <v>427</v>
      </c>
      <c r="C428" s="69">
        <v>0.28789999999999999</v>
      </c>
      <c r="D428" s="69">
        <v>0.56999999999999995</v>
      </c>
      <c r="E428" s="69">
        <v>0.41789999999999999</v>
      </c>
      <c r="F428" s="69">
        <v>4</v>
      </c>
      <c r="G428" s="69">
        <v>108</v>
      </c>
      <c r="H428" s="69">
        <v>112</v>
      </c>
    </row>
    <row r="429" spans="1:8" x14ac:dyDescent="0.3">
      <c r="A429" s="69">
        <v>427</v>
      </c>
      <c r="B429" s="69">
        <v>428</v>
      </c>
      <c r="C429" s="69">
        <v>0.30299999999999999</v>
      </c>
      <c r="D429" s="69">
        <v>0.49</v>
      </c>
      <c r="E429" s="69">
        <v>0.29849999999999999</v>
      </c>
      <c r="F429" s="69">
        <v>2</v>
      </c>
      <c r="G429" s="69">
        <v>74</v>
      </c>
      <c r="H429" s="69">
        <v>76</v>
      </c>
    </row>
    <row r="430" spans="1:8" x14ac:dyDescent="0.3">
      <c r="A430" s="69">
        <v>428</v>
      </c>
      <c r="B430" s="69">
        <v>429</v>
      </c>
      <c r="C430" s="69">
        <v>0.28789999999999999</v>
      </c>
      <c r="D430" s="69">
        <v>0.49</v>
      </c>
      <c r="E430" s="69">
        <v>0.41789999999999999</v>
      </c>
      <c r="F430" s="69">
        <v>4</v>
      </c>
      <c r="G430" s="69">
        <v>55</v>
      </c>
      <c r="H430" s="69">
        <v>59</v>
      </c>
    </row>
    <row r="431" spans="1:8" x14ac:dyDescent="0.3">
      <c r="A431" s="69">
        <v>429</v>
      </c>
      <c r="B431" s="69">
        <v>430</v>
      </c>
      <c r="C431" s="69">
        <v>0.30299999999999999</v>
      </c>
      <c r="D431" s="69">
        <v>0.52</v>
      </c>
      <c r="E431" s="69">
        <v>0.16420000000000001</v>
      </c>
      <c r="F431" s="69">
        <v>6</v>
      </c>
      <c r="G431" s="69">
        <v>53</v>
      </c>
      <c r="H431" s="69">
        <v>59</v>
      </c>
    </row>
    <row r="432" spans="1:8" x14ac:dyDescent="0.3">
      <c r="A432" s="69">
        <v>430</v>
      </c>
      <c r="B432" s="69">
        <v>431</v>
      </c>
      <c r="C432" s="69">
        <v>0.2727</v>
      </c>
      <c r="D432" s="69">
        <v>0.52</v>
      </c>
      <c r="E432" s="69">
        <v>0.4627</v>
      </c>
      <c r="F432" s="69">
        <v>1</v>
      </c>
      <c r="G432" s="69">
        <v>27</v>
      </c>
      <c r="H432" s="69">
        <v>28</v>
      </c>
    </row>
    <row r="433" spans="1:8" x14ac:dyDescent="0.3">
      <c r="A433" s="69">
        <v>431</v>
      </c>
      <c r="B433" s="69">
        <v>432</v>
      </c>
      <c r="C433" s="69">
        <v>0.2273</v>
      </c>
      <c r="D433" s="69">
        <v>0.56000000000000005</v>
      </c>
      <c r="E433" s="69">
        <v>0.3881</v>
      </c>
      <c r="F433" s="69">
        <v>5</v>
      </c>
      <c r="G433" s="69">
        <v>8</v>
      </c>
      <c r="H433" s="69">
        <v>13</v>
      </c>
    </row>
    <row r="434" spans="1:8" x14ac:dyDescent="0.3">
      <c r="A434" s="69">
        <v>432</v>
      </c>
      <c r="B434" s="69">
        <v>433</v>
      </c>
      <c r="C434" s="69">
        <v>0.2727</v>
      </c>
      <c r="D434" s="69">
        <v>0.56000000000000005</v>
      </c>
      <c r="E434" s="69">
        <v>0</v>
      </c>
      <c r="F434" s="69">
        <v>2</v>
      </c>
      <c r="G434" s="69">
        <v>3</v>
      </c>
      <c r="H434" s="69">
        <v>5</v>
      </c>
    </row>
    <row r="435" spans="1:8" x14ac:dyDescent="0.3">
      <c r="A435" s="69">
        <v>433</v>
      </c>
      <c r="B435" s="69">
        <v>434</v>
      </c>
      <c r="C435" s="69">
        <v>0.2727</v>
      </c>
      <c r="D435" s="69">
        <v>0.56000000000000005</v>
      </c>
      <c r="E435" s="69">
        <v>0</v>
      </c>
      <c r="F435" s="69">
        <v>0</v>
      </c>
      <c r="G435" s="69">
        <v>2</v>
      </c>
      <c r="H435" s="69">
        <v>2</v>
      </c>
    </row>
    <row r="436" spans="1:8" x14ac:dyDescent="0.3">
      <c r="A436" s="69">
        <v>434</v>
      </c>
      <c r="B436" s="69">
        <v>435</v>
      </c>
      <c r="C436" s="69">
        <v>0.2576</v>
      </c>
      <c r="D436" s="69">
        <v>0.56000000000000005</v>
      </c>
      <c r="E436" s="69">
        <v>0.16420000000000001</v>
      </c>
      <c r="F436" s="69">
        <v>0</v>
      </c>
      <c r="G436" s="69">
        <v>1</v>
      </c>
      <c r="H436" s="69">
        <v>1</v>
      </c>
    </row>
    <row r="437" spans="1:8" x14ac:dyDescent="0.3">
      <c r="A437" s="69">
        <v>435</v>
      </c>
      <c r="B437" s="69">
        <v>436</v>
      </c>
      <c r="C437" s="69">
        <v>0.2576</v>
      </c>
      <c r="D437" s="69">
        <v>0.56000000000000005</v>
      </c>
      <c r="E437" s="69">
        <v>0.16420000000000001</v>
      </c>
      <c r="F437" s="69">
        <v>0</v>
      </c>
      <c r="G437" s="69">
        <v>1</v>
      </c>
      <c r="H437" s="69">
        <v>1</v>
      </c>
    </row>
    <row r="438" spans="1:8" x14ac:dyDescent="0.3">
      <c r="A438" s="69">
        <v>436</v>
      </c>
      <c r="B438" s="69">
        <v>437</v>
      </c>
      <c r="C438" s="69">
        <v>0.2273</v>
      </c>
      <c r="D438" s="69">
        <v>0.6</v>
      </c>
      <c r="E438" s="69">
        <v>0.22389999999999999</v>
      </c>
      <c r="F438" s="69">
        <v>0</v>
      </c>
      <c r="G438" s="69">
        <v>6</v>
      </c>
      <c r="H438" s="69">
        <v>6</v>
      </c>
    </row>
    <row r="439" spans="1:8" x14ac:dyDescent="0.3">
      <c r="A439" s="69">
        <v>437</v>
      </c>
      <c r="B439" s="69">
        <v>438</v>
      </c>
      <c r="C439" s="69">
        <v>0.21210000000000001</v>
      </c>
      <c r="D439" s="69">
        <v>0.6</v>
      </c>
      <c r="E439" s="69">
        <v>0.22389999999999999</v>
      </c>
      <c r="F439" s="69">
        <v>0</v>
      </c>
      <c r="G439" s="69">
        <v>35</v>
      </c>
      <c r="H439" s="69">
        <v>35</v>
      </c>
    </row>
    <row r="440" spans="1:8" x14ac:dyDescent="0.3">
      <c r="A440" s="69">
        <v>438</v>
      </c>
      <c r="B440" s="69">
        <v>439</v>
      </c>
      <c r="C440" s="69">
        <v>0.21210000000000001</v>
      </c>
      <c r="D440" s="69">
        <v>0.55000000000000004</v>
      </c>
      <c r="E440" s="69">
        <v>0.22389999999999999</v>
      </c>
      <c r="F440" s="69">
        <v>1</v>
      </c>
      <c r="G440" s="69">
        <v>100</v>
      </c>
      <c r="H440" s="69">
        <v>101</v>
      </c>
    </row>
    <row r="441" spans="1:8" x14ac:dyDescent="0.3">
      <c r="A441" s="69">
        <v>439</v>
      </c>
      <c r="B441" s="69">
        <v>440</v>
      </c>
      <c r="C441" s="69">
        <v>0.21210000000000001</v>
      </c>
      <c r="D441" s="69">
        <v>0.55000000000000004</v>
      </c>
      <c r="E441" s="69">
        <v>0.28360000000000002</v>
      </c>
      <c r="F441" s="69">
        <v>2</v>
      </c>
      <c r="G441" s="69">
        <v>247</v>
      </c>
      <c r="H441" s="69">
        <v>249</v>
      </c>
    </row>
    <row r="442" spans="1:8" x14ac:dyDescent="0.3">
      <c r="A442" s="69">
        <v>440</v>
      </c>
      <c r="B442" s="69">
        <v>441</v>
      </c>
      <c r="C442" s="69">
        <v>0.2273</v>
      </c>
      <c r="D442" s="69">
        <v>0.52</v>
      </c>
      <c r="E442" s="69">
        <v>0.22389999999999999</v>
      </c>
      <c r="F442" s="69">
        <v>3</v>
      </c>
      <c r="G442" s="69">
        <v>140</v>
      </c>
      <c r="H442" s="69">
        <v>143</v>
      </c>
    </row>
    <row r="443" spans="1:8" x14ac:dyDescent="0.3">
      <c r="A443" s="69">
        <v>441</v>
      </c>
      <c r="B443" s="69">
        <v>442</v>
      </c>
      <c r="C443" s="69">
        <v>0.2273</v>
      </c>
      <c r="D443" s="69">
        <v>0.48</v>
      </c>
      <c r="E443" s="69">
        <v>0.29849999999999999</v>
      </c>
      <c r="F443" s="69">
        <v>1</v>
      </c>
      <c r="G443" s="69">
        <v>56</v>
      </c>
      <c r="H443" s="69">
        <v>57</v>
      </c>
    </row>
    <row r="444" spans="1:8" x14ac:dyDescent="0.3">
      <c r="A444" s="69">
        <v>442</v>
      </c>
      <c r="B444" s="69">
        <v>443</v>
      </c>
      <c r="C444" s="69">
        <v>0.2727</v>
      </c>
      <c r="D444" s="69">
        <v>0.45</v>
      </c>
      <c r="E444" s="69">
        <v>0.16420000000000001</v>
      </c>
      <c r="F444" s="69">
        <v>5</v>
      </c>
      <c r="G444" s="69">
        <v>63</v>
      </c>
      <c r="H444" s="69">
        <v>68</v>
      </c>
    </row>
    <row r="445" spans="1:8" x14ac:dyDescent="0.3">
      <c r="A445" s="69">
        <v>443</v>
      </c>
      <c r="B445" s="69">
        <v>444</v>
      </c>
      <c r="C445" s="69">
        <v>0.33329999999999999</v>
      </c>
      <c r="D445" s="69">
        <v>0.42</v>
      </c>
      <c r="E445" s="69">
        <v>0</v>
      </c>
      <c r="F445" s="69">
        <v>7</v>
      </c>
      <c r="G445" s="69">
        <v>77</v>
      </c>
      <c r="H445" s="69">
        <v>84</v>
      </c>
    </row>
    <row r="446" spans="1:8" x14ac:dyDescent="0.3">
      <c r="A446" s="69">
        <v>444</v>
      </c>
      <c r="B446" s="69">
        <v>445</v>
      </c>
      <c r="C446" s="69">
        <v>0.28789999999999999</v>
      </c>
      <c r="D446" s="69">
        <v>0.45</v>
      </c>
      <c r="E446" s="69">
        <v>0.1045</v>
      </c>
      <c r="F446" s="69">
        <v>12</v>
      </c>
      <c r="G446" s="69">
        <v>86</v>
      </c>
      <c r="H446" s="69">
        <v>98</v>
      </c>
    </row>
    <row r="447" spans="1:8" x14ac:dyDescent="0.3">
      <c r="A447" s="69">
        <v>445</v>
      </c>
      <c r="B447" s="69">
        <v>446</v>
      </c>
      <c r="C447" s="69">
        <v>0.30299999999999999</v>
      </c>
      <c r="D447" s="69">
        <v>0.45</v>
      </c>
      <c r="E447" s="69">
        <v>0.1343</v>
      </c>
      <c r="F447" s="69">
        <v>6</v>
      </c>
      <c r="G447" s="69">
        <v>75</v>
      </c>
      <c r="H447" s="69">
        <v>81</v>
      </c>
    </row>
    <row r="448" spans="1:8" x14ac:dyDescent="0.3">
      <c r="A448" s="69">
        <v>446</v>
      </c>
      <c r="B448" s="69">
        <v>447</v>
      </c>
      <c r="C448" s="69">
        <v>0.31819999999999998</v>
      </c>
      <c r="D448" s="69">
        <v>0.45</v>
      </c>
      <c r="E448" s="69">
        <v>0.19400000000000001</v>
      </c>
      <c r="F448" s="69">
        <v>8</v>
      </c>
      <c r="G448" s="69">
        <v>62</v>
      </c>
      <c r="H448" s="69">
        <v>70</v>
      </c>
    </row>
    <row r="449" spans="1:8" x14ac:dyDescent="0.3">
      <c r="A449" s="69">
        <v>447</v>
      </c>
      <c r="B449" s="69">
        <v>448</v>
      </c>
      <c r="C449" s="69">
        <v>0.30299999999999999</v>
      </c>
      <c r="D449" s="69">
        <v>0.49</v>
      </c>
      <c r="E449" s="69">
        <v>0.1343</v>
      </c>
      <c r="F449" s="69">
        <v>8</v>
      </c>
      <c r="G449" s="69">
        <v>83</v>
      </c>
      <c r="H449" s="69">
        <v>91</v>
      </c>
    </row>
    <row r="450" spans="1:8" x14ac:dyDescent="0.3">
      <c r="A450" s="69">
        <v>448</v>
      </c>
      <c r="B450" s="69">
        <v>449</v>
      </c>
      <c r="C450" s="69">
        <v>0.31819999999999998</v>
      </c>
      <c r="D450" s="69">
        <v>0.49</v>
      </c>
      <c r="E450" s="69">
        <v>0.1045</v>
      </c>
      <c r="F450" s="69">
        <v>8</v>
      </c>
      <c r="G450" s="69">
        <v>207</v>
      </c>
      <c r="H450" s="69">
        <v>215</v>
      </c>
    </row>
    <row r="451" spans="1:8" x14ac:dyDescent="0.3">
      <c r="A451" s="69">
        <v>449</v>
      </c>
      <c r="B451" s="69">
        <v>450</v>
      </c>
      <c r="C451" s="69">
        <v>0.2576</v>
      </c>
      <c r="D451" s="69">
        <v>0.56000000000000005</v>
      </c>
      <c r="E451" s="69">
        <v>0.19400000000000001</v>
      </c>
      <c r="F451" s="69">
        <v>1</v>
      </c>
      <c r="G451" s="69">
        <v>184</v>
      </c>
      <c r="H451" s="69">
        <v>185</v>
      </c>
    </row>
    <row r="452" spans="1:8" x14ac:dyDescent="0.3">
      <c r="A452" s="69">
        <v>450</v>
      </c>
      <c r="B452" s="69">
        <v>451</v>
      </c>
      <c r="C452" s="69">
        <v>0.2273</v>
      </c>
      <c r="D452" s="69">
        <v>0.56000000000000005</v>
      </c>
      <c r="E452" s="69">
        <v>0.32840000000000003</v>
      </c>
      <c r="F452" s="69">
        <v>6</v>
      </c>
      <c r="G452" s="69">
        <v>146</v>
      </c>
      <c r="H452" s="69">
        <v>152</v>
      </c>
    </row>
    <row r="453" spans="1:8" x14ac:dyDescent="0.3">
      <c r="A453" s="69">
        <v>451</v>
      </c>
      <c r="B453" s="69">
        <v>452</v>
      </c>
      <c r="C453" s="69">
        <v>0.2424</v>
      </c>
      <c r="D453" s="69">
        <v>0.6</v>
      </c>
      <c r="E453" s="69">
        <v>0.28360000000000002</v>
      </c>
      <c r="F453" s="69">
        <v>2</v>
      </c>
      <c r="G453" s="69">
        <v>124</v>
      </c>
      <c r="H453" s="69">
        <v>126</v>
      </c>
    </row>
    <row r="454" spans="1:8" x14ac:dyDescent="0.3">
      <c r="A454" s="69">
        <v>452</v>
      </c>
      <c r="B454" s="69">
        <v>453</v>
      </c>
      <c r="C454" s="69">
        <v>0.2273</v>
      </c>
      <c r="D454" s="69">
        <v>0.6</v>
      </c>
      <c r="E454" s="69">
        <v>0.25369999999999998</v>
      </c>
      <c r="F454" s="69">
        <v>3</v>
      </c>
      <c r="G454" s="69">
        <v>54</v>
      </c>
      <c r="H454" s="69">
        <v>57</v>
      </c>
    </row>
    <row r="455" spans="1:8" x14ac:dyDescent="0.3">
      <c r="A455" s="69">
        <v>453</v>
      </c>
      <c r="B455" s="69">
        <v>454</v>
      </c>
      <c r="C455" s="69">
        <v>0.21210000000000001</v>
      </c>
      <c r="D455" s="69">
        <v>0.65</v>
      </c>
      <c r="E455" s="69">
        <v>0.28360000000000002</v>
      </c>
      <c r="F455" s="69">
        <v>0</v>
      </c>
      <c r="G455" s="69">
        <v>56</v>
      </c>
      <c r="H455" s="69">
        <v>56</v>
      </c>
    </row>
    <row r="456" spans="1:8" x14ac:dyDescent="0.3">
      <c r="A456" s="69">
        <v>454</v>
      </c>
      <c r="B456" s="69">
        <v>455</v>
      </c>
      <c r="C456" s="69">
        <v>0.21210000000000001</v>
      </c>
      <c r="D456" s="69">
        <v>0.65</v>
      </c>
      <c r="E456" s="69">
        <v>0.32840000000000003</v>
      </c>
      <c r="F456" s="69">
        <v>3</v>
      </c>
      <c r="G456" s="69">
        <v>28</v>
      </c>
      <c r="H456" s="69">
        <v>31</v>
      </c>
    </row>
    <row r="457" spans="1:8" x14ac:dyDescent="0.3">
      <c r="A457" s="69">
        <v>455</v>
      </c>
      <c r="B457" s="69">
        <v>456</v>
      </c>
      <c r="C457" s="69">
        <v>0.2273</v>
      </c>
      <c r="D457" s="69">
        <v>0.7</v>
      </c>
      <c r="E457" s="69">
        <v>0.25369999999999998</v>
      </c>
      <c r="F457" s="69">
        <v>1</v>
      </c>
      <c r="G457" s="69">
        <v>20</v>
      </c>
      <c r="H457" s="69">
        <v>21</v>
      </c>
    </row>
    <row r="458" spans="1:8" x14ac:dyDescent="0.3">
      <c r="A458" s="69">
        <v>456</v>
      </c>
      <c r="B458" s="69">
        <v>457</v>
      </c>
      <c r="C458" s="69">
        <v>0.2273</v>
      </c>
      <c r="D458" s="69">
        <v>0.7</v>
      </c>
      <c r="E458" s="69">
        <v>0.25369999999999998</v>
      </c>
      <c r="F458" s="69">
        <v>0</v>
      </c>
      <c r="G458" s="69">
        <v>6</v>
      </c>
      <c r="H458" s="69">
        <v>6</v>
      </c>
    </row>
    <row r="459" spans="1:8" x14ac:dyDescent="0.3">
      <c r="A459" s="69">
        <v>457</v>
      </c>
      <c r="B459" s="69">
        <v>458</v>
      </c>
      <c r="C459" s="69">
        <v>0.2424</v>
      </c>
      <c r="D459" s="69">
        <v>0.75</v>
      </c>
      <c r="E459" s="69">
        <v>0.16420000000000001</v>
      </c>
      <c r="F459" s="69">
        <v>0</v>
      </c>
      <c r="G459" s="69">
        <v>2</v>
      </c>
      <c r="H459" s="69">
        <v>2</v>
      </c>
    </row>
    <row r="460" spans="1:8" x14ac:dyDescent="0.3">
      <c r="A460" s="69">
        <v>458</v>
      </c>
      <c r="B460" s="69">
        <v>459</v>
      </c>
      <c r="C460" s="69">
        <v>0.21210000000000001</v>
      </c>
      <c r="D460" s="69">
        <v>0.8</v>
      </c>
      <c r="E460" s="69">
        <v>0.29849999999999999</v>
      </c>
      <c r="F460" s="69">
        <v>0</v>
      </c>
      <c r="G460" s="69">
        <v>1</v>
      </c>
      <c r="H460" s="69">
        <v>1</v>
      </c>
    </row>
    <row r="461" spans="1:8" x14ac:dyDescent="0.3">
      <c r="A461" s="69">
        <v>459</v>
      </c>
      <c r="B461" s="69">
        <v>460</v>
      </c>
      <c r="C461" s="69">
        <v>0.2576</v>
      </c>
      <c r="D461" s="69">
        <v>0.87</v>
      </c>
      <c r="E461" s="69">
        <v>8.9599999999999999E-2</v>
      </c>
      <c r="F461" s="69">
        <v>0</v>
      </c>
      <c r="G461" s="69">
        <v>1</v>
      </c>
      <c r="H461" s="69">
        <v>1</v>
      </c>
    </row>
    <row r="462" spans="1:8" x14ac:dyDescent="0.3">
      <c r="A462" s="69">
        <v>460</v>
      </c>
      <c r="B462" s="69">
        <v>461</v>
      </c>
      <c r="C462" s="69">
        <v>0.19700000000000001</v>
      </c>
      <c r="D462" s="69">
        <v>0.6</v>
      </c>
      <c r="E462" s="69">
        <v>0.41789999999999999</v>
      </c>
      <c r="F462" s="69">
        <v>1</v>
      </c>
      <c r="G462" s="69">
        <v>4</v>
      </c>
      <c r="H462" s="69">
        <v>5</v>
      </c>
    </row>
    <row r="463" spans="1:8" x14ac:dyDescent="0.3">
      <c r="A463" s="69">
        <v>461</v>
      </c>
      <c r="B463" s="69">
        <v>462</v>
      </c>
      <c r="C463" s="69">
        <v>0.21210000000000001</v>
      </c>
      <c r="D463" s="69">
        <v>0.55000000000000004</v>
      </c>
      <c r="E463" s="69">
        <v>0.25369999999999998</v>
      </c>
      <c r="F463" s="69">
        <v>0</v>
      </c>
      <c r="G463" s="69">
        <v>27</v>
      </c>
      <c r="H463" s="69">
        <v>27</v>
      </c>
    </row>
    <row r="464" spans="1:8" x14ac:dyDescent="0.3">
      <c r="A464" s="69">
        <v>462</v>
      </c>
      <c r="B464" s="69">
        <v>463</v>
      </c>
      <c r="C464" s="69">
        <v>0.18179999999999999</v>
      </c>
      <c r="D464" s="69">
        <v>0.51</v>
      </c>
      <c r="E464" s="69">
        <v>0.28360000000000002</v>
      </c>
      <c r="F464" s="69">
        <v>2</v>
      </c>
      <c r="G464" s="69">
        <v>66</v>
      </c>
      <c r="H464" s="69">
        <v>68</v>
      </c>
    </row>
    <row r="465" spans="1:8" x14ac:dyDescent="0.3">
      <c r="A465" s="69">
        <v>463</v>
      </c>
      <c r="B465" s="69">
        <v>464</v>
      </c>
      <c r="C465" s="69">
        <v>0.18179999999999999</v>
      </c>
      <c r="D465" s="69">
        <v>0.47</v>
      </c>
      <c r="E465" s="69">
        <v>0.32840000000000003</v>
      </c>
      <c r="F465" s="69">
        <v>7</v>
      </c>
      <c r="G465" s="69">
        <v>210</v>
      </c>
      <c r="H465" s="69">
        <v>217</v>
      </c>
    </row>
    <row r="466" spans="1:8" x14ac:dyDescent="0.3">
      <c r="A466" s="69">
        <v>464</v>
      </c>
      <c r="B466" s="69">
        <v>465</v>
      </c>
      <c r="C466" s="69">
        <v>0.18179999999999999</v>
      </c>
      <c r="D466" s="69">
        <v>0.51</v>
      </c>
      <c r="E466" s="69">
        <v>0.35820000000000002</v>
      </c>
      <c r="F466" s="69">
        <v>7</v>
      </c>
      <c r="G466" s="69">
        <v>159</v>
      </c>
      <c r="H466" s="69">
        <v>166</v>
      </c>
    </row>
    <row r="467" spans="1:8" x14ac:dyDescent="0.3">
      <c r="A467" s="69">
        <v>465</v>
      </c>
      <c r="B467" s="69">
        <v>466</v>
      </c>
      <c r="C467" s="69">
        <v>0.16669999999999999</v>
      </c>
      <c r="D467" s="69">
        <v>0.47</v>
      </c>
      <c r="E467" s="69">
        <v>0.4627</v>
      </c>
      <c r="F467" s="69">
        <v>6</v>
      </c>
      <c r="G467" s="69">
        <v>57</v>
      </c>
      <c r="H467" s="69">
        <v>63</v>
      </c>
    </row>
    <row r="468" spans="1:8" x14ac:dyDescent="0.3">
      <c r="A468" s="69">
        <v>466</v>
      </c>
      <c r="B468" s="69">
        <v>467</v>
      </c>
      <c r="C468" s="69">
        <v>0.18179999999999999</v>
      </c>
      <c r="D468" s="69">
        <v>0.41</v>
      </c>
      <c r="E468" s="69">
        <v>0.4627</v>
      </c>
      <c r="F468" s="69">
        <v>6</v>
      </c>
      <c r="G468" s="69">
        <v>53</v>
      </c>
      <c r="H468" s="69">
        <v>59</v>
      </c>
    </row>
    <row r="469" spans="1:8" x14ac:dyDescent="0.3">
      <c r="A469" s="69">
        <v>467</v>
      </c>
      <c r="B469" s="69">
        <v>468</v>
      </c>
      <c r="C469" s="69">
        <v>0.18179999999999999</v>
      </c>
      <c r="D469" s="69">
        <v>0.27</v>
      </c>
      <c r="E469" s="69">
        <v>0.58209999999999995</v>
      </c>
      <c r="F469" s="69">
        <v>11</v>
      </c>
      <c r="G469" s="69">
        <v>67</v>
      </c>
      <c r="H469" s="69">
        <v>78</v>
      </c>
    </row>
    <row r="470" spans="1:8" x14ac:dyDescent="0.3">
      <c r="A470" s="69">
        <v>468</v>
      </c>
      <c r="B470" s="69">
        <v>469</v>
      </c>
      <c r="C470" s="69">
        <v>0.1515</v>
      </c>
      <c r="D470" s="69">
        <v>0.21</v>
      </c>
      <c r="E470" s="69">
        <v>0.58209999999999995</v>
      </c>
      <c r="F470" s="69">
        <v>8</v>
      </c>
      <c r="G470" s="69">
        <v>65</v>
      </c>
      <c r="H470" s="69">
        <v>73</v>
      </c>
    </row>
    <row r="471" spans="1:8" x14ac:dyDescent="0.3">
      <c r="A471" s="69">
        <v>469</v>
      </c>
      <c r="B471" s="69">
        <v>470</v>
      </c>
      <c r="C471" s="69">
        <v>0.1515</v>
      </c>
      <c r="D471" s="69">
        <v>0.25</v>
      </c>
      <c r="E471" s="69">
        <v>0.52239999999999998</v>
      </c>
      <c r="F471" s="69">
        <v>6</v>
      </c>
      <c r="G471" s="69">
        <v>56</v>
      </c>
      <c r="H471" s="69">
        <v>62</v>
      </c>
    </row>
    <row r="472" spans="1:8" x14ac:dyDescent="0.3">
      <c r="A472" s="69">
        <v>470</v>
      </c>
      <c r="B472" s="69">
        <v>471</v>
      </c>
      <c r="C472" s="69">
        <v>0.1212</v>
      </c>
      <c r="D472" s="69">
        <v>0.26</v>
      </c>
      <c r="E472" s="69">
        <v>0.44779999999999998</v>
      </c>
      <c r="F472" s="69">
        <v>4</v>
      </c>
      <c r="G472" s="69">
        <v>61</v>
      </c>
      <c r="H472" s="69">
        <v>65</v>
      </c>
    </row>
    <row r="473" spans="1:8" x14ac:dyDescent="0.3">
      <c r="A473" s="69">
        <v>471</v>
      </c>
      <c r="B473" s="69">
        <v>472</v>
      </c>
      <c r="C473" s="69">
        <v>0.13639999999999999</v>
      </c>
      <c r="D473" s="69">
        <v>0.26</v>
      </c>
      <c r="E473" s="69">
        <v>0.35820000000000002</v>
      </c>
      <c r="F473" s="69">
        <v>0</v>
      </c>
      <c r="G473" s="69">
        <v>97</v>
      </c>
      <c r="H473" s="69">
        <v>97</v>
      </c>
    </row>
    <row r="474" spans="1:8" x14ac:dyDescent="0.3">
      <c r="A474" s="69">
        <v>472</v>
      </c>
      <c r="B474" s="69">
        <v>473</v>
      </c>
      <c r="C474" s="69">
        <v>0.1212</v>
      </c>
      <c r="D474" s="69">
        <v>0.28000000000000003</v>
      </c>
      <c r="E474" s="69">
        <v>0.35820000000000002</v>
      </c>
      <c r="F474" s="69">
        <v>10</v>
      </c>
      <c r="G474" s="69">
        <v>151</v>
      </c>
      <c r="H474" s="69">
        <v>161</v>
      </c>
    </row>
    <row r="475" spans="1:8" x14ac:dyDescent="0.3">
      <c r="A475" s="69">
        <v>473</v>
      </c>
      <c r="B475" s="69">
        <v>474</v>
      </c>
      <c r="C475" s="69">
        <v>0.1212</v>
      </c>
      <c r="D475" s="69">
        <v>0.3</v>
      </c>
      <c r="E475" s="69">
        <v>0.25369999999999998</v>
      </c>
      <c r="F475" s="69">
        <v>1</v>
      </c>
      <c r="G475" s="69">
        <v>119</v>
      </c>
      <c r="H475" s="69">
        <v>120</v>
      </c>
    </row>
    <row r="476" spans="1:8" x14ac:dyDescent="0.3">
      <c r="A476" s="69">
        <v>474</v>
      </c>
      <c r="B476" s="69">
        <v>475</v>
      </c>
      <c r="C476" s="69">
        <v>0.1061</v>
      </c>
      <c r="D476" s="69">
        <v>0.3</v>
      </c>
      <c r="E476" s="69">
        <v>0.32840000000000003</v>
      </c>
      <c r="F476" s="69">
        <v>3</v>
      </c>
      <c r="G476" s="69">
        <v>93</v>
      </c>
      <c r="H476" s="69">
        <v>96</v>
      </c>
    </row>
    <row r="477" spans="1:8" x14ac:dyDescent="0.3">
      <c r="A477" s="69">
        <v>475</v>
      </c>
      <c r="B477" s="69">
        <v>476</v>
      </c>
      <c r="C477" s="69">
        <v>7.5800000000000006E-2</v>
      </c>
      <c r="D477" s="69">
        <v>0.33</v>
      </c>
      <c r="E477" s="69">
        <v>0.41789999999999999</v>
      </c>
      <c r="F477" s="69">
        <v>1</v>
      </c>
      <c r="G477" s="69">
        <v>52</v>
      </c>
      <c r="H477" s="69">
        <v>53</v>
      </c>
    </row>
    <row r="478" spans="1:8" x14ac:dyDescent="0.3">
      <c r="A478" s="69">
        <v>476</v>
      </c>
      <c r="B478" s="69">
        <v>477</v>
      </c>
      <c r="C478" s="69">
        <v>7.5800000000000006E-2</v>
      </c>
      <c r="D478" s="69">
        <v>0.38</v>
      </c>
      <c r="E478" s="69">
        <v>0.28360000000000002</v>
      </c>
      <c r="F478" s="69">
        <v>0</v>
      </c>
      <c r="G478" s="69">
        <v>41</v>
      </c>
      <c r="H478" s="69">
        <v>41</v>
      </c>
    </row>
    <row r="479" spans="1:8" x14ac:dyDescent="0.3">
      <c r="A479" s="69">
        <v>477</v>
      </c>
      <c r="B479" s="69">
        <v>478</v>
      </c>
      <c r="C479" s="69">
        <v>3.0300000000000001E-2</v>
      </c>
      <c r="D479" s="69">
        <v>0.41</v>
      </c>
      <c r="E479" s="69">
        <v>0.3881</v>
      </c>
      <c r="F479" s="69">
        <v>1</v>
      </c>
      <c r="G479" s="69">
        <v>33</v>
      </c>
      <c r="H479" s="69">
        <v>34</v>
      </c>
    </row>
    <row r="480" spans="1:8" x14ac:dyDescent="0.3">
      <c r="A480" s="69">
        <v>478</v>
      </c>
      <c r="B480" s="69">
        <v>479</v>
      </c>
      <c r="C480" s="69">
        <v>4.5499999999999999E-2</v>
      </c>
      <c r="D480" s="69">
        <v>0.38</v>
      </c>
      <c r="E480" s="69">
        <v>0.32840000000000003</v>
      </c>
      <c r="F480" s="69">
        <v>0</v>
      </c>
      <c r="G480" s="69">
        <v>27</v>
      </c>
      <c r="H480" s="69">
        <v>27</v>
      </c>
    </row>
    <row r="481" spans="1:8" x14ac:dyDescent="0.3">
      <c r="A481" s="69">
        <v>479</v>
      </c>
      <c r="B481" s="69">
        <v>480</v>
      </c>
      <c r="C481" s="69">
        <v>3.0300000000000001E-2</v>
      </c>
      <c r="D481" s="69">
        <v>0.45</v>
      </c>
      <c r="E481" s="69">
        <v>0.25369999999999998</v>
      </c>
      <c r="F481" s="69">
        <v>0</v>
      </c>
      <c r="G481" s="69">
        <v>13</v>
      </c>
      <c r="H481" s="69">
        <v>13</v>
      </c>
    </row>
    <row r="482" spans="1:8" x14ac:dyDescent="0.3">
      <c r="A482" s="69">
        <v>480</v>
      </c>
      <c r="B482" s="69">
        <v>481</v>
      </c>
      <c r="C482" s="69">
        <v>0</v>
      </c>
      <c r="D482" s="69">
        <v>0.41</v>
      </c>
      <c r="E482" s="69">
        <v>0.3881</v>
      </c>
      <c r="F482" s="69">
        <v>3</v>
      </c>
      <c r="G482" s="69">
        <v>9</v>
      </c>
      <c r="H482" s="69">
        <v>12</v>
      </c>
    </row>
    <row r="483" spans="1:8" x14ac:dyDescent="0.3">
      <c r="A483" s="69">
        <v>481</v>
      </c>
      <c r="B483" s="69">
        <v>482</v>
      </c>
      <c r="C483" s="69">
        <v>3.0300000000000001E-2</v>
      </c>
      <c r="D483" s="69">
        <v>0.41</v>
      </c>
      <c r="E483" s="69">
        <v>0.25369999999999998</v>
      </c>
      <c r="F483" s="69">
        <v>0</v>
      </c>
      <c r="G483" s="69">
        <v>11</v>
      </c>
      <c r="H483" s="69">
        <v>11</v>
      </c>
    </row>
    <row r="484" spans="1:8" x14ac:dyDescent="0.3">
      <c r="A484" s="69">
        <v>482</v>
      </c>
      <c r="B484" s="69">
        <v>483</v>
      </c>
      <c r="C484" s="69">
        <v>3.0300000000000001E-2</v>
      </c>
      <c r="D484" s="69">
        <v>0.41</v>
      </c>
      <c r="E484" s="69">
        <v>0.28360000000000002</v>
      </c>
      <c r="F484" s="69">
        <v>1</v>
      </c>
      <c r="G484" s="69">
        <v>6</v>
      </c>
      <c r="H484" s="69">
        <v>7</v>
      </c>
    </row>
    <row r="485" spans="1:8" x14ac:dyDescent="0.3">
      <c r="A485" s="69">
        <v>483</v>
      </c>
      <c r="B485" s="69">
        <v>484</v>
      </c>
      <c r="C485" s="69">
        <v>1.52E-2</v>
      </c>
      <c r="D485" s="69">
        <v>0.48</v>
      </c>
      <c r="E485" s="69">
        <v>0.29849999999999999</v>
      </c>
      <c r="F485" s="69">
        <v>0</v>
      </c>
      <c r="G485" s="69">
        <v>3</v>
      </c>
      <c r="H485" s="69">
        <v>3</v>
      </c>
    </row>
    <row r="486" spans="1:8" x14ac:dyDescent="0.3">
      <c r="A486" s="69">
        <v>484</v>
      </c>
      <c r="B486" s="69">
        <v>485</v>
      </c>
      <c r="C486" s="69">
        <v>3.0300000000000001E-2</v>
      </c>
      <c r="D486" s="69">
        <v>0.44</v>
      </c>
      <c r="E486" s="69">
        <v>0.22389999999999999</v>
      </c>
      <c r="F486" s="69">
        <v>0</v>
      </c>
      <c r="G486" s="69">
        <v>2</v>
      </c>
      <c r="H486" s="69">
        <v>2</v>
      </c>
    </row>
    <row r="487" spans="1:8" x14ac:dyDescent="0.3">
      <c r="A487" s="69">
        <v>485</v>
      </c>
      <c r="B487" s="69">
        <v>486</v>
      </c>
      <c r="C487" s="69">
        <v>1.52E-2</v>
      </c>
      <c r="D487" s="69">
        <v>0.44</v>
      </c>
      <c r="E487" s="69">
        <v>0.28360000000000002</v>
      </c>
      <c r="F487" s="69">
        <v>0</v>
      </c>
      <c r="G487" s="69">
        <v>8</v>
      </c>
      <c r="H487" s="69">
        <v>8</v>
      </c>
    </row>
    <row r="488" spans="1:8" x14ac:dyDescent="0.3">
      <c r="A488" s="69">
        <v>486</v>
      </c>
      <c r="B488" s="69">
        <v>487</v>
      </c>
      <c r="C488" s="69">
        <v>0</v>
      </c>
      <c r="D488" s="69">
        <v>0.44</v>
      </c>
      <c r="E488" s="69">
        <v>0.32840000000000003</v>
      </c>
      <c r="F488" s="69">
        <v>1</v>
      </c>
      <c r="G488" s="69">
        <v>26</v>
      </c>
      <c r="H488" s="69">
        <v>27</v>
      </c>
    </row>
    <row r="489" spans="1:8" x14ac:dyDescent="0.3">
      <c r="A489" s="69">
        <v>487</v>
      </c>
      <c r="B489" s="69">
        <v>488</v>
      </c>
      <c r="C489" s="69">
        <v>3.0300000000000001E-2</v>
      </c>
      <c r="D489" s="69">
        <v>0.41</v>
      </c>
      <c r="E489" s="69">
        <v>0.25369999999999998</v>
      </c>
      <c r="F489" s="69">
        <v>3</v>
      </c>
      <c r="G489" s="69">
        <v>37</v>
      </c>
      <c r="H489" s="69">
        <v>40</v>
      </c>
    </row>
    <row r="490" spans="1:8" x14ac:dyDescent="0.3">
      <c r="A490" s="69">
        <v>488</v>
      </c>
      <c r="B490" s="69">
        <v>489</v>
      </c>
      <c r="C490" s="69">
        <v>6.0600000000000001E-2</v>
      </c>
      <c r="D490" s="69">
        <v>0.41</v>
      </c>
      <c r="E490" s="69">
        <v>0.16420000000000001</v>
      </c>
      <c r="F490" s="69">
        <v>3</v>
      </c>
      <c r="G490" s="69">
        <v>50</v>
      </c>
      <c r="H490" s="69">
        <v>53</v>
      </c>
    </row>
    <row r="491" spans="1:8" x14ac:dyDescent="0.3">
      <c r="A491" s="69">
        <v>489</v>
      </c>
      <c r="B491" s="69">
        <v>490</v>
      </c>
      <c r="C491" s="69">
        <v>7.5800000000000006E-2</v>
      </c>
      <c r="D491" s="69">
        <v>0.38</v>
      </c>
      <c r="E491" s="69">
        <v>0.1343</v>
      </c>
      <c r="F491" s="69">
        <v>4</v>
      </c>
      <c r="G491" s="69">
        <v>59</v>
      </c>
      <c r="H491" s="69">
        <v>63</v>
      </c>
    </row>
    <row r="492" spans="1:8" x14ac:dyDescent="0.3">
      <c r="A492" s="69">
        <v>490</v>
      </c>
      <c r="B492" s="69">
        <v>491</v>
      </c>
      <c r="C492" s="69">
        <v>0.1061</v>
      </c>
      <c r="D492" s="69">
        <v>0.38</v>
      </c>
      <c r="E492" s="69">
        <v>0.1045</v>
      </c>
      <c r="F492" s="69">
        <v>10</v>
      </c>
      <c r="G492" s="69">
        <v>60</v>
      </c>
      <c r="H492" s="69">
        <v>70</v>
      </c>
    </row>
    <row r="493" spans="1:8" x14ac:dyDescent="0.3">
      <c r="A493" s="69">
        <v>491</v>
      </c>
      <c r="B493" s="69">
        <v>492</v>
      </c>
      <c r="C493" s="69">
        <v>0.16669999999999999</v>
      </c>
      <c r="D493" s="69">
        <v>0.35</v>
      </c>
      <c r="E493" s="69">
        <v>0</v>
      </c>
      <c r="F493" s="69">
        <v>12</v>
      </c>
      <c r="G493" s="69">
        <v>72</v>
      </c>
      <c r="H493" s="69">
        <v>84</v>
      </c>
    </row>
    <row r="494" spans="1:8" x14ac:dyDescent="0.3">
      <c r="A494" s="69">
        <v>492</v>
      </c>
      <c r="B494" s="69">
        <v>493</v>
      </c>
      <c r="C494" s="69">
        <v>0.13639999999999999</v>
      </c>
      <c r="D494" s="69">
        <v>0.33</v>
      </c>
      <c r="E494" s="69">
        <v>0.1045</v>
      </c>
      <c r="F494" s="69">
        <v>11</v>
      </c>
      <c r="G494" s="69">
        <v>64</v>
      </c>
      <c r="H494" s="69">
        <v>75</v>
      </c>
    </row>
    <row r="495" spans="1:8" x14ac:dyDescent="0.3">
      <c r="A495" s="69">
        <v>493</v>
      </c>
      <c r="B495" s="69">
        <v>494</v>
      </c>
      <c r="C495" s="69">
        <v>0.1515</v>
      </c>
      <c r="D495" s="69">
        <v>0.28000000000000003</v>
      </c>
      <c r="E495" s="69">
        <v>0</v>
      </c>
      <c r="F495" s="69">
        <v>10</v>
      </c>
      <c r="G495" s="69">
        <v>93</v>
      </c>
      <c r="H495" s="69">
        <v>103</v>
      </c>
    </row>
    <row r="496" spans="1:8" x14ac:dyDescent="0.3">
      <c r="A496" s="69">
        <v>494</v>
      </c>
      <c r="B496" s="69">
        <v>495</v>
      </c>
      <c r="C496" s="69">
        <v>0.13639999999999999</v>
      </c>
      <c r="D496" s="69">
        <v>0.28000000000000003</v>
      </c>
      <c r="E496" s="69">
        <v>0.19400000000000001</v>
      </c>
      <c r="F496" s="69">
        <v>11</v>
      </c>
      <c r="G496" s="69">
        <v>72</v>
      </c>
      <c r="H496" s="69">
        <v>83</v>
      </c>
    </row>
    <row r="497" spans="1:8" x14ac:dyDescent="0.3">
      <c r="A497" s="69">
        <v>495</v>
      </c>
      <c r="B497" s="69">
        <v>496</v>
      </c>
      <c r="C497" s="69">
        <v>0.19700000000000001</v>
      </c>
      <c r="D497" s="69">
        <v>0.28000000000000003</v>
      </c>
      <c r="E497" s="69">
        <v>0</v>
      </c>
      <c r="F497" s="69">
        <v>8</v>
      </c>
      <c r="G497" s="69">
        <v>59</v>
      </c>
      <c r="H497" s="69">
        <v>67</v>
      </c>
    </row>
    <row r="498" spans="1:8" x14ac:dyDescent="0.3">
      <c r="A498" s="69">
        <v>496</v>
      </c>
      <c r="B498" s="69">
        <v>497</v>
      </c>
      <c r="C498" s="69">
        <v>9.0899999999999995E-2</v>
      </c>
      <c r="D498" s="69">
        <v>0.35</v>
      </c>
      <c r="E498" s="69">
        <v>0.19400000000000001</v>
      </c>
      <c r="F498" s="69">
        <v>0</v>
      </c>
      <c r="G498" s="69">
        <v>54</v>
      </c>
      <c r="H498" s="69">
        <v>54</v>
      </c>
    </row>
    <row r="499" spans="1:8" x14ac:dyDescent="0.3">
      <c r="A499" s="69">
        <v>497</v>
      </c>
      <c r="B499" s="69">
        <v>498</v>
      </c>
      <c r="C499" s="69">
        <v>0.1061</v>
      </c>
      <c r="D499" s="69">
        <v>0.35</v>
      </c>
      <c r="E499" s="69">
        <v>0.1343</v>
      </c>
      <c r="F499" s="69">
        <v>6</v>
      </c>
      <c r="G499" s="69">
        <v>53</v>
      </c>
      <c r="H499" s="69">
        <v>59</v>
      </c>
    </row>
    <row r="500" spans="1:8" x14ac:dyDescent="0.3">
      <c r="A500" s="69">
        <v>498</v>
      </c>
      <c r="B500" s="69">
        <v>499</v>
      </c>
      <c r="C500" s="69">
        <v>7.5800000000000006E-2</v>
      </c>
      <c r="D500" s="69">
        <v>0.45</v>
      </c>
      <c r="E500" s="69">
        <v>0.16420000000000001</v>
      </c>
      <c r="F500" s="69">
        <v>1</v>
      </c>
      <c r="G500" s="69">
        <v>44</v>
      </c>
      <c r="H500" s="69">
        <v>45</v>
      </c>
    </row>
    <row r="501" spans="1:8" x14ac:dyDescent="0.3">
      <c r="A501" s="69">
        <v>499</v>
      </c>
      <c r="B501" s="69">
        <v>500</v>
      </c>
      <c r="C501" s="69">
        <v>0.1061</v>
      </c>
      <c r="D501" s="69">
        <v>0.41</v>
      </c>
      <c r="E501" s="69">
        <v>8.9599999999999999E-2</v>
      </c>
      <c r="F501" s="69">
        <v>0</v>
      </c>
      <c r="G501" s="69">
        <v>39</v>
      </c>
      <c r="H501" s="69">
        <v>39</v>
      </c>
    </row>
    <row r="502" spans="1:8" x14ac:dyDescent="0.3">
      <c r="A502" s="69">
        <v>500</v>
      </c>
      <c r="B502" s="69">
        <v>501</v>
      </c>
      <c r="C502" s="69">
        <v>0.1515</v>
      </c>
      <c r="D502" s="69">
        <v>0.49</v>
      </c>
      <c r="E502" s="69">
        <v>0</v>
      </c>
      <c r="F502" s="69">
        <v>7</v>
      </c>
      <c r="G502" s="69">
        <v>23</v>
      </c>
      <c r="H502" s="69">
        <v>30</v>
      </c>
    </row>
    <row r="503" spans="1:8" x14ac:dyDescent="0.3">
      <c r="A503" s="69">
        <v>501</v>
      </c>
      <c r="B503" s="69">
        <v>502</v>
      </c>
      <c r="C503" s="69">
        <v>7.5800000000000006E-2</v>
      </c>
      <c r="D503" s="69">
        <v>0.56999999999999995</v>
      </c>
      <c r="E503" s="69">
        <v>0.1045</v>
      </c>
      <c r="F503" s="69">
        <v>2</v>
      </c>
      <c r="G503" s="69">
        <v>31</v>
      </c>
      <c r="H503" s="69">
        <v>33</v>
      </c>
    </row>
    <row r="504" spans="1:8" x14ac:dyDescent="0.3">
      <c r="A504" s="69">
        <v>502</v>
      </c>
      <c r="B504" s="69">
        <v>503</v>
      </c>
      <c r="C504" s="69">
        <v>7.5800000000000006E-2</v>
      </c>
      <c r="D504" s="69">
        <v>0.56999999999999995</v>
      </c>
      <c r="E504" s="69">
        <v>0.1045</v>
      </c>
      <c r="F504" s="69">
        <v>2</v>
      </c>
      <c r="G504" s="69">
        <v>20</v>
      </c>
      <c r="H504" s="69">
        <v>22</v>
      </c>
    </row>
    <row r="505" spans="1:8" x14ac:dyDescent="0.3">
      <c r="A505" s="69">
        <v>503</v>
      </c>
      <c r="B505" s="69">
        <v>504</v>
      </c>
      <c r="C505" s="69">
        <v>7.5800000000000006E-2</v>
      </c>
      <c r="D505" s="69">
        <v>0.56999999999999995</v>
      </c>
      <c r="E505" s="69">
        <v>0.1045</v>
      </c>
      <c r="F505" s="69">
        <v>1</v>
      </c>
      <c r="G505" s="69">
        <v>12</v>
      </c>
      <c r="H505" s="69">
        <v>13</v>
      </c>
    </row>
    <row r="506" spans="1:8" x14ac:dyDescent="0.3">
      <c r="A506" s="69">
        <v>504</v>
      </c>
      <c r="B506" s="69">
        <v>505</v>
      </c>
      <c r="C506" s="69">
        <v>6.0600000000000001E-2</v>
      </c>
      <c r="D506" s="69">
        <v>0.62</v>
      </c>
      <c r="E506" s="69">
        <v>0.1343</v>
      </c>
      <c r="F506" s="69">
        <v>3</v>
      </c>
      <c r="G506" s="69">
        <v>15</v>
      </c>
      <c r="H506" s="69">
        <v>18</v>
      </c>
    </row>
    <row r="507" spans="1:8" x14ac:dyDescent="0.3">
      <c r="A507" s="69">
        <v>505</v>
      </c>
      <c r="B507" s="69">
        <v>506</v>
      </c>
      <c r="C507" s="69">
        <v>6.0600000000000001E-2</v>
      </c>
      <c r="D507" s="69">
        <v>0.62</v>
      </c>
      <c r="E507" s="69">
        <v>0.1343</v>
      </c>
      <c r="F507" s="69">
        <v>1</v>
      </c>
      <c r="G507" s="69">
        <v>4</v>
      </c>
      <c r="H507" s="69">
        <v>5</v>
      </c>
    </row>
    <row r="508" spans="1:8" x14ac:dyDescent="0.3">
      <c r="A508" s="69">
        <v>506</v>
      </c>
      <c r="B508" s="69">
        <v>507</v>
      </c>
      <c r="C508" s="69">
        <v>7.5800000000000006E-2</v>
      </c>
      <c r="D508" s="69">
        <v>0.56999999999999995</v>
      </c>
      <c r="E508" s="69">
        <v>0.1045</v>
      </c>
      <c r="F508" s="69">
        <v>0</v>
      </c>
      <c r="G508" s="69">
        <v>3</v>
      </c>
      <c r="H508" s="69">
        <v>3</v>
      </c>
    </row>
    <row r="509" spans="1:8" x14ac:dyDescent="0.3">
      <c r="A509" s="69">
        <v>507</v>
      </c>
      <c r="B509" s="69">
        <v>508</v>
      </c>
      <c r="C509" s="69">
        <v>7.5800000000000006E-2</v>
      </c>
      <c r="D509" s="69">
        <v>0.56999999999999995</v>
      </c>
      <c r="E509" s="69">
        <v>0.1045</v>
      </c>
      <c r="F509" s="69">
        <v>0</v>
      </c>
      <c r="G509" s="69">
        <v>1</v>
      </c>
      <c r="H509" s="69">
        <v>1</v>
      </c>
    </row>
    <row r="510" spans="1:8" x14ac:dyDescent="0.3">
      <c r="A510" s="69">
        <v>508</v>
      </c>
      <c r="B510" s="69">
        <v>509</v>
      </c>
      <c r="C510" s="69">
        <v>0.1061</v>
      </c>
      <c r="D510" s="69">
        <v>0.57999999999999996</v>
      </c>
      <c r="E510" s="69">
        <v>0.16420000000000001</v>
      </c>
      <c r="F510" s="69">
        <v>1</v>
      </c>
      <c r="G510" s="69">
        <v>1</v>
      </c>
      <c r="H510" s="69">
        <v>2</v>
      </c>
    </row>
    <row r="511" spans="1:8" x14ac:dyDescent="0.3">
      <c r="A511" s="69">
        <v>509</v>
      </c>
      <c r="B511" s="69">
        <v>510</v>
      </c>
      <c r="C511" s="69">
        <v>7.5800000000000006E-2</v>
      </c>
      <c r="D511" s="69">
        <v>0.62</v>
      </c>
      <c r="E511" s="69">
        <v>0.16420000000000001</v>
      </c>
      <c r="F511" s="69">
        <v>2</v>
      </c>
      <c r="G511" s="69">
        <v>17</v>
      </c>
      <c r="H511" s="69">
        <v>19</v>
      </c>
    </row>
    <row r="512" spans="1:8" x14ac:dyDescent="0.3">
      <c r="A512" s="69">
        <v>510</v>
      </c>
      <c r="B512" s="69">
        <v>511</v>
      </c>
      <c r="C512" s="69">
        <v>7.5800000000000006E-2</v>
      </c>
      <c r="D512" s="69">
        <v>0.54</v>
      </c>
      <c r="E512" s="69">
        <v>0.35820000000000002</v>
      </c>
      <c r="F512" s="69">
        <v>3</v>
      </c>
      <c r="G512" s="69">
        <v>25</v>
      </c>
      <c r="H512" s="69">
        <v>28</v>
      </c>
    </row>
    <row r="513" spans="1:8" x14ac:dyDescent="0.3">
      <c r="A513" s="69">
        <v>511</v>
      </c>
      <c r="B513" s="69">
        <v>512</v>
      </c>
      <c r="C513" s="69">
        <v>0.1061</v>
      </c>
      <c r="D513" s="69">
        <v>0.46</v>
      </c>
      <c r="E513" s="69">
        <v>0.3881</v>
      </c>
      <c r="F513" s="69">
        <v>7</v>
      </c>
      <c r="G513" s="69">
        <v>51</v>
      </c>
      <c r="H513" s="69">
        <v>58</v>
      </c>
    </row>
    <row r="514" spans="1:8" x14ac:dyDescent="0.3">
      <c r="A514" s="69">
        <v>512</v>
      </c>
      <c r="B514" s="69">
        <v>513</v>
      </c>
      <c r="C514" s="69">
        <v>0.13639999999999999</v>
      </c>
      <c r="D514" s="69">
        <v>0.43</v>
      </c>
      <c r="E514" s="69">
        <v>0.22389999999999999</v>
      </c>
      <c r="F514" s="69">
        <v>22</v>
      </c>
      <c r="G514" s="69">
        <v>77</v>
      </c>
      <c r="H514" s="69">
        <v>99</v>
      </c>
    </row>
    <row r="515" spans="1:8" x14ac:dyDescent="0.3">
      <c r="A515" s="69">
        <v>513</v>
      </c>
      <c r="B515" s="69">
        <v>514</v>
      </c>
      <c r="C515" s="69">
        <v>0.1212</v>
      </c>
      <c r="D515" s="69">
        <v>0.37</v>
      </c>
      <c r="E515" s="69">
        <v>0.4627</v>
      </c>
      <c r="F515" s="69">
        <v>24</v>
      </c>
      <c r="G515" s="69">
        <v>92</v>
      </c>
      <c r="H515" s="69">
        <v>116</v>
      </c>
    </row>
    <row r="516" spans="1:8" x14ac:dyDescent="0.3">
      <c r="A516" s="69">
        <v>514</v>
      </c>
      <c r="B516" s="69">
        <v>515</v>
      </c>
      <c r="C516" s="69">
        <v>0.1061</v>
      </c>
      <c r="D516" s="69">
        <v>0.33</v>
      </c>
      <c r="E516" s="69">
        <v>0.3881</v>
      </c>
      <c r="F516" s="69">
        <v>12</v>
      </c>
      <c r="G516" s="69">
        <v>75</v>
      </c>
      <c r="H516" s="69">
        <v>87</v>
      </c>
    </row>
    <row r="517" spans="1:8" x14ac:dyDescent="0.3">
      <c r="A517" s="69">
        <v>515</v>
      </c>
      <c r="B517" s="69">
        <v>516</v>
      </c>
      <c r="C517" s="69">
        <v>0.13639999999999999</v>
      </c>
      <c r="D517" s="69">
        <v>0.28000000000000003</v>
      </c>
      <c r="E517" s="69">
        <v>0.35820000000000002</v>
      </c>
      <c r="F517" s="69">
        <v>17</v>
      </c>
      <c r="G517" s="69">
        <v>93</v>
      </c>
      <c r="H517" s="69">
        <v>110</v>
      </c>
    </row>
    <row r="518" spans="1:8" x14ac:dyDescent="0.3">
      <c r="A518" s="69">
        <v>516</v>
      </c>
      <c r="B518" s="69">
        <v>517</v>
      </c>
      <c r="C518" s="69">
        <v>0.13639999999999999</v>
      </c>
      <c r="D518" s="69">
        <v>0.28000000000000003</v>
      </c>
      <c r="E518" s="69">
        <v>0.35820000000000002</v>
      </c>
      <c r="F518" s="69">
        <v>13</v>
      </c>
      <c r="G518" s="69">
        <v>64</v>
      </c>
      <c r="H518" s="69">
        <v>77</v>
      </c>
    </row>
    <row r="519" spans="1:8" x14ac:dyDescent="0.3">
      <c r="A519" s="69">
        <v>517</v>
      </c>
      <c r="B519" s="69">
        <v>518</v>
      </c>
      <c r="C519" s="69">
        <v>0.13639999999999999</v>
      </c>
      <c r="D519" s="69">
        <v>0.26</v>
      </c>
      <c r="E519" s="69">
        <v>0.32840000000000003</v>
      </c>
      <c r="F519" s="69">
        <v>9</v>
      </c>
      <c r="G519" s="69">
        <v>56</v>
      </c>
      <c r="H519" s="69">
        <v>65</v>
      </c>
    </row>
    <row r="520" spans="1:8" x14ac:dyDescent="0.3">
      <c r="A520" s="69">
        <v>518</v>
      </c>
      <c r="B520" s="69">
        <v>519</v>
      </c>
      <c r="C520" s="69">
        <v>0.1061</v>
      </c>
      <c r="D520" s="69">
        <v>0.26</v>
      </c>
      <c r="E520" s="69">
        <v>0.3881</v>
      </c>
      <c r="F520" s="69">
        <v>5</v>
      </c>
      <c r="G520" s="69">
        <v>50</v>
      </c>
      <c r="H520" s="69">
        <v>55</v>
      </c>
    </row>
    <row r="521" spans="1:8" x14ac:dyDescent="0.3">
      <c r="A521" s="69">
        <v>519</v>
      </c>
      <c r="B521" s="69">
        <v>520</v>
      </c>
      <c r="C521" s="69">
        <v>0.1212</v>
      </c>
      <c r="D521" s="69">
        <v>0.3</v>
      </c>
      <c r="E521" s="69">
        <v>0.25369999999999998</v>
      </c>
      <c r="F521" s="69">
        <v>5</v>
      </c>
      <c r="G521" s="69">
        <v>44</v>
      </c>
      <c r="H521" s="69">
        <v>49</v>
      </c>
    </row>
    <row r="522" spans="1:8" x14ac:dyDescent="0.3">
      <c r="A522" s="69">
        <v>520</v>
      </c>
      <c r="B522" s="69">
        <v>521</v>
      </c>
      <c r="C522" s="69">
        <v>0.1212</v>
      </c>
      <c r="D522" s="69">
        <v>0.3</v>
      </c>
      <c r="E522" s="69">
        <v>0.28360000000000002</v>
      </c>
      <c r="F522" s="69">
        <v>5</v>
      </c>
      <c r="G522" s="69">
        <v>45</v>
      </c>
      <c r="H522" s="69">
        <v>50</v>
      </c>
    </row>
    <row r="523" spans="1:8" x14ac:dyDescent="0.3">
      <c r="A523" s="69">
        <v>521</v>
      </c>
      <c r="B523" s="69">
        <v>522</v>
      </c>
      <c r="C523" s="69">
        <v>0.1061</v>
      </c>
      <c r="D523" s="69">
        <v>0.36</v>
      </c>
      <c r="E523" s="69">
        <v>0.25369999999999998</v>
      </c>
      <c r="F523" s="69">
        <v>4</v>
      </c>
      <c r="G523" s="69">
        <v>31</v>
      </c>
      <c r="H523" s="69">
        <v>35</v>
      </c>
    </row>
    <row r="524" spans="1:8" x14ac:dyDescent="0.3">
      <c r="A524" s="69">
        <v>522</v>
      </c>
      <c r="B524" s="69">
        <v>523</v>
      </c>
      <c r="C524" s="69">
        <v>0.1061</v>
      </c>
      <c r="D524" s="69">
        <v>0.36</v>
      </c>
      <c r="E524" s="69">
        <v>0.19400000000000001</v>
      </c>
      <c r="F524" s="69">
        <v>5</v>
      </c>
      <c r="G524" s="69">
        <v>20</v>
      </c>
      <c r="H524" s="69">
        <v>25</v>
      </c>
    </row>
    <row r="525" spans="1:8" x14ac:dyDescent="0.3">
      <c r="A525" s="69">
        <v>523</v>
      </c>
      <c r="B525" s="69">
        <v>524</v>
      </c>
      <c r="C525" s="69">
        <v>9.0899999999999995E-2</v>
      </c>
      <c r="D525" s="69">
        <v>0.38</v>
      </c>
      <c r="E525" s="69">
        <v>0.19400000000000001</v>
      </c>
      <c r="F525" s="69">
        <v>5</v>
      </c>
      <c r="G525" s="69">
        <v>23</v>
      </c>
      <c r="H525" s="69">
        <v>28</v>
      </c>
    </row>
    <row r="526" spans="1:8" x14ac:dyDescent="0.3">
      <c r="A526" s="69">
        <v>524</v>
      </c>
      <c r="B526" s="69">
        <v>525</v>
      </c>
      <c r="C526" s="69">
        <v>6.0600000000000001E-2</v>
      </c>
      <c r="D526" s="69">
        <v>0.41</v>
      </c>
      <c r="E526" s="69">
        <v>0.22389999999999999</v>
      </c>
      <c r="F526" s="69">
        <v>4</v>
      </c>
      <c r="G526" s="69">
        <v>17</v>
      </c>
      <c r="H526" s="69">
        <v>21</v>
      </c>
    </row>
    <row r="527" spans="1:8" x14ac:dyDescent="0.3">
      <c r="A527" s="69">
        <v>525</v>
      </c>
      <c r="B527" s="69">
        <v>526</v>
      </c>
      <c r="C527" s="69">
        <v>6.0600000000000001E-2</v>
      </c>
      <c r="D527" s="69">
        <v>0.41</v>
      </c>
      <c r="E527" s="69">
        <v>0.19400000000000001</v>
      </c>
      <c r="F527" s="69">
        <v>0</v>
      </c>
      <c r="G527" s="69">
        <v>7</v>
      </c>
      <c r="H527" s="69">
        <v>7</v>
      </c>
    </row>
    <row r="528" spans="1:8" x14ac:dyDescent="0.3">
      <c r="A528" s="69">
        <v>526</v>
      </c>
      <c r="B528" s="69">
        <v>527</v>
      </c>
      <c r="C528" s="69">
        <v>4.5499999999999999E-2</v>
      </c>
      <c r="D528" s="69">
        <v>0.45</v>
      </c>
      <c r="E528" s="69">
        <v>0.19400000000000001</v>
      </c>
      <c r="F528" s="69">
        <v>0</v>
      </c>
      <c r="G528" s="69">
        <v>1</v>
      </c>
      <c r="H528" s="69">
        <v>1</v>
      </c>
    </row>
    <row r="529" spans="1:8" x14ac:dyDescent="0.3">
      <c r="A529" s="69">
        <v>527</v>
      </c>
      <c r="B529" s="69">
        <v>528</v>
      </c>
      <c r="C529" s="69">
        <v>3.0300000000000001E-2</v>
      </c>
      <c r="D529" s="69">
        <v>0.45</v>
      </c>
      <c r="E529" s="69">
        <v>0.25369999999999998</v>
      </c>
      <c r="F529" s="69">
        <v>0</v>
      </c>
      <c r="G529" s="69">
        <v>1</v>
      </c>
      <c r="H529" s="69">
        <v>1</v>
      </c>
    </row>
    <row r="530" spans="1:8" x14ac:dyDescent="0.3">
      <c r="A530" s="69">
        <v>528</v>
      </c>
      <c r="B530" s="69">
        <v>529</v>
      </c>
      <c r="C530" s="69">
        <v>6.0600000000000001E-2</v>
      </c>
      <c r="D530" s="69">
        <v>0.48</v>
      </c>
      <c r="E530" s="69">
        <v>0.1343</v>
      </c>
      <c r="F530" s="69">
        <v>0</v>
      </c>
      <c r="G530" s="69">
        <v>1</v>
      </c>
      <c r="H530" s="69">
        <v>1</v>
      </c>
    </row>
    <row r="531" spans="1:8" x14ac:dyDescent="0.3">
      <c r="A531" s="69">
        <v>529</v>
      </c>
      <c r="B531" s="69">
        <v>530</v>
      </c>
      <c r="C531" s="69">
        <v>6.0600000000000001E-2</v>
      </c>
      <c r="D531" s="69">
        <v>0.48</v>
      </c>
      <c r="E531" s="69">
        <v>0.1343</v>
      </c>
      <c r="F531" s="69">
        <v>0</v>
      </c>
      <c r="G531" s="69">
        <v>5</v>
      </c>
      <c r="H531" s="69">
        <v>5</v>
      </c>
    </row>
    <row r="532" spans="1:8" x14ac:dyDescent="0.3">
      <c r="A532" s="69">
        <v>530</v>
      </c>
      <c r="B532" s="69">
        <v>531</v>
      </c>
      <c r="C532" s="69">
        <v>7.5800000000000006E-2</v>
      </c>
      <c r="D532" s="69">
        <v>0.48</v>
      </c>
      <c r="E532" s="69">
        <v>8.9599999999999999E-2</v>
      </c>
      <c r="F532" s="69">
        <v>0</v>
      </c>
      <c r="G532" s="69">
        <v>15</v>
      </c>
      <c r="H532" s="69">
        <v>15</v>
      </c>
    </row>
    <row r="533" spans="1:8" x14ac:dyDescent="0.3">
      <c r="A533" s="69">
        <v>531</v>
      </c>
      <c r="B533" s="69">
        <v>532</v>
      </c>
      <c r="C533" s="69">
        <v>0.1212</v>
      </c>
      <c r="D533" s="69">
        <v>0.48</v>
      </c>
      <c r="E533" s="69">
        <v>0</v>
      </c>
      <c r="F533" s="69">
        <v>5</v>
      </c>
      <c r="G533" s="69">
        <v>79</v>
      </c>
      <c r="H533" s="69">
        <v>84</v>
      </c>
    </row>
    <row r="534" spans="1:8" x14ac:dyDescent="0.3">
      <c r="A534" s="69">
        <v>532</v>
      </c>
      <c r="B534" s="69">
        <v>533</v>
      </c>
      <c r="C534" s="69">
        <v>0.13639999999999999</v>
      </c>
      <c r="D534" s="69">
        <v>0.49</v>
      </c>
      <c r="E534" s="69">
        <v>0</v>
      </c>
      <c r="F534" s="69">
        <v>6</v>
      </c>
      <c r="G534" s="69">
        <v>171</v>
      </c>
      <c r="H534" s="69">
        <v>177</v>
      </c>
    </row>
    <row r="535" spans="1:8" x14ac:dyDescent="0.3">
      <c r="A535" s="69">
        <v>533</v>
      </c>
      <c r="B535" s="69">
        <v>534</v>
      </c>
      <c r="C535" s="69">
        <v>0.1515</v>
      </c>
      <c r="D535" s="69">
        <v>0.41</v>
      </c>
      <c r="E535" s="69">
        <v>0</v>
      </c>
      <c r="F535" s="69">
        <v>4</v>
      </c>
      <c r="G535" s="69">
        <v>98</v>
      </c>
      <c r="H535" s="69">
        <v>102</v>
      </c>
    </row>
    <row r="536" spans="1:8" x14ac:dyDescent="0.3">
      <c r="A536" s="69">
        <v>534</v>
      </c>
      <c r="B536" s="69">
        <v>535</v>
      </c>
      <c r="C536" s="69">
        <v>0.13639999999999999</v>
      </c>
      <c r="D536" s="69">
        <v>0.42</v>
      </c>
      <c r="E536" s="69">
        <v>0</v>
      </c>
      <c r="F536" s="69">
        <v>6</v>
      </c>
      <c r="G536" s="69">
        <v>34</v>
      </c>
      <c r="H536" s="69">
        <v>40</v>
      </c>
    </row>
    <row r="537" spans="1:8" x14ac:dyDescent="0.3">
      <c r="A537" s="69">
        <v>535</v>
      </c>
      <c r="B537" s="69">
        <v>536</v>
      </c>
      <c r="C537" s="69">
        <v>0.1212</v>
      </c>
      <c r="D537" s="69">
        <v>0.46</v>
      </c>
      <c r="E537" s="69">
        <v>0.1343</v>
      </c>
      <c r="F537" s="69">
        <v>3</v>
      </c>
      <c r="G537" s="69">
        <v>43</v>
      </c>
      <c r="H537" s="69">
        <v>46</v>
      </c>
    </row>
    <row r="538" spans="1:8" x14ac:dyDescent="0.3">
      <c r="A538" s="69">
        <v>536</v>
      </c>
      <c r="B538" s="69">
        <v>537</v>
      </c>
      <c r="C538" s="69">
        <v>0.13639999999999999</v>
      </c>
      <c r="D538" s="69">
        <v>0.42</v>
      </c>
      <c r="E538" s="69">
        <v>0.19400000000000001</v>
      </c>
      <c r="F538" s="69">
        <v>11</v>
      </c>
      <c r="G538" s="69">
        <v>52</v>
      </c>
      <c r="H538" s="69">
        <v>63</v>
      </c>
    </row>
    <row r="539" spans="1:8" x14ac:dyDescent="0.3">
      <c r="A539" s="69">
        <v>537</v>
      </c>
      <c r="B539" s="69">
        <v>538</v>
      </c>
      <c r="C539" s="69">
        <v>0.13639999999999999</v>
      </c>
      <c r="D539" s="69">
        <v>0.43</v>
      </c>
      <c r="E539" s="69">
        <v>0.22389999999999999</v>
      </c>
      <c r="F539" s="69">
        <v>6</v>
      </c>
      <c r="G539" s="69">
        <v>54</v>
      </c>
      <c r="H539" s="69">
        <v>60</v>
      </c>
    </row>
    <row r="540" spans="1:8" x14ac:dyDescent="0.3">
      <c r="A540" s="69">
        <v>538</v>
      </c>
      <c r="B540" s="69">
        <v>539</v>
      </c>
      <c r="C540" s="69">
        <v>0.13639999999999999</v>
      </c>
      <c r="D540" s="69">
        <v>0.46</v>
      </c>
      <c r="E540" s="69">
        <v>0.22389999999999999</v>
      </c>
      <c r="F540" s="69">
        <v>2</v>
      </c>
      <c r="G540" s="69">
        <v>43</v>
      </c>
      <c r="H540" s="69">
        <v>45</v>
      </c>
    </row>
    <row r="541" spans="1:8" x14ac:dyDescent="0.3">
      <c r="A541" s="69">
        <v>539</v>
      </c>
      <c r="B541" s="69">
        <v>540</v>
      </c>
      <c r="C541" s="69">
        <v>0.16669999999999999</v>
      </c>
      <c r="D541" s="69">
        <v>0.4</v>
      </c>
      <c r="E541" s="69">
        <v>0.16420000000000001</v>
      </c>
      <c r="F541" s="69">
        <v>7</v>
      </c>
      <c r="G541" s="69">
        <v>50</v>
      </c>
      <c r="H541" s="69">
        <v>57</v>
      </c>
    </row>
    <row r="542" spans="1:8" x14ac:dyDescent="0.3">
      <c r="A542" s="69">
        <v>540</v>
      </c>
      <c r="B542" s="69">
        <v>541</v>
      </c>
      <c r="C542" s="69">
        <v>0.1515</v>
      </c>
      <c r="D542" s="69">
        <v>0.47</v>
      </c>
      <c r="E542" s="69">
        <v>0.25369999999999998</v>
      </c>
      <c r="F542" s="69">
        <v>4</v>
      </c>
      <c r="G542" s="69">
        <v>66</v>
      </c>
      <c r="H542" s="69">
        <v>70</v>
      </c>
    </row>
    <row r="543" spans="1:8" x14ac:dyDescent="0.3">
      <c r="A543" s="69">
        <v>541</v>
      </c>
      <c r="B543" s="69">
        <v>542</v>
      </c>
      <c r="C543" s="69">
        <v>0.1212</v>
      </c>
      <c r="D543" s="69">
        <v>0.5</v>
      </c>
      <c r="E543" s="69">
        <v>0.25369999999999998</v>
      </c>
      <c r="F543" s="69">
        <v>6</v>
      </c>
      <c r="G543" s="69">
        <v>178</v>
      </c>
      <c r="H543" s="69">
        <v>184</v>
      </c>
    </row>
    <row r="544" spans="1:8" x14ac:dyDescent="0.3">
      <c r="A544" s="69">
        <v>542</v>
      </c>
      <c r="B544" s="69">
        <v>543</v>
      </c>
      <c r="C544" s="69">
        <v>0.13639999999999999</v>
      </c>
      <c r="D544" s="69">
        <v>0.59</v>
      </c>
      <c r="E544" s="69">
        <v>0.19400000000000001</v>
      </c>
      <c r="F544" s="69">
        <v>8</v>
      </c>
      <c r="G544" s="69">
        <v>145</v>
      </c>
      <c r="H544" s="69">
        <v>153</v>
      </c>
    </row>
    <row r="545" spans="1:8" x14ac:dyDescent="0.3">
      <c r="A545" s="69">
        <v>543</v>
      </c>
      <c r="B545" s="69">
        <v>544</v>
      </c>
      <c r="C545" s="69">
        <v>0.1515</v>
      </c>
      <c r="D545" s="69">
        <v>0.54</v>
      </c>
      <c r="E545" s="69">
        <v>0.16420000000000001</v>
      </c>
      <c r="F545" s="69">
        <v>5</v>
      </c>
      <c r="G545" s="69">
        <v>101</v>
      </c>
      <c r="H545" s="69">
        <v>106</v>
      </c>
    </row>
    <row r="546" spans="1:8" x14ac:dyDescent="0.3">
      <c r="A546" s="69">
        <v>544</v>
      </c>
      <c r="B546" s="69">
        <v>545</v>
      </c>
      <c r="C546" s="69">
        <v>0.13639999999999999</v>
      </c>
      <c r="D546" s="69">
        <v>0.59</v>
      </c>
      <c r="E546" s="69">
        <v>0.19400000000000001</v>
      </c>
      <c r="F546" s="69">
        <v>1</v>
      </c>
      <c r="G546" s="69">
        <v>80</v>
      </c>
      <c r="H546" s="69">
        <v>81</v>
      </c>
    </row>
    <row r="547" spans="1:8" x14ac:dyDescent="0.3">
      <c r="A547" s="69">
        <v>545</v>
      </c>
      <c r="B547" s="69">
        <v>546</v>
      </c>
      <c r="C547" s="69">
        <v>0.1515</v>
      </c>
      <c r="D547" s="69">
        <v>0.63</v>
      </c>
      <c r="E547" s="69">
        <v>0.16420000000000001</v>
      </c>
      <c r="F547" s="69">
        <v>6</v>
      </c>
      <c r="G547" s="69">
        <v>53</v>
      </c>
      <c r="H547" s="69">
        <v>59</v>
      </c>
    </row>
    <row r="548" spans="1:8" x14ac:dyDescent="0.3">
      <c r="A548" s="69">
        <v>546</v>
      </c>
      <c r="B548" s="69">
        <v>547</v>
      </c>
      <c r="C548" s="69">
        <v>0.13639999999999999</v>
      </c>
      <c r="D548" s="69">
        <v>0.63</v>
      </c>
      <c r="E548" s="69">
        <v>0.22389999999999999</v>
      </c>
      <c r="F548" s="69">
        <v>3</v>
      </c>
      <c r="G548" s="69">
        <v>32</v>
      </c>
      <c r="H548" s="69">
        <v>35</v>
      </c>
    </row>
    <row r="549" spans="1:8" x14ac:dyDescent="0.3">
      <c r="A549" s="69">
        <v>547</v>
      </c>
      <c r="B549" s="69">
        <v>548</v>
      </c>
      <c r="C549" s="69">
        <v>0.1515</v>
      </c>
      <c r="D549" s="69">
        <v>0.64</v>
      </c>
      <c r="E549" s="69">
        <v>0.25369999999999998</v>
      </c>
      <c r="F549" s="69">
        <v>3</v>
      </c>
      <c r="G549" s="69">
        <v>21</v>
      </c>
      <c r="H549" s="69">
        <v>24</v>
      </c>
    </row>
    <row r="550" spans="1:8" x14ac:dyDescent="0.3">
      <c r="A550" s="69">
        <v>548</v>
      </c>
      <c r="B550" s="69">
        <v>549</v>
      </c>
      <c r="C550" s="69">
        <v>0.13639999999999999</v>
      </c>
      <c r="D550" s="69">
        <v>0.69</v>
      </c>
      <c r="E550" s="69">
        <v>0.28360000000000002</v>
      </c>
      <c r="F550" s="69">
        <v>3</v>
      </c>
      <c r="G550" s="69">
        <v>6</v>
      </c>
      <c r="H550" s="69">
        <v>9</v>
      </c>
    </row>
    <row r="551" spans="1:8" x14ac:dyDescent="0.3">
      <c r="A551" s="69">
        <v>549</v>
      </c>
      <c r="B551" s="69">
        <v>550</v>
      </c>
      <c r="C551" s="69">
        <v>0.16669999999999999</v>
      </c>
      <c r="D551" s="69">
        <v>0.69</v>
      </c>
      <c r="E551" s="69">
        <v>0.16420000000000001</v>
      </c>
      <c r="F551" s="69">
        <v>0</v>
      </c>
      <c r="G551" s="69">
        <v>5</v>
      </c>
      <c r="H551" s="69">
        <v>5</v>
      </c>
    </row>
    <row r="552" spans="1:8" x14ac:dyDescent="0.3">
      <c r="A552" s="69">
        <v>550</v>
      </c>
      <c r="B552" s="69">
        <v>551</v>
      </c>
      <c r="C552" s="69">
        <v>0.1515</v>
      </c>
      <c r="D552" s="69">
        <v>0.69</v>
      </c>
      <c r="E552" s="69">
        <v>0.22389999999999999</v>
      </c>
      <c r="F552" s="69">
        <v>0</v>
      </c>
      <c r="G552" s="69">
        <v>2</v>
      </c>
      <c r="H552" s="69">
        <v>2</v>
      </c>
    </row>
    <row r="553" spans="1:8" x14ac:dyDescent="0.3">
      <c r="A553" s="69">
        <v>551</v>
      </c>
      <c r="B553" s="69">
        <v>552</v>
      </c>
      <c r="C553" s="69">
        <v>0.16669999999999999</v>
      </c>
      <c r="D553" s="69">
        <v>0.74</v>
      </c>
      <c r="E553" s="69">
        <v>0.1045</v>
      </c>
      <c r="F553" s="69">
        <v>0</v>
      </c>
      <c r="G553" s="69">
        <v>1</v>
      </c>
      <c r="H553" s="69">
        <v>1</v>
      </c>
    </row>
    <row r="554" spans="1:8" x14ac:dyDescent="0.3">
      <c r="A554" s="69">
        <v>552</v>
      </c>
      <c r="B554" s="69">
        <v>553</v>
      </c>
      <c r="C554" s="69">
        <v>0.13639999999999999</v>
      </c>
      <c r="D554" s="69">
        <v>0.74</v>
      </c>
      <c r="E554" s="69">
        <v>0.22389999999999999</v>
      </c>
      <c r="F554" s="69">
        <v>0</v>
      </c>
      <c r="G554" s="69">
        <v>9</v>
      </c>
      <c r="H554" s="69">
        <v>9</v>
      </c>
    </row>
    <row r="555" spans="1:8" x14ac:dyDescent="0.3">
      <c r="A555" s="69">
        <v>553</v>
      </c>
      <c r="B555" s="69">
        <v>554</v>
      </c>
      <c r="C555" s="69">
        <v>0.18179999999999999</v>
      </c>
      <c r="D555" s="69">
        <v>0.74</v>
      </c>
      <c r="E555" s="69">
        <v>0.1045</v>
      </c>
      <c r="F555" s="69">
        <v>1</v>
      </c>
      <c r="G555" s="69">
        <v>35</v>
      </c>
      <c r="H555" s="69">
        <v>36</v>
      </c>
    </row>
    <row r="556" spans="1:8" x14ac:dyDescent="0.3">
      <c r="A556" s="69">
        <v>554</v>
      </c>
      <c r="B556" s="69">
        <v>555</v>
      </c>
      <c r="C556" s="69">
        <v>0.1515</v>
      </c>
      <c r="D556" s="69">
        <v>0.74</v>
      </c>
      <c r="E556" s="69">
        <v>0.22389999999999999</v>
      </c>
      <c r="F556" s="69">
        <v>5</v>
      </c>
      <c r="G556" s="69">
        <v>103</v>
      </c>
      <c r="H556" s="69">
        <v>108</v>
      </c>
    </row>
    <row r="557" spans="1:8" x14ac:dyDescent="0.3">
      <c r="A557" s="69">
        <v>555</v>
      </c>
      <c r="B557" s="69">
        <v>556</v>
      </c>
      <c r="C557" s="69">
        <v>0.18179999999999999</v>
      </c>
      <c r="D557" s="69">
        <v>0.74</v>
      </c>
      <c r="E557" s="69">
        <v>0.1343</v>
      </c>
      <c r="F557" s="69">
        <v>5</v>
      </c>
      <c r="G557" s="69">
        <v>233</v>
      </c>
      <c r="H557" s="69">
        <v>238</v>
      </c>
    </row>
    <row r="558" spans="1:8" x14ac:dyDescent="0.3">
      <c r="A558" s="69">
        <v>556</v>
      </c>
      <c r="B558" s="69">
        <v>557</v>
      </c>
      <c r="C558" s="69">
        <v>0.2273</v>
      </c>
      <c r="D558" s="69">
        <v>0.64</v>
      </c>
      <c r="E558" s="69">
        <v>8.9599999999999999E-2</v>
      </c>
      <c r="F558" s="69">
        <v>10</v>
      </c>
      <c r="G558" s="69">
        <v>134</v>
      </c>
      <c r="H558" s="69">
        <v>144</v>
      </c>
    </row>
    <row r="559" spans="1:8" x14ac:dyDescent="0.3">
      <c r="A559" s="69">
        <v>557</v>
      </c>
      <c r="B559" s="69">
        <v>558</v>
      </c>
      <c r="C559" s="69">
        <v>0.2424</v>
      </c>
      <c r="D559" s="69">
        <v>0.6</v>
      </c>
      <c r="E559" s="69">
        <v>0.1045</v>
      </c>
      <c r="F559" s="69">
        <v>6</v>
      </c>
      <c r="G559" s="69">
        <v>49</v>
      </c>
      <c r="H559" s="69">
        <v>55</v>
      </c>
    </row>
    <row r="560" spans="1:8" x14ac:dyDescent="0.3">
      <c r="A560" s="69">
        <v>558</v>
      </c>
      <c r="B560" s="69">
        <v>559</v>
      </c>
      <c r="C560" s="69">
        <v>0.2424</v>
      </c>
      <c r="D560" s="69">
        <v>0.6</v>
      </c>
      <c r="E560" s="69">
        <v>0.1343</v>
      </c>
      <c r="F560" s="69">
        <v>6</v>
      </c>
      <c r="G560" s="69">
        <v>55</v>
      </c>
      <c r="H560" s="69">
        <v>61</v>
      </c>
    </row>
    <row r="561" spans="1:8" x14ac:dyDescent="0.3">
      <c r="A561" s="69">
        <v>559</v>
      </c>
      <c r="B561" s="69">
        <v>560</v>
      </c>
      <c r="C561" s="69">
        <v>0.28789999999999999</v>
      </c>
      <c r="D561" s="69">
        <v>0.56000000000000005</v>
      </c>
      <c r="E561" s="69">
        <v>8.9599999999999999E-2</v>
      </c>
      <c r="F561" s="69">
        <v>21</v>
      </c>
      <c r="G561" s="69">
        <v>85</v>
      </c>
      <c r="H561" s="69">
        <v>106</v>
      </c>
    </row>
    <row r="562" spans="1:8" x14ac:dyDescent="0.3">
      <c r="A562" s="69">
        <v>560</v>
      </c>
      <c r="B562" s="69">
        <v>561</v>
      </c>
      <c r="C562" s="69">
        <v>0.2727</v>
      </c>
      <c r="D562" s="69">
        <v>0.56000000000000005</v>
      </c>
      <c r="E562" s="69">
        <v>0.1343</v>
      </c>
      <c r="F562" s="69">
        <v>21</v>
      </c>
      <c r="G562" s="69">
        <v>72</v>
      </c>
      <c r="H562" s="69">
        <v>93</v>
      </c>
    </row>
    <row r="563" spans="1:8" x14ac:dyDescent="0.3">
      <c r="A563" s="69">
        <v>561</v>
      </c>
      <c r="B563" s="69">
        <v>562</v>
      </c>
      <c r="C563" s="69">
        <v>0.33329999999999999</v>
      </c>
      <c r="D563" s="69">
        <v>0.45</v>
      </c>
      <c r="E563" s="69">
        <v>0</v>
      </c>
      <c r="F563" s="69">
        <v>11</v>
      </c>
      <c r="G563" s="69">
        <v>57</v>
      </c>
      <c r="H563" s="69">
        <v>68</v>
      </c>
    </row>
    <row r="564" spans="1:8" x14ac:dyDescent="0.3">
      <c r="A564" s="69">
        <v>562</v>
      </c>
      <c r="B564" s="69">
        <v>563</v>
      </c>
      <c r="C564" s="69">
        <v>0.34849999999999998</v>
      </c>
      <c r="D564" s="69">
        <v>0.42</v>
      </c>
      <c r="E564" s="69">
        <v>0</v>
      </c>
      <c r="F564" s="69">
        <v>21</v>
      </c>
      <c r="G564" s="69">
        <v>63</v>
      </c>
      <c r="H564" s="69">
        <v>84</v>
      </c>
    </row>
    <row r="565" spans="1:8" x14ac:dyDescent="0.3">
      <c r="A565" s="69">
        <v>563</v>
      </c>
      <c r="B565" s="69">
        <v>564</v>
      </c>
      <c r="C565" s="69">
        <v>0.34849999999999998</v>
      </c>
      <c r="D565" s="69">
        <v>0.42</v>
      </c>
      <c r="E565" s="69">
        <v>0</v>
      </c>
      <c r="F565" s="69">
        <v>14</v>
      </c>
      <c r="G565" s="69">
        <v>102</v>
      </c>
      <c r="H565" s="69">
        <v>116</v>
      </c>
    </row>
    <row r="566" spans="1:8" x14ac:dyDescent="0.3">
      <c r="A566" s="69">
        <v>564</v>
      </c>
      <c r="B566" s="69">
        <v>565</v>
      </c>
      <c r="C566" s="69">
        <v>0.33329999999999999</v>
      </c>
      <c r="D566" s="69">
        <v>0.45</v>
      </c>
      <c r="E566" s="69">
        <v>0</v>
      </c>
      <c r="F566" s="69">
        <v>14</v>
      </c>
      <c r="G566" s="69">
        <v>208</v>
      </c>
      <c r="H566" s="69">
        <v>222</v>
      </c>
    </row>
    <row r="567" spans="1:8" x14ac:dyDescent="0.3">
      <c r="A567" s="69">
        <v>565</v>
      </c>
      <c r="B567" s="69">
        <v>566</v>
      </c>
      <c r="C567" s="69">
        <v>0.31819999999999998</v>
      </c>
      <c r="D567" s="69">
        <v>0.49</v>
      </c>
      <c r="E567" s="69">
        <v>8.9599999999999999E-2</v>
      </c>
      <c r="F567" s="69">
        <v>7</v>
      </c>
      <c r="G567" s="69">
        <v>218</v>
      </c>
      <c r="H567" s="69">
        <v>225</v>
      </c>
    </row>
    <row r="568" spans="1:8" x14ac:dyDescent="0.3">
      <c r="A568" s="69">
        <v>566</v>
      </c>
      <c r="B568" s="69">
        <v>567</v>
      </c>
      <c r="C568" s="69">
        <v>0.2576</v>
      </c>
      <c r="D568" s="69">
        <v>0.65</v>
      </c>
      <c r="E568" s="69">
        <v>0.16420000000000001</v>
      </c>
      <c r="F568" s="69">
        <v>13</v>
      </c>
      <c r="G568" s="69">
        <v>133</v>
      </c>
      <c r="H568" s="69">
        <v>146</v>
      </c>
    </row>
    <row r="569" spans="1:8" x14ac:dyDescent="0.3">
      <c r="A569" s="69">
        <v>567</v>
      </c>
      <c r="B569" s="69">
        <v>568</v>
      </c>
      <c r="C569" s="69">
        <v>0.2273</v>
      </c>
      <c r="D569" s="69">
        <v>0.65</v>
      </c>
      <c r="E569" s="69">
        <v>0.19400000000000001</v>
      </c>
      <c r="F569" s="69">
        <v>16</v>
      </c>
      <c r="G569" s="69">
        <v>103</v>
      </c>
      <c r="H569" s="69">
        <v>119</v>
      </c>
    </row>
    <row r="570" spans="1:8" x14ac:dyDescent="0.3">
      <c r="A570" s="69">
        <v>568</v>
      </c>
      <c r="B570" s="69">
        <v>569</v>
      </c>
      <c r="C570" s="69">
        <v>0.2273</v>
      </c>
      <c r="D570" s="69">
        <v>0.65</v>
      </c>
      <c r="E570" s="69">
        <v>0.19400000000000001</v>
      </c>
      <c r="F570" s="69">
        <v>5</v>
      </c>
      <c r="G570" s="69">
        <v>40</v>
      </c>
      <c r="H570" s="69">
        <v>45</v>
      </c>
    </row>
    <row r="571" spans="1:8" x14ac:dyDescent="0.3">
      <c r="A571" s="69">
        <v>569</v>
      </c>
      <c r="B571" s="69">
        <v>570</v>
      </c>
      <c r="C571" s="69">
        <v>0.2273</v>
      </c>
      <c r="D571" s="69">
        <v>0.64</v>
      </c>
      <c r="E571" s="69">
        <v>0.16420000000000001</v>
      </c>
      <c r="F571" s="69">
        <v>4</v>
      </c>
      <c r="G571" s="69">
        <v>49</v>
      </c>
      <c r="H571" s="69">
        <v>53</v>
      </c>
    </row>
    <row r="572" spans="1:8" x14ac:dyDescent="0.3">
      <c r="A572" s="69">
        <v>570</v>
      </c>
      <c r="B572" s="69">
        <v>571</v>
      </c>
      <c r="C572" s="69">
        <v>0.2273</v>
      </c>
      <c r="D572" s="69">
        <v>0.64</v>
      </c>
      <c r="E572" s="69">
        <v>0.16420000000000001</v>
      </c>
      <c r="F572" s="69">
        <v>3</v>
      </c>
      <c r="G572" s="69">
        <v>37</v>
      </c>
      <c r="H572" s="69">
        <v>40</v>
      </c>
    </row>
    <row r="573" spans="1:8" x14ac:dyDescent="0.3">
      <c r="A573" s="69">
        <v>571</v>
      </c>
      <c r="B573" s="69">
        <v>572</v>
      </c>
      <c r="C573" s="69">
        <v>0.2273</v>
      </c>
      <c r="D573" s="69">
        <v>0.69</v>
      </c>
      <c r="E573" s="69">
        <v>0.1343</v>
      </c>
      <c r="F573" s="69">
        <v>3</v>
      </c>
      <c r="G573" s="69">
        <v>14</v>
      </c>
      <c r="H573" s="69">
        <v>17</v>
      </c>
    </row>
    <row r="574" spans="1:8" x14ac:dyDescent="0.3">
      <c r="A574" s="69">
        <v>572</v>
      </c>
      <c r="B574" s="69">
        <v>573</v>
      </c>
      <c r="C574" s="69">
        <v>0.2424</v>
      </c>
      <c r="D574" s="69">
        <v>0.65</v>
      </c>
      <c r="E574" s="69">
        <v>0.1343</v>
      </c>
      <c r="F574" s="69">
        <v>0</v>
      </c>
      <c r="G574" s="69">
        <v>5</v>
      </c>
      <c r="H574" s="69">
        <v>5</v>
      </c>
    </row>
    <row r="575" spans="1:8" x14ac:dyDescent="0.3">
      <c r="A575" s="69">
        <v>573</v>
      </c>
      <c r="B575" s="69">
        <v>574</v>
      </c>
      <c r="C575" s="69">
        <v>0.2273</v>
      </c>
      <c r="D575" s="69">
        <v>0.69</v>
      </c>
      <c r="E575" s="69">
        <v>0.19400000000000001</v>
      </c>
      <c r="F575" s="69">
        <v>3</v>
      </c>
      <c r="G575" s="69">
        <v>7</v>
      </c>
      <c r="H575" s="69">
        <v>10</v>
      </c>
    </row>
    <row r="576" spans="1:8" x14ac:dyDescent="0.3">
      <c r="A576" s="69">
        <v>574</v>
      </c>
      <c r="B576" s="69">
        <v>575</v>
      </c>
      <c r="C576" s="69">
        <v>0.18179999999999999</v>
      </c>
      <c r="D576" s="69">
        <v>0.86</v>
      </c>
      <c r="E576" s="69">
        <v>0.28360000000000002</v>
      </c>
      <c r="F576" s="69">
        <v>0</v>
      </c>
      <c r="G576" s="69">
        <v>1</v>
      </c>
      <c r="H576" s="69">
        <v>1</v>
      </c>
    </row>
    <row r="577" spans="1:8" x14ac:dyDescent="0.3">
      <c r="A577" s="69">
        <v>575</v>
      </c>
      <c r="B577" s="69">
        <v>576</v>
      </c>
      <c r="C577" s="69">
        <v>0.18179999999999999</v>
      </c>
      <c r="D577" s="69">
        <v>0.86</v>
      </c>
      <c r="E577" s="69">
        <v>0.28360000000000002</v>
      </c>
      <c r="F577" s="69">
        <v>0</v>
      </c>
      <c r="G577" s="69">
        <v>8</v>
      </c>
      <c r="H577" s="69">
        <v>8</v>
      </c>
    </row>
    <row r="578" spans="1:8" x14ac:dyDescent="0.3">
      <c r="A578" s="69">
        <v>576</v>
      </c>
      <c r="B578" s="69">
        <v>577</v>
      </c>
      <c r="C578" s="69">
        <v>0.21210000000000001</v>
      </c>
      <c r="D578" s="69">
        <v>0.87</v>
      </c>
      <c r="E578" s="69">
        <v>0.29849999999999999</v>
      </c>
      <c r="F578" s="69">
        <v>1</v>
      </c>
      <c r="G578" s="69">
        <v>29</v>
      </c>
      <c r="H578" s="69">
        <v>30</v>
      </c>
    </row>
    <row r="579" spans="1:8" x14ac:dyDescent="0.3">
      <c r="A579" s="69">
        <v>577</v>
      </c>
      <c r="B579" s="69">
        <v>578</v>
      </c>
      <c r="C579" s="69">
        <v>0.21210000000000001</v>
      </c>
      <c r="D579" s="69">
        <v>0.87</v>
      </c>
      <c r="E579" s="69">
        <v>0.29849999999999999</v>
      </c>
      <c r="F579" s="69">
        <v>3</v>
      </c>
      <c r="G579" s="69">
        <v>69</v>
      </c>
      <c r="H579" s="69">
        <v>72</v>
      </c>
    </row>
    <row r="580" spans="1:8" x14ac:dyDescent="0.3">
      <c r="A580" s="69">
        <v>578</v>
      </c>
      <c r="B580" s="69">
        <v>579</v>
      </c>
      <c r="C580" s="69">
        <v>0.21210000000000001</v>
      </c>
      <c r="D580" s="69">
        <v>0.87</v>
      </c>
      <c r="E580" s="69">
        <v>0.29849999999999999</v>
      </c>
      <c r="F580" s="69">
        <v>3</v>
      </c>
      <c r="G580" s="69">
        <v>55</v>
      </c>
      <c r="H580" s="69">
        <v>58</v>
      </c>
    </row>
    <row r="581" spans="1:8" x14ac:dyDescent="0.3">
      <c r="A581" s="69">
        <v>579</v>
      </c>
      <c r="B581" s="69">
        <v>580</v>
      </c>
      <c r="C581" s="69">
        <v>0.21210000000000001</v>
      </c>
      <c r="D581" s="69">
        <v>0.93</v>
      </c>
      <c r="E581" s="69">
        <v>0.28360000000000002</v>
      </c>
      <c r="F581" s="69">
        <v>2</v>
      </c>
      <c r="G581" s="69">
        <v>26</v>
      </c>
      <c r="H581" s="69">
        <v>28</v>
      </c>
    </row>
    <row r="582" spans="1:8" x14ac:dyDescent="0.3">
      <c r="A582" s="69">
        <v>580</v>
      </c>
      <c r="B582" s="69">
        <v>581</v>
      </c>
      <c r="C582" s="69">
        <v>0.19700000000000001</v>
      </c>
      <c r="D582" s="69">
        <v>0.93</v>
      </c>
      <c r="E582" s="69">
        <v>0.32840000000000003</v>
      </c>
      <c r="F582" s="69">
        <v>6</v>
      </c>
      <c r="G582" s="69">
        <v>35</v>
      </c>
      <c r="H582" s="69">
        <v>41</v>
      </c>
    </row>
    <row r="583" spans="1:8" x14ac:dyDescent="0.3">
      <c r="A583" s="69">
        <v>581</v>
      </c>
      <c r="B583" s="69">
        <v>582</v>
      </c>
      <c r="C583" s="69">
        <v>0.19700000000000001</v>
      </c>
      <c r="D583" s="69">
        <v>0.93</v>
      </c>
      <c r="E583" s="69">
        <v>0.32840000000000003</v>
      </c>
      <c r="F583" s="69">
        <v>7</v>
      </c>
      <c r="G583" s="69">
        <v>41</v>
      </c>
      <c r="H583" s="69">
        <v>48</v>
      </c>
    </row>
    <row r="584" spans="1:8" x14ac:dyDescent="0.3">
      <c r="A584" s="69">
        <v>582</v>
      </c>
      <c r="B584" s="69">
        <v>583</v>
      </c>
      <c r="C584" s="69">
        <v>0.19700000000000001</v>
      </c>
      <c r="D584" s="69">
        <v>0.93</v>
      </c>
      <c r="E584" s="69">
        <v>0.32840000000000003</v>
      </c>
      <c r="F584" s="69">
        <v>4</v>
      </c>
      <c r="G584" s="69">
        <v>43</v>
      </c>
      <c r="H584" s="69">
        <v>47</v>
      </c>
    </row>
    <row r="585" spans="1:8" x14ac:dyDescent="0.3">
      <c r="A585" s="69">
        <v>583</v>
      </c>
      <c r="B585" s="69">
        <v>584</v>
      </c>
      <c r="C585" s="69">
        <v>0.19700000000000001</v>
      </c>
      <c r="D585" s="69">
        <v>0.93</v>
      </c>
      <c r="E585" s="69">
        <v>0.35820000000000002</v>
      </c>
      <c r="F585" s="69">
        <v>0</v>
      </c>
      <c r="G585" s="69">
        <v>36</v>
      </c>
      <c r="H585" s="69">
        <v>36</v>
      </c>
    </row>
    <row r="586" spans="1:8" x14ac:dyDescent="0.3">
      <c r="A586" s="69">
        <v>584</v>
      </c>
      <c r="B586" s="69">
        <v>585</v>
      </c>
      <c r="C586" s="69">
        <v>0.18179999999999999</v>
      </c>
      <c r="D586" s="69">
        <v>0.93</v>
      </c>
      <c r="E586" s="69">
        <v>0.4627</v>
      </c>
      <c r="F586" s="69">
        <v>1</v>
      </c>
      <c r="G586" s="69">
        <v>42</v>
      </c>
      <c r="H586" s="69">
        <v>43</v>
      </c>
    </row>
    <row r="587" spans="1:8" x14ac:dyDescent="0.3">
      <c r="A587" s="69">
        <v>585</v>
      </c>
      <c r="B587" s="69">
        <v>586</v>
      </c>
      <c r="C587" s="69">
        <v>0.19700000000000001</v>
      </c>
      <c r="D587" s="69">
        <v>0.93</v>
      </c>
      <c r="E587" s="69">
        <v>0.32840000000000003</v>
      </c>
      <c r="F587" s="69">
        <v>1</v>
      </c>
      <c r="G587" s="69">
        <v>35</v>
      </c>
      <c r="H587" s="69">
        <v>36</v>
      </c>
    </row>
    <row r="588" spans="1:8" x14ac:dyDescent="0.3">
      <c r="A588" s="69">
        <v>586</v>
      </c>
      <c r="B588" s="69">
        <v>587</v>
      </c>
      <c r="C588" s="69">
        <v>0.18179999999999999</v>
      </c>
      <c r="D588" s="69">
        <v>0.93</v>
      </c>
      <c r="E588" s="69">
        <v>0.35820000000000002</v>
      </c>
      <c r="F588" s="69">
        <v>0</v>
      </c>
      <c r="G588" s="69">
        <v>26</v>
      </c>
      <c r="H588" s="69">
        <v>26</v>
      </c>
    </row>
    <row r="589" spans="1:8" x14ac:dyDescent="0.3">
      <c r="A589" s="69">
        <v>587</v>
      </c>
      <c r="B589" s="69">
        <v>588</v>
      </c>
      <c r="C589" s="69">
        <v>0.2273</v>
      </c>
      <c r="D589" s="69">
        <v>0.55000000000000004</v>
      </c>
      <c r="E589" s="69">
        <v>0.19400000000000001</v>
      </c>
      <c r="F589" s="69">
        <v>1</v>
      </c>
      <c r="G589" s="69">
        <v>23</v>
      </c>
      <c r="H589" s="69">
        <v>24</v>
      </c>
    </row>
    <row r="590" spans="1:8" x14ac:dyDescent="0.3">
      <c r="A590" s="69">
        <v>588</v>
      </c>
      <c r="B590" s="69">
        <v>589</v>
      </c>
      <c r="C590" s="69">
        <v>0.2424</v>
      </c>
      <c r="D590" s="69">
        <v>0.55000000000000004</v>
      </c>
      <c r="E590" s="69">
        <v>0.1045</v>
      </c>
      <c r="F590" s="69">
        <v>2</v>
      </c>
      <c r="G590" s="69">
        <v>82</v>
      </c>
      <c r="H590" s="69">
        <v>84</v>
      </c>
    </row>
    <row r="591" spans="1:8" x14ac:dyDescent="0.3">
      <c r="A591" s="69">
        <v>589</v>
      </c>
      <c r="B591" s="69">
        <v>590</v>
      </c>
      <c r="C591" s="69">
        <v>0.2273</v>
      </c>
      <c r="D591" s="69">
        <v>0.69</v>
      </c>
      <c r="E591" s="69">
        <v>8.9599999999999999E-2</v>
      </c>
      <c r="F591" s="69">
        <v>3</v>
      </c>
      <c r="G591" s="69">
        <v>101</v>
      </c>
      <c r="H591" s="69">
        <v>104</v>
      </c>
    </row>
    <row r="592" spans="1:8" x14ac:dyDescent="0.3">
      <c r="A592" s="69">
        <v>590</v>
      </c>
      <c r="B592" s="69">
        <v>591</v>
      </c>
      <c r="C592" s="69">
        <v>0.2273</v>
      </c>
      <c r="D592" s="69">
        <v>0.69</v>
      </c>
      <c r="E592" s="69">
        <v>8.9599999999999999E-2</v>
      </c>
      <c r="F592" s="69">
        <v>3</v>
      </c>
      <c r="G592" s="69">
        <v>76</v>
      </c>
      <c r="H592" s="69">
        <v>79</v>
      </c>
    </row>
    <row r="593" spans="1:8" x14ac:dyDescent="0.3">
      <c r="A593" s="69">
        <v>591</v>
      </c>
      <c r="B593" s="69">
        <v>592</v>
      </c>
      <c r="C593" s="69">
        <v>0.21210000000000001</v>
      </c>
      <c r="D593" s="69">
        <v>0.74</v>
      </c>
      <c r="E593" s="69">
        <v>8.9599999999999999E-2</v>
      </c>
      <c r="F593" s="69">
        <v>4</v>
      </c>
      <c r="G593" s="69">
        <v>55</v>
      </c>
      <c r="H593" s="69">
        <v>59</v>
      </c>
    </row>
    <row r="594" spans="1:8" x14ac:dyDescent="0.3">
      <c r="A594" s="69">
        <v>592</v>
      </c>
      <c r="B594" s="69">
        <v>593</v>
      </c>
      <c r="C594" s="69">
        <v>0.21210000000000001</v>
      </c>
      <c r="D594" s="69">
        <v>0.74</v>
      </c>
      <c r="E594" s="69">
        <v>8.9599999999999999E-2</v>
      </c>
      <c r="F594" s="69">
        <v>2</v>
      </c>
      <c r="G594" s="69">
        <v>36</v>
      </c>
      <c r="H594" s="69">
        <v>38</v>
      </c>
    </row>
    <row r="595" spans="1:8" x14ac:dyDescent="0.3">
      <c r="A595" s="69">
        <v>593</v>
      </c>
      <c r="B595" s="69">
        <v>594</v>
      </c>
      <c r="C595" s="69">
        <v>0.21210000000000001</v>
      </c>
      <c r="D595" s="69">
        <v>0.74</v>
      </c>
      <c r="E595" s="69">
        <v>8.9599999999999999E-2</v>
      </c>
      <c r="F595" s="69">
        <v>0</v>
      </c>
      <c r="G595" s="69">
        <v>27</v>
      </c>
      <c r="H595" s="69">
        <v>27</v>
      </c>
    </row>
    <row r="596" spans="1:8" x14ac:dyDescent="0.3">
      <c r="A596" s="69">
        <v>594</v>
      </c>
      <c r="B596" s="69">
        <v>595</v>
      </c>
      <c r="C596" s="69">
        <v>0.19700000000000001</v>
      </c>
      <c r="D596" s="69">
        <v>0.8</v>
      </c>
      <c r="E596" s="69">
        <v>0.16420000000000001</v>
      </c>
      <c r="F596" s="69">
        <v>0</v>
      </c>
      <c r="G596" s="69">
        <v>16</v>
      </c>
      <c r="H596" s="69">
        <v>16</v>
      </c>
    </row>
    <row r="597" spans="1:8" x14ac:dyDescent="0.3">
      <c r="A597" s="69">
        <v>595</v>
      </c>
      <c r="B597" s="69">
        <v>596</v>
      </c>
      <c r="C597" s="69">
        <v>0.21210000000000001</v>
      </c>
      <c r="D597" s="69">
        <v>0.75</v>
      </c>
      <c r="E597" s="69">
        <v>0.1343</v>
      </c>
      <c r="F597" s="69">
        <v>0</v>
      </c>
      <c r="G597" s="69">
        <v>9</v>
      </c>
      <c r="H597" s="69">
        <v>9</v>
      </c>
    </row>
    <row r="598" spans="1:8" x14ac:dyDescent="0.3">
      <c r="A598" s="69">
        <v>596</v>
      </c>
      <c r="B598" s="69">
        <v>597</v>
      </c>
      <c r="C598" s="69">
        <v>0.21210000000000001</v>
      </c>
      <c r="D598" s="69">
        <v>0.75</v>
      </c>
      <c r="E598" s="69">
        <v>0.1343</v>
      </c>
      <c r="F598" s="69">
        <v>1</v>
      </c>
      <c r="G598" s="69">
        <v>2</v>
      </c>
      <c r="H598" s="69">
        <v>3</v>
      </c>
    </row>
    <row r="599" spans="1:8" x14ac:dyDescent="0.3">
      <c r="A599" s="69">
        <v>597</v>
      </c>
      <c r="B599" s="69">
        <v>598</v>
      </c>
      <c r="C599" s="69">
        <v>0.21210000000000001</v>
      </c>
      <c r="D599" s="69">
        <v>0.75</v>
      </c>
      <c r="E599" s="69">
        <v>0.16420000000000001</v>
      </c>
      <c r="F599" s="69">
        <v>0</v>
      </c>
      <c r="G599" s="69">
        <v>2</v>
      </c>
      <c r="H599" s="69">
        <v>2</v>
      </c>
    </row>
    <row r="600" spans="1:8" x14ac:dyDescent="0.3">
      <c r="A600" s="69">
        <v>598</v>
      </c>
      <c r="B600" s="69">
        <v>599</v>
      </c>
      <c r="C600" s="69">
        <v>0.2273</v>
      </c>
      <c r="D600" s="69">
        <v>0.75</v>
      </c>
      <c r="E600" s="69">
        <v>0.1045</v>
      </c>
      <c r="F600" s="69">
        <v>1</v>
      </c>
      <c r="G600" s="69">
        <v>0</v>
      </c>
      <c r="H600" s="69">
        <v>1</v>
      </c>
    </row>
    <row r="601" spans="1:8" x14ac:dyDescent="0.3">
      <c r="A601" s="69">
        <v>599</v>
      </c>
      <c r="B601" s="69">
        <v>600</v>
      </c>
      <c r="C601" s="69">
        <v>0.21210000000000001</v>
      </c>
      <c r="D601" s="69">
        <v>0.8</v>
      </c>
      <c r="E601" s="69">
        <v>0.1045</v>
      </c>
      <c r="F601" s="69">
        <v>0</v>
      </c>
      <c r="G601" s="69">
        <v>4</v>
      </c>
      <c r="H601" s="69">
        <v>4</v>
      </c>
    </row>
    <row r="602" spans="1:8" x14ac:dyDescent="0.3">
      <c r="A602" s="69">
        <v>600</v>
      </c>
      <c r="B602" s="69">
        <v>601</v>
      </c>
      <c r="C602" s="69">
        <v>0.19700000000000001</v>
      </c>
      <c r="D602" s="69">
        <v>0.8</v>
      </c>
      <c r="E602" s="69">
        <v>0.1343</v>
      </c>
      <c r="F602" s="69">
        <v>0</v>
      </c>
      <c r="G602" s="69">
        <v>16</v>
      </c>
      <c r="H602" s="69">
        <v>16</v>
      </c>
    </row>
    <row r="603" spans="1:8" x14ac:dyDescent="0.3">
      <c r="A603" s="69">
        <v>601</v>
      </c>
      <c r="B603" s="69">
        <v>602</v>
      </c>
      <c r="C603" s="69">
        <v>0.19700000000000001</v>
      </c>
      <c r="D603" s="69">
        <v>0.86</v>
      </c>
      <c r="E603" s="69">
        <v>8.9599999999999999E-2</v>
      </c>
      <c r="F603" s="69">
        <v>2</v>
      </c>
      <c r="G603" s="69">
        <v>58</v>
      </c>
      <c r="H603" s="69">
        <v>60</v>
      </c>
    </row>
    <row r="604" spans="1:8" x14ac:dyDescent="0.3">
      <c r="A604" s="69">
        <v>602</v>
      </c>
      <c r="B604" s="69">
        <v>603</v>
      </c>
      <c r="C604" s="69">
        <v>0.19700000000000001</v>
      </c>
      <c r="D604" s="69">
        <v>0.86</v>
      </c>
      <c r="E604" s="69">
        <v>8.9599999999999999E-2</v>
      </c>
      <c r="F604" s="69">
        <v>2</v>
      </c>
      <c r="G604" s="69">
        <v>155</v>
      </c>
      <c r="H604" s="69">
        <v>157</v>
      </c>
    </row>
    <row r="605" spans="1:8" x14ac:dyDescent="0.3">
      <c r="A605" s="69">
        <v>603</v>
      </c>
      <c r="B605" s="69">
        <v>604</v>
      </c>
      <c r="C605" s="69">
        <v>0.21210000000000001</v>
      </c>
      <c r="D605" s="69">
        <v>0.86</v>
      </c>
      <c r="E605" s="69">
        <v>8.9599999999999999E-2</v>
      </c>
      <c r="F605" s="69">
        <v>6</v>
      </c>
      <c r="G605" s="69">
        <v>95</v>
      </c>
      <c r="H605" s="69">
        <v>101</v>
      </c>
    </row>
    <row r="606" spans="1:8" x14ac:dyDescent="0.3">
      <c r="A606" s="69">
        <v>604</v>
      </c>
      <c r="B606" s="69">
        <v>605</v>
      </c>
      <c r="C606" s="69">
        <v>0.21210000000000001</v>
      </c>
      <c r="D606" s="69">
        <v>0.86</v>
      </c>
      <c r="E606" s="69">
        <v>0.1045</v>
      </c>
      <c r="F606" s="69">
        <v>0</v>
      </c>
      <c r="G606" s="69">
        <v>49</v>
      </c>
      <c r="H606" s="69">
        <v>49</v>
      </c>
    </row>
    <row r="607" spans="1:8" x14ac:dyDescent="0.3">
      <c r="A607" s="69">
        <v>605</v>
      </c>
      <c r="B607" s="69">
        <v>606</v>
      </c>
      <c r="C607" s="69">
        <v>0.21210000000000001</v>
      </c>
      <c r="D607" s="69">
        <v>0.93</v>
      </c>
      <c r="E607" s="69">
        <v>0.1045</v>
      </c>
      <c r="F607" s="69">
        <v>0</v>
      </c>
      <c r="G607" s="69">
        <v>30</v>
      </c>
      <c r="H607" s="69">
        <v>30</v>
      </c>
    </row>
    <row r="608" spans="1:8" x14ac:dyDescent="0.3">
      <c r="A608" s="69">
        <v>606</v>
      </c>
      <c r="B608" s="69">
        <v>607</v>
      </c>
      <c r="C608" s="69">
        <v>0.21210000000000001</v>
      </c>
      <c r="D608" s="69">
        <v>0.93</v>
      </c>
      <c r="E608" s="69">
        <v>0.1045</v>
      </c>
      <c r="F608" s="69">
        <v>1</v>
      </c>
      <c r="G608" s="69">
        <v>28</v>
      </c>
      <c r="H608" s="69">
        <v>29</v>
      </c>
    </row>
    <row r="609" spans="1:8" x14ac:dyDescent="0.3">
      <c r="A609" s="69">
        <v>607</v>
      </c>
      <c r="B609" s="69">
        <v>608</v>
      </c>
      <c r="C609" s="69">
        <v>0.21210000000000001</v>
      </c>
      <c r="D609" s="69">
        <v>0.93</v>
      </c>
      <c r="E609" s="69">
        <v>0.1045</v>
      </c>
      <c r="F609" s="69">
        <v>0</v>
      </c>
      <c r="G609" s="69">
        <v>31</v>
      </c>
      <c r="H609" s="69">
        <v>31</v>
      </c>
    </row>
    <row r="610" spans="1:8" x14ac:dyDescent="0.3">
      <c r="A610" s="69">
        <v>608</v>
      </c>
      <c r="B610" s="69">
        <v>609</v>
      </c>
      <c r="C610" s="69">
        <v>0.2727</v>
      </c>
      <c r="D610" s="69">
        <v>0.8</v>
      </c>
      <c r="E610" s="69">
        <v>0</v>
      </c>
      <c r="F610" s="69">
        <v>2</v>
      </c>
      <c r="G610" s="69">
        <v>36</v>
      </c>
      <c r="H610" s="69">
        <v>38</v>
      </c>
    </row>
    <row r="611" spans="1:8" x14ac:dyDescent="0.3">
      <c r="A611" s="69">
        <v>609</v>
      </c>
      <c r="B611" s="69">
        <v>610</v>
      </c>
      <c r="C611" s="69">
        <v>0.2576</v>
      </c>
      <c r="D611" s="69">
        <v>0.86</v>
      </c>
      <c r="E611" s="69">
        <v>0</v>
      </c>
      <c r="F611" s="69">
        <v>1</v>
      </c>
      <c r="G611" s="69">
        <v>40</v>
      </c>
      <c r="H611" s="69">
        <v>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E4187-0ACD-41BC-B852-AAAAC49C8B40}">
  <sheetPr codeName="Sheet2"/>
  <dimension ref="A1:K611"/>
  <sheetViews>
    <sheetView workbookViewId="0">
      <selection activeCell="D19" sqref="D19"/>
    </sheetView>
  </sheetViews>
  <sheetFormatPr defaultRowHeight="14.4" x14ac:dyDescent="0.3"/>
  <cols>
    <col min="3" max="3" width="15.44140625" customWidth="1"/>
    <col min="4" max="4" width="10.5546875" customWidth="1"/>
    <col min="5" max="5" width="16.109375" customWidth="1"/>
    <col min="6" max="6" width="12.33203125" customWidth="1"/>
    <col min="8" max="8" width="12.21875" customWidth="1"/>
    <col min="10" max="10" width="11.5546875" customWidth="1"/>
  </cols>
  <sheetData>
    <row r="1" spans="1:11" s="13" customFormat="1" ht="15" thickBot="1" x14ac:dyDescent="0.35">
      <c r="A1" s="34" t="s">
        <v>11</v>
      </c>
      <c r="B1" s="35" t="s">
        <v>12</v>
      </c>
      <c r="C1" s="36" t="s">
        <v>20</v>
      </c>
      <c r="D1" s="35" t="s">
        <v>17</v>
      </c>
      <c r="E1" s="36" t="s">
        <v>18</v>
      </c>
      <c r="F1" s="35" t="s">
        <v>16</v>
      </c>
      <c r="G1" s="35" t="s">
        <v>15</v>
      </c>
      <c r="H1" s="35" t="s">
        <v>14</v>
      </c>
      <c r="I1" s="37" t="s">
        <v>13</v>
      </c>
      <c r="J1" s="24" t="s">
        <v>26</v>
      </c>
      <c r="K1" s="31" t="s">
        <v>1</v>
      </c>
    </row>
    <row r="2" spans="1:11" ht="15" thickBot="1" x14ac:dyDescent="0.35">
      <c r="A2" s="32">
        <v>1</v>
      </c>
      <c r="B2" s="28">
        <v>0.28789999999999999</v>
      </c>
      <c r="C2" s="29">
        <f>IF(ISBLANK(B2),AVERAGE(B2:B611),B2)</f>
        <v>0.28789999999999999</v>
      </c>
      <c r="D2" s="28">
        <v>0.81</v>
      </c>
      <c r="E2" s="30" t="str">
        <f>IF(D2&lt;0.7,"Acceptable","Risky")</f>
        <v>Risky</v>
      </c>
      <c r="F2" s="28">
        <v>0</v>
      </c>
      <c r="G2" s="28">
        <v>3</v>
      </c>
      <c r="H2" s="28">
        <v>13</v>
      </c>
      <c r="I2" s="33">
        <v>16</v>
      </c>
      <c r="J2" s="20" t="str">
        <f>IF(G2+H2=I2," ","Not same")</f>
        <v xml:space="preserve"> </v>
      </c>
      <c r="K2" s="20">
        <f>COUNTBLANK(A2:J2)</f>
        <v>0</v>
      </c>
    </row>
    <row r="3" spans="1:11" ht="15" thickBot="1" x14ac:dyDescent="0.35">
      <c r="A3" s="32">
        <v>2</v>
      </c>
      <c r="B3" s="28">
        <v>0.2727</v>
      </c>
      <c r="C3" s="29">
        <f t="shared" ref="C3:C66" si="0">IF(ISBLANK(B3),AVERAGE(B3:B612),B3)</f>
        <v>0.2727</v>
      </c>
      <c r="D3" s="28">
        <v>0.8</v>
      </c>
      <c r="E3" s="30" t="str">
        <f t="shared" ref="E3:E66" si="1">IF(D3&lt;0.7,"Acceptable","Risky")</f>
        <v>Risky</v>
      </c>
      <c r="F3" s="28">
        <v>0</v>
      </c>
      <c r="G3" s="28">
        <v>8</v>
      </c>
      <c r="H3" s="28">
        <v>32</v>
      </c>
      <c r="I3" s="33">
        <v>40</v>
      </c>
      <c r="J3" s="20" t="str">
        <f t="shared" ref="J3:J66" si="2">IF(G3+H3=I3," ","Not same")</f>
        <v xml:space="preserve"> </v>
      </c>
      <c r="K3" s="20">
        <f t="shared" ref="K3:K66" si="3">COUNTBLANK(A3:J3)</f>
        <v>0</v>
      </c>
    </row>
    <row r="4" spans="1:11" ht="15" thickBot="1" x14ac:dyDescent="0.35">
      <c r="A4" s="32">
        <v>3</v>
      </c>
      <c r="B4" s="28">
        <v>0.2727</v>
      </c>
      <c r="C4" s="29">
        <f t="shared" si="0"/>
        <v>0.2727</v>
      </c>
      <c r="D4" s="28">
        <v>0.8</v>
      </c>
      <c r="E4" s="30" t="str">
        <f t="shared" si="1"/>
        <v>Risky</v>
      </c>
      <c r="F4" s="28">
        <v>0</v>
      </c>
      <c r="G4" s="28">
        <v>5</v>
      </c>
      <c r="H4" s="28">
        <v>27</v>
      </c>
      <c r="I4" s="33">
        <v>32</v>
      </c>
      <c r="J4" s="20" t="str">
        <f t="shared" si="2"/>
        <v xml:space="preserve"> </v>
      </c>
      <c r="K4" s="20">
        <f t="shared" si="3"/>
        <v>0</v>
      </c>
    </row>
    <row r="5" spans="1:11" ht="15" thickBot="1" x14ac:dyDescent="0.35">
      <c r="A5" s="32">
        <v>4</v>
      </c>
      <c r="B5" s="28">
        <v>0.28789999999999999</v>
      </c>
      <c r="C5" s="29">
        <f t="shared" si="0"/>
        <v>0.28789999999999999</v>
      </c>
      <c r="D5" s="28">
        <v>0.75</v>
      </c>
      <c r="E5" s="30" t="str">
        <f t="shared" si="1"/>
        <v>Risky</v>
      </c>
      <c r="F5" s="28">
        <v>0</v>
      </c>
      <c r="G5" s="28">
        <v>3</v>
      </c>
      <c r="H5" s="28">
        <v>10</v>
      </c>
      <c r="I5" s="33">
        <v>13</v>
      </c>
      <c r="J5" s="20" t="str">
        <f t="shared" si="2"/>
        <v xml:space="preserve"> </v>
      </c>
      <c r="K5" s="20">
        <f t="shared" si="3"/>
        <v>0</v>
      </c>
    </row>
    <row r="6" spans="1:11" ht="15" thickBot="1" x14ac:dyDescent="0.35">
      <c r="A6" s="32">
        <v>5</v>
      </c>
      <c r="B6" s="28">
        <v>0.28789999999999999</v>
      </c>
      <c r="C6" s="29">
        <f t="shared" si="0"/>
        <v>0.28789999999999999</v>
      </c>
      <c r="D6" s="28">
        <v>0.75</v>
      </c>
      <c r="E6" s="30" t="str">
        <f t="shared" si="1"/>
        <v>Risky</v>
      </c>
      <c r="F6" s="28">
        <v>0</v>
      </c>
      <c r="G6" s="28">
        <v>0</v>
      </c>
      <c r="H6" s="28">
        <v>1</v>
      </c>
      <c r="I6" s="33">
        <v>1</v>
      </c>
      <c r="J6" s="20" t="str">
        <f t="shared" si="2"/>
        <v xml:space="preserve"> </v>
      </c>
      <c r="K6" s="20">
        <f t="shared" si="3"/>
        <v>0</v>
      </c>
    </row>
    <row r="7" spans="1:11" ht="15" thickBot="1" x14ac:dyDescent="0.35">
      <c r="A7" s="32">
        <v>6</v>
      </c>
      <c r="B7" s="28">
        <v>0.2576</v>
      </c>
      <c r="C7" s="29">
        <f t="shared" si="0"/>
        <v>0.2576</v>
      </c>
      <c r="D7" s="28">
        <v>0.75</v>
      </c>
      <c r="E7" s="30" t="str">
        <f t="shared" si="1"/>
        <v>Risky</v>
      </c>
      <c r="F7" s="28">
        <v>8.9599999999999999E-2</v>
      </c>
      <c r="G7" s="28">
        <v>0</v>
      </c>
      <c r="H7" s="28">
        <v>1</v>
      </c>
      <c r="I7" s="33">
        <v>1</v>
      </c>
      <c r="J7" s="20" t="str">
        <f t="shared" si="2"/>
        <v xml:space="preserve"> </v>
      </c>
      <c r="K7" s="20">
        <f t="shared" si="3"/>
        <v>0</v>
      </c>
    </row>
    <row r="8" spans="1:11" ht="15" thickBot="1" x14ac:dyDescent="0.35">
      <c r="A8" s="32">
        <v>7</v>
      </c>
      <c r="B8" s="28">
        <v>0.2727</v>
      </c>
      <c r="C8" s="29">
        <f t="shared" si="0"/>
        <v>0.2727</v>
      </c>
      <c r="D8" s="28">
        <v>0.8</v>
      </c>
      <c r="E8" s="30" t="str">
        <f t="shared" si="1"/>
        <v>Risky</v>
      </c>
      <c r="F8" s="28">
        <v>0</v>
      </c>
      <c r="G8" s="28">
        <v>2</v>
      </c>
      <c r="H8" s="28">
        <v>0</v>
      </c>
      <c r="I8" s="33">
        <v>2</v>
      </c>
      <c r="J8" s="20" t="str">
        <f t="shared" si="2"/>
        <v xml:space="preserve"> </v>
      </c>
      <c r="K8" s="20">
        <f t="shared" si="3"/>
        <v>0</v>
      </c>
    </row>
    <row r="9" spans="1:11" ht="15" thickBot="1" x14ac:dyDescent="0.35">
      <c r="A9" s="32">
        <v>8</v>
      </c>
      <c r="B9" s="28">
        <v>0.2576</v>
      </c>
      <c r="C9" s="29">
        <f t="shared" si="0"/>
        <v>0.2576</v>
      </c>
      <c r="D9" s="28">
        <v>0.86</v>
      </c>
      <c r="E9" s="30" t="str">
        <f t="shared" si="1"/>
        <v>Risky</v>
      </c>
      <c r="F9" s="28">
        <v>0</v>
      </c>
      <c r="G9" s="28">
        <v>1</v>
      </c>
      <c r="H9" s="28">
        <v>2</v>
      </c>
      <c r="I9" s="33">
        <v>3</v>
      </c>
      <c r="J9" s="20" t="str">
        <f t="shared" si="2"/>
        <v xml:space="preserve"> </v>
      </c>
      <c r="K9" s="20">
        <f t="shared" si="3"/>
        <v>0</v>
      </c>
    </row>
    <row r="10" spans="1:11" ht="15" thickBot="1" x14ac:dyDescent="0.35">
      <c r="A10" s="32">
        <v>9</v>
      </c>
      <c r="B10" s="27"/>
      <c r="C10" s="29">
        <f t="shared" si="0"/>
        <v>0.19892385786802047</v>
      </c>
      <c r="D10" s="28">
        <v>0.75</v>
      </c>
      <c r="E10" s="30" t="str">
        <f t="shared" si="1"/>
        <v>Risky</v>
      </c>
      <c r="F10" s="28">
        <v>0</v>
      </c>
      <c r="G10" s="28">
        <v>1</v>
      </c>
      <c r="H10" s="28">
        <v>7</v>
      </c>
      <c r="I10" s="33">
        <v>8</v>
      </c>
      <c r="J10" s="20" t="str">
        <f t="shared" si="2"/>
        <v xml:space="preserve"> </v>
      </c>
      <c r="K10" s="20">
        <f t="shared" si="3"/>
        <v>1</v>
      </c>
    </row>
    <row r="11" spans="1:11" ht="15" thickBot="1" x14ac:dyDescent="0.35">
      <c r="A11" s="32">
        <v>10</v>
      </c>
      <c r="B11" s="28">
        <v>0.34849999999999998</v>
      </c>
      <c r="C11" s="29">
        <f t="shared" si="0"/>
        <v>0.34849999999999998</v>
      </c>
      <c r="D11" s="28">
        <v>0.76</v>
      </c>
      <c r="E11" s="30" t="str">
        <f t="shared" si="1"/>
        <v>Risky</v>
      </c>
      <c r="F11" s="28">
        <v>0</v>
      </c>
      <c r="G11" s="28">
        <v>8</v>
      </c>
      <c r="H11" s="28">
        <v>6</v>
      </c>
      <c r="I11" s="33">
        <v>14</v>
      </c>
      <c r="J11" s="20" t="str">
        <f t="shared" si="2"/>
        <v xml:space="preserve"> </v>
      </c>
      <c r="K11" s="20">
        <f t="shared" si="3"/>
        <v>0</v>
      </c>
    </row>
    <row r="12" spans="1:11" ht="15" thickBot="1" x14ac:dyDescent="0.35">
      <c r="A12" s="32">
        <v>11</v>
      </c>
      <c r="B12" s="28">
        <v>0.39389999999999997</v>
      </c>
      <c r="C12" s="29">
        <f t="shared" si="0"/>
        <v>0.39389999999999997</v>
      </c>
      <c r="D12" s="28">
        <v>0.76</v>
      </c>
      <c r="E12" s="30" t="str">
        <f t="shared" si="1"/>
        <v>Risky</v>
      </c>
      <c r="F12" s="28">
        <v>0.25369999999999998</v>
      </c>
      <c r="G12" s="28">
        <v>12</v>
      </c>
      <c r="H12" s="28">
        <v>24</v>
      </c>
      <c r="I12" s="33">
        <v>36</v>
      </c>
      <c r="J12" s="20" t="str">
        <f t="shared" si="2"/>
        <v xml:space="preserve"> </v>
      </c>
      <c r="K12" s="20">
        <f t="shared" si="3"/>
        <v>0</v>
      </c>
    </row>
    <row r="13" spans="1:11" ht="15" thickBot="1" x14ac:dyDescent="0.35">
      <c r="A13" s="32">
        <v>12</v>
      </c>
      <c r="B13" s="28">
        <v>0.33329999999999999</v>
      </c>
      <c r="C13" s="29">
        <f t="shared" si="0"/>
        <v>0.33329999999999999</v>
      </c>
      <c r="D13" s="28">
        <v>0.81</v>
      </c>
      <c r="E13" s="30" t="str">
        <f t="shared" si="1"/>
        <v>Risky</v>
      </c>
      <c r="F13" s="28">
        <v>0.28360000000000002</v>
      </c>
      <c r="G13" s="28">
        <v>26</v>
      </c>
      <c r="H13" s="28">
        <v>30</v>
      </c>
      <c r="I13" s="33">
        <v>56</v>
      </c>
      <c r="J13" s="20" t="str">
        <f t="shared" si="2"/>
        <v xml:space="preserve"> </v>
      </c>
      <c r="K13" s="20">
        <f t="shared" si="3"/>
        <v>0</v>
      </c>
    </row>
    <row r="14" spans="1:11" ht="15" thickBot="1" x14ac:dyDescent="0.35">
      <c r="A14" s="32">
        <v>13</v>
      </c>
      <c r="B14" s="28">
        <v>0.42420000000000002</v>
      </c>
      <c r="C14" s="29">
        <f t="shared" si="0"/>
        <v>0.42420000000000002</v>
      </c>
      <c r="D14" s="28">
        <v>0.77</v>
      </c>
      <c r="E14" s="30" t="str">
        <f t="shared" si="1"/>
        <v>Risky</v>
      </c>
      <c r="F14" s="28">
        <v>0.28360000000000002</v>
      </c>
      <c r="G14" s="28">
        <v>29</v>
      </c>
      <c r="H14" s="28">
        <v>55</v>
      </c>
      <c r="I14" s="33">
        <v>84</v>
      </c>
      <c r="J14" s="20" t="str">
        <f t="shared" si="2"/>
        <v xml:space="preserve"> </v>
      </c>
      <c r="K14" s="20">
        <f t="shared" si="3"/>
        <v>0</v>
      </c>
    </row>
    <row r="15" spans="1:11" ht="15" thickBot="1" x14ac:dyDescent="0.35">
      <c r="A15" s="32">
        <v>14</v>
      </c>
      <c r="B15" s="28">
        <v>0.45450000000000002</v>
      </c>
      <c r="C15" s="29">
        <f t="shared" si="0"/>
        <v>0.45450000000000002</v>
      </c>
      <c r="D15" s="28">
        <v>0.72</v>
      </c>
      <c r="E15" s="30" t="str">
        <f t="shared" si="1"/>
        <v>Risky</v>
      </c>
      <c r="F15" s="28">
        <v>0.29849999999999999</v>
      </c>
      <c r="G15" s="28">
        <v>47</v>
      </c>
      <c r="H15" s="28">
        <v>47</v>
      </c>
      <c r="I15" s="33">
        <v>94</v>
      </c>
      <c r="J15" s="20" t="str">
        <f t="shared" si="2"/>
        <v xml:space="preserve"> </v>
      </c>
      <c r="K15" s="20">
        <f t="shared" si="3"/>
        <v>0</v>
      </c>
    </row>
    <row r="16" spans="1:11" ht="15" thickBot="1" x14ac:dyDescent="0.35">
      <c r="A16" s="32">
        <v>15</v>
      </c>
      <c r="B16" s="28">
        <v>0.45450000000000002</v>
      </c>
      <c r="C16" s="29">
        <f t="shared" si="0"/>
        <v>0.45450000000000002</v>
      </c>
      <c r="D16" s="28">
        <v>0.72</v>
      </c>
      <c r="E16" s="30" t="str">
        <f t="shared" si="1"/>
        <v>Risky</v>
      </c>
      <c r="F16" s="28">
        <v>0.28360000000000002</v>
      </c>
      <c r="G16" s="28">
        <v>35</v>
      </c>
      <c r="H16" s="28">
        <v>71</v>
      </c>
      <c r="I16" s="33">
        <v>106</v>
      </c>
      <c r="J16" s="20" t="str">
        <f t="shared" si="2"/>
        <v xml:space="preserve"> </v>
      </c>
      <c r="K16" s="20">
        <f t="shared" si="3"/>
        <v>0</v>
      </c>
    </row>
    <row r="17" spans="1:11" ht="15" thickBot="1" x14ac:dyDescent="0.35">
      <c r="A17" s="32">
        <v>16</v>
      </c>
      <c r="B17" s="28">
        <v>0.43940000000000001</v>
      </c>
      <c r="C17" s="29">
        <f t="shared" si="0"/>
        <v>0.43940000000000001</v>
      </c>
      <c r="D17" s="28">
        <v>0.77</v>
      </c>
      <c r="E17" s="30" t="str">
        <f t="shared" si="1"/>
        <v>Risky</v>
      </c>
      <c r="F17" s="28">
        <v>0.29849999999999999</v>
      </c>
      <c r="G17" s="28">
        <v>40</v>
      </c>
      <c r="H17" s="28">
        <v>70</v>
      </c>
      <c r="I17" s="33">
        <v>110</v>
      </c>
      <c r="J17" s="20" t="str">
        <f t="shared" si="2"/>
        <v xml:space="preserve"> </v>
      </c>
      <c r="K17" s="20">
        <f t="shared" si="3"/>
        <v>0</v>
      </c>
    </row>
    <row r="18" spans="1:11" ht="15" thickBot="1" x14ac:dyDescent="0.35">
      <c r="A18" s="32">
        <v>17</v>
      </c>
      <c r="B18" s="28">
        <v>0.42420000000000002</v>
      </c>
      <c r="C18" s="29">
        <f t="shared" si="0"/>
        <v>0.42420000000000002</v>
      </c>
      <c r="D18" s="28">
        <v>0.82</v>
      </c>
      <c r="E18" s="30" t="str">
        <f t="shared" si="1"/>
        <v>Risky</v>
      </c>
      <c r="F18" s="28">
        <v>0.29849999999999999</v>
      </c>
      <c r="G18" s="28">
        <v>41</v>
      </c>
      <c r="H18" s="28">
        <v>52</v>
      </c>
      <c r="I18" s="33">
        <v>93</v>
      </c>
      <c r="J18" s="20" t="str">
        <f t="shared" si="2"/>
        <v xml:space="preserve"> </v>
      </c>
      <c r="K18" s="20">
        <f t="shared" si="3"/>
        <v>0</v>
      </c>
    </row>
    <row r="19" spans="1:11" ht="15" thickBot="1" x14ac:dyDescent="0.35">
      <c r="A19" s="32">
        <v>18</v>
      </c>
      <c r="B19" s="27"/>
      <c r="C19" s="29">
        <f t="shared" si="0"/>
        <v>0.19604030874785608</v>
      </c>
      <c r="D19" s="28">
        <v>0.82</v>
      </c>
      <c r="E19" s="30" t="str">
        <f t="shared" si="1"/>
        <v>Risky</v>
      </c>
      <c r="F19" s="28">
        <v>0.28360000000000002</v>
      </c>
      <c r="G19" s="28">
        <v>15</v>
      </c>
      <c r="H19" s="28">
        <v>52</v>
      </c>
      <c r="I19" s="33">
        <v>67</v>
      </c>
      <c r="J19" s="20" t="str">
        <f t="shared" si="2"/>
        <v xml:space="preserve"> </v>
      </c>
      <c r="K19" s="20">
        <f t="shared" si="3"/>
        <v>1</v>
      </c>
    </row>
    <row r="20" spans="1:11" ht="15" thickBot="1" x14ac:dyDescent="0.35">
      <c r="A20" s="32">
        <v>19</v>
      </c>
      <c r="B20" s="28">
        <v>0.42420000000000002</v>
      </c>
      <c r="C20" s="29">
        <f t="shared" si="0"/>
        <v>0.42420000000000002</v>
      </c>
      <c r="D20" s="28">
        <v>0.88</v>
      </c>
      <c r="E20" s="30" t="str">
        <f t="shared" si="1"/>
        <v>Risky</v>
      </c>
      <c r="F20" s="28">
        <v>0.25369999999999998</v>
      </c>
      <c r="G20" s="28">
        <v>9</v>
      </c>
      <c r="H20" s="28">
        <v>26</v>
      </c>
      <c r="I20" s="33">
        <v>35</v>
      </c>
      <c r="J20" s="20" t="str">
        <f t="shared" si="2"/>
        <v xml:space="preserve"> </v>
      </c>
      <c r="K20" s="20">
        <f t="shared" si="3"/>
        <v>0</v>
      </c>
    </row>
    <row r="21" spans="1:11" ht="15" thickBot="1" x14ac:dyDescent="0.35">
      <c r="A21" s="32">
        <v>20</v>
      </c>
      <c r="B21" s="28">
        <v>0.42420000000000002</v>
      </c>
      <c r="C21" s="29">
        <f t="shared" si="0"/>
        <v>0.42420000000000002</v>
      </c>
      <c r="D21" s="28">
        <v>0.88</v>
      </c>
      <c r="E21" s="30" t="str">
        <f t="shared" si="1"/>
        <v>Risky</v>
      </c>
      <c r="F21" s="28">
        <v>0.25369999999999998</v>
      </c>
      <c r="G21" s="28">
        <v>6</v>
      </c>
      <c r="H21" s="28">
        <v>31</v>
      </c>
      <c r="I21" s="33">
        <v>37</v>
      </c>
      <c r="J21" s="20" t="str">
        <f t="shared" si="2"/>
        <v xml:space="preserve"> </v>
      </c>
      <c r="K21" s="20">
        <f t="shared" si="3"/>
        <v>0</v>
      </c>
    </row>
    <row r="22" spans="1:11" ht="15" thickBot="1" x14ac:dyDescent="0.35">
      <c r="A22" s="32">
        <v>21</v>
      </c>
      <c r="B22" s="28">
        <v>0.40910000000000002</v>
      </c>
      <c r="C22" s="29">
        <f t="shared" si="0"/>
        <v>0.40910000000000002</v>
      </c>
      <c r="D22" s="28">
        <v>0.87</v>
      </c>
      <c r="E22" s="30" t="str">
        <f t="shared" si="1"/>
        <v>Risky</v>
      </c>
      <c r="F22" s="28">
        <v>0.25369999999999998</v>
      </c>
      <c r="G22" s="28">
        <v>11</v>
      </c>
      <c r="H22" s="28">
        <v>25</v>
      </c>
      <c r="I22" s="33">
        <v>36</v>
      </c>
      <c r="J22" s="20" t="str">
        <f t="shared" si="2"/>
        <v xml:space="preserve"> </v>
      </c>
      <c r="K22" s="20">
        <f t="shared" si="3"/>
        <v>0</v>
      </c>
    </row>
    <row r="23" spans="1:11" ht="15" thickBot="1" x14ac:dyDescent="0.35">
      <c r="A23" s="32">
        <v>22</v>
      </c>
      <c r="B23" s="28">
        <v>0.40910000000000002</v>
      </c>
      <c r="C23" s="29">
        <f t="shared" si="0"/>
        <v>0.40910000000000002</v>
      </c>
      <c r="D23" s="28">
        <v>0.87</v>
      </c>
      <c r="E23" s="30" t="str">
        <f t="shared" si="1"/>
        <v>Risky</v>
      </c>
      <c r="F23" s="28">
        <v>0.19400000000000001</v>
      </c>
      <c r="G23" s="28">
        <v>3</v>
      </c>
      <c r="H23" s="28">
        <v>31</v>
      </c>
      <c r="I23" s="33">
        <v>34</v>
      </c>
      <c r="J23" s="20" t="str">
        <f t="shared" si="2"/>
        <v xml:space="preserve"> </v>
      </c>
      <c r="K23" s="20">
        <f t="shared" si="3"/>
        <v>0</v>
      </c>
    </row>
    <row r="24" spans="1:11" ht="15" thickBot="1" x14ac:dyDescent="0.35">
      <c r="A24" s="32">
        <v>23</v>
      </c>
      <c r="B24" s="28">
        <v>0.40910000000000002</v>
      </c>
      <c r="C24" s="29">
        <f t="shared" si="0"/>
        <v>0.40910000000000002</v>
      </c>
      <c r="D24" s="28">
        <v>0.94</v>
      </c>
      <c r="E24" s="30" t="str">
        <f t="shared" si="1"/>
        <v>Risky</v>
      </c>
      <c r="F24" s="28">
        <v>0.22389999999999999</v>
      </c>
      <c r="G24" s="28">
        <v>11</v>
      </c>
      <c r="H24" s="28">
        <v>17</v>
      </c>
      <c r="I24" s="33">
        <v>28</v>
      </c>
      <c r="J24" s="20" t="str">
        <f t="shared" si="2"/>
        <v xml:space="preserve"> </v>
      </c>
      <c r="K24" s="20">
        <f t="shared" si="3"/>
        <v>0</v>
      </c>
    </row>
    <row r="25" spans="1:11" ht="15" thickBot="1" x14ac:dyDescent="0.35">
      <c r="A25" s="32">
        <v>24</v>
      </c>
      <c r="B25" s="27"/>
      <c r="C25" s="29">
        <f t="shared" si="0"/>
        <v>0.19414498269896208</v>
      </c>
      <c r="D25" s="28">
        <v>0.88</v>
      </c>
      <c r="E25" s="30" t="str">
        <f t="shared" si="1"/>
        <v>Risky</v>
      </c>
      <c r="F25" s="28">
        <v>0.29849999999999999</v>
      </c>
      <c r="G25" s="28">
        <v>15</v>
      </c>
      <c r="H25" s="28">
        <v>24</v>
      </c>
      <c r="I25" s="33">
        <v>39</v>
      </c>
      <c r="J25" s="20" t="str">
        <f t="shared" si="2"/>
        <v xml:space="preserve"> </v>
      </c>
      <c r="K25" s="20">
        <f t="shared" si="3"/>
        <v>1</v>
      </c>
    </row>
    <row r="26" spans="1:11" ht="15" thickBot="1" x14ac:dyDescent="0.35">
      <c r="A26" s="32">
        <v>25</v>
      </c>
      <c r="B26" s="28">
        <v>0.45450000000000002</v>
      </c>
      <c r="C26" s="29">
        <f t="shared" si="0"/>
        <v>0.45450000000000002</v>
      </c>
      <c r="D26" s="28">
        <v>0.88</v>
      </c>
      <c r="E26" s="30" t="str">
        <f t="shared" si="1"/>
        <v>Risky</v>
      </c>
      <c r="F26" s="28">
        <v>0.29849999999999999</v>
      </c>
      <c r="G26" s="28">
        <v>4</v>
      </c>
      <c r="H26" s="28">
        <v>13</v>
      </c>
      <c r="I26" s="33">
        <v>17</v>
      </c>
      <c r="J26" s="20" t="str">
        <f t="shared" si="2"/>
        <v xml:space="preserve"> </v>
      </c>
      <c r="K26" s="20">
        <f t="shared" si="3"/>
        <v>0</v>
      </c>
    </row>
    <row r="27" spans="1:11" ht="15" thickBot="1" x14ac:dyDescent="0.35">
      <c r="A27" s="32">
        <v>26</v>
      </c>
      <c r="B27" s="28">
        <v>0.43940000000000001</v>
      </c>
      <c r="C27" s="29">
        <f t="shared" si="0"/>
        <v>0.43940000000000001</v>
      </c>
      <c r="D27" s="28">
        <v>0.94</v>
      </c>
      <c r="E27" s="30" t="str">
        <f t="shared" si="1"/>
        <v>Risky</v>
      </c>
      <c r="F27" s="28">
        <v>0.25369999999999998</v>
      </c>
      <c r="G27" s="28">
        <v>1</v>
      </c>
      <c r="H27" s="28">
        <v>16</v>
      </c>
      <c r="I27" s="33">
        <v>17</v>
      </c>
      <c r="J27" s="20" t="str">
        <f t="shared" si="2"/>
        <v xml:space="preserve"> </v>
      </c>
      <c r="K27" s="20">
        <f t="shared" si="3"/>
        <v>0</v>
      </c>
    </row>
    <row r="28" spans="1:11" ht="15" thickBot="1" x14ac:dyDescent="0.35">
      <c r="A28" s="32">
        <v>27</v>
      </c>
      <c r="B28" s="28">
        <v>0.42420000000000002</v>
      </c>
      <c r="C28" s="29">
        <f t="shared" si="0"/>
        <v>0.42420000000000002</v>
      </c>
      <c r="D28" s="28">
        <v>1</v>
      </c>
      <c r="E28" s="30" t="str">
        <f t="shared" si="1"/>
        <v>Risky</v>
      </c>
      <c r="F28" s="28">
        <v>0.28360000000000002</v>
      </c>
      <c r="G28" s="28">
        <v>1</v>
      </c>
      <c r="H28" s="28">
        <v>8</v>
      </c>
      <c r="I28" s="33">
        <v>9</v>
      </c>
      <c r="J28" s="20" t="str">
        <f t="shared" si="2"/>
        <v xml:space="preserve"> </v>
      </c>
      <c r="K28" s="20">
        <f t="shared" si="3"/>
        <v>0</v>
      </c>
    </row>
    <row r="29" spans="1:11" ht="15" thickBot="1" x14ac:dyDescent="0.35">
      <c r="A29" s="32">
        <v>28</v>
      </c>
      <c r="B29" s="28">
        <v>0.45450000000000002</v>
      </c>
      <c r="C29" s="29">
        <f t="shared" si="0"/>
        <v>0.45450000000000002</v>
      </c>
      <c r="D29" s="28">
        <v>0.94</v>
      </c>
      <c r="E29" s="30" t="str">
        <f t="shared" si="1"/>
        <v>Risky</v>
      </c>
      <c r="F29" s="28">
        <v>0.19400000000000001</v>
      </c>
      <c r="G29" s="28">
        <v>2</v>
      </c>
      <c r="H29" s="28">
        <v>4</v>
      </c>
      <c r="I29" s="33">
        <v>6</v>
      </c>
      <c r="J29" s="20" t="str">
        <f t="shared" si="2"/>
        <v xml:space="preserve"> </v>
      </c>
      <c r="K29" s="20">
        <f t="shared" si="3"/>
        <v>0</v>
      </c>
    </row>
    <row r="30" spans="1:11" ht="15" thickBot="1" x14ac:dyDescent="0.35">
      <c r="A30" s="32">
        <v>29</v>
      </c>
      <c r="B30" s="27"/>
      <c r="C30" s="29">
        <f t="shared" si="0"/>
        <v>0.192409756097561</v>
      </c>
      <c r="D30" s="28">
        <v>0.94</v>
      </c>
      <c r="E30" s="30" t="str">
        <f t="shared" si="1"/>
        <v>Risky</v>
      </c>
      <c r="F30" s="28">
        <v>0.19400000000000001</v>
      </c>
      <c r="G30" s="28">
        <v>2</v>
      </c>
      <c r="H30" s="28">
        <v>1</v>
      </c>
      <c r="I30" s="33">
        <v>3</v>
      </c>
      <c r="J30" s="20" t="str">
        <f t="shared" si="2"/>
        <v xml:space="preserve"> </v>
      </c>
      <c r="K30" s="20">
        <f t="shared" si="3"/>
        <v>1</v>
      </c>
    </row>
    <row r="31" spans="1:11" ht="15" thickBot="1" x14ac:dyDescent="0.35">
      <c r="A31" s="32">
        <v>30</v>
      </c>
      <c r="B31" s="28">
        <v>0.42420000000000002</v>
      </c>
      <c r="C31" s="29">
        <f t="shared" si="0"/>
        <v>0.42420000000000002</v>
      </c>
      <c r="D31" s="28">
        <v>0.77</v>
      </c>
      <c r="E31" s="30" t="str">
        <f t="shared" si="1"/>
        <v>Risky</v>
      </c>
      <c r="F31" s="28">
        <v>0.29849999999999999</v>
      </c>
      <c r="G31" s="28">
        <v>0</v>
      </c>
      <c r="H31" s="28">
        <v>2</v>
      </c>
      <c r="I31" s="33">
        <v>2</v>
      </c>
      <c r="J31" s="20" t="str">
        <f t="shared" si="2"/>
        <v xml:space="preserve"> </v>
      </c>
      <c r="K31" s="20">
        <f t="shared" si="3"/>
        <v>0</v>
      </c>
    </row>
    <row r="32" spans="1:11" ht="15" thickBot="1" x14ac:dyDescent="0.35">
      <c r="A32" s="32">
        <v>31</v>
      </c>
      <c r="B32" s="28">
        <v>0.40910000000000002</v>
      </c>
      <c r="C32" s="29">
        <f t="shared" si="0"/>
        <v>0.40910000000000002</v>
      </c>
      <c r="D32" s="28">
        <v>0.76</v>
      </c>
      <c r="E32" s="30" t="str">
        <f t="shared" si="1"/>
        <v>Risky</v>
      </c>
      <c r="F32" s="28">
        <v>0.19400000000000001</v>
      </c>
      <c r="G32" s="28">
        <v>0</v>
      </c>
      <c r="H32" s="28">
        <v>1</v>
      </c>
      <c r="I32" s="33">
        <v>1</v>
      </c>
      <c r="J32" s="20" t="str">
        <f t="shared" si="2"/>
        <v xml:space="preserve"> </v>
      </c>
      <c r="K32" s="20">
        <f t="shared" si="3"/>
        <v>0</v>
      </c>
    </row>
    <row r="33" spans="1:11" ht="15" thickBot="1" x14ac:dyDescent="0.35">
      <c r="A33" s="32">
        <v>32</v>
      </c>
      <c r="B33" s="28">
        <v>0.40910000000000002</v>
      </c>
      <c r="C33" s="29">
        <f t="shared" si="0"/>
        <v>0.40910000000000002</v>
      </c>
      <c r="D33" s="28">
        <v>0.71</v>
      </c>
      <c r="E33" s="30" t="str">
        <f t="shared" si="1"/>
        <v>Risky</v>
      </c>
      <c r="F33" s="28">
        <v>0.22389999999999999</v>
      </c>
      <c r="G33" s="28">
        <v>0</v>
      </c>
      <c r="H33" s="28">
        <v>8</v>
      </c>
      <c r="I33" s="33">
        <v>8</v>
      </c>
      <c r="J33" s="20" t="str">
        <f t="shared" si="2"/>
        <v xml:space="preserve"> </v>
      </c>
      <c r="K33" s="20">
        <f t="shared" si="3"/>
        <v>0</v>
      </c>
    </row>
    <row r="34" spans="1:11" ht="15" thickBot="1" x14ac:dyDescent="0.35">
      <c r="A34" s="32">
        <v>33</v>
      </c>
      <c r="B34" s="27"/>
      <c r="C34" s="29">
        <f t="shared" si="0"/>
        <v>0.19124483362521896</v>
      </c>
      <c r="D34" s="28">
        <v>0.76</v>
      </c>
      <c r="E34" s="30" t="str">
        <f t="shared" si="1"/>
        <v>Risky</v>
      </c>
      <c r="F34" s="28">
        <v>0.22389999999999999</v>
      </c>
      <c r="G34" s="28">
        <v>1</v>
      </c>
      <c r="H34" s="28">
        <v>19</v>
      </c>
      <c r="I34" s="33">
        <v>20</v>
      </c>
      <c r="J34" s="20" t="str">
        <f t="shared" si="2"/>
        <v xml:space="preserve"> </v>
      </c>
      <c r="K34" s="20">
        <f t="shared" si="3"/>
        <v>1</v>
      </c>
    </row>
    <row r="35" spans="1:11" ht="15" thickBot="1" x14ac:dyDescent="0.35">
      <c r="A35" s="32">
        <v>34</v>
      </c>
      <c r="B35" s="28">
        <v>0.34849999999999998</v>
      </c>
      <c r="C35" s="29">
        <f t="shared" si="0"/>
        <v>0.34849999999999998</v>
      </c>
      <c r="D35" s="28">
        <v>0.81</v>
      </c>
      <c r="E35" s="30" t="str">
        <f t="shared" si="1"/>
        <v>Risky</v>
      </c>
      <c r="F35" s="28">
        <v>0.22389999999999999</v>
      </c>
      <c r="G35" s="28">
        <v>7</v>
      </c>
      <c r="H35" s="28">
        <v>46</v>
      </c>
      <c r="I35" s="33">
        <v>53</v>
      </c>
      <c r="J35" s="20" t="str">
        <f t="shared" si="2"/>
        <v xml:space="preserve"> </v>
      </c>
      <c r="K35" s="20">
        <f t="shared" si="3"/>
        <v>0</v>
      </c>
    </row>
    <row r="36" spans="1:11" ht="15" thickBot="1" x14ac:dyDescent="0.35">
      <c r="A36" s="32">
        <v>35</v>
      </c>
      <c r="B36" s="28">
        <v>0.33329999999999999</v>
      </c>
      <c r="C36" s="29">
        <f t="shared" si="0"/>
        <v>0.33329999999999999</v>
      </c>
      <c r="D36" s="28">
        <v>0.71</v>
      </c>
      <c r="E36" s="30" t="str">
        <f t="shared" si="1"/>
        <v>Risky</v>
      </c>
      <c r="F36" s="28">
        <v>0.25369999999999998</v>
      </c>
      <c r="G36" s="28">
        <v>16</v>
      </c>
      <c r="H36" s="28">
        <v>54</v>
      </c>
      <c r="I36" s="33">
        <v>70</v>
      </c>
      <c r="J36" s="20" t="str">
        <f t="shared" si="2"/>
        <v xml:space="preserve"> </v>
      </c>
      <c r="K36" s="20">
        <f t="shared" si="3"/>
        <v>0</v>
      </c>
    </row>
    <row r="37" spans="1:11" ht="15" thickBot="1" x14ac:dyDescent="0.35">
      <c r="A37" s="32">
        <v>36</v>
      </c>
      <c r="B37" s="28">
        <v>0.33329999999999999</v>
      </c>
      <c r="C37" s="29">
        <f t="shared" si="0"/>
        <v>0.33329999999999999</v>
      </c>
      <c r="D37" s="28">
        <v>0.66</v>
      </c>
      <c r="E37" s="30" t="str">
        <f t="shared" si="1"/>
        <v>Acceptable</v>
      </c>
      <c r="F37" s="28">
        <v>0.29849999999999999</v>
      </c>
      <c r="G37" s="28">
        <v>20</v>
      </c>
      <c r="H37" s="28">
        <v>73</v>
      </c>
      <c r="I37" s="33">
        <v>93</v>
      </c>
      <c r="J37" s="20" t="str">
        <f t="shared" si="2"/>
        <v xml:space="preserve"> </v>
      </c>
      <c r="K37" s="20">
        <f t="shared" si="3"/>
        <v>0</v>
      </c>
    </row>
    <row r="38" spans="1:11" ht="15" thickBot="1" x14ac:dyDescent="0.35">
      <c r="A38" s="32">
        <v>37</v>
      </c>
      <c r="B38" s="28">
        <v>0.34849999999999998</v>
      </c>
      <c r="C38" s="29">
        <f t="shared" si="0"/>
        <v>0.34849999999999998</v>
      </c>
      <c r="D38" s="28">
        <v>0.66</v>
      </c>
      <c r="E38" s="30" t="str">
        <f t="shared" si="1"/>
        <v>Acceptable</v>
      </c>
      <c r="F38" s="28">
        <v>0.1343</v>
      </c>
      <c r="G38" s="28">
        <v>11</v>
      </c>
      <c r="H38" s="28">
        <v>64</v>
      </c>
      <c r="I38" s="33">
        <v>75</v>
      </c>
      <c r="J38" s="20" t="str">
        <f t="shared" si="2"/>
        <v xml:space="preserve"> </v>
      </c>
      <c r="K38" s="20">
        <f t="shared" si="3"/>
        <v>0</v>
      </c>
    </row>
    <row r="39" spans="1:11" ht="15" thickBot="1" x14ac:dyDescent="0.35">
      <c r="A39" s="32">
        <v>38</v>
      </c>
      <c r="B39" s="27"/>
      <c r="C39" s="29">
        <f t="shared" si="0"/>
        <v>0.19018906525573195</v>
      </c>
      <c r="D39" s="28">
        <v>0.76</v>
      </c>
      <c r="E39" s="30" t="str">
        <f t="shared" si="1"/>
        <v>Risky</v>
      </c>
      <c r="F39" s="28">
        <v>0.19400000000000001</v>
      </c>
      <c r="G39" s="28">
        <v>4</v>
      </c>
      <c r="H39" s="28">
        <v>55</v>
      </c>
      <c r="I39" s="33">
        <v>59</v>
      </c>
      <c r="J39" s="20" t="str">
        <f t="shared" si="2"/>
        <v xml:space="preserve"> </v>
      </c>
      <c r="K39" s="20">
        <f t="shared" si="3"/>
        <v>1</v>
      </c>
    </row>
    <row r="40" spans="1:11" ht="15" thickBot="1" x14ac:dyDescent="0.35">
      <c r="A40" s="32">
        <v>39</v>
      </c>
      <c r="B40" s="28">
        <v>0.33329999999999999</v>
      </c>
      <c r="C40" s="29">
        <f t="shared" si="0"/>
        <v>0.33329999999999999</v>
      </c>
      <c r="D40" s="28">
        <v>0.81</v>
      </c>
      <c r="E40" s="30" t="str">
        <f t="shared" si="1"/>
        <v>Risky</v>
      </c>
      <c r="F40" s="28">
        <v>0.16420000000000001</v>
      </c>
      <c r="G40" s="28">
        <v>19</v>
      </c>
      <c r="H40" s="28">
        <v>55</v>
      </c>
      <c r="I40" s="33">
        <v>74</v>
      </c>
      <c r="J40" s="20" t="str">
        <f t="shared" si="2"/>
        <v xml:space="preserve"> </v>
      </c>
      <c r="K40" s="20">
        <f t="shared" si="3"/>
        <v>0</v>
      </c>
    </row>
    <row r="41" spans="1:11" ht="15" thickBot="1" x14ac:dyDescent="0.35">
      <c r="A41" s="32">
        <v>40</v>
      </c>
      <c r="B41" s="28">
        <v>0.33329999999999999</v>
      </c>
      <c r="C41" s="29">
        <f t="shared" si="0"/>
        <v>0.33329999999999999</v>
      </c>
      <c r="D41" s="28">
        <v>0.71</v>
      </c>
      <c r="E41" s="30" t="str">
        <f t="shared" si="1"/>
        <v>Risky</v>
      </c>
      <c r="F41" s="28">
        <v>0.16420000000000001</v>
      </c>
      <c r="G41" s="28">
        <v>9</v>
      </c>
      <c r="H41" s="28">
        <v>67</v>
      </c>
      <c r="I41" s="33">
        <v>76</v>
      </c>
      <c r="J41" s="20" t="str">
        <f t="shared" si="2"/>
        <v xml:space="preserve"> </v>
      </c>
      <c r="K41" s="20">
        <f t="shared" si="3"/>
        <v>0</v>
      </c>
    </row>
    <row r="42" spans="1:11" ht="15" thickBot="1" x14ac:dyDescent="0.35">
      <c r="A42" s="32">
        <v>41</v>
      </c>
      <c r="B42" s="28">
        <v>0.33329999999999999</v>
      </c>
      <c r="C42" s="29">
        <f t="shared" si="0"/>
        <v>0.33329999999999999</v>
      </c>
      <c r="D42" s="28">
        <v>0.56999999999999995</v>
      </c>
      <c r="E42" s="30" t="str">
        <f t="shared" si="1"/>
        <v>Acceptable</v>
      </c>
      <c r="F42" s="28">
        <v>0.19400000000000001</v>
      </c>
      <c r="G42" s="28">
        <v>7</v>
      </c>
      <c r="H42" s="28">
        <v>58</v>
      </c>
      <c r="I42" s="33">
        <v>65</v>
      </c>
      <c r="J42" s="20" t="str">
        <f t="shared" si="2"/>
        <v xml:space="preserve"> </v>
      </c>
      <c r="K42" s="20">
        <f t="shared" si="3"/>
        <v>0</v>
      </c>
    </row>
    <row r="43" spans="1:11" ht="15" thickBot="1" x14ac:dyDescent="0.35">
      <c r="A43" s="32">
        <v>42</v>
      </c>
      <c r="B43" s="28">
        <v>0.33329999999999999</v>
      </c>
      <c r="C43" s="29">
        <f t="shared" si="0"/>
        <v>0.33329999999999999</v>
      </c>
      <c r="D43" s="28">
        <v>0.46</v>
      </c>
      <c r="E43" s="30" t="str">
        <f t="shared" si="1"/>
        <v>Acceptable</v>
      </c>
      <c r="F43" s="28">
        <v>0.32840000000000003</v>
      </c>
      <c r="G43" s="28">
        <v>10</v>
      </c>
      <c r="H43" s="28">
        <v>43</v>
      </c>
      <c r="I43" s="33">
        <v>53</v>
      </c>
      <c r="J43" s="20" t="str">
        <f t="shared" si="2"/>
        <v xml:space="preserve"> </v>
      </c>
      <c r="K43" s="20">
        <f t="shared" si="3"/>
        <v>0</v>
      </c>
    </row>
    <row r="44" spans="1:11" ht="15" thickBot="1" x14ac:dyDescent="0.35">
      <c r="A44" s="32">
        <v>43</v>
      </c>
      <c r="B44" s="28">
        <v>0.28789999999999999</v>
      </c>
      <c r="C44" s="29">
        <f t="shared" si="0"/>
        <v>0.28789999999999999</v>
      </c>
      <c r="D44" s="28">
        <v>0.42</v>
      </c>
      <c r="E44" s="30" t="str">
        <f t="shared" si="1"/>
        <v>Acceptable</v>
      </c>
      <c r="F44" s="28">
        <v>0.44779999999999998</v>
      </c>
      <c r="G44" s="28">
        <v>1</v>
      </c>
      <c r="H44" s="28">
        <v>29</v>
      </c>
      <c r="I44" s="33">
        <v>30</v>
      </c>
      <c r="J44" s="20" t="str">
        <f t="shared" si="2"/>
        <v xml:space="preserve"> </v>
      </c>
      <c r="K44" s="20">
        <f t="shared" si="3"/>
        <v>0</v>
      </c>
    </row>
    <row r="45" spans="1:11" ht="15" thickBot="1" x14ac:dyDescent="0.35">
      <c r="A45" s="32">
        <v>44</v>
      </c>
      <c r="B45" s="27"/>
      <c r="C45" s="29">
        <f t="shared" si="0"/>
        <v>0.18899661921708191</v>
      </c>
      <c r="D45" s="28">
        <v>0.39</v>
      </c>
      <c r="E45" s="30" t="str">
        <f t="shared" si="1"/>
        <v>Acceptable</v>
      </c>
      <c r="F45" s="28">
        <v>0.35820000000000002</v>
      </c>
      <c r="G45" s="28">
        <v>5</v>
      </c>
      <c r="H45" s="28">
        <v>17</v>
      </c>
      <c r="I45" s="33">
        <v>22</v>
      </c>
      <c r="J45" s="20" t="str">
        <f t="shared" si="2"/>
        <v xml:space="preserve"> </v>
      </c>
      <c r="K45" s="20">
        <f t="shared" si="3"/>
        <v>1</v>
      </c>
    </row>
    <row r="46" spans="1:11" ht="15" thickBot="1" x14ac:dyDescent="0.35">
      <c r="A46" s="32">
        <v>45</v>
      </c>
      <c r="B46" s="28">
        <v>0.2273</v>
      </c>
      <c r="C46" s="29">
        <f t="shared" si="0"/>
        <v>0.2273</v>
      </c>
      <c r="D46" s="28">
        <v>0.44</v>
      </c>
      <c r="E46" s="30" t="str">
        <f t="shared" si="1"/>
        <v>Acceptable</v>
      </c>
      <c r="F46" s="28">
        <v>0.32840000000000003</v>
      </c>
      <c r="G46" s="28">
        <v>11</v>
      </c>
      <c r="H46" s="28">
        <v>20</v>
      </c>
      <c r="I46" s="33">
        <v>31</v>
      </c>
      <c r="J46" s="20" t="str">
        <f t="shared" si="2"/>
        <v xml:space="preserve"> </v>
      </c>
      <c r="K46" s="20">
        <f t="shared" si="3"/>
        <v>0</v>
      </c>
    </row>
    <row r="47" spans="1:11" ht="15" thickBot="1" x14ac:dyDescent="0.35">
      <c r="A47" s="32">
        <v>46</v>
      </c>
      <c r="B47" s="28">
        <v>0.21210000000000001</v>
      </c>
      <c r="C47" s="29">
        <f t="shared" si="0"/>
        <v>0.21210000000000001</v>
      </c>
      <c r="D47" s="28">
        <v>0.44</v>
      </c>
      <c r="E47" s="30" t="str">
        <f t="shared" si="1"/>
        <v>Acceptable</v>
      </c>
      <c r="F47" s="28">
        <v>0.29849999999999999</v>
      </c>
      <c r="G47" s="28">
        <v>0</v>
      </c>
      <c r="H47" s="28">
        <v>9</v>
      </c>
      <c r="I47" s="33">
        <v>9</v>
      </c>
      <c r="J47" s="20" t="str">
        <f t="shared" si="2"/>
        <v xml:space="preserve"> </v>
      </c>
      <c r="K47" s="20">
        <f t="shared" si="3"/>
        <v>0</v>
      </c>
    </row>
    <row r="48" spans="1:11" ht="15" thickBot="1" x14ac:dyDescent="0.35">
      <c r="A48" s="32">
        <v>47</v>
      </c>
      <c r="B48" s="28">
        <v>0.2273</v>
      </c>
      <c r="C48" s="29">
        <f t="shared" si="0"/>
        <v>0.2273</v>
      </c>
      <c r="D48" s="28">
        <v>0.47</v>
      </c>
      <c r="E48" s="30" t="str">
        <f t="shared" si="1"/>
        <v>Acceptable</v>
      </c>
      <c r="F48" s="28">
        <v>0.16420000000000001</v>
      </c>
      <c r="G48" s="28">
        <v>0</v>
      </c>
      <c r="H48" s="28">
        <v>8</v>
      </c>
      <c r="I48" s="33">
        <v>8</v>
      </c>
      <c r="J48" s="20" t="str">
        <f t="shared" si="2"/>
        <v xml:space="preserve"> </v>
      </c>
      <c r="K48" s="20">
        <f t="shared" si="3"/>
        <v>0</v>
      </c>
    </row>
    <row r="49" spans="1:11" ht="15" thickBot="1" x14ac:dyDescent="0.35">
      <c r="A49" s="32">
        <v>48</v>
      </c>
      <c r="B49" s="28">
        <v>0.19700000000000001</v>
      </c>
      <c r="C49" s="29">
        <f t="shared" si="0"/>
        <v>0.19700000000000001</v>
      </c>
      <c r="D49" s="28">
        <v>0.44</v>
      </c>
      <c r="E49" s="30" t="str">
        <f t="shared" si="1"/>
        <v>Acceptable</v>
      </c>
      <c r="F49" s="28">
        <v>0.35820000000000002</v>
      </c>
      <c r="G49" s="28">
        <v>0</v>
      </c>
      <c r="H49" s="28">
        <v>5</v>
      </c>
      <c r="I49" s="33">
        <v>5</v>
      </c>
      <c r="J49" s="20" t="str">
        <f t="shared" si="2"/>
        <v xml:space="preserve"> </v>
      </c>
      <c r="K49" s="20">
        <f t="shared" si="3"/>
        <v>0</v>
      </c>
    </row>
    <row r="50" spans="1:11" ht="15" thickBot="1" x14ac:dyDescent="0.35">
      <c r="A50" s="32">
        <v>49</v>
      </c>
      <c r="B50" s="27"/>
      <c r="C50" s="29">
        <f t="shared" si="0"/>
        <v>0.18880358422939073</v>
      </c>
      <c r="D50" s="28">
        <v>0.44</v>
      </c>
      <c r="E50" s="30" t="str">
        <f t="shared" si="1"/>
        <v>Acceptable</v>
      </c>
      <c r="F50" s="28">
        <v>0.41789999999999999</v>
      </c>
      <c r="G50" s="28">
        <v>0</v>
      </c>
      <c r="H50" s="28">
        <v>2</v>
      </c>
      <c r="I50" s="33">
        <v>2</v>
      </c>
      <c r="J50" s="20" t="str">
        <f t="shared" si="2"/>
        <v xml:space="preserve"> </v>
      </c>
      <c r="K50" s="20">
        <f t="shared" si="3"/>
        <v>1</v>
      </c>
    </row>
    <row r="51" spans="1:11" ht="15" thickBot="1" x14ac:dyDescent="0.35">
      <c r="A51" s="32">
        <v>50</v>
      </c>
      <c r="B51" s="28">
        <v>0.13639999999999999</v>
      </c>
      <c r="C51" s="29">
        <f t="shared" si="0"/>
        <v>0.13639999999999999</v>
      </c>
      <c r="D51" s="28">
        <v>0.47</v>
      </c>
      <c r="E51" s="30" t="str">
        <f t="shared" si="1"/>
        <v>Acceptable</v>
      </c>
      <c r="F51" s="28">
        <v>0.3881</v>
      </c>
      <c r="G51" s="28">
        <v>0</v>
      </c>
      <c r="H51" s="28">
        <v>1</v>
      </c>
      <c r="I51" s="33">
        <v>1</v>
      </c>
      <c r="J51" s="20" t="str">
        <f t="shared" si="2"/>
        <v xml:space="preserve"> </v>
      </c>
      <c r="K51" s="20">
        <f t="shared" si="3"/>
        <v>0</v>
      </c>
    </row>
    <row r="52" spans="1:11" ht="15" thickBot="1" x14ac:dyDescent="0.35">
      <c r="A52" s="32">
        <v>51</v>
      </c>
      <c r="B52" s="28">
        <v>0.13639999999999999</v>
      </c>
      <c r="C52" s="29">
        <f t="shared" si="0"/>
        <v>0.13639999999999999</v>
      </c>
      <c r="D52" s="28">
        <v>0.47</v>
      </c>
      <c r="E52" s="30" t="str">
        <f t="shared" si="1"/>
        <v>Acceptable</v>
      </c>
      <c r="F52" s="28">
        <v>0.28360000000000002</v>
      </c>
      <c r="G52" s="28">
        <v>0</v>
      </c>
      <c r="H52" s="28">
        <v>3</v>
      </c>
      <c r="I52" s="33">
        <v>3</v>
      </c>
      <c r="J52" s="20" t="str">
        <f t="shared" si="2"/>
        <v xml:space="preserve"> </v>
      </c>
      <c r="K52" s="20">
        <f t="shared" si="3"/>
        <v>0</v>
      </c>
    </row>
    <row r="53" spans="1:11" ht="15" thickBot="1" x14ac:dyDescent="0.35">
      <c r="A53" s="32">
        <v>52</v>
      </c>
      <c r="B53" s="28">
        <v>0.1061</v>
      </c>
      <c r="C53" s="29">
        <f t="shared" si="0"/>
        <v>0.1061</v>
      </c>
      <c r="D53" s="28">
        <v>0.5</v>
      </c>
      <c r="E53" s="30" t="str">
        <f t="shared" si="1"/>
        <v>Acceptable</v>
      </c>
      <c r="F53" s="28">
        <v>0.3881</v>
      </c>
      <c r="G53" s="28">
        <v>0</v>
      </c>
      <c r="H53" s="28">
        <v>30</v>
      </c>
      <c r="I53" s="33">
        <v>30</v>
      </c>
      <c r="J53" s="20" t="str">
        <f t="shared" si="2"/>
        <v xml:space="preserve"> </v>
      </c>
      <c r="K53" s="20">
        <f t="shared" si="3"/>
        <v>0</v>
      </c>
    </row>
    <row r="54" spans="1:11" ht="15" thickBot="1" x14ac:dyDescent="0.35">
      <c r="A54" s="32">
        <v>53</v>
      </c>
      <c r="B54" s="28">
        <v>0.13639999999999999</v>
      </c>
      <c r="C54" s="29">
        <f t="shared" si="0"/>
        <v>0.13639999999999999</v>
      </c>
      <c r="D54" s="28">
        <v>0.5</v>
      </c>
      <c r="E54" s="30" t="str">
        <f t="shared" si="1"/>
        <v>Acceptable</v>
      </c>
      <c r="F54" s="28">
        <v>0.19400000000000001</v>
      </c>
      <c r="G54" s="28">
        <v>1</v>
      </c>
      <c r="H54" s="28">
        <v>63</v>
      </c>
      <c r="I54" s="33">
        <v>64</v>
      </c>
      <c r="J54" s="20" t="str">
        <f t="shared" si="2"/>
        <v xml:space="preserve"> </v>
      </c>
      <c r="K54" s="20">
        <f t="shared" si="3"/>
        <v>0</v>
      </c>
    </row>
    <row r="55" spans="1:11" ht="15" thickBot="1" x14ac:dyDescent="0.35">
      <c r="A55" s="32">
        <v>54</v>
      </c>
      <c r="B55" s="28">
        <v>0.1212</v>
      </c>
      <c r="C55" s="29">
        <f t="shared" si="0"/>
        <v>0.1212</v>
      </c>
      <c r="D55" s="28">
        <v>0.5</v>
      </c>
      <c r="E55" s="30" t="str">
        <f t="shared" si="1"/>
        <v>Acceptable</v>
      </c>
      <c r="F55" s="28">
        <v>0.28360000000000002</v>
      </c>
      <c r="G55" s="28">
        <v>1</v>
      </c>
      <c r="H55" s="28">
        <v>153</v>
      </c>
      <c r="I55" s="33">
        <v>154</v>
      </c>
      <c r="J55" s="20" t="str">
        <f t="shared" si="2"/>
        <v xml:space="preserve"> </v>
      </c>
      <c r="K55" s="20">
        <f t="shared" si="3"/>
        <v>0</v>
      </c>
    </row>
    <row r="56" spans="1:11" ht="15" thickBot="1" x14ac:dyDescent="0.35">
      <c r="A56" s="32">
        <v>55</v>
      </c>
      <c r="B56" s="28">
        <v>0.13639999999999999</v>
      </c>
      <c r="C56" s="29">
        <f t="shared" si="0"/>
        <v>0.13639999999999999</v>
      </c>
      <c r="D56" s="28">
        <v>0.43</v>
      </c>
      <c r="E56" s="30" t="str">
        <f t="shared" si="1"/>
        <v>Acceptable</v>
      </c>
      <c r="F56" s="28">
        <v>0.3881</v>
      </c>
      <c r="G56" s="28">
        <v>7</v>
      </c>
      <c r="H56" s="28">
        <v>81</v>
      </c>
      <c r="I56" s="33">
        <v>88</v>
      </c>
      <c r="J56" s="20" t="str">
        <f t="shared" si="2"/>
        <v xml:space="preserve"> </v>
      </c>
      <c r="K56" s="20">
        <f t="shared" si="3"/>
        <v>0</v>
      </c>
    </row>
    <row r="57" spans="1:11" ht="15" thickBot="1" x14ac:dyDescent="0.35">
      <c r="A57" s="32">
        <v>56</v>
      </c>
      <c r="B57" s="28">
        <v>0.16669999999999999</v>
      </c>
      <c r="C57" s="29">
        <f t="shared" si="0"/>
        <v>0.16669999999999999</v>
      </c>
      <c r="D57" s="28">
        <v>0.43</v>
      </c>
      <c r="E57" s="30" t="str">
        <f t="shared" si="1"/>
        <v>Acceptable</v>
      </c>
      <c r="F57" s="28">
        <v>0.25369999999999998</v>
      </c>
      <c r="G57" s="28">
        <v>11</v>
      </c>
      <c r="H57" s="28">
        <v>33</v>
      </c>
      <c r="I57" s="33">
        <v>44</v>
      </c>
      <c r="J57" s="20" t="str">
        <f t="shared" si="2"/>
        <v xml:space="preserve"> </v>
      </c>
      <c r="K57" s="20">
        <f t="shared" si="3"/>
        <v>0</v>
      </c>
    </row>
    <row r="58" spans="1:11" ht="15" thickBot="1" x14ac:dyDescent="0.35">
      <c r="A58" s="32">
        <v>57</v>
      </c>
      <c r="B58" s="28">
        <v>0.18179999999999999</v>
      </c>
      <c r="C58" s="29">
        <f t="shared" si="0"/>
        <v>0.18179999999999999</v>
      </c>
      <c r="D58" s="28">
        <v>0.4</v>
      </c>
      <c r="E58" s="30" t="str">
        <f t="shared" si="1"/>
        <v>Acceptable</v>
      </c>
      <c r="F58" s="28">
        <v>0.32840000000000003</v>
      </c>
      <c r="G58" s="28">
        <v>10</v>
      </c>
      <c r="H58" s="28">
        <v>41</v>
      </c>
      <c r="I58" s="33">
        <v>51</v>
      </c>
      <c r="J58" s="20" t="str">
        <f t="shared" si="2"/>
        <v xml:space="preserve"> </v>
      </c>
      <c r="K58" s="20">
        <f t="shared" si="3"/>
        <v>0</v>
      </c>
    </row>
    <row r="59" spans="1:11" ht="15" thickBot="1" x14ac:dyDescent="0.35">
      <c r="A59" s="32">
        <v>58</v>
      </c>
      <c r="B59" s="28">
        <v>0.21210000000000001</v>
      </c>
      <c r="C59" s="29">
        <f t="shared" si="0"/>
        <v>0.21210000000000001</v>
      </c>
      <c r="D59" s="28">
        <v>0.35</v>
      </c>
      <c r="E59" s="30" t="str">
        <f t="shared" si="1"/>
        <v>Acceptable</v>
      </c>
      <c r="F59" s="28">
        <v>0.29849999999999999</v>
      </c>
      <c r="G59" s="28">
        <v>13</v>
      </c>
      <c r="H59" s="28">
        <v>48</v>
      </c>
      <c r="I59" s="33">
        <v>61</v>
      </c>
      <c r="J59" s="20" t="str">
        <f t="shared" si="2"/>
        <v xml:space="preserve"> </v>
      </c>
      <c r="K59" s="20">
        <f t="shared" si="3"/>
        <v>0</v>
      </c>
    </row>
    <row r="60" spans="1:11" ht="15" thickBot="1" x14ac:dyDescent="0.35">
      <c r="A60" s="32">
        <v>59</v>
      </c>
      <c r="B60" s="27"/>
      <c r="C60" s="29">
        <f t="shared" si="0"/>
        <v>0.18946976320582881</v>
      </c>
      <c r="D60" s="28">
        <v>0.35</v>
      </c>
      <c r="E60" s="30" t="str">
        <f t="shared" si="1"/>
        <v>Acceptable</v>
      </c>
      <c r="F60" s="28">
        <v>0.28360000000000002</v>
      </c>
      <c r="G60" s="28">
        <v>8</v>
      </c>
      <c r="H60" s="28">
        <v>53</v>
      </c>
      <c r="I60" s="33">
        <v>61</v>
      </c>
      <c r="J60" s="20" t="str">
        <f t="shared" si="2"/>
        <v xml:space="preserve"> </v>
      </c>
      <c r="K60" s="20">
        <f t="shared" si="3"/>
        <v>1</v>
      </c>
    </row>
    <row r="61" spans="1:11" ht="15" thickBot="1" x14ac:dyDescent="0.35">
      <c r="A61" s="32">
        <v>60</v>
      </c>
      <c r="B61" s="28">
        <v>0.2424</v>
      </c>
      <c r="C61" s="29">
        <f t="shared" si="0"/>
        <v>0.2424</v>
      </c>
      <c r="D61" s="28">
        <v>0.3</v>
      </c>
      <c r="E61" s="30" t="str">
        <f t="shared" si="1"/>
        <v>Acceptable</v>
      </c>
      <c r="F61" s="28">
        <v>0.28360000000000002</v>
      </c>
      <c r="G61" s="28">
        <v>11</v>
      </c>
      <c r="H61" s="28">
        <v>66</v>
      </c>
      <c r="I61" s="33">
        <v>77</v>
      </c>
      <c r="J61" s="20" t="str">
        <f t="shared" si="2"/>
        <v xml:space="preserve"> </v>
      </c>
      <c r="K61" s="20">
        <f t="shared" si="3"/>
        <v>0</v>
      </c>
    </row>
    <row r="62" spans="1:11" ht="15" thickBot="1" x14ac:dyDescent="0.35">
      <c r="A62" s="32">
        <v>61</v>
      </c>
      <c r="B62" s="28">
        <v>0.2424</v>
      </c>
      <c r="C62" s="29">
        <f t="shared" si="0"/>
        <v>0.2424</v>
      </c>
      <c r="D62" s="28">
        <v>0.3</v>
      </c>
      <c r="E62" s="30" t="str">
        <f t="shared" si="1"/>
        <v>Acceptable</v>
      </c>
      <c r="F62" s="28">
        <v>0.25369999999999998</v>
      </c>
      <c r="G62" s="28">
        <v>14</v>
      </c>
      <c r="H62" s="28">
        <v>58</v>
      </c>
      <c r="I62" s="33">
        <v>72</v>
      </c>
      <c r="J62" s="20" t="str">
        <f t="shared" si="2"/>
        <v xml:space="preserve"> </v>
      </c>
      <c r="K62" s="20">
        <f t="shared" si="3"/>
        <v>0</v>
      </c>
    </row>
    <row r="63" spans="1:11" ht="15" thickBot="1" x14ac:dyDescent="0.35">
      <c r="A63" s="32">
        <v>62</v>
      </c>
      <c r="B63" s="28">
        <v>0.2424</v>
      </c>
      <c r="C63" s="29">
        <f t="shared" si="0"/>
        <v>0.2424</v>
      </c>
      <c r="D63" s="28">
        <v>0.3</v>
      </c>
      <c r="E63" s="30" t="str">
        <f t="shared" si="1"/>
        <v>Acceptable</v>
      </c>
      <c r="F63" s="28">
        <v>0.25369999999999998</v>
      </c>
      <c r="G63" s="28">
        <v>9</v>
      </c>
      <c r="H63" s="28">
        <v>67</v>
      </c>
      <c r="I63" s="33">
        <v>76</v>
      </c>
      <c r="J63" s="20" t="str">
        <f t="shared" si="2"/>
        <v xml:space="preserve"> </v>
      </c>
      <c r="K63" s="20">
        <f t="shared" si="3"/>
        <v>0</v>
      </c>
    </row>
    <row r="64" spans="1:11" ht="15" thickBot="1" x14ac:dyDescent="0.35">
      <c r="A64" s="32">
        <v>63</v>
      </c>
      <c r="B64" s="28">
        <v>0.2273</v>
      </c>
      <c r="C64" s="29">
        <f t="shared" si="0"/>
        <v>0.2273</v>
      </c>
      <c r="D64" s="28">
        <v>0.3</v>
      </c>
      <c r="E64" s="30" t="str">
        <f t="shared" si="1"/>
        <v>Acceptable</v>
      </c>
      <c r="F64" s="28">
        <v>0.22389999999999999</v>
      </c>
      <c r="G64" s="28">
        <v>11</v>
      </c>
      <c r="H64" s="28">
        <v>146</v>
      </c>
      <c r="I64" s="33">
        <v>157</v>
      </c>
      <c r="J64" s="20" t="str">
        <f t="shared" si="2"/>
        <v xml:space="preserve"> </v>
      </c>
      <c r="K64" s="20">
        <f t="shared" si="3"/>
        <v>0</v>
      </c>
    </row>
    <row r="65" spans="1:11" ht="15" thickBot="1" x14ac:dyDescent="0.35">
      <c r="A65" s="32">
        <v>64</v>
      </c>
      <c r="B65" s="28">
        <v>0.2576</v>
      </c>
      <c r="C65" s="29">
        <f t="shared" si="0"/>
        <v>0.2576</v>
      </c>
      <c r="D65" s="28">
        <v>0.32</v>
      </c>
      <c r="E65" s="30" t="str">
        <f t="shared" si="1"/>
        <v>Acceptable</v>
      </c>
      <c r="F65" s="28">
        <v>0.1045</v>
      </c>
      <c r="G65" s="28">
        <v>9</v>
      </c>
      <c r="H65" s="28">
        <v>148</v>
      </c>
      <c r="I65" s="33">
        <v>157</v>
      </c>
      <c r="J65" s="20" t="str">
        <f t="shared" si="2"/>
        <v xml:space="preserve"> </v>
      </c>
      <c r="K65" s="20">
        <f t="shared" si="3"/>
        <v>0</v>
      </c>
    </row>
    <row r="66" spans="1:11" ht="15" thickBot="1" x14ac:dyDescent="0.35">
      <c r="A66" s="32">
        <v>65</v>
      </c>
      <c r="B66" s="28">
        <v>0.2576</v>
      </c>
      <c r="C66" s="29">
        <f t="shared" si="0"/>
        <v>0.2576</v>
      </c>
      <c r="D66" s="28">
        <v>0.47</v>
      </c>
      <c r="E66" s="30" t="str">
        <f t="shared" si="1"/>
        <v>Acceptable</v>
      </c>
      <c r="F66" s="28">
        <v>0</v>
      </c>
      <c r="G66" s="28">
        <v>8</v>
      </c>
      <c r="H66" s="28">
        <v>102</v>
      </c>
      <c r="I66" s="33">
        <v>110</v>
      </c>
      <c r="J66" s="20" t="str">
        <f t="shared" si="2"/>
        <v xml:space="preserve"> </v>
      </c>
      <c r="K66" s="20">
        <f t="shared" si="3"/>
        <v>0</v>
      </c>
    </row>
    <row r="67" spans="1:11" ht="15" thickBot="1" x14ac:dyDescent="0.35">
      <c r="A67" s="32">
        <v>66</v>
      </c>
      <c r="B67" s="27"/>
      <c r="C67" s="29">
        <f t="shared" ref="C67:C130" si="4">IF(ISBLANK(B67),AVERAGE(B67:B676),B67)</f>
        <v>0.18885672191528544</v>
      </c>
      <c r="D67" s="28">
        <v>0.47</v>
      </c>
      <c r="E67" s="30" t="str">
        <f t="shared" ref="E67:E130" si="5">IF(D67&lt;0.7,"Acceptable","Risky")</f>
        <v>Acceptable</v>
      </c>
      <c r="F67" s="28">
        <v>0.1045</v>
      </c>
      <c r="G67" s="28">
        <v>3</v>
      </c>
      <c r="H67" s="28">
        <v>49</v>
      </c>
      <c r="I67" s="33">
        <v>52</v>
      </c>
      <c r="J67" s="20" t="str">
        <f t="shared" ref="J67:J130" si="6">IF(G67+H67=I67," ","Not same")</f>
        <v xml:space="preserve"> </v>
      </c>
      <c r="K67" s="20">
        <f t="shared" ref="K67:K130" si="7">COUNTBLANK(A67:J67)</f>
        <v>1</v>
      </c>
    </row>
    <row r="68" spans="1:11" ht="15" thickBot="1" x14ac:dyDescent="0.35">
      <c r="A68" s="32">
        <v>67</v>
      </c>
      <c r="B68" s="28">
        <v>0.19700000000000001</v>
      </c>
      <c r="C68" s="29">
        <f t="shared" si="4"/>
        <v>0.19700000000000001</v>
      </c>
      <c r="D68" s="28">
        <v>0.64</v>
      </c>
      <c r="E68" s="30" t="str">
        <f t="shared" si="5"/>
        <v>Acceptable</v>
      </c>
      <c r="F68" s="28">
        <v>0.1343</v>
      </c>
      <c r="G68" s="28">
        <v>3</v>
      </c>
      <c r="H68" s="28">
        <v>49</v>
      </c>
      <c r="I68" s="33">
        <v>52</v>
      </c>
      <c r="J68" s="20" t="str">
        <f t="shared" si="6"/>
        <v xml:space="preserve"> </v>
      </c>
      <c r="K68" s="20">
        <f t="shared" si="7"/>
        <v>0</v>
      </c>
    </row>
    <row r="69" spans="1:11" ht="15" thickBot="1" x14ac:dyDescent="0.35">
      <c r="A69" s="32">
        <v>68</v>
      </c>
      <c r="B69" s="28">
        <v>0.1515</v>
      </c>
      <c r="C69" s="29">
        <f t="shared" si="4"/>
        <v>0.1515</v>
      </c>
      <c r="D69" s="28">
        <v>0.69</v>
      </c>
      <c r="E69" s="30" t="str">
        <f t="shared" si="5"/>
        <v>Acceptable</v>
      </c>
      <c r="F69" s="28">
        <v>0.1343</v>
      </c>
      <c r="G69" s="28">
        <v>0</v>
      </c>
      <c r="H69" s="28">
        <v>20</v>
      </c>
      <c r="I69" s="33">
        <v>20</v>
      </c>
      <c r="J69" s="20" t="str">
        <f t="shared" si="6"/>
        <v xml:space="preserve"> </v>
      </c>
      <c r="K69" s="20">
        <f t="shared" si="7"/>
        <v>0</v>
      </c>
    </row>
    <row r="70" spans="1:11" ht="15" thickBot="1" x14ac:dyDescent="0.35">
      <c r="A70" s="32">
        <v>69</v>
      </c>
      <c r="B70" s="28">
        <v>0.21210000000000001</v>
      </c>
      <c r="C70" s="29">
        <f t="shared" si="4"/>
        <v>0.21210000000000001</v>
      </c>
      <c r="D70" s="28">
        <v>0.55000000000000004</v>
      </c>
      <c r="E70" s="30" t="str">
        <f t="shared" si="5"/>
        <v>Acceptable</v>
      </c>
      <c r="F70" s="28">
        <v>0.1045</v>
      </c>
      <c r="G70" s="28">
        <v>1</v>
      </c>
      <c r="H70" s="28">
        <v>11</v>
      </c>
      <c r="I70" s="33">
        <v>12</v>
      </c>
      <c r="J70" s="20" t="str">
        <f t="shared" si="6"/>
        <v xml:space="preserve"> </v>
      </c>
      <c r="K70" s="20">
        <f t="shared" si="7"/>
        <v>0</v>
      </c>
    </row>
    <row r="71" spans="1:11" ht="15" thickBot="1" x14ac:dyDescent="0.35">
      <c r="A71" s="32">
        <v>70</v>
      </c>
      <c r="B71" s="27"/>
      <c r="C71" s="29">
        <f t="shared" si="4"/>
        <v>0.18886777777777777</v>
      </c>
      <c r="D71" s="28">
        <v>0.55000000000000004</v>
      </c>
      <c r="E71" s="30" t="str">
        <f t="shared" si="5"/>
        <v>Acceptable</v>
      </c>
      <c r="F71" s="28">
        <v>0.1045</v>
      </c>
      <c r="G71" s="28">
        <v>0</v>
      </c>
      <c r="H71" s="28">
        <v>5</v>
      </c>
      <c r="I71" s="33">
        <v>5</v>
      </c>
      <c r="J71" s="20" t="str">
        <f t="shared" si="6"/>
        <v xml:space="preserve"> </v>
      </c>
      <c r="K71" s="20">
        <f t="shared" si="7"/>
        <v>1</v>
      </c>
    </row>
    <row r="72" spans="1:11" ht="15" thickBot="1" x14ac:dyDescent="0.35">
      <c r="A72" s="32">
        <v>71</v>
      </c>
      <c r="B72" s="28">
        <v>0.18179999999999999</v>
      </c>
      <c r="C72" s="29">
        <f t="shared" si="4"/>
        <v>0.18179999999999999</v>
      </c>
      <c r="D72" s="28">
        <v>0.59</v>
      </c>
      <c r="E72" s="30" t="str">
        <f t="shared" si="5"/>
        <v>Acceptable</v>
      </c>
      <c r="F72" s="28">
        <v>0.1045</v>
      </c>
      <c r="G72" s="28">
        <v>0</v>
      </c>
      <c r="H72" s="28">
        <v>2</v>
      </c>
      <c r="I72" s="33">
        <v>2</v>
      </c>
      <c r="J72" s="20" t="str">
        <f t="shared" si="6"/>
        <v xml:space="preserve"> </v>
      </c>
      <c r="K72" s="20">
        <f t="shared" si="7"/>
        <v>0</v>
      </c>
    </row>
    <row r="73" spans="1:11" ht="15" thickBot="1" x14ac:dyDescent="0.35">
      <c r="A73" s="32">
        <v>72</v>
      </c>
      <c r="B73" s="28">
        <v>0.1515</v>
      </c>
      <c r="C73" s="29">
        <f t="shared" si="4"/>
        <v>0.1515</v>
      </c>
      <c r="D73" s="28">
        <v>0.63</v>
      </c>
      <c r="E73" s="30" t="str">
        <f t="shared" si="5"/>
        <v>Acceptable</v>
      </c>
      <c r="F73" s="28">
        <v>0.1343</v>
      </c>
      <c r="G73" s="28">
        <v>0</v>
      </c>
      <c r="H73" s="28">
        <v>1</v>
      </c>
      <c r="I73" s="33">
        <v>1</v>
      </c>
      <c r="J73" s="20" t="str">
        <f t="shared" si="6"/>
        <v xml:space="preserve"> </v>
      </c>
      <c r="K73" s="20">
        <f t="shared" si="7"/>
        <v>0</v>
      </c>
    </row>
    <row r="74" spans="1:11" ht="15" thickBot="1" x14ac:dyDescent="0.35">
      <c r="A74" s="32">
        <v>73</v>
      </c>
      <c r="B74" s="28">
        <v>0.18179999999999999</v>
      </c>
      <c r="C74" s="29">
        <f t="shared" si="4"/>
        <v>0.18179999999999999</v>
      </c>
      <c r="D74" s="28">
        <v>0.63</v>
      </c>
      <c r="E74" s="30" t="str">
        <f t="shared" si="5"/>
        <v>Acceptable</v>
      </c>
      <c r="F74" s="28">
        <v>8.9599999999999999E-2</v>
      </c>
      <c r="G74" s="28">
        <v>0</v>
      </c>
      <c r="H74" s="28">
        <v>2</v>
      </c>
      <c r="I74" s="33">
        <v>2</v>
      </c>
      <c r="J74" s="20" t="str">
        <f t="shared" si="6"/>
        <v xml:space="preserve"> </v>
      </c>
      <c r="K74" s="20">
        <f t="shared" si="7"/>
        <v>0</v>
      </c>
    </row>
    <row r="75" spans="1:11" ht="15" thickBot="1" x14ac:dyDescent="0.35">
      <c r="A75" s="32">
        <v>74</v>
      </c>
      <c r="B75" s="28">
        <v>0.1515</v>
      </c>
      <c r="C75" s="29">
        <f t="shared" si="4"/>
        <v>0.1515</v>
      </c>
      <c r="D75" s="28">
        <v>0.68</v>
      </c>
      <c r="E75" s="30" t="str">
        <f t="shared" si="5"/>
        <v>Acceptable</v>
      </c>
      <c r="F75" s="28">
        <v>0.1045</v>
      </c>
      <c r="G75" s="28">
        <v>0</v>
      </c>
      <c r="H75" s="28">
        <v>4</v>
      </c>
      <c r="I75" s="33">
        <v>4</v>
      </c>
      <c r="J75" s="20" t="str">
        <f t="shared" si="6"/>
        <v xml:space="preserve"> </v>
      </c>
      <c r="K75" s="20">
        <f t="shared" si="7"/>
        <v>0</v>
      </c>
    </row>
    <row r="76" spans="1:11" ht="15" thickBot="1" x14ac:dyDescent="0.35">
      <c r="A76" s="32">
        <v>75</v>
      </c>
      <c r="B76" s="28">
        <v>0.1515</v>
      </c>
      <c r="C76" s="29">
        <f t="shared" si="4"/>
        <v>0.1515</v>
      </c>
      <c r="D76" s="28">
        <v>0.74</v>
      </c>
      <c r="E76" s="30" t="str">
        <f t="shared" si="5"/>
        <v>Risky</v>
      </c>
      <c r="F76" s="28">
        <v>0.1045</v>
      </c>
      <c r="G76" s="28">
        <v>0</v>
      </c>
      <c r="H76" s="28">
        <v>36</v>
      </c>
      <c r="I76" s="33">
        <v>36</v>
      </c>
      <c r="J76" s="20" t="str">
        <f t="shared" si="6"/>
        <v xml:space="preserve"> </v>
      </c>
      <c r="K76" s="20">
        <f t="shared" si="7"/>
        <v>0</v>
      </c>
    </row>
    <row r="77" spans="1:11" ht="15" thickBot="1" x14ac:dyDescent="0.35">
      <c r="A77" s="32">
        <v>76</v>
      </c>
      <c r="B77" s="28">
        <v>0.1515</v>
      </c>
      <c r="C77" s="29">
        <f t="shared" si="4"/>
        <v>0.1515</v>
      </c>
      <c r="D77" s="28">
        <v>0.74</v>
      </c>
      <c r="E77" s="30" t="str">
        <f t="shared" si="5"/>
        <v>Risky</v>
      </c>
      <c r="F77" s="28">
        <v>0.1343</v>
      </c>
      <c r="G77" s="28">
        <v>2</v>
      </c>
      <c r="H77" s="28">
        <v>92</v>
      </c>
      <c r="I77" s="33">
        <v>94</v>
      </c>
      <c r="J77" s="20" t="str">
        <f t="shared" si="6"/>
        <v xml:space="preserve"> </v>
      </c>
      <c r="K77" s="20">
        <f t="shared" si="7"/>
        <v>0</v>
      </c>
    </row>
    <row r="78" spans="1:11" ht="15" thickBot="1" x14ac:dyDescent="0.35">
      <c r="A78" s="32">
        <v>77</v>
      </c>
      <c r="B78" s="28">
        <v>0.1515</v>
      </c>
      <c r="C78" s="29">
        <f t="shared" si="4"/>
        <v>0.1515</v>
      </c>
      <c r="D78" s="28">
        <v>0.69</v>
      </c>
      <c r="E78" s="30" t="str">
        <f t="shared" si="5"/>
        <v>Acceptable</v>
      </c>
      <c r="F78" s="28">
        <v>0.16420000000000001</v>
      </c>
      <c r="G78" s="28">
        <v>2</v>
      </c>
      <c r="H78" s="28">
        <v>177</v>
      </c>
      <c r="I78" s="33">
        <v>179</v>
      </c>
      <c r="J78" s="20" t="str">
        <f t="shared" si="6"/>
        <v xml:space="preserve"> </v>
      </c>
      <c r="K78" s="20">
        <f t="shared" si="7"/>
        <v>0</v>
      </c>
    </row>
    <row r="79" spans="1:11" ht="15" thickBot="1" x14ac:dyDescent="0.35">
      <c r="A79" s="32">
        <v>78</v>
      </c>
      <c r="B79" s="28">
        <v>0.1515</v>
      </c>
      <c r="C79" s="29">
        <f t="shared" si="4"/>
        <v>0.1515</v>
      </c>
      <c r="D79" s="28">
        <v>0.64</v>
      </c>
      <c r="E79" s="30" t="str">
        <f t="shared" si="5"/>
        <v>Acceptable</v>
      </c>
      <c r="F79" s="28">
        <v>0.22389999999999999</v>
      </c>
      <c r="G79" s="28">
        <v>2</v>
      </c>
      <c r="H79" s="28">
        <v>98</v>
      </c>
      <c r="I79" s="33">
        <v>100</v>
      </c>
      <c r="J79" s="20" t="str">
        <f t="shared" si="6"/>
        <v xml:space="preserve"> </v>
      </c>
      <c r="K79" s="20">
        <f t="shared" si="7"/>
        <v>0</v>
      </c>
    </row>
    <row r="80" spans="1:11" ht="15" thickBot="1" x14ac:dyDescent="0.35">
      <c r="A80" s="32">
        <v>79</v>
      </c>
      <c r="B80" s="28">
        <v>0.13639999999999999</v>
      </c>
      <c r="C80" s="29">
        <f t="shared" si="4"/>
        <v>0.13639999999999999</v>
      </c>
      <c r="D80" s="28">
        <v>0.69</v>
      </c>
      <c r="E80" s="30" t="str">
        <f t="shared" si="5"/>
        <v>Acceptable</v>
      </c>
      <c r="F80" s="28">
        <v>0.32840000000000003</v>
      </c>
      <c r="G80" s="28">
        <v>5</v>
      </c>
      <c r="H80" s="28">
        <v>37</v>
      </c>
      <c r="I80" s="33">
        <v>42</v>
      </c>
      <c r="J80" s="20" t="str">
        <f t="shared" si="6"/>
        <v xml:space="preserve"> </v>
      </c>
      <c r="K80" s="20">
        <f t="shared" si="7"/>
        <v>0</v>
      </c>
    </row>
    <row r="81" spans="1:11" ht="15" thickBot="1" x14ac:dyDescent="0.35">
      <c r="A81" s="32">
        <v>80</v>
      </c>
      <c r="B81" s="28">
        <v>0.21210000000000001</v>
      </c>
      <c r="C81" s="29">
        <f t="shared" si="4"/>
        <v>0.21210000000000001</v>
      </c>
      <c r="D81" s="28">
        <v>0.51</v>
      </c>
      <c r="E81" s="30" t="str">
        <f t="shared" si="5"/>
        <v>Acceptable</v>
      </c>
      <c r="F81" s="28">
        <v>0.29849999999999999</v>
      </c>
      <c r="G81" s="28">
        <v>7</v>
      </c>
      <c r="H81" s="28">
        <v>50</v>
      </c>
      <c r="I81" s="33">
        <v>57</v>
      </c>
      <c r="J81" s="20" t="str">
        <f t="shared" si="6"/>
        <v xml:space="preserve"> </v>
      </c>
      <c r="K81" s="20">
        <f t="shared" si="7"/>
        <v>0</v>
      </c>
    </row>
    <row r="82" spans="1:11" ht="15" thickBot="1" x14ac:dyDescent="0.35">
      <c r="A82" s="32">
        <v>81</v>
      </c>
      <c r="B82" s="28">
        <v>0.2273</v>
      </c>
      <c r="C82" s="29">
        <f t="shared" si="4"/>
        <v>0.2273</v>
      </c>
      <c r="D82" s="28">
        <v>0.51</v>
      </c>
      <c r="E82" s="30" t="str">
        <f t="shared" si="5"/>
        <v>Acceptable</v>
      </c>
      <c r="F82" s="28">
        <v>0.16420000000000001</v>
      </c>
      <c r="G82" s="28">
        <v>12</v>
      </c>
      <c r="H82" s="28">
        <v>66</v>
      </c>
      <c r="I82" s="33">
        <v>78</v>
      </c>
      <c r="J82" s="20" t="str">
        <f t="shared" si="6"/>
        <v xml:space="preserve"> </v>
      </c>
      <c r="K82" s="20">
        <f t="shared" si="7"/>
        <v>0</v>
      </c>
    </row>
    <row r="83" spans="1:11" ht="15" thickBot="1" x14ac:dyDescent="0.35">
      <c r="A83" s="32">
        <v>82</v>
      </c>
      <c r="B83" s="28">
        <v>0.2273</v>
      </c>
      <c r="C83" s="29">
        <f t="shared" si="4"/>
        <v>0.2273</v>
      </c>
      <c r="D83" s="28">
        <v>0.56000000000000005</v>
      </c>
      <c r="E83" s="30" t="str">
        <f t="shared" si="5"/>
        <v>Acceptable</v>
      </c>
      <c r="F83" s="28">
        <v>0.19400000000000001</v>
      </c>
      <c r="G83" s="28">
        <v>18</v>
      </c>
      <c r="H83" s="28">
        <v>79</v>
      </c>
      <c r="I83" s="33">
        <v>97</v>
      </c>
      <c r="J83" s="20" t="str">
        <f t="shared" si="6"/>
        <v xml:space="preserve"> </v>
      </c>
      <c r="K83" s="20">
        <f t="shared" si="7"/>
        <v>0</v>
      </c>
    </row>
    <row r="84" spans="1:11" ht="15" thickBot="1" x14ac:dyDescent="0.35">
      <c r="A84" s="32">
        <v>83</v>
      </c>
      <c r="B84" s="28">
        <v>0.2576</v>
      </c>
      <c r="C84" s="29">
        <f t="shared" si="4"/>
        <v>0.2576</v>
      </c>
      <c r="D84" s="28">
        <v>0.52</v>
      </c>
      <c r="E84" s="30" t="str">
        <f t="shared" si="5"/>
        <v>Acceptable</v>
      </c>
      <c r="F84" s="28">
        <v>0.22389999999999999</v>
      </c>
      <c r="G84" s="28">
        <v>9</v>
      </c>
      <c r="H84" s="28">
        <v>54</v>
      </c>
      <c r="I84" s="33">
        <v>63</v>
      </c>
      <c r="J84" s="20" t="str">
        <f t="shared" si="6"/>
        <v xml:space="preserve"> </v>
      </c>
      <c r="K84" s="20">
        <f t="shared" si="7"/>
        <v>0</v>
      </c>
    </row>
    <row r="85" spans="1:11" ht="15" thickBot="1" x14ac:dyDescent="0.35">
      <c r="A85" s="32">
        <v>84</v>
      </c>
      <c r="B85" s="28">
        <v>0.2727</v>
      </c>
      <c r="C85" s="29">
        <f t="shared" si="4"/>
        <v>0.2727</v>
      </c>
      <c r="D85" s="28">
        <v>0.52</v>
      </c>
      <c r="E85" s="30" t="str">
        <f t="shared" si="5"/>
        <v>Acceptable</v>
      </c>
      <c r="F85" s="28">
        <v>0.25369999999999998</v>
      </c>
      <c r="G85" s="28">
        <v>17</v>
      </c>
      <c r="H85" s="28">
        <v>48</v>
      </c>
      <c r="I85" s="33">
        <v>65</v>
      </c>
      <c r="J85" s="20" t="str">
        <f t="shared" si="6"/>
        <v xml:space="preserve"> </v>
      </c>
      <c r="K85" s="20">
        <f t="shared" si="7"/>
        <v>0</v>
      </c>
    </row>
    <row r="86" spans="1:11" ht="15" thickBot="1" x14ac:dyDescent="0.35">
      <c r="A86" s="32">
        <v>85</v>
      </c>
      <c r="B86" s="28">
        <v>0.28789999999999999</v>
      </c>
      <c r="C86" s="29">
        <f t="shared" si="4"/>
        <v>0.28789999999999999</v>
      </c>
      <c r="D86" s="28">
        <v>0.49</v>
      </c>
      <c r="E86" s="30" t="str">
        <f t="shared" si="5"/>
        <v>Acceptable</v>
      </c>
      <c r="F86" s="28">
        <v>0.25369999999999998</v>
      </c>
      <c r="G86" s="28">
        <v>15</v>
      </c>
      <c r="H86" s="28">
        <v>68</v>
      </c>
      <c r="I86" s="33">
        <v>83</v>
      </c>
      <c r="J86" s="20" t="str">
        <f t="shared" si="6"/>
        <v xml:space="preserve"> </v>
      </c>
      <c r="K86" s="20">
        <f t="shared" si="7"/>
        <v>0</v>
      </c>
    </row>
    <row r="87" spans="1:11" ht="15" thickBot="1" x14ac:dyDescent="0.35">
      <c r="A87" s="32">
        <v>86</v>
      </c>
      <c r="B87" s="28">
        <v>0.2727</v>
      </c>
      <c r="C87" s="29">
        <f t="shared" si="4"/>
        <v>0.2727</v>
      </c>
      <c r="D87" s="28">
        <v>0.48</v>
      </c>
      <c r="E87" s="30" t="str">
        <f t="shared" si="5"/>
        <v>Acceptable</v>
      </c>
      <c r="F87" s="28">
        <v>0.22389999999999999</v>
      </c>
      <c r="G87" s="28">
        <v>10</v>
      </c>
      <c r="H87" s="28">
        <v>202</v>
      </c>
      <c r="I87" s="33">
        <v>212</v>
      </c>
      <c r="J87" s="20" t="str">
        <f t="shared" si="6"/>
        <v xml:space="preserve"> </v>
      </c>
      <c r="K87" s="20">
        <f t="shared" si="7"/>
        <v>0</v>
      </c>
    </row>
    <row r="88" spans="1:11" ht="15" thickBot="1" x14ac:dyDescent="0.35">
      <c r="A88" s="32">
        <v>87</v>
      </c>
      <c r="B88" s="28">
        <v>0.2576</v>
      </c>
      <c r="C88" s="29">
        <f t="shared" si="4"/>
        <v>0.2576</v>
      </c>
      <c r="D88" s="28">
        <v>0.48</v>
      </c>
      <c r="E88" s="30" t="str">
        <f t="shared" si="5"/>
        <v>Acceptable</v>
      </c>
      <c r="F88" s="28">
        <v>0.19400000000000001</v>
      </c>
      <c r="G88" s="28">
        <v>3</v>
      </c>
      <c r="H88" s="28">
        <v>179</v>
      </c>
      <c r="I88" s="33">
        <v>182</v>
      </c>
      <c r="J88" s="20" t="str">
        <f t="shared" si="6"/>
        <v xml:space="preserve"> </v>
      </c>
      <c r="K88" s="20">
        <f t="shared" si="7"/>
        <v>0</v>
      </c>
    </row>
    <row r="89" spans="1:11" ht="15" thickBot="1" x14ac:dyDescent="0.35">
      <c r="A89" s="32">
        <v>88</v>
      </c>
      <c r="B89" s="28">
        <v>0.2576</v>
      </c>
      <c r="C89" s="29">
        <f t="shared" si="4"/>
        <v>0.2576</v>
      </c>
      <c r="D89" s="28">
        <v>0.48</v>
      </c>
      <c r="E89" s="30" t="str">
        <f t="shared" si="5"/>
        <v>Acceptable</v>
      </c>
      <c r="F89" s="28">
        <v>0.1045</v>
      </c>
      <c r="G89" s="28">
        <v>2</v>
      </c>
      <c r="H89" s="28">
        <v>110</v>
      </c>
      <c r="I89" s="33">
        <v>112</v>
      </c>
      <c r="J89" s="20" t="str">
        <f t="shared" si="6"/>
        <v xml:space="preserve"> </v>
      </c>
      <c r="K89" s="20">
        <f t="shared" si="7"/>
        <v>0</v>
      </c>
    </row>
    <row r="90" spans="1:11" ht="15" thickBot="1" x14ac:dyDescent="0.35">
      <c r="A90" s="32">
        <v>89</v>
      </c>
      <c r="B90" s="28">
        <v>0.2576</v>
      </c>
      <c r="C90" s="29">
        <f t="shared" si="4"/>
        <v>0.2576</v>
      </c>
      <c r="D90" s="28">
        <v>0.48</v>
      </c>
      <c r="E90" s="30" t="str">
        <f t="shared" si="5"/>
        <v>Acceptable</v>
      </c>
      <c r="F90" s="28">
        <v>0.1045</v>
      </c>
      <c r="G90" s="28">
        <v>1</v>
      </c>
      <c r="H90" s="28">
        <v>53</v>
      </c>
      <c r="I90" s="33">
        <v>54</v>
      </c>
      <c r="J90" s="20" t="str">
        <f t="shared" si="6"/>
        <v xml:space="preserve"> </v>
      </c>
      <c r="K90" s="20">
        <f t="shared" si="7"/>
        <v>0</v>
      </c>
    </row>
    <row r="91" spans="1:11" ht="15" thickBot="1" x14ac:dyDescent="0.35">
      <c r="A91" s="32">
        <v>90</v>
      </c>
      <c r="B91" s="28">
        <v>0.2727</v>
      </c>
      <c r="C91" s="29">
        <f t="shared" si="4"/>
        <v>0.2727</v>
      </c>
      <c r="D91" s="28">
        <v>0.64</v>
      </c>
      <c r="E91" s="30" t="str">
        <f t="shared" si="5"/>
        <v>Acceptable</v>
      </c>
      <c r="F91" s="28">
        <v>0</v>
      </c>
      <c r="G91" s="28">
        <v>0</v>
      </c>
      <c r="H91" s="28">
        <v>48</v>
      </c>
      <c r="I91" s="33">
        <v>48</v>
      </c>
      <c r="J91" s="20" t="str">
        <f t="shared" si="6"/>
        <v xml:space="preserve"> </v>
      </c>
      <c r="K91" s="20">
        <f t="shared" si="7"/>
        <v>0</v>
      </c>
    </row>
    <row r="92" spans="1:11" ht="15" thickBot="1" x14ac:dyDescent="0.35">
      <c r="A92" s="32">
        <v>91</v>
      </c>
      <c r="B92" s="28">
        <v>0.2576</v>
      </c>
      <c r="C92" s="29">
        <f t="shared" si="4"/>
        <v>0.2576</v>
      </c>
      <c r="D92" s="28">
        <v>0.64</v>
      </c>
      <c r="E92" s="30" t="str">
        <f t="shared" si="5"/>
        <v>Acceptable</v>
      </c>
      <c r="F92" s="28">
        <v>8.9599999999999999E-2</v>
      </c>
      <c r="G92" s="28">
        <v>1</v>
      </c>
      <c r="H92" s="28">
        <v>34</v>
      </c>
      <c r="I92" s="33">
        <v>35</v>
      </c>
      <c r="J92" s="20" t="str">
        <f t="shared" si="6"/>
        <v xml:space="preserve"> </v>
      </c>
      <c r="K92" s="20">
        <f t="shared" si="7"/>
        <v>0</v>
      </c>
    </row>
    <row r="93" spans="1:11" ht="15" thickBot="1" x14ac:dyDescent="0.35">
      <c r="A93" s="32">
        <v>92</v>
      </c>
      <c r="B93" s="28">
        <v>0.2273</v>
      </c>
      <c r="C93" s="29">
        <f t="shared" si="4"/>
        <v>0.2273</v>
      </c>
      <c r="D93" s="28">
        <v>0.69</v>
      </c>
      <c r="E93" s="30" t="str">
        <f t="shared" si="5"/>
        <v>Acceptable</v>
      </c>
      <c r="F93" s="28">
        <v>8.9599999999999999E-2</v>
      </c>
      <c r="G93" s="28">
        <v>2</v>
      </c>
      <c r="H93" s="28">
        <v>9</v>
      </c>
      <c r="I93" s="33">
        <v>11</v>
      </c>
      <c r="J93" s="20" t="str">
        <f t="shared" si="6"/>
        <v xml:space="preserve"> </v>
      </c>
      <c r="K93" s="20">
        <f t="shared" si="7"/>
        <v>0</v>
      </c>
    </row>
    <row r="94" spans="1:11" ht="15" thickBot="1" x14ac:dyDescent="0.35">
      <c r="A94" s="32">
        <v>93</v>
      </c>
      <c r="B94" s="28">
        <v>0.2576</v>
      </c>
      <c r="C94" s="29">
        <f t="shared" si="4"/>
        <v>0.2576</v>
      </c>
      <c r="D94" s="28">
        <v>0.64</v>
      </c>
      <c r="E94" s="30" t="str">
        <f t="shared" si="5"/>
        <v>Acceptable</v>
      </c>
      <c r="F94" s="28">
        <v>0</v>
      </c>
      <c r="G94" s="28">
        <v>0</v>
      </c>
      <c r="H94" s="28">
        <v>6</v>
      </c>
      <c r="I94" s="33">
        <v>6</v>
      </c>
      <c r="J94" s="20" t="str">
        <f t="shared" si="6"/>
        <v xml:space="preserve"> </v>
      </c>
      <c r="K94" s="20">
        <f t="shared" si="7"/>
        <v>0</v>
      </c>
    </row>
    <row r="95" spans="1:11" ht="15" thickBot="1" x14ac:dyDescent="0.35">
      <c r="A95" s="32">
        <v>94</v>
      </c>
      <c r="B95" s="28">
        <v>0.19700000000000001</v>
      </c>
      <c r="C95" s="29">
        <f t="shared" si="4"/>
        <v>0.19700000000000001</v>
      </c>
      <c r="D95" s="28">
        <v>0.74</v>
      </c>
      <c r="E95" s="30" t="str">
        <f t="shared" si="5"/>
        <v>Risky</v>
      </c>
      <c r="F95" s="28">
        <v>8.9599999999999999E-2</v>
      </c>
      <c r="G95" s="28">
        <v>0</v>
      </c>
      <c r="H95" s="28">
        <v>6</v>
      </c>
      <c r="I95" s="33">
        <v>6</v>
      </c>
      <c r="J95" s="20" t="str">
        <f t="shared" si="6"/>
        <v xml:space="preserve"> </v>
      </c>
      <c r="K95" s="20">
        <f t="shared" si="7"/>
        <v>0</v>
      </c>
    </row>
    <row r="96" spans="1:11" ht="15" thickBot="1" x14ac:dyDescent="0.35">
      <c r="A96" s="32">
        <v>95</v>
      </c>
      <c r="B96" s="28">
        <v>0.19700000000000001</v>
      </c>
      <c r="C96" s="29">
        <f t="shared" si="4"/>
        <v>0.19700000000000001</v>
      </c>
      <c r="D96" s="28">
        <v>0.74</v>
      </c>
      <c r="E96" s="30" t="str">
        <f t="shared" si="5"/>
        <v>Risky</v>
      </c>
      <c r="F96" s="28">
        <v>8.9599999999999999E-2</v>
      </c>
      <c r="G96" s="28">
        <v>0</v>
      </c>
      <c r="H96" s="28">
        <v>2</v>
      </c>
      <c r="I96" s="33">
        <v>2</v>
      </c>
      <c r="J96" s="20" t="str">
        <f t="shared" si="6"/>
        <v xml:space="preserve"> </v>
      </c>
      <c r="K96" s="20">
        <f t="shared" si="7"/>
        <v>0</v>
      </c>
    </row>
    <row r="97" spans="1:11" ht="15" thickBot="1" x14ac:dyDescent="0.35">
      <c r="A97" s="32">
        <v>96</v>
      </c>
      <c r="B97" s="28">
        <v>0.2273</v>
      </c>
      <c r="C97" s="29">
        <f t="shared" si="4"/>
        <v>0.2273</v>
      </c>
      <c r="D97" s="28">
        <v>0.48</v>
      </c>
      <c r="E97" s="30" t="str">
        <f t="shared" si="5"/>
        <v>Acceptable</v>
      </c>
      <c r="F97" s="28">
        <v>0.22389999999999999</v>
      </c>
      <c r="G97" s="28">
        <v>0</v>
      </c>
      <c r="H97" s="28">
        <v>2</v>
      </c>
      <c r="I97" s="33">
        <v>2</v>
      </c>
      <c r="J97" s="20" t="str">
        <f t="shared" si="6"/>
        <v xml:space="preserve"> </v>
      </c>
      <c r="K97" s="20">
        <f t="shared" si="7"/>
        <v>0</v>
      </c>
    </row>
    <row r="98" spans="1:11" ht="15" thickBot="1" x14ac:dyDescent="0.35">
      <c r="A98" s="32">
        <v>97</v>
      </c>
      <c r="B98" s="28">
        <v>0.2273</v>
      </c>
      <c r="C98" s="29">
        <f t="shared" si="4"/>
        <v>0.2273</v>
      </c>
      <c r="D98" s="28">
        <v>0.47</v>
      </c>
      <c r="E98" s="30" t="str">
        <f t="shared" si="5"/>
        <v>Acceptable</v>
      </c>
      <c r="F98" s="28">
        <v>0.16420000000000001</v>
      </c>
      <c r="G98" s="28">
        <v>0</v>
      </c>
      <c r="H98" s="28">
        <v>3</v>
      </c>
      <c r="I98" s="33">
        <v>3</v>
      </c>
      <c r="J98" s="20" t="str">
        <f t="shared" si="6"/>
        <v xml:space="preserve"> </v>
      </c>
      <c r="K98" s="20">
        <f t="shared" si="7"/>
        <v>0</v>
      </c>
    </row>
    <row r="99" spans="1:11" ht="15" thickBot="1" x14ac:dyDescent="0.35">
      <c r="A99" s="32">
        <v>98</v>
      </c>
      <c r="B99" s="28">
        <v>0.19700000000000001</v>
      </c>
      <c r="C99" s="29">
        <f t="shared" si="4"/>
        <v>0.19700000000000001</v>
      </c>
      <c r="D99" s="28">
        <v>0.47</v>
      </c>
      <c r="E99" s="30" t="str">
        <f t="shared" si="5"/>
        <v>Acceptable</v>
      </c>
      <c r="F99" s="28">
        <v>0.22389999999999999</v>
      </c>
      <c r="G99" s="28">
        <v>0</v>
      </c>
      <c r="H99" s="28">
        <v>33</v>
      </c>
      <c r="I99" s="33">
        <v>33</v>
      </c>
      <c r="J99" s="20" t="str">
        <f t="shared" si="6"/>
        <v xml:space="preserve"> </v>
      </c>
      <c r="K99" s="20">
        <f t="shared" si="7"/>
        <v>0</v>
      </c>
    </row>
    <row r="100" spans="1:11" ht="15" thickBot="1" x14ac:dyDescent="0.35">
      <c r="A100" s="32">
        <v>99</v>
      </c>
      <c r="B100" s="28">
        <v>0.18179999999999999</v>
      </c>
      <c r="C100" s="29">
        <f t="shared" si="4"/>
        <v>0.18179999999999999</v>
      </c>
      <c r="D100" s="28">
        <v>0.43</v>
      </c>
      <c r="E100" s="30" t="str">
        <f t="shared" si="5"/>
        <v>Acceptable</v>
      </c>
      <c r="F100" s="28">
        <v>0.19400000000000001</v>
      </c>
      <c r="G100" s="28">
        <v>1</v>
      </c>
      <c r="H100" s="28">
        <v>87</v>
      </c>
      <c r="I100" s="33">
        <v>88</v>
      </c>
      <c r="J100" s="20" t="str">
        <f t="shared" si="6"/>
        <v xml:space="preserve"> </v>
      </c>
      <c r="K100" s="20">
        <f t="shared" si="7"/>
        <v>0</v>
      </c>
    </row>
    <row r="101" spans="1:11" ht="15" thickBot="1" x14ac:dyDescent="0.35">
      <c r="A101" s="32">
        <v>100</v>
      </c>
      <c r="B101" s="28">
        <v>0.18179999999999999</v>
      </c>
      <c r="C101" s="29">
        <f t="shared" si="4"/>
        <v>0.18179999999999999</v>
      </c>
      <c r="D101" s="28">
        <v>0.4</v>
      </c>
      <c r="E101" s="30" t="str">
        <f t="shared" si="5"/>
        <v>Acceptable</v>
      </c>
      <c r="F101" s="28">
        <v>0.29849999999999999</v>
      </c>
      <c r="G101" s="28">
        <v>3</v>
      </c>
      <c r="H101" s="28">
        <v>192</v>
      </c>
      <c r="I101" s="33">
        <v>195</v>
      </c>
      <c r="J101" s="20" t="str">
        <f t="shared" si="6"/>
        <v xml:space="preserve"> </v>
      </c>
      <c r="K101" s="20">
        <f t="shared" si="7"/>
        <v>0</v>
      </c>
    </row>
    <row r="102" spans="1:11" ht="15" thickBot="1" x14ac:dyDescent="0.35">
      <c r="A102" s="32">
        <v>101</v>
      </c>
      <c r="B102" s="28">
        <v>0.19700000000000001</v>
      </c>
      <c r="C102" s="29">
        <f t="shared" si="4"/>
        <v>0.19700000000000001</v>
      </c>
      <c r="D102" s="28">
        <v>0.37</v>
      </c>
      <c r="E102" s="30" t="str">
        <f t="shared" si="5"/>
        <v>Acceptable</v>
      </c>
      <c r="F102" s="28">
        <v>0.32840000000000003</v>
      </c>
      <c r="G102" s="28">
        <v>6</v>
      </c>
      <c r="H102" s="28">
        <v>109</v>
      </c>
      <c r="I102" s="33">
        <v>115</v>
      </c>
      <c r="J102" s="20" t="str">
        <f t="shared" si="6"/>
        <v xml:space="preserve"> </v>
      </c>
      <c r="K102" s="20">
        <f t="shared" si="7"/>
        <v>0</v>
      </c>
    </row>
    <row r="103" spans="1:11" ht="15" thickBot="1" x14ac:dyDescent="0.35">
      <c r="A103" s="32">
        <v>102</v>
      </c>
      <c r="B103" s="28">
        <v>0.19700000000000001</v>
      </c>
      <c r="C103" s="29">
        <f t="shared" si="4"/>
        <v>0.19700000000000001</v>
      </c>
      <c r="D103" s="28">
        <v>0.37</v>
      </c>
      <c r="E103" s="30" t="str">
        <f t="shared" si="5"/>
        <v>Acceptable</v>
      </c>
      <c r="F103" s="28">
        <v>0.32840000000000003</v>
      </c>
      <c r="G103" s="28">
        <v>4</v>
      </c>
      <c r="H103" s="28">
        <v>53</v>
      </c>
      <c r="I103" s="33">
        <v>57</v>
      </c>
      <c r="J103" s="20" t="str">
        <f t="shared" si="6"/>
        <v xml:space="preserve"> </v>
      </c>
      <c r="K103" s="20">
        <f t="shared" si="7"/>
        <v>0</v>
      </c>
    </row>
    <row r="104" spans="1:11" ht="15" thickBot="1" x14ac:dyDescent="0.35">
      <c r="A104" s="32">
        <v>103</v>
      </c>
      <c r="B104" s="28">
        <v>0.2273</v>
      </c>
      <c r="C104" s="29">
        <f t="shared" si="4"/>
        <v>0.2273</v>
      </c>
      <c r="D104" s="28">
        <v>0.33</v>
      </c>
      <c r="E104" s="30" t="str">
        <f t="shared" si="5"/>
        <v>Acceptable</v>
      </c>
      <c r="F104" s="28">
        <v>0.32840000000000003</v>
      </c>
      <c r="G104" s="28">
        <v>12</v>
      </c>
      <c r="H104" s="28">
        <v>34</v>
      </c>
      <c r="I104" s="33">
        <v>46</v>
      </c>
      <c r="J104" s="20" t="str">
        <f t="shared" si="6"/>
        <v xml:space="preserve"> </v>
      </c>
      <c r="K104" s="20">
        <f t="shared" si="7"/>
        <v>0</v>
      </c>
    </row>
    <row r="105" spans="1:11" ht="15" thickBot="1" x14ac:dyDescent="0.35">
      <c r="A105" s="32">
        <v>104</v>
      </c>
      <c r="B105" s="28">
        <v>0.2273</v>
      </c>
      <c r="C105" s="29">
        <f t="shared" si="4"/>
        <v>0.2273</v>
      </c>
      <c r="D105" s="28">
        <v>0.33</v>
      </c>
      <c r="E105" s="30" t="str">
        <f t="shared" si="5"/>
        <v>Acceptable</v>
      </c>
      <c r="F105" s="28">
        <v>0.32840000000000003</v>
      </c>
      <c r="G105" s="28">
        <v>5</v>
      </c>
      <c r="H105" s="28">
        <v>74</v>
      </c>
      <c r="I105" s="33">
        <v>79</v>
      </c>
      <c r="J105" s="20" t="str">
        <f t="shared" si="6"/>
        <v xml:space="preserve"> </v>
      </c>
      <c r="K105" s="20">
        <f t="shared" si="7"/>
        <v>0</v>
      </c>
    </row>
    <row r="106" spans="1:11" ht="15" thickBot="1" x14ac:dyDescent="0.35">
      <c r="A106" s="32">
        <v>105</v>
      </c>
      <c r="B106" s="28">
        <v>0.2576</v>
      </c>
      <c r="C106" s="29">
        <f t="shared" si="4"/>
        <v>0.2576</v>
      </c>
      <c r="D106" s="28">
        <v>0.3</v>
      </c>
      <c r="E106" s="30" t="str">
        <f t="shared" si="5"/>
        <v>Acceptable</v>
      </c>
      <c r="F106" s="28">
        <v>0.29849999999999999</v>
      </c>
      <c r="G106" s="28">
        <v>6</v>
      </c>
      <c r="H106" s="28">
        <v>65</v>
      </c>
      <c r="I106" s="33">
        <v>71</v>
      </c>
      <c r="J106" s="20" t="str">
        <f t="shared" si="6"/>
        <v xml:space="preserve"> </v>
      </c>
      <c r="K106" s="20">
        <f t="shared" si="7"/>
        <v>0</v>
      </c>
    </row>
    <row r="107" spans="1:11" ht="15" thickBot="1" x14ac:dyDescent="0.35">
      <c r="A107" s="32">
        <v>106</v>
      </c>
      <c r="B107" s="28">
        <v>0.28789999999999999</v>
      </c>
      <c r="C107" s="29">
        <f t="shared" si="4"/>
        <v>0.28789999999999999</v>
      </c>
      <c r="D107" s="28">
        <v>0.28000000000000003</v>
      </c>
      <c r="E107" s="30" t="str">
        <f t="shared" si="5"/>
        <v>Acceptable</v>
      </c>
      <c r="F107" s="28">
        <v>0.19400000000000001</v>
      </c>
      <c r="G107" s="28">
        <v>10</v>
      </c>
      <c r="H107" s="28">
        <v>52</v>
      </c>
      <c r="I107" s="33">
        <v>62</v>
      </c>
      <c r="J107" s="20" t="str">
        <f t="shared" si="6"/>
        <v xml:space="preserve"> </v>
      </c>
      <c r="K107" s="20">
        <f t="shared" si="7"/>
        <v>0</v>
      </c>
    </row>
    <row r="108" spans="1:11" ht="15" thickBot="1" x14ac:dyDescent="0.35">
      <c r="A108" s="32">
        <v>107</v>
      </c>
      <c r="B108" s="28">
        <v>0.28789999999999999</v>
      </c>
      <c r="C108" s="29">
        <f t="shared" si="4"/>
        <v>0.28789999999999999</v>
      </c>
      <c r="D108" s="28">
        <v>0.28000000000000003</v>
      </c>
      <c r="E108" s="30" t="str">
        <f t="shared" si="5"/>
        <v>Acceptable</v>
      </c>
      <c r="F108" s="28">
        <v>0.19400000000000001</v>
      </c>
      <c r="G108" s="28">
        <v>7</v>
      </c>
      <c r="H108" s="28">
        <v>55</v>
      </c>
      <c r="I108" s="33">
        <v>62</v>
      </c>
      <c r="J108" s="20" t="str">
        <f t="shared" si="6"/>
        <v xml:space="preserve"> </v>
      </c>
      <c r="K108" s="20">
        <f t="shared" si="7"/>
        <v>0</v>
      </c>
    </row>
    <row r="109" spans="1:11" ht="15" thickBot="1" x14ac:dyDescent="0.35">
      <c r="A109" s="32">
        <v>108</v>
      </c>
      <c r="B109" s="28">
        <v>0.31819999999999998</v>
      </c>
      <c r="C109" s="29">
        <f t="shared" si="4"/>
        <v>0.31819999999999998</v>
      </c>
      <c r="D109" s="28">
        <v>0.28000000000000003</v>
      </c>
      <c r="E109" s="30" t="str">
        <f t="shared" si="5"/>
        <v>Acceptable</v>
      </c>
      <c r="F109" s="28">
        <v>8.9599999999999999E-2</v>
      </c>
      <c r="G109" s="28">
        <v>4</v>
      </c>
      <c r="H109" s="28">
        <v>85</v>
      </c>
      <c r="I109" s="33">
        <v>89</v>
      </c>
      <c r="J109" s="20" t="str">
        <f t="shared" si="6"/>
        <v xml:space="preserve"> </v>
      </c>
      <c r="K109" s="20">
        <f t="shared" si="7"/>
        <v>0</v>
      </c>
    </row>
    <row r="110" spans="1:11" ht="15" thickBot="1" x14ac:dyDescent="0.35">
      <c r="A110" s="32">
        <v>109</v>
      </c>
      <c r="B110" s="28">
        <v>0.2273</v>
      </c>
      <c r="C110" s="29">
        <f t="shared" si="4"/>
        <v>0.2273</v>
      </c>
      <c r="D110" s="28">
        <v>0.38</v>
      </c>
      <c r="E110" s="30" t="str">
        <f t="shared" si="5"/>
        <v>Acceptable</v>
      </c>
      <c r="F110" s="28">
        <v>0.19400000000000001</v>
      </c>
      <c r="G110" s="28">
        <v>4</v>
      </c>
      <c r="H110" s="28">
        <v>186</v>
      </c>
      <c r="I110" s="33">
        <v>190</v>
      </c>
      <c r="J110" s="20" t="str">
        <f t="shared" si="6"/>
        <v xml:space="preserve"> </v>
      </c>
      <c r="K110" s="20">
        <f t="shared" si="7"/>
        <v>0</v>
      </c>
    </row>
    <row r="111" spans="1:11" ht="15" thickBot="1" x14ac:dyDescent="0.35">
      <c r="A111" s="32">
        <v>110</v>
      </c>
      <c r="B111" s="28">
        <v>0.2424</v>
      </c>
      <c r="C111" s="29">
        <f t="shared" si="4"/>
        <v>0.2424</v>
      </c>
      <c r="D111" s="28">
        <v>0.38</v>
      </c>
      <c r="E111" s="30" t="str">
        <f t="shared" si="5"/>
        <v>Acceptable</v>
      </c>
      <c r="F111" s="28">
        <v>0.1343</v>
      </c>
      <c r="G111" s="28">
        <v>3</v>
      </c>
      <c r="H111" s="28">
        <v>166</v>
      </c>
      <c r="I111" s="33">
        <v>169</v>
      </c>
      <c r="J111" s="20" t="str">
        <f t="shared" si="6"/>
        <v xml:space="preserve"> </v>
      </c>
      <c r="K111" s="20">
        <f t="shared" si="7"/>
        <v>0</v>
      </c>
    </row>
    <row r="112" spans="1:11" ht="15" thickBot="1" x14ac:dyDescent="0.35">
      <c r="A112" s="32">
        <v>111</v>
      </c>
      <c r="B112" s="28">
        <v>0.2576</v>
      </c>
      <c r="C112" s="29">
        <f t="shared" si="4"/>
        <v>0.2576</v>
      </c>
      <c r="D112" s="28">
        <v>0.38</v>
      </c>
      <c r="E112" s="30" t="str">
        <f t="shared" si="5"/>
        <v>Acceptable</v>
      </c>
      <c r="F112" s="28">
        <v>0.1045</v>
      </c>
      <c r="G112" s="28">
        <v>5</v>
      </c>
      <c r="H112" s="28">
        <v>127</v>
      </c>
      <c r="I112" s="33">
        <v>132</v>
      </c>
      <c r="J112" s="20" t="str">
        <f t="shared" si="6"/>
        <v xml:space="preserve"> </v>
      </c>
      <c r="K112" s="20">
        <f t="shared" si="7"/>
        <v>0</v>
      </c>
    </row>
    <row r="113" spans="1:11" ht="15" thickBot="1" x14ac:dyDescent="0.35">
      <c r="A113" s="32">
        <v>112</v>
      </c>
      <c r="B113" s="28">
        <v>0.2273</v>
      </c>
      <c r="C113" s="29">
        <f t="shared" si="4"/>
        <v>0.2273</v>
      </c>
      <c r="D113" s="28">
        <v>0.47</v>
      </c>
      <c r="E113" s="30" t="str">
        <f t="shared" si="5"/>
        <v>Acceptable</v>
      </c>
      <c r="F113" s="28">
        <v>0.16420000000000001</v>
      </c>
      <c r="G113" s="28">
        <v>7</v>
      </c>
      <c r="H113" s="28">
        <v>82</v>
      </c>
      <c r="I113" s="33">
        <v>89</v>
      </c>
      <c r="J113" s="20" t="str">
        <f t="shared" si="6"/>
        <v xml:space="preserve"> </v>
      </c>
      <c r="K113" s="20">
        <f t="shared" si="7"/>
        <v>0</v>
      </c>
    </row>
    <row r="114" spans="1:11" ht="15" thickBot="1" x14ac:dyDescent="0.35">
      <c r="A114" s="32">
        <v>113</v>
      </c>
      <c r="B114" s="28">
        <v>0.19700000000000001</v>
      </c>
      <c r="C114" s="29">
        <f t="shared" si="4"/>
        <v>0.19700000000000001</v>
      </c>
      <c r="D114" s="28">
        <v>0.51</v>
      </c>
      <c r="E114" s="30" t="str">
        <f t="shared" si="5"/>
        <v>Acceptable</v>
      </c>
      <c r="F114" s="28">
        <v>0.19400000000000001</v>
      </c>
      <c r="G114" s="28">
        <v>3</v>
      </c>
      <c r="H114" s="28">
        <v>40</v>
      </c>
      <c r="I114" s="33">
        <v>43</v>
      </c>
      <c r="J114" s="20" t="str">
        <f t="shared" si="6"/>
        <v xml:space="preserve"> </v>
      </c>
      <c r="K114" s="20">
        <f t="shared" si="7"/>
        <v>0</v>
      </c>
    </row>
    <row r="115" spans="1:11" ht="15" thickBot="1" x14ac:dyDescent="0.35">
      <c r="A115" s="32">
        <v>114</v>
      </c>
      <c r="B115" s="28">
        <v>0.19700000000000001</v>
      </c>
      <c r="C115" s="29">
        <f t="shared" si="4"/>
        <v>0.19700000000000001</v>
      </c>
      <c r="D115" s="28">
        <v>0.55000000000000004</v>
      </c>
      <c r="E115" s="30" t="str">
        <f t="shared" si="5"/>
        <v>Acceptable</v>
      </c>
      <c r="F115" s="28">
        <v>0.1343</v>
      </c>
      <c r="G115" s="28">
        <v>1</v>
      </c>
      <c r="H115" s="28">
        <v>41</v>
      </c>
      <c r="I115" s="33">
        <v>42</v>
      </c>
      <c r="J115" s="20" t="str">
        <f t="shared" si="6"/>
        <v xml:space="preserve"> </v>
      </c>
      <c r="K115" s="20">
        <f t="shared" si="7"/>
        <v>0</v>
      </c>
    </row>
    <row r="116" spans="1:11" ht="15" thickBot="1" x14ac:dyDescent="0.35">
      <c r="A116" s="32">
        <v>115</v>
      </c>
      <c r="B116" s="28">
        <v>0.2576</v>
      </c>
      <c r="C116" s="29">
        <f t="shared" si="4"/>
        <v>0.2576</v>
      </c>
      <c r="D116" s="28">
        <v>0.47</v>
      </c>
      <c r="E116" s="30" t="str">
        <f t="shared" si="5"/>
        <v>Acceptable</v>
      </c>
      <c r="F116" s="28">
        <v>0</v>
      </c>
      <c r="G116" s="28">
        <v>1</v>
      </c>
      <c r="H116" s="28">
        <v>18</v>
      </c>
      <c r="I116" s="33">
        <v>19</v>
      </c>
      <c r="J116" s="20" t="str">
        <f t="shared" si="6"/>
        <v xml:space="preserve"> </v>
      </c>
      <c r="K116" s="20">
        <f t="shared" si="7"/>
        <v>0</v>
      </c>
    </row>
    <row r="117" spans="1:11" ht="15" thickBot="1" x14ac:dyDescent="0.35">
      <c r="A117" s="32">
        <v>116</v>
      </c>
      <c r="B117" s="28">
        <v>0.2424</v>
      </c>
      <c r="C117" s="29">
        <f t="shared" si="4"/>
        <v>0.2424</v>
      </c>
      <c r="D117" s="28">
        <v>0.55000000000000004</v>
      </c>
      <c r="E117" s="30" t="str">
        <f t="shared" si="5"/>
        <v>Acceptable</v>
      </c>
      <c r="F117" s="28">
        <v>0</v>
      </c>
      <c r="G117" s="28">
        <v>0</v>
      </c>
      <c r="H117" s="28">
        <v>11</v>
      </c>
      <c r="I117" s="33">
        <v>11</v>
      </c>
      <c r="J117" s="20" t="str">
        <f t="shared" si="6"/>
        <v xml:space="preserve"> </v>
      </c>
      <c r="K117" s="20">
        <f t="shared" si="7"/>
        <v>0</v>
      </c>
    </row>
    <row r="118" spans="1:11" ht="15" thickBot="1" x14ac:dyDescent="0.35">
      <c r="A118" s="32">
        <v>117</v>
      </c>
      <c r="B118" s="28">
        <v>0.2273</v>
      </c>
      <c r="C118" s="29">
        <f t="shared" si="4"/>
        <v>0.2273</v>
      </c>
      <c r="D118" s="28">
        <v>0.64</v>
      </c>
      <c r="E118" s="30" t="str">
        <f t="shared" si="5"/>
        <v>Acceptable</v>
      </c>
      <c r="F118" s="28">
        <v>0</v>
      </c>
      <c r="G118" s="28">
        <v>0</v>
      </c>
      <c r="H118" s="28">
        <v>4</v>
      </c>
      <c r="I118" s="33">
        <v>4</v>
      </c>
      <c r="J118" s="20" t="str">
        <f t="shared" si="6"/>
        <v xml:space="preserve"> </v>
      </c>
      <c r="K118" s="20">
        <f t="shared" si="7"/>
        <v>0</v>
      </c>
    </row>
    <row r="119" spans="1:11" ht="15" thickBot="1" x14ac:dyDescent="0.35">
      <c r="A119" s="32">
        <v>118</v>
      </c>
      <c r="B119" s="28">
        <v>0.2273</v>
      </c>
      <c r="C119" s="29">
        <f t="shared" si="4"/>
        <v>0.2273</v>
      </c>
      <c r="D119" s="28">
        <v>0.64</v>
      </c>
      <c r="E119" s="30" t="str">
        <f t="shared" si="5"/>
        <v>Acceptable</v>
      </c>
      <c r="F119" s="28">
        <v>0</v>
      </c>
      <c r="G119" s="28">
        <v>0</v>
      </c>
      <c r="H119" s="28">
        <v>2</v>
      </c>
      <c r="I119" s="33">
        <v>2</v>
      </c>
      <c r="J119" s="20" t="str">
        <f t="shared" si="6"/>
        <v xml:space="preserve"> </v>
      </c>
      <c r="K119" s="20">
        <f t="shared" si="7"/>
        <v>0</v>
      </c>
    </row>
    <row r="120" spans="1:11" ht="15" thickBot="1" x14ac:dyDescent="0.35">
      <c r="A120" s="32">
        <v>119</v>
      </c>
      <c r="B120" s="28">
        <v>0.19700000000000001</v>
      </c>
      <c r="C120" s="29">
        <f t="shared" si="4"/>
        <v>0.19700000000000001</v>
      </c>
      <c r="D120" s="28">
        <v>0.64</v>
      </c>
      <c r="E120" s="30" t="str">
        <f t="shared" si="5"/>
        <v>Acceptable</v>
      </c>
      <c r="F120" s="28">
        <v>8.9599999999999999E-2</v>
      </c>
      <c r="G120" s="28">
        <v>0</v>
      </c>
      <c r="H120" s="28">
        <v>1</v>
      </c>
      <c r="I120" s="33">
        <v>1</v>
      </c>
      <c r="J120" s="20" t="str">
        <f t="shared" si="6"/>
        <v xml:space="preserve"> </v>
      </c>
      <c r="K120" s="20">
        <f t="shared" si="7"/>
        <v>0</v>
      </c>
    </row>
    <row r="121" spans="1:11" ht="15" thickBot="1" x14ac:dyDescent="0.35">
      <c r="A121" s="32">
        <v>120</v>
      </c>
      <c r="B121" s="28">
        <v>0.18179999999999999</v>
      </c>
      <c r="C121" s="29">
        <f t="shared" si="4"/>
        <v>0.18179999999999999</v>
      </c>
      <c r="D121" s="28">
        <v>0.69</v>
      </c>
      <c r="E121" s="30" t="str">
        <f t="shared" si="5"/>
        <v>Acceptable</v>
      </c>
      <c r="F121" s="28">
        <v>8.9599999999999999E-2</v>
      </c>
      <c r="G121" s="28">
        <v>0</v>
      </c>
      <c r="H121" s="28">
        <v>4</v>
      </c>
      <c r="I121" s="33">
        <v>4</v>
      </c>
      <c r="J121" s="20" t="str">
        <f t="shared" si="6"/>
        <v xml:space="preserve"> </v>
      </c>
      <c r="K121" s="20">
        <f t="shared" si="7"/>
        <v>0</v>
      </c>
    </row>
    <row r="122" spans="1:11" ht="15" thickBot="1" x14ac:dyDescent="0.35">
      <c r="A122" s="32">
        <v>121</v>
      </c>
      <c r="B122" s="28">
        <v>0.16669999999999999</v>
      </c>
      <c r="C122" s="29">
        <f t="shared" si="4"/>
        <v>0.16669999999999999</v>
      </c>
      <c r="D122" s="28">
        <v>0.63</v>
      </c>
      <c r="E122" s="30" t="str">
        <f t="shared" si="5"/>
        <v>Acceptable</v>
      </c>
      <c r="F122" s="28">
        <v>0.1045</v>
      </c>
      <c r="G122" s="28">
        <v>0</v>
      </c>
      <c r="H122" s="28">
        <v>36</v>
      </c>
      <c r="I122" s="33">
        <v>36</v>
      </c>
      <c r="J122" s="20" t="str">
        <f t="shared" si="6"/>
        <v xml:space="preserve"> </v>
      </c>
      <c r="K122" s="20">
        <f t="shared" si="7"/>
        <v>0</v>
      </c>
    </row>
    <row r="123" spans="1:11" ht="15" thickBot="1" x14ac:dyDescent="0.35">
      <c r="A123" s="32">
        <v>122</v>
      </c>
      <c r="B123" s="28">
        <v>0.2273</v>
      </c>
      <c r="C123" s="29">
        <f t="shared" si="4"/>
        <v>0.2273</v>
      </c>
      <c r="D123" s="28">
        <v>0.59</v>
      </c>
      <c r="E123" s="30" t="str">
        <f t="shared" si="5"/>
        <v>Acceptable</v>
      </c>
      <c r="F123" s="28">
        <v>0</v>
      </c>
      <c r="G123" s="28">
        <v>0</v>
      </c>
      <c r="H123" s="28">
        <v>95</v>
      </c>
      <c r="I123" s="33">
        <v>95</v>
      </c>
      <c r="J123" s="20" t="str">
        <f t="shared" si="6"/>
        <v xml:space="preserve"> </v>
      </c>
      <c r="K123" s="20">
        <f t="shared" si="7"/>
        <v>0</v>
      </c>
    </row>
    <row r="124" spans="1:11" ht="15" thickBot="1" x14ac:dyDescent="0.35">
      <c r="A124" s="32">
        <v>123</v>
      </c>
      <c r="B124" s="28">
        <v>0.2273</v>
      </c>
      <c r="C124" s="29">
        <f t="shared" si="4"/>
        <v>0.2273</v>
      </c>
      <c r="D124" s="28">
        <v>0.59</v>
      </c>
      <c r="E124" s="30" t="str">
        <f t="shared" si="5"/>
        <v>Acceptable</v>
      </c>
      <c r="F124" s="28">
        <v>0</v>
      </c>
      <c r="G124" s="28">
        <v>3</v>
      </c>
      <c r="H124" s="28">
        <v>216</v>
      </c>
      <c r="I124" s="33">
        <v>219</v>
      </c>
      <c r="J124" s="20" t="str">
        <f t="shared" si="6"/>
        <v xml:space="preserve"> </v>
      </c>
      <c r="K124" s="20">
        <f t="shared" si="7"/>
        <v>0</v>
      </c>
    </row>
    <row r="125" spans="1:11" ht="15" thickBot="1" x14ac:dyDescent="0.35">
      <c r="A125" s="32">
        <v>124</v>
      </c>
      <c r="B125" s="28">
        <v>0.2424</v>
      </c>
      <c r="C125" s="29">
        <f t="shared" si="4"/>
        <v>0.2424</v>
      </c>
      <c r="D125" s="28">
        <v>0.51</v>
      </c>
      <c r="E125" s="30" t="str">
        <f t="shared" si="5"/>
        <v>Acceptable</v>
      </c>
      <c r="F125" s="28">
        <v>0</v>
      </c>
      <c r="G125" s="28">
        <v>6</v>
      </c>
      <c r="H125" s="28">
        <v>116</v>
      </c>
      <c r="I125" s="33">
        <v>122</v>
      </c>
      <c r="J125" s="20" t="str">
        <f t="shared" si="6"/>
        <v xml:space="preserve"> </v>
      </c>
      <c r="K125" s="20">
        <f t="shared" si="7"/>
        <v>0</v>
      </c>
    </row>
    <row r="126" spans="1:11" ht="15" thickBot="1" x14ac:dyDescent="0.35">
      <c r="A126" s="32">
        <v>125</v>
      </c>
      <c r="B126" s="28">
        <v>0.2576</v>
      </c>
      <c r="C126" s="29">
        <f t="shared" si="4"/>
        <v>0.2576</v>
      </c>
      <c r="D126" s="28">
        <v>0.47</v>
      </c>
      <c r="E126" s="30" t="str">
        <f t="shared" si="5"/>
        <v>Acceptable</v>
      </c>
      <c r="F126" s="28">
        <v>0</v>
      </c>
      <c r="G126" s="28">
        <v>3</v>
      </c>
      <c r="H126" s="28">
        <v>42</v>
      </c>
      <c r="I126" s="33">
        <v>45</v>
      </c>
      <c r="J126" s="20" t="str">
        <f t="shared" si="6"/>
        <v xml:space="preserve"> </v>
      </c>
      <c r="K126" s="20">
        <f t="shared" si="7"/>
        <v>0</v>
      </c>
    </row>
    <row r="127" spans="1:11" ht="15" thickBot="1" x14ac:dyDescent="0.35">
      <c r="A127" s="32">
        <v>126</v>
      </c>
      <c r="B127" s="28">
        <v>0.2576</v>
      </c>
      <c r="C127" s="29">
        <f t="shared" si="4"/>
        <v>0.2576</v>
      </c>
      <c r="D127" s="28">
        <v>0.44</v>
      </c>
      <c r="E127" s="30" t="str">
        <f t="shared" si="5"/>
        <v>Acceptable</v>
      </c>
      <c r="F127" s="28">
        <v>8.9599999999999999E-2</v>
      </c>
      <c r="G127" s="28">
        <v>2</v>
      </c>
      <c r="H127" s="28">
        <v>57</v>
      </c>
      <c r="I127" s="33">
        <v>59</v>
      </c>
      <c r="J127" s="20" t="str">
        <f t="shared" si="6"/>
        <v xml:space="preserve"> </v>
      </c>
      <c r="K127" s="20">
        <f t="shared" si="7"/>
        <v>0</v>
      </c>
    </row>
    <row r="128" spans="1:11" ht="15" thickBot="1" x14ac:dyDescent="0.35">
      <c r="A128" s="32">
        <v>127</v>
      </c>
      <c r="B128" s="28">
        <v>0.28789999999999999</v>
      </c>
      <c r="C128" s="29">
        <f t="shared" si="4"/>
        <v>0.28789999999999999</v>
      </c>
      <c r="D128" s="28">
        <v>0.35</v>
      </c>
      <c r="E128" s="30" t="str">
        <f t="shared" si="5"/>
        <v>Acceptable</v>
      </c>
      <c r="F128" s="28">
        <v>0</v>
      </c>
      <c r="G128" s="28">
        <v>6</v>
      </c>
      <c r="H128" s="28">
        <v>78</v>
      </c>
      <c r="I128" s="33">
        <v>84</v>
      </c>
      <c r="J128" s="20" t="str">
        <f t="shared" si="6"/>
        <v xml:space="preserve"> </v>
      </c>
      <c r="K128" s="20">
        <f t="shared" si="7"/>
        <v>0</v>
      </c>
    </row>
    <row r="129" spans="1:11" ht="15" thickBot="1" x14ac:dyDescent="0.35">
      <c r="A129" s="32">
        <v>128</v>
      </c>
      <c r="B129" s="28">
        <v>0.2727</v>
      </c>
      <c r="C129" s="29">
        <f t="shared" si="4"/>
        <v>0.2727</v>
      </c>
      <c r="D129" s="28">
        <v>0.35</v>
      </c>
      <c r="E129" s="30" t="str">
        <f t="shared" si="5"/>
        <v>Acceptable</v>
      </c>
      <c r="F129" s="28">
        <v>0.1045</v>
      </c>
      <c r="G129" s="28">
        <v>12</v>
      </c>
      <c r="H129" s="28">
        <v>55</v>
      </c>
      <c r="I129" s="33">
        <v>67</v>
      </c>
      <c r="J129" s="20" t="str">
        <f t="shared" si="6"/>
        <v xml:space="preserve"> </v>
      </c>
      <c r="K129" s="20">
        <f t="shared" si="7"/>
        <v>0</v>
      </c>
    </row>
    <row r="130" spans="1:11" ht="15" thickBot="1" x14ac:dyDescent="0.35">
      <c r="A130" s="32">
        <v>129</v>
      </c>
      <c r="B130" s="28">
        <v>0.2727</v>
      </c>
      <c r="C130" s="29">
        <f t="shared" si="4"/>
        <v>0.2727</v>
      </c>
      <c r="D130" s="28">
        <v>0.36</v>
      </c>
      <c r="E130" s="30" t="str">
        <f t="shared" si="5"/>
        <v>Acceptable</v>
      </c>
      <c r="F130" s="28">
        <v>0.16420000000000001</v>
      </c>
      <c r="G130" s="28">
        <v>11</v>
      </c>
      <c r="H130" s="28">
        <v>59</v>
      </c>
      <c r="I130" s="33">
        <v>70</v>
      </c>
      <c r="J130" s="20" t="str">
        <f t="shared" si="6"/>
        <v xml:space="preserve"> </v>
      </c>
      <c r="K130" s="20">
        <f t="shared" si="7"/>
        <v>0</v>
      </c>
    </row>
    <row r="131" spans="1:11" ht="15" thickBot="1" x14ac:dyDescent="0.35">
      <c r="A131" s="32">
        <v>130</v>
      </c>
      <c r="B131" s="28">
        <v>0.2727</v>
      </c>
      <c r="C131" s="29">
        <f t="shared" ref="C131:C194" si="8">IF(ISBLANK(B131),AVERAGE(B131:B740),B131)</f>
        <v>0.2727</v>
      </c>
      <c r="D131" s="28">
        <v>0.36</v>
      </c>
      <c r="E131" s="30" t="str">
        <f t="shared" ref="E131:E194" si="9">IF(D131&lt;0.7,"Acceptable","Risky")</f>
        <v>Acceptable</v>
      </c>
      <c r="F131" s="28">
        <v>0</v>
      </c>
      <c r="G131" s="28">
        <v>8</v>
      </c>
      <c r="H131" s="28">
        <v>54</v>
      </c>
      <c r="I131" s="33">
        <v>62</v>
      </c>
      <c r="J131" s="20" t="str">
        <f t="shared" ref="J131:J194" si="10">IF(G131+H131=I131," ","Not same")</f>
        <v xml:space="preserve"> </v>
      </c>
      <c r="K131" s="20">
        <f t="shared" ref="K131:K194" si="11">COUNTBLANK(A131:J131)</f>
        <v>0</v>
      </c>
    </row>
    <row r="132" spans="1:11" ht="15" thickBot="1" x14ac:dyDescent="0.35">
      <c r="A132" s="32">
        <v>131</v>
      </c>
      <c r="B132" s="28">
        <v>0.2576</v>
      </c>
      <c r="C132" s="29">
        <f t="shared" si="8"/>
        <v>0.2576</v>
      </c>
      <c r="D132" s="28">
        <v>0.38</v>
      </c>
      <c r="E132" s="30" t="str">
        <f t="shared" si="9"/>
        <v>Acceptable</v>
      </c>
      <c r="F132" s="28">
        <v>0.16420000000000001</v>
      </c>
      <c r="G132" s="28">
        <v>12</v>
      </c>
      <c r="H132" s="28">
        <v>74</v>
      </c>
      <c r="I132" s="33">
        <v>86</v>
      </c>
      <c r="J132" s="20" t="str">
        <f t="shared" si="10"/>
        <v xml:space="preserve"> </v>
      </c>
      <c r="K132" s="20">
        <f t="shared" si="11"/>
        <v>0</v>
      </c>
    </row>
    <row r="133" spans="1:11" ht="15" thickBot="1" x14ac:dyDescent="0.35">
      <c r="A133" s="32">
        <v>132</v>
      </c>
      <c r="B133" s="28">
        <v>0.2273</v>
      </c>
      <c r="C133" s="29">
        <f t="shared" si="8"/>
        <v>0.2273</v>
      </c>
      <c r="D133" s="28">
        <v>0.51</v>
      </c>
      <c r="E133" s="30" t="str">
        <f t="shared" si="9"/>
        <v>Acceptable</v>
      </c>
      <c r="F133" s="28">
        <v>0.16420000000000001</v>
      </c>
      <c r="G133" s="28">
        <v>9</v>
      </c>
      <c r="H133" s="28">
        <v>163</v>
      </c>
      <c r="I133" s="33">
        <v>172</v>
      </c>
      <c r="J133" s="20" t="str">
        <f t="shared" si="10"/>
        <v xml:space="preserve"> </v>
      </c>
      <c r="K133" s="20">
        <f t="shared" si="11"/>
        <v>0</v>
      </c>
    </row>
    <row r="134" spans="1:11" ht="15" thickBot="1" x14ac:dyDescent="0.35">
      <c r="A134" s="32">
        <v>133</v>
      </c>
      <c r="B134" s="28">
        <v>0.2273</v>
      </c>
      <c r="C134" s="29">
        <f t="shared" si="8"/>
        <v>0.2273</v>
      </c>
      <c r="D134" s="28">
        <v>0.51</v>
      </c>
      <c r="E134" s="30" t="str">
        <f t="shared" si="9"/>
        <v>Acceptable</v>
      </c>
      <c r="F134" s="28">
        <v>0.1343</v>
      </c>
      <c r="G134" s="28">
        <v>5</v>
      </c>
      <c r="H134" s="28">
        <v>158</v>
      </c>
      <c r="I134" s="33">
        <v>163</v>
      </c>
      <c r="J134" s="20" t="str">
        <f t="shared" si="10"/>
        <v xml:space="preserve"> </v>
      </c>
      <c r="K134" s="20">
        <f t="shared" si="11"/>
        <v>0</v>
      </c>
    </row>
    <row r="135" spans="1:11" ht="15" thickBot="1" x14ac:dyDescent="0.35">
      <c r="A135" s="32">
        <v>134</v>
      </c>
      <c r="B135" s="28">
        <v>0.2576</v>
      </c>
      <c r="C135" s="29">
        <f t="shared" si="8"/>
        <v>0.2576</v>
      </c>
      <c r="D135" s="28">
        <v>0.55000000000000004</v>
      </c>
      <c r="E135" s="30" t="str">
        <f t="shared" si="9"/>
        <v>Acceptable</v>
      </c>
      <c r="F135" s="28">
        <v>8.9599999999999999E-2</v>
      </c>
      <c r="G135" s="28">
        <v>3</v>
      </c>
      <c r="H135" s="28">
        <v>109</v>
      </c>
      <c r="I135" s="33">
        <v>112</v>
      </c>
      <c r="J135" s="20" t="str">
        <f t="shared" si="10"/>
        <v xml:space="preserve"> </v>
      </c>
      <c r="K135" s="20">
        <f t="shared" si="11"/>
        <v>0</v>
      </c>
    </row>
    <row r="136" spans="1:11" ht="15" thickBot="1" x14ac:dyDescent="0.35">
      <c r="A136" s="32">
        <v>135</v>
      </c>
      <c r="B136" s="28">
        <v>0.21210000000000001</v>
      </c>
      <c r="C136" s="29">
        <f t="shared" si="8"/>
        <v>0.21210000000000001</v>
      </c>
      <c r="D136" s="28">
        <v>0.51</v>
      </c>
      <c r="E136" s="30" t="str">
        <f t="shared" si="9"/>
        <v>Acceptable</v>
      </c>
      <c r="F136" s="28">
        <v>0.16420000000000001</v>
      </c>
      <c r="G136" s="28">
        <v>3</v>
      </c>
      <c r="H136" s="28">
        <v>66</v>
      </c>
      <c r="I136" s="33">
        <v>69</v>
      </c>
      <c r="J136" s="20" t="str">
        <f t="shared" si="10"/>
        <v xml:space="preserve"> </v>
      </c>
      <c r="K136" s="20">
        <f t="shared" si="11"/>
        <v>0</v>
      </c>
    </row>
    <row r="137" spans="1:11" ht="15" thickBot="1" x14ac:dyDescent="0.35">
      <c r="A137" s="32">
        <v>136</v>
      </c>
      <c r="B137" s="28">
        <v>0.21210000000000001</v>
      </c>
      <c r="C137" s="29">
        <f t="shared" si="8"/>
        <v>0.21210000000000001</v>
      </c>
      <c r="D137" s="28">
        <v>0.55000000000000004</v>
      </c>
      <c r="E137" s="30" t="str">
        <f t="shared" si="9"/>
        <v>Acceptable</v>
      </c>
      <c r="F137" s="28">
        <v>0.22389999999999999</v>
      </c>
      <c r="G137" s="28">
        <v>0</v>
      </c>
      <c r="H137" s="28">
        <v>48</v>
      </c>
      <c r="I137" s="33">
        <v>48</v>
      </c>
      <c r="J137" s="20" t="str">
        <f t="shared" si="10"/>
        <v xml:space="preserve"> </v>
      </c>
      <c r="K137" s="20">
        <f t="shared" si="11"/>
        <v>0</v>
      </c>
    </row>
    <row r="138" spans="1:11" ht="15" thickBot="1" x14ac:dyDescent="0.35">
      <c r="A138" s="32">
        <v>137</v>
      </c>
      <c r="B138" s="28">
        <v>0.21210000000000001</v>
      </c>
      <c r="C138" s="29">
        <f t="shared" si="8"/>
        <v>0.21210000000000001</v>
      </c>
      <c r="D138" s="28">
        <v>0.51</v>
      </c>
      <c r="E138" s="30" t="str">
        <f t="shared" si="9"/>
        <v>Acceptable</v>
      </c>
      <c r="F138" s="28">
        <v>0.28360000000000002</v>
      </c>
      <c r="G138" s="28">
        <v>1</v>
      </c>
      <c r="H138" s="28">
        <v>51</v>
      </c>
      <c r="I138" s="33">
        <v>52</v>
      </c>
      <c r="J138" s="20" t="str">
        <f t="shared" si="10"/>
        <v xml:space="preserve"> </v>
      </c>
      <c r="K138" s="20">
        <f t="shared" si="11"/>
        <v>0</v>
      </c>
    </row>
    <row r="139" spans="1:11" ht="15" thickBot="1" x14ac:dyDescent="0.35">
      <c r="A139" s="32">
        <v>138</v>
      </c>
      <c r="B139" s="28">
        <v>0.19700000000000001</v>
      </c>
      <c r="C139" s="29">
        <f t="shared" si="8"/>
        <v>0.19700000000000001</v>
      </c>
      <c r="D139" s="28">
        <v>0.59</v>
      </c>
      <c r="E139" s="30" t="str">
        <f t="shared" si="9"/>
        <v>Acceptable</v>
      </c>
      <c r="F139" s="28">
        <v>0.19400000000000001</v>
      </c>
      <c r="G139" s="28">
        <v>4</v>
      </c>
      <c r="H139" s="28">
        <v>19</v>
      </c>
      <c r="I139" s="33">
        <v>23</v>
      </c>
      <c r="J139" s="20" t="str">
        <f t="shared" si="10"/>
        <v xml:space="preserve"> </v>
      </c>
      <c r="K139" s="20">
        <f t="shared" si="11"/>
        <v>0</v>
      </c>
    </row>
    <row r="140" spans="1:11" ht="15" thickBot="1" x14ac:dyDescent="0.35">
      <c r="A140" s="32">
        <v>139</v>
      </c>
      <c r="B140" s="28">
        <v>0.19700000000000001</v>
      </c>
      <c r="C140" s="29">
        <f t="shared" si="8"/>
        <v>0.19700000000000001</v>
      </c>
      <c r="D140" s="28">
        <v>0.64</v>
      </c>
      <c r="E140" s="30" t="str">
        <f t="shared" si="9"/>
        <v>Acceptable</v>
      </c>
      <c r="F140" s="28">
        <v>0.19400000000000001</v>
      </c>
      <c r="G140" s="28">
        <v>4</v>
      </c>
      <c r="H140" s="28">
        <v>13</v>
      </c>
      <c r="I140" s="33">
        <v>17</v>
      </c>
      <c r="J140" s="20" t="str">
        <f t="shared" si="10"/>
        <v xml:space="preserve"> </v>
      </c>
      <c r="K140" s="20">
        <f t="shared" si="11"/>
        <v>0</v>
      </c>
    </row>
    <row r="141" spans="1:11" ht="15" thickBot="1" x14ac:dyDescent="0.35">
      <c r="A141" s="32">
        <v>140</v>
      </c>
      <c r="B141" s="28">
        <v>0.19700000000000001</v>
      </c>
      <c r="C141" s="29">
        <f t="shared" si="8"/>
        <v>0.19700000000000001</v>
      </c>
      <c r="D141" s="28">
        <v>0.69</v>
      </c>
      <c r="E141" s="30" t="str">
        <f t="shared" si="9"/>
        <v>Acceptable</v>
      </c>
      <c r="F141" s="28">
        <v>0.22389999999999999</v>
      </c>
      <c r="G141" s="28">
        <v>2</v>
      </c>
      <c r="H141" s="28">
        <v>5</v>
      </c>
      <c r="I141" s="33">
        <v>7</v>
      </c>
      <c r="J141" s="20" t="str">
        <f t="shared" si="10"/>
        <v xml:space="preserve"> </v>
      </c>
      <c r="K141" s="20">
        <f t="shared" si="11"/>
        <v>0</v>
      </c>
    </row>
    <row r="142" spans="1:11" ht="15" thickBot="1" x14ac:dyDescent="0.35">
      <c r="A142" s="32">
        <v>141</v>
      </c>
      <c r="B142" s="28">
        <v>0.19700000000000001</v>
      </c>
      <c r="C142" s="29">
        <f t="shared" si="8"/>
        <v>0.19700000000000001</v>
      </c>
      <c r="D142" s="28">
        <v>0.69</v>
      </c>
      <c r="E142" s="30" t="str">
        <f t="shared" si="9"/>
        <v>Acceptable</v>
      </c>
      <c r="F142" s="28">
        <v>0.22389999999999999</v>
      </c>
      <c r="G142" s="28">
        <v>0</v>
      </c>
      <c r="H142" s="28">
        <v>1</v>
      </c>
      <c r="I142" s="33">
        <v>1</v>
      </c>
      <c r="J142" s="20" t="str">
        <f t="shared" si="10"/>
        <v xml:space="preserve"> </v>
      </c>
      <c r="K142" s="20">
        <f t="shared" si="11"/>
        <v>0</v>
      </c>
    </row>
    <row r="143" spans="1:11" ht="15" thickBot="1" x14ac:dyDescent="0.35">
      <c r="A143" s="32">
        <v>142</v>
      </c>
      <c r="B143" s="28">
        <v>0.21210000000000001</v>
      </c>
      <c r="C143" s="29">
        <f t="shared" si="8"/>
        <v>0.21210000000000001</v>
      </c>
      <c r="D143" s="28">
        <v>0.69</v>
      </c>
      <c r="E143" s="30" t="str">
        <f t="shared" si="9"/>
        <v>Acceptable</v>
      </c>
      <c r="F143" s="28">
        <v>0.1343</v>
      </c>
      <c r="G143" s="28">
        <v>0</v>
      </c>
      <c r="H143" s="28">
        <v>1</v>
      </c>
      <c r="I143" s="33">
        <v>1</v>
      </c>
      <c r="J143" s="20" t="str">
        <f t="shared" si="10"/>
        <v xml:space="preserve"> </v>
      </c>
      <c r="K143" s="20">
        <f t="shared" si="11"/>
        <v>0</v>
      </c>
    </row>
    <row r="144" spans="1:11" ht="15" thickBot="1" x14ac:dyDescent="0.35">
      <c r="A144" s="32">
        <v>143</v>
      </c>
      <c r="B144" s="28">
        <v>0.2727</v>
      </c>
      <c r="C144" s="29">
        <f t="shared" si="8"/>
        <v>0.2727</v>
      </c>
      <c r="D144" s="28">
        <v>0.55000000000000004</v>
      </c>
      <c r="E144" s="30" t="str">
        <f t="shared" si="9"/>
        <v>Acceptable</v>
      </c>
      <c r="F144" s="28">
        <v>0</v>
      </c>
      <c r="G144" s="28">
        <v>0</v>
      </c>
      <c r="H144" s="28">
        <v>5</v>
      </c>
      <c r="I144" s="33">
        <v>5</v>
      </c>
      <c r="J144" s="20" t="str">
        <f t="shared" si="10"/>
        <v xml:space="preserve"> </v>
      </c>
      <c r="K144" s="20">
        <f t="shared" si="11"/>
        <v>0</v>
      </c>
    </row>
    <row r="145" spans="1:11" ht="15" thickBot="1" x14ac:dyDescent="0.35">
      <c r="A145" s="32">
        <v>144</v>
      </c>
      <c r="B145" s="28">
        <v>0.2576</v>
      </c>
      <c r="C145" s="29">
        <f t="shared" si="8"/>
        <v>0.2576</v>
      </c>
      <c r="D145" s="28">
        <v>0.69</v>
      </c>
      <c r="E145" s="30" t="str">
        <f t="shared" si="9"/>
        <v>Acceptable</v>
      </c>
      <c r="F145" s="28">
        <v>0</v>
      </c>
      <c r="G145" s="28">
        <v>8</v>
      </c>
      <c r="H145" s="28">
        <v>26</v>
      </c>
      <c r="I145" s="33">
        <v>34</v>
      </c>
      <c r="J145" s="20" t="str">
        <f t="shared" si="10"/>
        <v xml:space="preserve"> </v>
      </c>
      <c r="K145" s="20">
        <f t="shared" si="11"/>
        <v>0</v>
      </c>
    </row>
    <row r="146" spans="1:11" ht="15" thickBot="1" x14ac:dyDescent="0.35">
      <c r="A146" s="32">
        <v>145</v>
      </c>
      <c r="B146" s="28">
        <v>0.21210000000000001</v>
      </c>
      <c r="C146" s="29">
        <f t="shared" si="8"/>
        <v>0.21210000000000001</v>
      </c>
      <c r="D146" s="28">
        <v>0.69</v>
      </c>
      <c r="E146" s="30" t="str">
        <f t="shared" si="9"/>
        <v>Acceptable</v>
      </c>
      <c r="F146" s="28">
        <v>0.1343</v>
      </c>
      <c r="G146" s="28">
        <v>8</v>
      </c>
      <c r="H146" s="28">
        <v>76</v>
      </c>
      <c r="I146" s="33">
        <v>84</v>
      </c>
      <c r="J146" s="20" t="str">
        <f t="shared" si="10"/>
        <v xml:space="preserve"> </v>
      </c>
      <c r="K146" s="20">
        <f t="shared" si="11"/>
        <v>0</v>
      </c>
    </row>
    <row r="147" spans="1:11" ht="15" thickBot="1" x14ac:dyDescent="0.35">
      <c r="A147" s="32">
        <v>146</v>
      </c>
      <c r="B147" s="28">
        <v>0.19700000000000001</v>
      </c>
      <c r="C147" s="29">
        <f t="shared" si="8"/>
        <v>0.19700000000000001</v>
      </c>
      <c r="D147" s="28">
        <v>0.51</v>
      </c>
      <c r="E147" s="30" t="str">
        <f t="shared" si="9"/>
        <v>Acceptable</v>
      </c>
      <c r="F147" s="28">
        <v>0.25369999999999998</v>
      </c>
      <c r="G147" s="28">
        <v>20</v>
      </c>
      <c r="H147" s="28">
        <v>190</v>
      </c>
      <c r="I147" s="33">
        <v>210</v>
      </c>
      <c r="J147" s="20" t="str">
        <f t="shared" si="10"/>
        <v xml:space="preserve"> </v>
      </c>
      <c r="K147" s="20">
        <f t="shared" si="11"/>
        <v>0</v>
      </c>
    </row>
    <row r="148" spans="1:11" ht="15" thickBot="1" x14ac:dyDescent="0.35">
      <c r="A148" s="32">
        <v>147</v>
      </c>
      <c r="B148" s="28">
        <v>0.18179999999999999</v>
      </c>
      <c r="C148" s="29">
        <f t="shared" si="8"/>
        <v>0.18179999999999999</v>
      </c>
      <c r="D148" s="28">
        <v>0.47</v>
      </c>
      <c r="E148" s="30" t="str">
        <f t="shared" si="9"/>
        <v>Acceptable</v>
      </c>
      <c r="F148" s="28">
        <v>0.29849999999999999</v>
      </c>
      <c r="G148" s="28">
        <v>9</v>
      </c>
      <c r="H148" s="28">
        <v>125</v>
      </c>
      <c r="I148" s="33">
        <v>134</v>
      </c>
      <c r="J148" s="20" t="str">
        <f t="shared" si="10"/>
        <v xml:space="preserve"> </v>
      </c>
      <c r="K148" s="20">
        <f t="shared" si="11"/>
        <v>0</v>
      </c>
    </row>
    <row r="149" spans="1:11" ht="15" thickBot="1" x14ac:dyDescent="0.35">
      <c r="A149" s="32">
        <v>148</v>
      </c>
      <c r="B149" s="28">
        <v>0.19700000000000001</v>
      </c>
      <c r="C149" s="29">
        <f t="shared" si="8"/>
        <v>0.19700000000000001</v>
      </c>
      <c r="D149" s="28">
        <v>0.37</v>
      </c>
      <c r="E149" s="30" t="str">
        <f t="shared" si="9"/>
        <v>Acceptable</v>
      </c>
      <c r="F149" s="28">
        <v>0.32840000000000003</v>
      </c>
      <c r="G149" s="28">
        <v>16</v>
      </c>
      <c r="H149" s="28">
        <v>47</v>
      </c>
      <c r="I149" s="33">
        <v>63</v>
      </c>
      <c r="J149" s="20" t="str">
        <f t="shared" si="10"/>
        <v xml:space="preserve"> </v>
      </c>
      <c r="K149" s="20">
        <f t="shared" si="11"/>
        <v>0</v>
      </c>
    </row>
    <row r="150" spans="1:11" ht="15" thickBot="1" x14ac:dyDescent="0.35">
      <c r="A150" s="32">
        <v>149</v>
      </c>
      <c r="B150" s="28">
        <v>0.19700000000000001</v>
      </c>
      <c r="C150" s="29">
        <f t="shared" si="8"/>
        <v>0.19700000000000001</v>
      </c>
      <c r="D150" s="28">
        <v>0.4</v>
      </c>
      <c r="E150" s="30" t="str">
        <f t="shared" si="9"/>
        <v>Acceptable</v>
      </c>
      <c r="F150" s="28">
        <v>0.22389999999999999</v>
      </c>
      <c r="G150" s="28">
        <v>19</v>
      </c>
      <c r="H150" s="28">
        <v>48</v>
      </c>
      <c r="I150" s="33">
        <v>67</v>
      </c>
      <c r="J150" s="20" t="str">
        <f t="shared" si="10"/>
        <v xml:space="preserve"> </v>
      </c>
      <c r="K150" s="20">
        <f t="shared" si="11"/>
        <v>0</v>
      </c>
    </row>
    <row r="151" spans="1:11" ht="15" thickBot="1" x14ac:dyDescent="0.35">
      <c r="A151" s="32">
        <v>150</v>
      </c>
      <c r="B151" s="28">
        <v>0.19700000000000001</v>
      </c>
      <c r="C151" s="29">
        <f t="shared" si="8"/>
        <v>0.19700000000000001</v>
      </c>
      <c r="D151" s="28">
        <v>0.37</v>
      </c>
      <c r="E151" s="30" t="str">
        <f t="shared" si="9"/>
        <v>Acceptable</v>
      </c>
      <c r="F151" s="28">
        <v>0.25369999999999998</v>
      </c>
      <c r="G151" s="28">
        <v>9</v>
      </c>
      <c r="H151" s="28">
        <v>50</v>
      </c>
      <c r="I151" s="33">
        <v>59</v>
      </c>
      <c r="J151" s="20" t="str">
        <f t="shared" si="10"/>
        <v xml:space="preserve"> </v>
      </c>
      <c r="K151" s="20">
        <f t="shared" si="11"/>
        <v>0</v>
      </c>
    </row>
    <row r="152" spans="1:11" ht="15" thickBot="1" x14ac:dyDescent="0.35">
      <c r="A152" s="32">
        <v>151</v>
      </c>
      <c r="B152" s="28">
        <v>0.18179999999999999</v>
      </c>
      <c r="C152" s="29">
        <f t="shared" si="8"/>
        <v>0.18179999999999999</v>
      </c>
      <c r="D152" s="28">
        <v>0.37</v>
      </c>
      <c r="E152" s="30" t="str">
        <f t="shared" si="9"/>
        <v>Acceptable</v>
      </c>
      <c r="F152" s="28">
        <v>0.28360000000000002</v>
      </c>
      <c r="G152" s="28">
        <v>9</v>
      </c>
      <c r="H152" s="28">
        <v>64</v>
      </c>
      <c r="I152" s="33">
        <v>73</v>
      </c>
      <c r="J152" s="20" t="str">
        <f t="shared" si="10"/>
        <v xml:space="preserve"> </v>
      </c>
      <c r="K152" s="20">
        <f t="shared" si="11"/>
        <v>0</v>
      </c>
    </row>
    <row r="153" spans="1:11" ht="15" thickBot="1" x14ac:dyDescent="0.35">
      <c r="A153" s="32">
        <v>152</v>
      </c>
      <c r="B153" s="28">
        <v>0.19700000000000001</v>
      </c>
      <c r="C153" s="29">
        <f t="shared" si="8"/>
        <v>0.19700000000000001</v>
      </c>
      <c r="D153" s="28">
        <v>0.4</v>
      </c>
      <c r="E153" s="30" t="str">
        <f t="shared" si="9"/>
        <v>Acceptable</v>
      </c>
      <c r="F153" s="28">
        <v>0.25369999999999998</v>
      </c>
      <c r="G153" s="28">
        <v>7</v>
      </c>
      <c r="H153" s="28">
        <v>43</v>
      </c>
      <c r="I153" s="33">
        <v>50</v>
      </c>
      <c r="J153" s="20" t="str">
        <f t="shared" si="10"/>
        <v xml:space="preserve"> </v>
      </c>
      <c r="K153" s="20">
        <f t="shared" si="11"/>
        <v>0</v>
      </c>
    </row>
    <row r="154" spans="1:11" ht="15" thickBot="1" x14ac:dyDescent="0.35">
      <c r="A154" s="32">
        <v>153</v>
      </c>
      <c r="B154" s="28">
        <v>0.21210000000000001</v>
      </c>
      <c r="C154" s="29">
        <f t="shared" si="8"/>
        <v>0.21210000000000001</v>
      </c>
      <c r="D154" s="28">
        <v>0.37</v>
      </c>
      <c r="E154" s="30" t="str">
        <f t="shared" si="9"/>
        <v>Acceptable</v>
      </c>
      <c r="F154" s="28">
        <v>0.16420000000000001</v>
      </c>
      <c r="G154" s="28">
        <v>9</v>
      </c>
      <c r="H154" s="28">
        <v>63</v>
      </c>
      <c r="I154" s="33">
        <v>72</v>
      </c>
      <c r="J154" s="20" t="str">
        <f t="shared" si="10"/>
        <v xml:space="preserve"> </v>
      </c>
      <c r="K154" s="20">
        <f t="shared" si="11"/>
        <v>0</v>
      </c>
    </row>
    <row r="155" spans="1:11" ht="15" thickBot="1" x14ac:dyDescent="0.35">
      <c r="A155" s="32">
        <v>154</v>
      </c>
      <c r="B155" s="28">
        <v>0.21210000000000001</v>
      </c>
      <c r="C155" s="29">
        <f t="shared" si="8"/>
        <v>0.21210000000000001</v>
      </c>
      <c r="D155" s="28">
        <v>0.37</v>
      </c>
      <c r="E155" s="30" t="str">
        <f t="shared" si="9"/>
        <v>Acceptable</v>
      </c>
      <c r="F155" s="28">
        <v>0.16420000000000001</v>
      </c>
      <c r="G155" s="28">
        <v>5</v>
      </c>
      <c r="H155" s="28">
        <v>82</v>
      </c>
      <c r="I155" s="33">
        <v>87</v>
      </c>
      <c r="J155" s="20" t="str">
        <f t="shared" si="10"/>
        <v xml:space="preserve"> </v>
      </c>
      <c r="K155" s="20">
        <f t="shared" si="11"/>
        <v>0</v>
      </c>
    </row>
    <row r="156" spans="1:11" ht="15" thickBot="1" x14ac:dyDescent="0.35">
      <c r="A156" s="32">
        <v>155</v>
      </c>
      <c r="B156" s="28">
        <v>0.2576</v>
      </c>
      <c r="C156" s="29">
        <f t="shared" si="8"/>
        <v>0.2576</v>
      </c>
      <c r="D156" s="28">
        <v>0.37</v>
      </c>
      <c r="E156" s="30" t="str">
        <f t="shared" si="9"/>
        <v>Acceptable</v>
      </c>
      <c r="F156" s="28">
        <v>0</v>
      </c>
      <c r="G156" s="28">
        <v>9</v>
      </c>
      <c r="H156" s="28">
        <v>178</v>
      </c>
      <c r="I156" s="33">
        <v>187</v>
      </c>
      <c r="J156" s="20" t="str">
        <f t="shared" si="10"/>
        <v xml:space="preserve"> </v>
      </c>
      <c r="K156" s="20">
        <f t="shared" si="11"/>
        <v>0</v>
      </c>
    </row>
    <row r="157" spans="1:11" ht="15" thickBot="1" x14ac:dyDescent="0.35">
      <c r="A157" s="32">
        <v>156</v>
      </c>
      <c r="B157" s="28">
        <v>0.2273</v>
      </c>
      <c r="C157" s="29">
        <f t="shared" si="8"/>
        <v>0.2273</v>
      </c>
      <c r="D157" s="28">
        <v>0.4</v>
      </c>
      <c r="E157" s="30" t="str">
        <f t="shared" si="9"/>
        <v>Acceptable</v>
      </c>
      <c r="F157" s="28">
        <v>8.9599999999999999E-2</v>
      </c>
      <c r="G157" s="28">
        <v>7</v>
      </c>
      <c r="H157" s="28">
        <v>116</v>
      </c>
      <c r="I157" s="33">
        <v>123</v>
      </c>
      <c r="J157" s="20" t="str">
        <f t="shared" si="10"/>
        <v xml:space="preserve"> </v>
      </c>
      <c r="K157" s="20">
        <f t="shared" si="11"/>
        <v>0</v>
      </c>
    </row>
    <row r="158" spans="1:11" ht="15" thickBot="1" x14ac:dyDescent="0.35">
      <c r="A158" s="32">
        <v>157</v>
      </c>
      <c r="B158" s="28">
        <v>0.19700000000000001</v>
      </c>
      <c r="C158" s="29">
        <f t="shared" si="8"/>
        <v>0.19700000000000001</v>
      </c>
      <c r="D158" s="28">
        <v>0.55000000000000004</v>
      </c>
      <c r="E158" s="30" t="str">
        <f t="shared" si="9"/>
        <v>Acceptable</v>
      </c>
      <c r="F158" s="28">
        <v>8.9599999999999999E-2</v>
      </c>
      <c r="G158" s="28">
        <v>3</v>
      </c>
      <c r="H158" s="28">
        <v>92</v>
      </c>
      <c r="I158" s="33">
        <v>95</v>
      </c>
      <c r="J158" s="20" t="str">
        <f t="shared" si="10"/>
        <v xml:space="preserve"> </v>
      </c>
      <c r="K158" s="20">
        <f t="shared" si="11"/>
        <v>0</v>
      </c>
    </row>
    <row r="159" spans="1:11" ht="15" thickBot="1" x14ac:dyDescent="0.35">
      <c r="A159" s="32">
        <v>158</v>
      </c>
      <c r="B159" s="28">
        <v>0.21210000000000001</v>
      </c>
      <c r="C159" s="29">
        <f t="shared" si="8"/>
        <v>0.21210000000000001</v>
      </c>
      <c r="D159" s="28">
        <v>0.47</v>
      </c>
      <c r="E159" s="30" t="str">
        <f t="shared" si="9"/>
        <v>Acceptable</v>
      </c>
      <c r="F159" s="28">
        <v>0.1045</v>
      </c>
      <c r="G159" s="28">
        <v>1</v>
      </c>
      <c r="H159" s="28">
        <v>50</v>
      </c>
      <c r="I159" s="33">
        <v>51</v>
      </c>
      <c r="J159" s="20" t="str">
        <f t="shared" si="10"/>
        <v xml:space="preserve"> </v>
      </c>
      <c r="K159" s="20">
        <f t="shared" si="11"/>
        <v>0</v>
      </c>
    </row>
    <row r="160" spans="1:11" ht="15" thickBot="1" x14ac:dyDescent="0.35">
      <c r="A160" s="32">
        <v>159</v>
      </c>
      <c r="B160" s="28">
        <v>0.19700000000000001</v>
      </c>
      <c r="C160" s="29">
        <f t="shared" si="8"/>
        <v>0.19700000000000001</v>
      </c>
      <c r="D160" s="28">
        <v>0.47</v>
      </c>
      <c r="E160" s="30" t="str">
        <f t="shared" si="9"/>
        <v>Acceptable</v>
      </c>
      <c r="F160" s="28">
        <v>0.1343</v>
      </c>
      <c r="G160" s="28">
        <v>0</v>
      </c>
      <c r="H160" s="28">
        <v>39</v>
      </c>
      <c r="I160" s="33">
        <v>39</v>
      </c>
      <c r="J160" s="20" t="str">
        <f t="shared" si="10"/>
        <v xml:space="preserve"> </v>
      </c>
      <c r="K160" s="20">
        <f t="shared" si="11"/>
        <v>0</v>
      </c>
    </row>
    <row r="161" spans="1:11" ht="15" thickBot="1" x14ac:dyDescent="0.35">
      <c r="A161" s="32">
        <v>160</v>
      </c>
      <c r="B161" s="28">
        <v>0.19700000000000001</v>
      </c>
      <c r="C161" s="29">
        <f t="shared" si="8"/>
        <v>0.19700000000000001</v>
      </c>
      <c r="D161" s="28">
        <v>0.43</v>
      </c>
      <c r="E161" s="30" t="str">
        <f t="shared" si="9"/>
        <v>Acceptable</v>
      </c>
      <c r="F161" s="28">
        <v>0.16420000000000001</v>
      </c>
      <c r="G161" s="28">
        <v>2</v>
      </c>
      <c r="H161" s="28">
        <v>34</v>
      </c>
      <c r="I161" s="33">
        <v>36</v>
      </c>
      <c r="J161" s="20" t="str">
        <f t="shared" si="10"/>
        <v xml:space="preserve"> </v>
      </c>
      <c r="K161" s="20">
        <f t="shared" si="11"/>
        <v>0</v>
      </c>
    </row>
    <row r="162" spans="1:11" ht="15" thickBot="1" x14ac:dyDescent="0.35">
      <c r="A162" s="32">
        <v>161</v>
      </c>
      <c r="B162" s="28">
        <v>0.19700000000000001</v>
      </c>
      <c r="C162" s="29">
        <f t="shared" si="8"/>
        <v>0.19700000000000001</v>
      </c>
      <c r="D162" s="28">
        <v>0.51</v>
      </c>
      <c r="E162" s="30" t="str">
        <f t="shared" si="9"/>
        <v>Acceptable</v>
      </c>
      <c r="F162" s="28">
        <v>0.16420000000000001</v>
      </c>
      <c r="G162" s="28">
        <v>1</v>
      </c>
      <c r="H162" s="28">
        <v>14</v>
      </c>
      <c r="I162" s="33">
        <v>15</v>
      </c>
      <c r="J162" s="20" t="str">
        <f t="shared" si="10"/>
        <v xml:space="preserve"> </v>
      </c>
      <c r="K162" s="20">
        <f t="shared" si="11"/>
        <v>0</v>
      </c>
    </row>
    <row r="163" spans="1:11" ht="15" thickBot="1" x14ac:dyDescent="0.35">
      <c r="A163" s="32">
        <v>162</v>
      </c>
      <c r="B163" s="28">
        <v>0.19700000000000001</v>
      </c>
      <c r="C163" s="29">
        <f t="shared" si="8"/>
        <v>0.19700000000000001</v>
      </c>
      <c r="D163" s="28">
        <v>0.51</v>
      </c>
      <c r="E163" s="30" t="str">
        <f t="shared" si="9"/>
        <v>Acceptable</v>
      </c>
      <c r="F163" s="28">
        <v>0.16420000000000001</v>
      </c>
      <c r="G163" s="28">
        <v>1</v>
      </c>
      <c r="H163" s="28">
        <v>24</v>
      </c>
      <c r="I163" s="33">
        <v>25</v>
      </c>
      <c r="J163" s="20" t="str">
        <f t="shared" si="10"/>
        <v xml:space="preserve"> </v>
      </c>
      <c r="K163" s="20">
        <f t="shared" si="11"/>
        <v>0</v>
      </c>
    </row>
    <row r="164" spans="1:11" ht="15" thickBot="1" x14ac:dyDescent="0.35">
      <c r="A164" s="32">
        <v>163</v>
      </c>
      <c r="B164" s="28">
        <v>0.21210000000000001</v>
      </c>
      <c r="C164" s="29">
        <f t="shared" si="8"/>
        <v>0.21210000000000001</v>
      </c>
      <c r="D164" s="28">
        <v>0.55000000000000004</v>
      </c>
      <c r="E164" s="30" t="str">
        <f t="shared" si="9"/>
        <v>Acceptable</v>
      </c>
      <c r="F164" s="28">
        <v>8.9599999999999999E-2</v>
      </c>
      <c r="G164" s="28">
        <v>1</v>
      </c>
      <c r="H164" s="28">
        <v>15</v>
      </c>
      <c r="I164" s="33">
        <v>16</v>
      </c>
      <c r="J164" s="20" t="str">
        <f t="shared" si="10"/>
        <v xml:space="preserve"> </v>
      </c>
      <c r="K164" s="20">
        <f t="shared" si="11"/>
        <v>0</v>
      </c>
    </row>
    <row r="165" spans="1:11" ht="15" thickBot="1" x14ac:dyDescent="0.35">
      <c r="A165" s="32">
        <v>164</v>
      </c>
      <c r="B165" s="28">
        <v>0.2424</v>
      </c>
      <c r="C165" s="29">
        <f t="shared" si="8"/>
        <v>0.2424</v>
      </c>
      <c r="D165" s="28">
        <v>0.55000000000000004</v>
      </c>
      <c r="E165" s="30" t="str">
        <f t="shared" si="9"/>
        <v>Acceptable</v>
      </c>
      <c r="F165" s="28">
        <v>0</v>
      </c>
      <c r="G165" s="28">
        <v>3</v>
      </c>
      <c r="H165" s="28">
        <v>13</v>
      </c>
      <c r="I165" s="33">
        <v>16</v>
      </c>
      <c r="J165" s="20" t="str">
        <f t="shared" si="10"/>
        <v xml:space="preserve"> </v>
      </c>
      <c r="K165" s="20">
        <f t="shared" si="11"/>
        <v>0</v>
      </c>
    </row>
    <row r="166" spans="1:11" ht="15" thickBot="1" x14ac:dyDescent="0.35">
      <c r="A166" s="32">
        <v>165</v>
      </c>
      <c r="B166" s="28">
        <v>0.19700000000000001</v>
      </c>
      <c r="C166" s="29">
        <f t="shared" si="8"/>
        <v>0.19700000000000001</v>
      </c>
      <c r="D166" s="28">
        <v>0.55000000000000004</v>
      </c>
      <c r="E166" s="30" t="str">
        <f t="shared" si="9"/>
        <v>Acceptable</v>
      </c>
      <c r="F166" s="28">
        <v>0.16420000000000001</v>
      </c>
      <c r="G166" s="28">
        <v>0</v>
      </c>
      <c r="H166" s="28">
        <v>7</v>
      </c>
      <c r="I166" s="33">
        <v>7</v>
      </c>
      <c r="J166" s="20" t="str">
        <f t="shared" si="10"/>
        <v xml:space="preserve"> </v>
      </c>
      <c r="K166" s="20">
        <f t="shared" si="11"/>
        <v>0</v>
      </c>
    </row>
    <row r="167" spans="1:11" ht="15" thickBot="1" x14ac:dyDescent="0.35">
      <c r="A167" s="32">
        <v>166</v>
      </c>
      <c r="B167" s="28">
        <v>0.19700000000000001</v>
      </c>
      <c r="C167" s="29">
        <f t="shared" si="8"/>
        <v>0.19700000000000001</v>
      </c>
      <c r="D167" s="28">
        <v>0.55000000000000004</v>
      </c>
      <c r="E167" s="30" t="str">
        <f t="shared" si="9"/>
        <v>Acceptable</v>
      </c>
      <c r="F167" s="28">
        <v>0.16420000000000001</v>
      </c>
      <c r="G167" s="28">
        <v>0</v>
      </c>
      <c r="H167" s="28">
        <v>1</v>
      </c>
      <c r="I167" s="33">
        <v>1</v>
      </c>
      <c r="J167" s="20" t="str">
        <f t="shared" si="10"/>
        <v xml:space="preserve"> </v>
      </c>
      <c r="K167" s="20">
        <f t="shared" si="11"/>
        <v>0</v>
      </c>
    </row>
    <row r="168" spans="1:11" ht="15" thickBot="1" x14ac:dyDescent="0.35">
      <c r="A168" s="32">
        <v>167</v>
      </c>
      <c r="B168" s="28">
        <v>0.16669999999999999</v>
      </c>
      <c r="C168" s="29">
        <f t="shared" si="8"/>
        <v>0.16669999999999999</v>
      </c>
      <c r="D168" s="28">
        <v>0.74</v>
      </c>
      <c r="E168" s="30" t="str">
        <f t="shared" si="9"/>
        <v>Risky</v>
      </c>
      <c r="F168" s="28">
        <v>0.16420000000000001</v>
      </c>
      <c r="G168" s="28">
        <v>0</v>
      </c>
      <c r="H168" s="28">
        <v>5</v>
      </c>
      <c r="I168" s="33">
        <v>5</v>
      </c>
      <c r="J168" s="20" t="str">
        <f t="shared" si="10"/>
        <v xml:space="preserve"> </v>
      </c>
      <c r="K168" s="20">
        <f t="shared" si="11"/>
        <v>0</v>
      </c>
    </row>
    <row r="169" spans="1:11" ht="15" thickBot="1" x14ac:dyDescent="0.35">
      <c r="A169" s="32">
        <v>168</v>
      </c>
      <c r="B169" s="28">
        <v>0.16669999999999999</v>
      </c>
      <c r="C169" s="29">
        <f t="shared" si="8"/>
        <v>0.16669999999999999</v>
      </c>
      <c r="D169" s="28">
        <v>0.74</v>
      </c>
      <c r="E169" s="30" t="str">
        <f t="shared" si="9"/>
        <v>Risky</v>
      </c>
      <c r="F169" s="28">
        <v>0.16420000000000001</v>
      </c>
      <c r="G169" s="28">
        <v>0</v>
      </c>
      <c r="H169" s="28">
        <v>2</v>
      </c>
      <c r="I169" s="33">
        <v>2</v>
      </c>
      <c r="J169" s="20" t="str">
        <f t="shared" si="10"/>
        <v xml:space="preserve"> </v>
      </c>
      <c r="K169" s="20">
        <f t="shared" si="11"/>
        <v>0</v>
      </c>
    </row>
    <row r="170" spans="1:11" ht="15" thickBot="1" x14ac:dyDescent="0.35">
      <c r="A170" s="32">
        <v>169</v>
      </c>
      <c r="B170" s="28">
        <v>0.18179999999999999</v>
      </c>
      <c r="C170" s="29">
        <f t="shared" si="8"/>
        <v>0.18179999999999999</v>
      </c>
      <c r="D170" s="28">
        <v>0.74</v>
      </c>
      <c r="E170" s="30" t="str">
        <f t="shared" si="9"/>
        <v>Risky</v>
      </c>
      <c r="F170" s="28">
        <v>0.1045</v>
      </c>
      <c r="G170" s="28">
        <v>1</v>
      </c>
      <c r="H170" s="28">
        <v>8</v>
      </c>
      <c r="I170" s="33">
        <v>9</v>
      </c>
      <c r="J170" s="20" t="str">
        <f t="shared" si="10"/>
        <v xml:space="preserve"> </v>
      </c>
      <c r="K170" s="20">
        <f t="shared" si="11"/>
        <v>0</v>
      </c>
    </row>
    <row r="171" spans="1:11" ht="15" thickBot="1" x14ac:dyDescent="0.35">
      <c r="A171" s="32">
        <v>170</v>
      </c>
      <c r="B171" s="28">
        <v>0.18179999999999999</v>
      </c>
      <c r="C171" s="29">
        <f t="shared" si="8"/>
        <v>0.18179999999999999</v>
      </c>
      <c r="D171" s="28">
        <v>0.93</v>
      </c>
      <c r="E171" s="30" t="str">
        <f t="shared" si="9"/>
        <v>Risky</v>
      </c>
      <c r="F171" s="28">
        <v>0.1045</v>
      </c>
      <c r="G171" s="28">
        <v>0</v>
      </c>
      <c r="H171" s="28">
        <v>15</v>
      </c>
      <c r="I171" s="33">
        <v>15</v>
      </c>
      <c r="J171" s="20" t="str">
        <f t="shared" si="10"/>
        <v xml:space="preserve"> </v>
      </c>
      <c r="K171" s="20">
        <f t="shared" si="11"/>
        <v>0</v>
      </c>
    </row>
    <row r="172" spans="1:11" ht="15" thickBot="1" x14ac:dyDescent="0.35">
      <c r="A172" s="32">
        <v>171</v>
      </c>
      <c r="B172" s="28">
        <v>0.18179999999999999</v>
      </c>
      <c r="C172" s="29">
        <f t="shared" si="8"/>
        <v>0.18179999999999999</v>
      </c>
      <c r="D172" s="28">
        <v>0.93</v>
      </c>
      <c r="E172" s="30" t="str">
        <f t="shared" si="9"/>
        <v>Risky</v>
      </c>
      <c r="F172" s="28">
        <v>0.1045</v>
      </c>
      <c r="G172" s="28">
        <v>0</v>
      </c>
      <c r="H172" s="28">
        <v>20</v>
      </c>
      <c r="I172" s="33">
        <v>20</v>
      </c>
      <c r="J172" s="20" t="str">
        <f t="shared" si="10"/>
        <v xml:space="preserve"> </v>
      </c>
      <c r="K172" s="20">
        <f t="shared" si="11"/>
        <v>0</v>
      </c>
    </row>
    <row r="173" spans="1:11" ht="15" thickBot="1" x14ac:dyDescent="0.35">
      <c r="A173" s="32">
        <v>172</v>
      </c>
      <c r="B173" s="28">
        <v>0.19700000000000001</v>
      </c>
      <c r="C173" s="29">
        <f t="shared" si="8"/>
        <v>0.19700000000000001</v>
      </c>
      <c r="D173" s="28">
        <v>0.8</v>
      </c>
      <c r="E173" s="30" t="str">
        <f t="shared" si="9"/>
        <v>Risky</v>
      </c>
      <c r="F173" s="28">
        <v>0.16420000000000001</v>
      </c>
      <c r="G173" s="28">
        <v>5</v>
      </c>
      <c r="H173" s="28">
        <v>56</v>
      </c>
      <c r="I173" s="33">
        <v>61</v>
      </c>
      <c r="J173" s="20" t="str">
        <f t="shared" si="10"/>
        <v xml:space="preserve"> </v>
      </c>
      <c r="K173" s="20">
        <f t="shared" si="11"/>
        <v>0</v>
      </c>
    </row>
    <row r="174" spans="1:11" ht="15" thickBot="1" x14ac:dyDescent="0.35">
      <c r="A174" s="32">
        <v>173</v>
      </c>
      <c r="B174" s="28">
        <v>0.18179999999999999</v>
      </c>
      <c r="C174" s="29">
        <f t="shared" si="8"/>
        <v>0.18179999999999999</v>
      </c>
      <c r="D174" s="28">
        <v>0.69</v>
      </c>
      <c r="E174" s="30" t="str">
        <f t="shared" si="9"/>
        <v>Acceptable</v>
      </c>
      <c r="F174" s="28">
        <v>0.3881</v>
      </c>
      <c r="G174" s="28">
        <v>2</v>
      </c>
      <c r="H174" s="28">
        <v>60</v>
      </c>
      <c r="I174" s="33">
        <v>62</v>
      </c>
      <c r="J174" s="20" t="str">
        <f t="shared" si="10"/>
        <v xml:space="preserve"> </v>
      </c>
      <c r="K174" s="20">
        <f t="shared" si="11"/>
        <v>0</v>
      </c>
    </row>
    <row r="175" spans="1:11" ht="15" thickBot="1" x14ac:dyDescent="0.35">
      <c r="A175" s="32">
        <v>174</v>
      </c>
      <c r="B175" s="28">
        <v>0.18179999999999999</v>
      </c>
      <c r="C175" s="29">
        <f t="shared" si="8"/>
        <v>0.18179999999999999</v>
      </c>
      <c r="D175" s="28">
        <v>0.59</v>
      </c>
      <c r="E175" s="30" t="str">
        <f t="shared" si="9"/>
        <v>Acceptable</v>
      </c>
      <c r="F175" s="28">
        <v>0.35820000000000002</v>
      </c>
      <c r="G175" s="28">
        <v>8</v>
      </c>
      <c r="H175" s="28">
        <v>90</v>
      </c>
      <c r="I175" s="33">
        <v>98</v>
      </c>
      <c r="J175" s="20" t="str">
        <f t="shared" si="10"/>
        <v xml:space="preserve"> </v>
      </c>
      <c r="K175" s="20">
        <f t="shared" si="11"/>
        <v>0</v>
      </c>
    </row>
    <row r="176" spans="1:11" ht="15" thickBot="1" x14ac:dyDescent="0.35">
      <c r="A176" s="32">
        <v>175</v>
      </c>
      <c r="B176" s="28">
        <v>0.18179999999999999</v>
      </c>
      <c r="C176" s="29">
        <f t="shared" si="8"/>
        <v>0.18179999999999999</v>
      </c>
      <c r="D176" s="28">
        <v>0.44</v>
      </c>
      <c r="E176" s="30" t="str">
        <f t="shared" si="9"/>
        <v>Acceptable</v>
      </c>
      <c r="F176" s="28">
        <v>0.32840000000000003</v>
      </c>
      <c r="G176" s="28">
        <v>7</v>
      </c>
      <c r="H176" s="28">
        <v>95</v>
      </c>
      <c r="I176" s="33">
        <v>102</v>
      </c>
      <c r="J176" s="20" t="str">
        <f t="shared" si="10"/>
        <v xml:space="preserve"> </v>
      </c>
      <c r="K176" s="20">
        <f t="shared" si="11"/>
        <v>0</v>
      </c>
    </row>
    <row r="177" spans="1:11" ht="15" thickBot="1" x14ac:dyDescent="0.35">
      <c r="A177" s="32">
        <v>176</v>
      </c>
      <c r="B177" s="28">
        <v>0.16669999999999999</v>
      </c>
      <c r="C177" s="29">
        <f t="shared" si="8"/>
        <v>0.16669999999999999</v>
      </c>
      <c r="D177" s="28">
        <v>0.32</v>
      </c>
      <c r="E177" s="30" t="str">
        <f t="shared" si="9"/>
        <v>Acceptable</v>
      </c>
      <c r="F177" s="28">
        <v>0.49249999999999999</v>
      </c>
      <c r="G177" s="28">
        <v>12</v>
      </c>
      <c r="H177" s="28">
        <v>83</v>
      </c>
      <c r="I177" s="33">
        <v>95</v>
      </c>
      <c r="J177" s="20" t="str">
        <f t="shared" si="10"/>
        <v xml:space="preserve"> </v>
      </c>
      <c r="K177" s="20">
        <f t="shared" si="11"/>
        <v>0</v>
      </c>
    </row>
    <row r="178" spans="1:11" ht="15" thickBot="1" x14ac:dyDescent="0.35">
      <c r="A178" s="32">
        <v>177</v>
      </c>
      <c r="B178" s="28">
        <v>0.16669999999999999</v>
      </c>
      <c r="C178" s="29">
        <f t="shared" si="8"/>
        <v>0.16669999999999999</v>
      </c>
      <c r="D178" s="28">
        <v>0.32</v>
      </c>
      <c r="E178" s="30" t="str">
        <f t="shared" si="9"/>
        <v>Acceptable</v>
      </c>
      <c r="F178" s="28">
        <v>0.44779999999999998</v>
      </c>
      <c r="G178" s="28">
        <v>5</v>
      </c>
      <c r="H178" s="28">
        <v>69</v>
      </c>
      <c r="I178" s="33">
        <v>74</v>
      </c>
      <c r="J178" s="20" t="str">
        <f t="shared" si="10"/>
        <v xml:space="preserve"> </v>
      </c>
      <c r="K178" s="20">
        <f t="shared" si="11"/>
        <v>0</v>
      </c>
    </row>
    <row r="179" spans="1:11" ht="15" thickBot="1" x14ac:dyDescent="0.35">
      <c r="A179" s="32">
        <v>178</v>
      </c>
      <c r="B179" s="28">
        <v>0.13639999999999999</v>
      </c>
      <c r="C179" s="29">
        <f t="shared" si="8"/>
        <v>0.13639999999999999</v>
      </c>
      <c r="D179" s="28">
        <v>0.28999999999999998</v>
      </c>
      <c r="E179" s="30" t="str">
        <f t="shared" si="9"/>
        <v>Acceptable</v>
      </c>
      <c r="F179" s="28">
        <v>0.44779999999999998</v>
      </c>
      <c r="G179" s="28">
        <v>8</v>
      </c>
      <c r="H179" s="28">
        <v>68</v>
      </c>
      <c r="I179" s="33">
        <v>76</v>
      </c>
      <c r="J179" s="20" t="str">
        <f t="shared" si="10"/>
        <v xml:space="preserve"> </v>
      </c>
      <c r="K179" s="20">
        <f t="shared" si="11"/>
        <v>0</v>
      </c>
    </row>
    <row r="180" spans="1:11" ht="15" thickBot="1" x14ac:dyDescent="0.35">
      <c r="A180" s="32">
        <v>179</v>
      </c>
      <c r="B180" s="28">
        <v>0.1212</v>
      </c>
      <c r="C180" s="29">
        <f t="shared" si="8"/>
        <v>0.1212</v>
      </c>
      <c r="D180" s="28">
        <v>0.37</v>
      </c>
      <c r="E180" s="30" t="str">
        <f t="shared" si="9"/>
        <v>Acceptable</v>
      </c>
      <c r="F180" s="28">
        <v>0.55220000000000002</v>
      </c>
      <c r="G180" s="28">
        <v>5</v>
      </c>
      <c r="H180" s="28">
        <v>64</v>
      </c>
      <c r="I180" s="33">
        <v>69</v>
      </c>
      <c r="J180" s="20" t="str">
        <f t="shared" si="10"/>
        <v xml:space="preserve"> </v>
      </c>
      <c r="K180" s="20">
        <f t="shared" si="11"/>
        <v>0</v>
      </c>
    </row>
    <row r="181" spans="1:11" ht="15" thickBot="1" x14ac:dyDescent="0.35">
      <c r="A181" s="32">
        <v>180</v>
      </c>
      <c r="B181" s="28">
        <v>0.1212</v>
      </c>
      <c r="C181" s="29">
        <f t="shared" si="8"/>
        <v>0.1212</v>
      </c>
      <c r="D181" s="28">
        <v>0.39</v>
      </c>
      <c r="E181" s="30" t="str">
        <f t="shared" si="9"/>
        <v>Acceptable</v>
      </c>
      <c r="F181" s="28">
        <v>0.29849999999999999</v>
      </c>
      <c r="G181" s="28">
        <v>3</v>
      </c>
      <c r="H181" s="28">
        <v>52</v>
      </c>
      <c r="I181" s="33">
        <v>55</v>
      </c>
      <c r="J181" s="20" t="str">
        <f t="shared" si="10"/>
        <v xml:space="preserve"> </v>
      </c>
      <c r="K181" s="20">
        <f t="shared" si="11"/>
        <v>0</v>
      </c>
    </row>
    <row r="182" spans="1:11" ht="15" thickBot="1" x14ac:dyDescent="0.35">
      <c r="A182" s="32">
        <v>181</v>
      </c>
      <c r="B182" s="28">
        <v>0.1212</v>
      </c>
      <c r="C182" s="29">
        <f t="shared" si="8"/>
        <v>0.1212</v>
      </c>
      <c r="D182" s="28">
        <v>0.36</v>
      </c>
      <c r="E182" s="30" t="str">
        <f t="shared" si="9"/>
        <v>Acceptable</v>
      </c>
      <c r="F182" s="28">
        <v>0.25369999999999998</v>
      </c>
      <c r="G182" s="28">
        <v>4</v>
      </c>
      <c r="H182" s="28">
        <v>26</v>
      </c>
      <c r="I182" s="33">
        <v>30</v>
      </c>
      <c r="J182" s="20" t="str">
        <f t="shared" si="10"/>
        <v xml:space="preserve"> </v>
      </c>
      <c r="K182" s="20">
        <f t="shared" si="11"/>
        <v>0</v>
      </c>
    </row>
    <row r="183" spans="1:11" ht="15" thickBot="1" x14ac:dyDescent="0.35">
      <c r="A183" s="32">
        <v>182</v>
      </c>
      <c r="B183" s="28">
        <v>0.1212</v>
      </c>
      <c r="C183" s="29">
        <f t="shared" si="8"/>
        <v>0.1212</v>
      </c>
      <c r="D183" s="28">
        <v>0.36</v>
      </c>
      <c r="E183" s="30" t="str">
        <f t="shared" si="9"/>
        <v>Acceptable</v>
      </c>
      <c r="F183" s="28">
        <v>0.25369999999999998</v>
      </c>
      <c r="G183" s="28">
        <v>0</v>
      </c>
      <c r="H183" s="28">
        <v>28</v>
      </c>
      <c r="I183" s="33">
        <v>28</v>
      </c>
      <c r="J183" s="20" t="str">
        <f t="shared" si="10"/>
        <v xml:space="preserve"> </v>
      </c>
      <c r="K183" s="20">
        <f t="shared" si="11"/>
        <v>0</v>
      </c>
    </row>
    <row r="184" spans="1:11" ht="15" thickBot="1" x14ac:dyDescent="0.35">
      <c r="A184" s="32">
        <v>183</v>
      </c>
      <c r="B184" s="28">
        <v>0.1061</v>
      </c>
      <c r="C184" s="29">
        <f t="shared" si="8"/>
        <v>0.1061</v>
      </c>
      <c r="D184" s="28">
        <v>0.39</v>
      </c>
      <c r="E184" s="30" t="str">
        <f t="shared" si="9"/>
        <v>Acceptable</v>
      </c>
      <c r="F184" s="28">
        <v>0.35820000000000002</v>
      </c>
      <c r="G184" s="28">
        <v>2</v>
      </c>
      <c r="H184" s="28">
        <v>35</v>
      </c>
      <c r="I184" s="33">
        <v>37</v>
      </c>
      <c r="J184" s="20" t="str">
        <f t="shared" si="10"/>
        <v xml:space="preserve"> </v>
      </c>
      <c r="K184" s="20">
        <f t="shared" si="11"/>
        <v>0</v>
      </c>
    </row>
    <row r="185" spans="1:11" ht="15" thickBot="1" x14ac:dyDescent="0.35">
      <c r="A185" s="32">
        <v>184</v>
      </c>
      <c r="B185" s="28">
        <v>0.1061</v>
      </c>
      <c r="C185" s="29">
        <f t="shared" si="8"/>
        <v>0.1061</v>
      </c>
      <c r="D185" s="28">
        <v>0.36</v>
      </c>
      <c r="E185" s="30" t="str">
        <f t="shared" si="9"/>
        <v>Acceptable</v>
      </c>
      <c r="F185" s="28">
        <v>0.3881</v>
      </c>
      <c r="G185" s="28">
        <v>1</v>
      </c>
      <c r="H185" s="28">
        <v>33</v>
      </c>
      <c r="I185" s="33">
        <v>34</v>
      </c>
      <c r="J185" s="20" t="str">
        <f t="shared" si="10"/>
        <v xml:space="preserve"> </v>
      </c>
      <c r="K185" s="20">
        <f t="shared" si="11"/>
        <v>0</v>
      </c>
    </row>
    <row r="186" spans="1:11" ht="15" thickBot="1" x14ac:dyDescent="0.35">
      <c r="A186" s="32">
        <v>185</v>
      </c>
      <c r="B186" s="28">
        <v>6.0600000000000001E-2</v>
      </c>
      <c r="C186" s="29">
        <f t="shared" si="8"/>
        <v>6.0600000000000001E-2</v>
      </c>
      <c r="D186" s="28">
        <v>0.39</v>
      </c>
      <c r="E186" s="30" t="str">
        <f t="shared" si="9"/>
        <v>Acceptable</v>
      </c>
      <c r="F186" s="28">
        <v>0.44779999999999998</v>
      </c>
      <c r="G186" s="28">
        <v>0</v>
      </c>
      <c r="H186" s="28">
        <v>22</v>
      </c>
      <c r="I186" s="33">
        <v>22</v>
      </c>
      <c r="J186" s="20" t="str">
        <f t="shared" si="10"/>
        <v xml:space="preserve"> </v>
      </c>
      <c r="K186" s="20">
        <f t="shared" si="11"/>
        <v>0</v>
      </c>
    </row>
    <row r="187" spans="1:11" ht="15" thickBot="1" x14ac:dyDescent="0.35">
      <c r="A187" s="32">
        <v>186</v>
      </c>
      <c r="B187" s="28">
        <v>7.5800000000000006E-2</v>
      </c>
      <c r="C187" s="29">
        <f t="shared" si="8"/>
        <v>7.5800000000000006E-2</v>
      </c>
      <c r="D187" s="28">
        <v>0.42</v>
      </c>
      <c r="E187" s="30" t="str">
        <f t="shared" si="9"/>
        <v>Acceptable</v>
      </c>
      <c r="F187" s="28">
        <v>0.3881</v>
      </c>
      <c r="G187" s="28">
        <v>1</v>
      </c>
      <c r="H187" s="28">
        <v>24</v>
      </c>
      <c r="I187" s="33">
        <v>25</v>
      </c>
      <c r="J187" s="20" t="str">
        <f t="shared" si="10"/>
        <v xml:space="preserve"> </v>
      </c>
      <c r="K187" s="20">
        <f t="shared" si="11"/>
        <v>0</v>
      </c>
    </row>
    <row r="188" spans="1:11" ht="15" thickBot="1" x14ac:dyDescent="0.35">
      <c r="A188" s="32">
        <v>187</v>
      </c>
      <c r="B188" s="28">
        <v>6.0600000000000001E-2</v>
      </c>
      <c r="C188" s="29">
        <f t="shared" si="8"/>
        <v>6.0600000000000001E-2</v>
      </c>
      <c r="D188" s="28">
        <v>0.42</v>
      </c>
      <c r="E188" s="30" t="str">
        <f t="shared" si="9"/>
        <v>Acceptable</v>
      </c>
      <c r="F188" s="28">
        <v>0.4627</v>
      </c>
      <c r="G188" s="28">
        <v>0</v>
      </c>
      <c r="H188" s="28">
        <v>12</v>
      </c>
      <c r="I188" s="33">
        <v>12</v>
      </c>
      <c r="J188" s="20" t="str">
        <f t="shared" si="10"/>
        <v xml:space="preserve"> </v>
      </c>
      <c r="K188" s="20">
        <f t="shared" si="11"/>
        <v>0</v>
      </c>
    </row>
    <row r="189" spans="1:11" ht="15" thickBot="1" x14ac:dyDescent="0.35">
      <c r="A189" s="32">
        <v>188</v>
      </c>
      <c r="B189" s="28">
        <v>6.0600000000000001E-2</v>
      </c>
      <c r="C189" s="29">
        <f t="shared" si="8"/>
        <v>6.0600000000000001E-2</v>
      </c>
      <c r="D189" s="28">
        <v>0.46</v>
      </c>
      <c r="E189" s="30" t="str">
        <f t="shared" si="9"/>
        <v>Acceptable</v>
      </c>
      <c r="F189" s="28">
        <v>0.4627</v>
      </c>
      <c r="G189" s="28">
        <v>0</v>
      </c>
      <c r="H189" s="28">
        <v>11</v>
      </c>
      <c r="I189" s="33">
        <v>11</v>
      </c>
      <c r="J189" s="20" t="str">
        <f t="shared" si="10"/>
        <v xml:space="preserve"> </v>
      </c>
      <c r="K189" s="20">
        <f t="shared" si="11"/>
        <v>0</v>
      </c>
    </row>
    <row r="190" spans="1:11" ht="15" thickBot="1" x14ac:dyDescent="0.35">
      <c r="A190" s="32">
        <v>189</v>
      </c>
      <c r="B190" s="28">
        <v>7.5800000000000006E-2</v>
      </c>
      <c r="C190" s="29">
        <f t="shared" si="8"/>
        <v>7.5800000000000006E-2</v>
      </c>
      <c r="D190" s="28">
        <v>0.46</v>
      </c>
      <c r="E190" s="30" t="str">
        <f t="shared" si="9"/>
        <v>Acceptable</v>
      </c>
      <c r="F190" s="28">
        <v>0.41789999999999999</v>
      </c>
      <c r="G190" s="28">
        <v>0</v>
      </c>
      <c r="H190" s="28">
        <v>4</v>
      </c>
      <c r="I190" s="33">
        <v>4</v>
      </c>
      <c r="J190" s="20" t="str">
        <f t="shared" si="10"/>
        <v xml:space="preserve"> </v>
      </c>
      <c r="K190" s="20">
        <f t="shared" si="11"/>
        <v>0</v>
      </c>
    </row>
    <row r="191" spans="1:11" ht="15" thickBot="1" x14ac:dyDescent="0.35">
      <c r="A191" s="32">
        <v>190</v>
      </c>
      <c r="B191" s="28">
        <v>9.0899999999999995E-2</v>
      </c>
      <c r="C191" s="29">
        <f t="shared" si="8"/>
        <v>9.0899999999999995E-2</v>
      </c>
      <c r="D191" s="28">
        <v>0.53</v>
      </c>
      <c r="E191" s="30" t="str">
        <f t="shared" si="9"/>
        <v>Acceptable</v>
      </c>
      <c r="F191" s="28">
        <v>0.19400000000000001</v>
      </c>
      <c r="G191" s="28">
        <v>0</v>
      </c>
      <c r="H191" s="28">
        <v>1</v>
      </c>
      <c r="I191" s="33">
        <v>1</v>
      </c>
      <c r="J191" s="20" t="str">
        <f t="shared" si="10"/>
        <v xml:space="preserve"> </v>
      </c>
      <c r="K191" s="20">
        <f t="shared" si="11"/>
        <v>0</v>
      </c>
    </row>
    <row r="192" spans="1:11" ht="15" thickBot="1" x14ac:dyDescent="0.35">
      <c r="A192" s="32">
        <v>191</v>
      </c>
      <c r="B192" s="28">
        <v>9.0899999999999995E-2</v>
      </c>
      <c r="C192" s="29">
        <f t="shared" si="8"/>
        <v>9.0899999999999995E-2</v>
      </c>
      <c r="D192" s="28">
        <v>0.53</v>
      </c>
      <c r="E192" s="30" t="str">
        <f t="shared" si="9"/>
        <v>Acceptable</v>
      </c>
      <c r="F192" s="28">
        <v>0.19400000000000001</v>
      </c>
      <c r="G192" s="28">
        <v>0</v>
      </c>
      <c r="H192" s="28">
        <v>1</v>
      </c>
      <c r="I192" s="33">
        <v>1</v>
      </c>
      <c r="J192" s="20" t="str">
        <f t="shared" si="10"/>
        <v xml:space="preserve"> </v>
      </c>
      <c r="K192" s="20">
        <f t="shared" si="11"/>
        <v>0</v>
      </c>
    </row>
    <row r="193" spans="1:11" ht="15" thickBot="1" x14ac:dyDescent="0.35">
      <c r="A193" s="32">
        <v>192</v>
      </c>
      <c r="B193" s="28">
        <v>9.0899999999999995E-2</v>
      </c>
      <c r="C193" s="29">
        <f t="shared" si="8"/>
        <v>9.0899999999999995E-2</v>
      </c>
      <c r="D193" s="28">
        <v>0.49</v>
      </c>
      <c r="E193" s="30" t="str">
        <f t="shared" si="9"/>
        <v>Acceptable</v>
      </c>
      <c r="F193" s="28">
        <v>0.28360000000000002</v>
      </c>
      <c r="G193" s="28">
        <v>0</v>
      </c>
      <c r="H193" s="28">
        <v>1</v>
      </c>
      <c r="I193" s="33">
        <v>1</v>
      </c>
      <c r="J193" s="20" t="str">
        <f t="shared" si="10"/>
        <v xml:space="preserve"> </v>
      </c>
      <c r="K193" s="20">
        <f t="shared" si="11"/>
        <v>0</v>
      </c>
    </row>
    <row r="194" spans="1:11" ht="15" thickBot="1" x14ac:dyDescent="0.35">
      <c r="A194" s="32">
        <v>193</v>
      </c>
      <c r="B194" s="28">
        <v>9.0899999999999995E-2</v>
      </c>
      <c r="C194" s="29">
        <f t="shared" si="8"/>
        <v>9.0899999999999995E-2</v>
      </c>
      <c r="D194" s="28">
        <v>0.53</v>
      </c>
      <c r="E194" s="30" t="str">
        <f t="shared" si="9"/>
        <v>Acceptable</v>
      </c>
      <c r="F194" s="28">
        <v>0.19400000000000001</v>
      </c>
      <c r="G194" s="28">
        <v>1</v>
      </c>
      <c r="H194" s="28">
        <v>5</v>
      </c>
      <c r="I194" s="33">
        <v>6</v>
      </c>
      <c r="J194" s="20" t="str">
        <f t="shared" si="10"/>
        <v xml:space="preserve"> </v>
      </c>
      <c r="K194" s="20">
        <f t="shared" si="11"/>
        <v>0</v>
      </c>
    </row>
    <row r="195" spans="1:11" ht="15" thickBot="1" x14ac:dyDescent="0.35">
      <c r="A195" s="32">
        <v>194</v>
      </c>
      <c r="B195" s="28">
        <v>9.0899999999999995E-2</v>
      </c>
      <c r="C195" s="29">
        <f t="shared" ref="C195:C258" si="12">IF(ISBLANK(B195),AVERAGE(B195:B804),B195)</f>
        <v>9.0899999999999995E-2</v>
      </c>
      <c r="D195" s="28">
        <v>0.49</v>
      </c>
      <c r="E195" s="30" t="str">
        <f t="shared" ref="E195:E258" si="13">IF(D195&lt;0.7,"Acceptable","Risky")</f>
        <v>Acceptable</v>
      </c>
      <c r="F195" s="28">
        <v>0.28360000000000002</v>
      </c>
      <c r="G195" s="28">
        <v>0</v>
      </c>
      <c r="H195" s="28">
        <v>10</v>
      </c>
      <c r="I195" s="33">
        <v>10</v>
      </c>
      <c r="J195" s="20" t="str">
        <f t="shared" ref="J195:J258" si="14">IF(G195+H195=I195," ","Not same")</f>
        <v xml:space="preserve"> </v>
      </c>
      <c r="K195" s="20">
        <f t="shared" ref="K195:K258" si="15">COUNTBLANK(A195:J195)</f>
        <v>0</v>
      </c>
    </row>
    <row r="196" spans="1:11" ht="15" thickBot="1" x14ac:dyDescent="0.35">
      <c r="A196" s="32">
        <v>195</v>
      </c>
      <c r="B196" s="28">
        <v>7.5800000000000006E-2</v>
      </c>
      <c r="C196" s="29">
        <f t="shared" si="12"/>
        <v>7.5800000000000006E-2</v>
      </c>
      <c r="D196" s="28">
        <v>0.46</v>
      </c>
      <c r="E196" s="30" t="str">
        <f t="shared" si="13"/>
        <v>Acceptable</v>
      </c>
      <c r="F196" s="28">
        <v>0.52239999999999998</v>
      </c>
      <c r="G196" s="28">
        <v>0</v>
      </c>
      <c r="H196" s="28">
        <v>19</v>
      </c>
      <c r="I196" s="33">
        <v>19</v>
      </c>
      <c r="J196" s="20" t="str">
        <f t="shared" si="14"/>
        <v xml:space="preserve"> </v>
      </c>
      <c r="K196" s="20">
        <f t="shared" si="15"/>
        <v>0</v>
      </c>
    </row>
    <row r="197" spans="1:11" ht="15" thickBot="1" x14ac:dyDescent="0.35">
      <c r="A197" s="32">
        <v>196</v>
      </c>
      <c r="B197" s="28">
        <v>0.1061</v>
      </c>
      <c r="C197" s="29">
        <f t="shared" si="12"/>
        <v>0.1061</v>
      </c>
      <c r="D197" s="28">
        <v>0.43</v>
      </c>
      <c r="E197" s="30" t="str">
        <f t="shared" si="13"/>
        <v>Acceptable</v>
      </c>
      <c r="F197" s="28">
        <v>0.3881</v>
      </c>
      <c r="G197" s="28">
        <v>0</v>
      </c>
      <c r="H197" s="28">
        <v>49</v>
      </c>
      <c r="I197" s="33">
        <v>49</v>
      </c>
      <c r="J197" s="20" t="str">
        <f t="shared" si="14"/>
        <v xml:space="preserve"> </v>
      </c>
      <c r="K197" s="20">
        <f t="shared" si="15"/>
        <v>0</v>
      </c>
    </row>
    <row r="198" spans="1:11" ht="15" thickBot="1" x14ac:dyDescent="0.35">
      <c r="A198" s="32">
        <v>197</v>
      </c>
      <c r="B198" s="28">
        <v>0.1212</v>
      </c>
      <c r="C198" s="29">
        <f t="shared" si="12"/>
        <v>0.1212</v>
      </c>
      <c r="D198" s="28">
        <v>0.4</v>
      </c>
      <c r="E198" s="30" t="str">
        <f t="shared" si="13"/>
        <v>Acceptable</v>
      </c>
      <c r="F198" s="28">
        <v>0.52239999999999998</v>
      </c>
      <c r="G198" s="28">
        <v>2</v>
      </c>
      <c r="H198" s="28">
        <v>47</v>
      </c>
      <c r="I198" s="33">
        <v>49</v>
      </c>
      <c r="J198" s="20" t="str">
        <f t="shared" si="14"/>
        <v xml:space="preserve"> </v>
      </c>
      <c r="K198" s="20">
        <f t="shared" si="15"/>
        <v>0</v>
      </c>
    </row>
    <row r="199" spans="1:11" ht="15" thickBot="1" x14ac:dyDescent="0.35">
      <c r="A199" s="32">
        <v>198</v>
      </c>
      <c r="B199" s="28">
        <v>0.13639999999999999</v>
      </c>
      <c r="C199" s="29">
        <f t="shared" si="12"/>
        <v>0.13639999999999999</v>
      </c>
      <c r="D199" s="28">
        <v>0.37</v>
      </c>
      <c r="E199" s="30" t="str">
        <f t="shared" si="13"/>
        <v>Acceptable</v>
      </c>
      <c r="F199" s="28">
        <v>0.44779999999999998</v>
      </c>
      <c r="G199" s="28">
        <v>4</v>
      </c>
      <c r="H199" s="28">
        <v>79</v>
      </c>
      <c r="I199" s="33">
        <v>83</v>
      </c>
      <c r="J199" s="20" t="str">
        <f t="shared" si="14"/>
        <v xml:space="preserve"> </v>
      </c>
      <c r="K199" s="20">
        <f t="shared" si="15"/>
        <v>0</v>
      </c>
    </row>
    <row r="200" spans="1:11" ht="15" thickBot="1" x14ac:dyDescent="0.35">
      <c r="A200" s="32">
        <v>199</v>
      </c>
      <c r="B200" s="28">
        <v>0.16669999999999999</v>
      </c>
      <c r="C200" s="29">
        <f t="shared" si="12"/>
        <v>0.16669999999999999</v>
      </c>
      <c r="D200" s="28">
        <v>0.34</v>
      </c>
      <c r="E200" s="30" t="str">
        <f t="shared" si="13"/>
        <v>Acceptable</v>
      </c>
      <c r="F200" s="28">
        <v>0.44779999999999998</v>
      </c>
      <c r="G200" s="28">
        <v>6</v>
      </c>
      <c r="H200" s="28">
        <v>69</v>
      </c>
      <c r="I200" s="33">
        <v>75</v>
      </c>
      <c r="J200" s="20" t="str">
        <f t="shared" si="14"/>
        <v xml:space="preserve"> </v>
      </c>
      <c r="K200" s="20">
        <f t="shared" si="15"/>
        <v>0</v>
      </c>
    </row>
    <row r="201" spans="1:11" ht="15" thickBot="1" x14ac:dyDescent="0.35">
      <c r="A201" s="32">
        <v>200</v>
      </c>
      <c r="B201" s="28">
        <v>0.18179999999999999</v>
      </c>
      <c r="C201" s="29">
        <f t="shared" si="12"/>
        <v>0.18179999999999999</v>
      </c>
      <c r="D201" s="28">
        <v>0.32</v>
      </c>
      <c r="E201" s="30" t="str">
        <f t="shared" si="13"/>
        <v>Acceptable</v>
      </c>
      <c r="F201" s="28">
        <v>0.4627</v>
      </c>
      <c r="G201" s="28">
        <v>8</v>
      </c>
      <c r="H201" s="28">
        <v>64</v>
      </c>
      <c r="I201" s="33">
        <v>72</v>
      </c>
      <c r="J201" s="20" t="str">
        <f t="shared" si="14"/>
        <v xml:space="preserve"> </v>
      </c>
      <c r="K201" s="20">
        <f t="shared" si="15"/>
        <v>0</v>
      </c>
    </row>
    <row r="202" spans="1:11" ht="15" thickBot="1" x14ac:dyDescent="0.35">
      <c r="A202" s="32">
        <v>201</v>
      </c>
      <c r="B202" s="28">
        <v>0.19700000000000001</v>
      </c>
      <c r="C202" s="29">
        <f t="shared" si="12"/>
        <v>0.19700000000000001</v>
      </c>
      <c r="D202" s="28">
        <v>0.35</v>
      </c>
      <c r="E202" s="30" t="str">
        <f t="shared" si="13"/>
        <v>Acceptable</v>
      </c>
      <c r="F202" s="28">
        <v>0.35820000000000002</v>
      </c>
      <c r="G202" s="28">
        <v>5</v>
      </c>
      <c r="H202" s="28">
        <v>77</v>
      </c>
      <c r="I202" s="33">
        <v>82</v>
      </c>
      <c r="J202" s="20" t="str">
        <f t="shared" si="14"/>
        <v xml:space="preserve"> </v>
      </c>
      <c r="K202" s="20">
        <f t="shared" si="15"/>
        <v>0</v>
      </c>
    </row>
    <row r="203" spans="1:11" ht="15" thickBot="1" x14ac:dyDescent="0.35">
      <c r="A203" s="32">
        <v>202</v>
      </c>
      <c r="B203" s="28">
        <v>0.16669999999999999</v>
      </c>
      <c r="C203" s="29">
        <f t="shared" si="12"/>
        <v>0.16669999999999999</v>
      </c>
      <c r="D203" s="28">
        <v>0.34</v>
      </c>
      <c r="E203" s="30" t="str">
        <f t="shared" si="13"/>
        <v>Acceptable</v>
      </c>
      <c r="F203" s="28">
        <v>0.44779999999999998</v>
      </c>
      <c r="G203" s="28">
        <v>13</v>
      </c>
      <c r="H203" s="28">
        <v>79</v>
      </c>
      <c r="I203" s="33">
        <v>92</v>
      </c>
      <c r="J203" s="20" t="str">
        <f t="shared" si="14"/>
        <v xml:space="preserve"> </v>
      </c>
      <c r="K203" s="20">
        <f t="shared" si="15"/>
        <v>0</v>
      </c>
    </row>
    <row r="204" spans="1:11" ht="15" thickBot="1" x14ac:dyDescent="0.35">
      <c r="A204" s="32">
        <v>203</v>
      </c>
      <c r="B204" s="28">
        <v>0.1515</v>
      </c>
      <c r="C204" s="29">
        <f t="shared" si="12"/>
        <v>0.1515</v>
      </c>
      <c r="D204" s="28">
        <v>0.37</v>
      </c>
      <c r="E204" s="30" t="str">
        <f t="shared" si="13"/>
        <v>Acceptable</v>
      </c>
      <c r="F204" s="28">
        <v>0.3881</v>
      </c>
      <c r="G204" s="28">
        <v>3</v>
      </c>
      <c r="H204" s="28">
        <v>59</v>
      </c>
      <c r="I204" s="33">
        <v>62</v>
      </c>
      <c r="J204" s="20" t="str">
        <f t="shared" si="14"/>
        <v xml:space="preserve"> </v>
      </c>
      <c r="K204" s="20">
        <f t="shared" si="15"/>
        <v>0</v>
      </c>
    </row>
    <row r="205" spans="1:11" ht="15" thickBot="1" x14ac:dyDescent="0.35">
      <c r="A205" s="32">
        <v>204</v>
      </c>
      <c r="B205" s="28">
        <v>0.13639999999999999</v>
      </c>
      <c r="C205" s="29">
        <f t="shared" si="12"/>
        <v>0.13639999999999999</v>
      </c>
      <c r="D205" s="28">
        <v>0.4</v>
      </c>
      <c r="E205" s="30" t="str">
        <f t="shared" si="13"/>
        <v>Acceptable</v>
      </c>
      <c r="F205" s="28">
        <v>0.32840000000000003</v>
      </c>
      <c r="G205" s="28">
        <v>4</v>
      </c>
      <c r="H205" s="28">
        <v>44</v>
      </c>
      <c r="I205" s="33">
        <v>48</v>
      </c>
      <c r="J205" s="20" t="str">
        <f t="shared" si="14"/>
        <v xml:space="preserve"> </v>
      </c>
      <c r="K205" s="20">
        <f t="shared" si="15"/>
        <v>0</v>
      </c>
    </row>
    <row r="206" spans="1:11" ht="15" thickBot="1" x14ac:dyDescent="0.35">
      <c r="A206" s="32">
        <v>205</v>
      </c>
      <c r="B206" s="28">
        <v>0.13639999999999999</v>
      </c>
      <c r="C206" s="29">
        <f t="shared" si="12"/>
        <v>0.13639999999999999</v>
      </c>
      <c r="D206" s="28">
        <v>0.43</v>
      </c>
      <c r="E206" s="30" t="str">
        <f t="shared" si="13"/>
        <v>Acceptable</v>
      </c>
      <c r="F206" s="28">
        <v>0.32840000000000003</v>
      </c>
      <c r="G206" s="28">
        <v>1</v>
      </c>
      <c r="H206" s="28">
        <v>40</v>
      </c>
      <c r="I206" s="33">
        <v>41</v>
      </c>
      <c r="J206" s="20" t="str">
        <f t="shared" si="14"/>
        <v xml:space="preserve"> </v>
      </c>
      <c r="K206" s="20">
        <f t="shared" si="15"/>
        <v>0</v>
      </c>
    </row>
    <row r="207" spans="1:11" ht="15" thickBot="1" x14ac:dyDescent="0.35">
      <c r="A207" s="32">
        <v>206</v>
      </c>
      <c r="B207" s="28">
        <v>0.1212</v>
      </c>
      <c r="C207" s="29">
        <f t="shared" si="12"/>
        <v>0.1212</v>
      </c>
      <c r="D207" s="28">
        <v>0.46</v>
      </c>
      <c r="E207" s="30" t="str">
        <f t="shared" si="13"/>
        <v>Acceptable</v>
      </c>
      <c r="F207" s="28">
        <v>0.25369999999999998</v>
      </c>
      <c r="G207" s="28">
        <v>0</v>
      </c>
      <c r="H207" s="28">
        <v>38</v>
      </c>
      <c r="I207" s="33">
        <v>38</v>
      </c>
      <c r="J207" s="20" t="str">
        <f t="shared" si="14"/>
        <v xml:space="preserve"> </v>
      </c>
      <c r="K207" s="20">
        <f t="shared" si="15"/>
        <v>0</v>
      </c>
    </row>
    <row r="208" spans="1:11" ht="15" thickBot="1" x14ac:dyDescent="0.35">
      <c r="A208" s="32">
        <v>207</v>
      </c>
      <c r="B208" s="28">
        <v>0.1061</v>
      </c>
      <c r="C208" s="29">
        <f t="shared" si="12"/>
        <v>0.1061</v>
      </c>
      <c r="D208" s="28">
        <v>0.46</v>
      </c>
      <c r="E208" s="30" t="str">
        <f t="shared" si="13"/>
        <v>Acceptable</v>
      </c>
      <c r="F208" s="28">
        <v>0.41789999999999999</v>
      </c>
      <c r="G208" s="28">
        <v>1</v>
      </c>
      <c r="H208" s="28">
        <v>19</v>
      </c>
      <c r="I208" s="33">
        <v>20</v>
      </c>
      <c r="J208" s="20" t="str">
        <f t="shared" si="14"/>
        <v xml:space="preserve"> </v>
      </c>
      <c r="K208" s="20">
        <f t="shared" si="15"/>
        <v>0</v>
      </c>
    </row>
    <row r="209" spans="1:11" ht="15" thickBot="1" x14ac:dyDescent="0.35">
      <c r="A209" s="32">
        <v>208</v>
      </c>
      <c r="B209" s="28">
        <v>0.1212</v>
      </c>
      <c r="C209" s="29">
        <f t="shared" si="12"/>
        <v>0.1212</v>
      </c>
      <c r="D209" s="28">
        <v>0.46</v>
      </c>
      <c r="E209" s="30" t="str">
        <f t="shared" si="13"/>
        <v>Acceptable</v>
      </c>
      <c r="F209" s="28">
        <v>0.29849999999999999</v>
      </c>
      <c r="G209" s="28">
        <v>5</v>
      </c>
      <c r="H209" s="28">
        <v>10</v>
      </c>
      <c r="I209" s="33">
        <v>15</v>
      </c>
      <c r="J209" s="20" t="str">
        <f t="shared" si="14"/>
        <v xml:space="preserve"> </v>
      </c>
      <c r="K209" s="20">
        <f t="shared" si="15"/>
        <v>0</v>
      </c>
    </row>
    <row r="210" spans="1:11" ht="15" thickBot="1" x14ac:dyDescent="0.35">
      <c r="A210" s="32">
        <v>209</v>
      </c>
      <c r="B210" s="28">
        <v>0.13639999999999999</v>
      </c>
      <c r="C210" s="29">
        <f t="shared" si="12"/>
        <v>0.13639999999999999</v>
      </c>
      <c r="D210" s="28">
        <v>0.5</v>
      </c>
      <c r="E210" s="30" t="str">
        <f t="shared" si="13"/>
        <v>Acceptable</v>
      </c>
      <c r="F210" s="28">
        <v>0.19400000000000001</v>
      </c>
      <c r="G210" s="28">
        <v>0</v>
      </c>
      <c r="H210" s="28">
        <v>6</v>
      </c>
      <c r="I210" s="33">
        <v>6</v>
      </c>
      <c r="J210" s="20" t="str">
        <f t="shared" si="14"/>
        <v xml:space="preserve"> </v>
      </c>
      <c r="K210" s="20">
        <f t="shared" si="15"/>
        <v>0</v>
      </c>
    </row>
    <row r="211" spans="1:11" ht="15" thickBot="1" x14ac:dyDescent="0.35">
      <c r="A211" s="32">
        <v>210</v>
      </c>
      <c r="B211" s="28">
        <v>0.1212</v>
      </c>
      <c r="C211" s="29">
        <f t="shared" si="12"/>
        <v>0.1212</v>
      </c>
      <c r="D211" s="28">
        <v>0.5</v>
      </c>
      <c r="E211" s="30" t="str">
        <f t="shared" si="13"/>
        <v>Acceptable</v>
      </c>
      <c r="F211" s="28">
        <v>0.28360000000000002</v>
      </c>
      <c r="G211" s="28">
        <v>2</v>
      </c>
      <c r="H211" s="28">
        <v>3</v>
      </c>
      <c r="I211" s="33">
        <v>5</v>
      </c>
      <c r="J211" s="20" t="str">
        <f t="shared" si="14"/>
        <v xml:space="preserve"> </v>
      </c>
      <c r="K211" s="20">
        <f t="shared" si="15"/>
        <v>0</v>
      </c>
    </row>
    <row r="212" spans="1:11" ht="15" thickBot="1" x14ac:dyDescent="0.35">
      <c r="A212" s="32">
        <v>211</v>
      </c>
      <c r="B212" s="28">
        <v>0.1212</v>
      </c>
      <c r="C212" s="29">
        <f t="shared" si="12"/>
        <v>0.1212</v>
      </c>
      <c r="D212" s="28">
        <v>0.5</v>
      </c>
      <c r="E212" s="30" t="str">
        <f t="shared" si="13"/>
        <v>Acceptable</v>
      </c>
      <c r="F212" s="28">
        <v>0.28360000000000002</v>
      </c>
      <c r="G212" s="28">
        <v>1</v>
      </c>
      <c r="H212" s="28">
        <v>0</v>
      </c>
      <c r="I212" s="33">
        <v>1</v>
      </c>
      <c r="J212" s="20" t="str">
        <f t="shared" si="14"/>
        <v xml:space="preserve"> </v>
      </c>
      <c r="K212" s="20">
        <f t="shared" si="15"/>
        <v>0</v>
      </c>
    </row>
    <row r="213" spans="1:11" ht="15" thickBot="1" x14ac:dyDescent="0.35">
      <c r="A213" s="32">
        <v>212</v>
      </c>
      <c r="B213" s="28">
        <v>0.1212</v>
      </c>
      <c r="C213" s="29">
        <f t="shared" si="12"/>
        <v>0.1212</v>
      </c>
      <c r="D213" s="28">
        <v>0.5</v>
      </c>
      <c r="E213" s="30" t="str">
        <f t="shared" si="13"/>
        <v>Acceptable</v>
      </c>
      <c r="F213" s="28">
        <v>0.22389999999999999</v>
      </c>
      <c r="G213" s="28">
        <v>0</v>
      </c>
      <c r="H213" s="28">
        <v>3</v>
      </c>
      <c r="I213" s="33">
        <v>3</v>
      </c>
      <c r="J213" s="20" t="str">
        <f t="shared" si="14"/>
        <v xml:space="preserve"> </v>
      </c>
      <c r="K213" s="20">
        <f t="shared" si="15"/>
        <v>0</v>
      </c>
    </row>
    <row r="214" spans="1:11" ht="15" thickBot="1" x14ac:dyDescent="0.35">
      <c r="A214" s="32">
        <v>213</v>
      </c>
      <c r="B214" s="28">
        <v>0.1212</v>
      </c>
      <c r="C214" s="29">
        <f t="shared" si="12"/>
        <v>0.1212</v>
      </c>
      <c r="D214" s="28">
        <v>0.5</v>
      </c>
      <c r="E214" s="30" t="str">
        <f t="shared" si="13"/>
        <v>Acceptable</v>
      </c>
      <c r="F214" s="28">
        <v>0.22389999999999999</v>
      </c>
      <c r="G214" s="28">
        <v>0</v>
      </c>
      <c r="H214" s="28">
        <v>1</v>
      </c>
      <c r="I214" s="33">
        <v>1</v>
      </c>
      <c r="J214" s="20" t="str">
        <f t="shared" si="14"/>
        <v xml:space="preserve"> </v>
      </c>
      <c r="K214" s="20">
        <f t="shared" si="15"/>
        <v>0</v>
      </c>
    </row>
    <row r="215" spans="1:11" ht="15" thickBot="1" x14ac:dyDescent="0.35">
      <c r="A215" s="32">
        <v>214</v>
      </c>
      <c r="B215" s="28">
        <v>0.1212</v>
      </c>
      <c r="C215" s="29">
        <f t="shared" si="12"/>
        <v>0.1212</v>
      </c>
      <c r="D215" s="28">
        <v>0.54</v>
      </c>
      <c r="E215" s="30" t="str">
        <f t="shared" si="13"/>
        <v>Acceptable</v>
      </c>
      <c r="F215" s="28">
        <v>0.1343</v>
      </c>
      <c r="G215" s="28">
        <v>1</v>
      </c>
      <c r="H215" s="28">
        <v>2</v>
      </c>
      <c r="I215" s="33">
        <v>3</v>
      </c>
      <c r="J215" s="20" t="str">
        <f t="shared" si="14"/>
        <v xml:space="preserve"> </v>
      </c>
      <c r="K215" s="20">
        <f t="shared" si="15"/>
        <v>0</v>
      </c>
    </row>
    <row r="216" spans="1:11" ht="15" thickBot="1" x14ac:dyDescent="0.35">
      <c r="A216" s="32">
        <v>215</v>
      </c>
      <c r="B216" s="28">
        <v>0.1061</v>
      </c>
      <c r="C216" s="29">
        <f t="shared" si="12"/>
        <v>0.1061</v>
      </c>
      <c r="D216" s="28">
        <v>0.54</v>
      </c>
      <c r="E216" s="30" t="str">
        <f t="shared" si="13"/>
        <v>Acceptable</v>
      </c>
      <c r="F216" s="28">
        <v>0.25369999999999998</v>
      </c>
      <c r="G216" s="28">
        <v>0</v>
      </c>
      <c r="H216" s="28">
        <v>3</v>
      </c>
      <c r="I216" s="33">
        <v>3</v>
      </c>
      <c r="J216" s="20" t="str">
        <f t="shared" si="14"/>
        <v xml:space="preserve"> </v>
      </c>
      <c r="K216" s="20">
        <f t="shared" si="15"/>
        <v>0</v>
      </c>
    </row>
    <row r="217" spans="1:11" ht="15" thickBot="1" x14ac:dyDescent="0.35">
      <c r="A217" s="32">
        <v>216</v>
      </c>
      <c r="B217" s="28">
        <v>0.1212</v>
      </c>
      <c r="C217" s="29">
        <f t="shared" si="12"/>
        <v>0.1212</v>
      </c>
      <c r="D217" s="28">
        <v>0.5</v>
      </c>
      <c r="E217" s="30" t="str">
        <f t="shared" si="13"/>
        <v>Acceptable</v>
      </c>
      <c r="F217" s="28">
        <v>0.28360000000000002</v>
      </c>
      <c r="G217" s="28">
        <v>0</v>
      </c>
      <c r="H217" s="28">
        <v>31</v>
      </c>
      <c r="I217" s="33">
        <v>31</v>
      </c>
      <c r="J217" s="20" t="str">
        <f t="shared" si="14"/>
        <v xml:space="preserve"> </v>
      </c>
      <c r="K217" s="20">
        <f t="shared" si="15"/>
        <v>0</v>
      </c>
    </row>
    <row r="218" spans="1:11" ht="15" thickBot="1" x14ac:dyDescent="0.35">
      <c r="A218" s="32">
        <v>217</v>
      </c>
      <c r="B218" s="28">
        <v>0.1212</v>
      </c>
      <c r="C218" s="29">
        <f t="shared" si="12"/>
        <v>0.1212</v>
      </c>
      <c r="D218" s="28">
        <v>0.5</v>
      </c>
      <c r="E218" s="30" t="str">
        <f t="shared" si="13"/>
        <v>Acceptable</v>
      </c>
      <c r="F218" s="28">
        <v>0.22389999999999999</v>
      </c>
      <c r="G218" s="28">
        <v>2</v>
      </c>
      <c r="H218" s="28">
        <v>75</v>
      </c>
      <c r="I218" s="33">
        <v>77</v>
      </c>
      <c r="J218" s="20" t="str">
        <f t="shared" si="14"/>
        <v xml:space="preserve"> </v>
      </c>
      <c r="K218" s="20">
        <f t="shared" si="15"/>
        <v>0</v>
      </c>
    </row>
    <row r="219" spans="1:11" ht="15" thickBot="1" x14ac:dyDescent="0.35">
      <c r="A219" s="32">
        <v>218</v>
      </c>
      <c r="B219" s="28">
        <v>0.1212</v>
      </c>
      <c r="C219" s="29">
        <f t="shared" si="12"/>
        <v>0.1212</v>
      </c>
      <c r="D219" s="28">
        <v>0.5</v>
      </c>
      <c r="E219" s="30" t="str">
        <f t="shared" si="13"/>
        <v>Acceptable</v>
      </c>
      <c r="F219" s="28">
        <v>0.28360000000000002</v>
      </c>
      <c r="G219" s="28">
        <v>4</v>
      </c>
      <c r="H219" s="28">
        <v>184</v>
      </c>
      <c r="I219" s="33">
        <v>188</v>
      </c>
      <c r="J219" s="20" t="str">
        <f t="shared" si="14"/>
        <v xml:space="preserve"> </v>
      </c>
      <c r="K219" s="20">
        <f t="shared" si="15"/>
        <v>0</v>
      </c>
    </row>
    <row r="220" spans="1:11" ht="15" thickBot="1" x14ac:dyDescent="0.35">
      <c r="A220" s="32">
        <v>219</v>
      </c>
      <c r="B220" s="28">
        <v>0.1212</v>
      </c>
      <c r="C220" s="29">
        <f t="shared" si="12"/>
        <v>0.1212</v>
      </c>
      <c r="D220" s="28">
        <v>0.5</v>
      </c>
      <c r="E220" s="30" t="str">
        <f t="shared" si="13"/>
        <v>Acceptable</v>
      </c>
      <c r="F220" s="28">
        <v>0.25369999999999998</v>
      </c>
      <c r="G220" s="28">
        <v>2</v>
      </c>
      <c r="H220" s="28">
        <v>92</v>
      </c>
      <c r="I220" s="33">
        <v>94</v>
      </c>
      <c r="J220" s="20" t="str">
        <f t="shared" si="14"/>
        <v xml:space="preserve"> </v>
      </c>
      <c r="K220" s="20">
        <f t="shared" si="15"/>
        <v>0</v>
      </c>
    </row>
    <row r="221" spans="1:11" ht="15" thickBot="1" x14ac:dyDescent="0.35">
      <c r="A221" s="32">
        <v>220</v>
      </c>
      <c r="B221" s="28">
        <v>0.1212</v>
      </c>
      <c r="C221" s="29">
        <f t="shared" si="12"/>
        <v>0.1212</v>
      </c>
      <c r="D221" s="28">
        <v>0.5</v>
      </c>
      <c r="E221" s="30" t="str">
        <f t="shared" si="13"/>
        <v>Acceptable</v>
      </c>
      <c r="F221" s="28">
        <v>0.29849999999999999</v>
      </c>
      <c r="G221" s="28">
        <v>0</v>
      </c>
      <c r="H221" s="28">
        <v>31</v>
      </c>
      <c r="I221" s="33">
        <v>31</v>
      </c>
      <c r="J221" s="20" t="str">
        <f t="shared" si="14"/>
        <v xml:space="preserve"> </v>
      </c>
      <c r="K221" s="20">
        <f t="shared" si="15"/>
        <v>0</v>
      </c>
    </row>
    <row r="222" spans="1:11" ht="15" thickBot="1" x14ac:dyDescent="0.35">
      <c r="A222" s="32">
        <v>221</v>
      </c>
      <c r="B222" s="28">
        <v>0.13639999999999999</v>
      </c>
      <c r="C222" s="29">
        <f t="shared" si="12"/>
        <v>0.13639999999999999</v>
      </c>
      <c r="D222" s="28">
        <v>0.47</v>
      </c>
      <c r="E222" s="30" t="str">
        <f t="shared" si="13"/>
        <v>Acceptable</v>
      </c>
      <c r="F222" s="28">
        <v>0.28360000000000002</v>
      </c>
      <c r="G222" s="28">
        <v>2</v>
      </c>
      <c r="H222" s="28">
        <v>28</v>
      </c>
      <c r="I222" s="33">
        <v>30</v>
      </c>
      <c r="J222" s="20" t="str">
        <f t="shared" si="14"/>
        <v xml:space="preserve"> </v>
      </c>
      <c r="K222" s="20">
        <f t="shared" si="15"/>
        <v>0</v>
      </c>
    </row>
    <row r="223" spans="1:11" ht="15" thickBot="1" x14ac:dyDescent="0.35">
      <c r="A223" s="32">
        <v>222</v>
      </c>
      <c r="B223" s="28">
        <v>0.18179999999999999</v>
      </c>
      <c r="C223" s="29">
        <f t="shared" si="12"/>
        <v>0.18179999999999999</v>
      </c>
      <c r="D223" s="28">
        <v>0.4</v>
      </c>
      <c r="E223" s="30" t="str">
        <f t="shared" si="13"/>
        <v>Acceptable</v>
      </c>
      <c r="F223" s="28">
        <v>0.28360000000000002</v>
      </c>
      <c r="G223" s="28">
        <v>5</v>
      </c>
      <c r="H223" s="28">
        <v>47</v>
      </c>
      <c r="I223" s="33">
        <v>52</v>
      </c>
      <c r="J223" s="20" t="str">
        <f t="shared" si="14"/>
        <v xml:space="preserve"> </v>
      </c>
      <c r="K223" s="20">
        <f t="shared" si="15"/>
        <v>0</v>
      </c>
    </row>
    <row r="224" spans="1:11" ht="15" thickBot="1" x14ac:dyDescent="0.35">
      <c r="A224" s="32">
        <v>223</v>
      </c>
      <c r="B224" s="28">
        <v>0.18179999999999999</v>
      </c>
      <c r="C224" s="29">
        <f t="shared" si="12"/>
        <v>0.18179999999999999</v>
      </c>
      <c r="D224" s="28">
        <v>0.4</v>
      </c>
      <c r="E224" s="30" t="str">
        <f t="shared" si="13"/>
        <v>Acceptable</v>
      </c>
      <c r="F224" s="28">
        <v>0.28360000000000002</v>
      </c>
      <c r="G224" s="28">
        <v>4</v>
      </c>
      <c r="H224" s="28">
        <v>50</v>
      </c>
      <c r="I224" s="33">
        <v>54</v>
      </c>
      <c r="J224" s="20" t="str">
        <f t="shared" si="14"/>
        <v xml:space="preserve"> </v>
      </c>
      <c r="K224" s="20">
        <f t="shared" si="15"/>
        <v>0</v>
      </c>
    </row>
    <row r="225" spans="1:11" ht="15" thickBot="1" x14ac:dyDescent="0.35">
      <c r="A225" s="32">
        <v>224</v>
      </c>
      <c r="B225" s="28">
        <v>0.19700000000000001</v>
      </c>
      <c r="C225" s="29">
        <f t="shared" si="12"/>
        <v>0.19700000000000001</v>
      </c>
      <c r="D225" s="28">
        <v>0.4</v>
      </c>
      <c r="E225" s="30" t="str">
        <f t="shared" si="13"/>
        <v>Acceptable</v>
      </c>
      <c r="F225" s="28">
        <v>0.22389999999999999</v>
      </c>
      <c r="G225" s="28">
        <v>0</v>
      </c>
      <c r="H225" s="28">
        <v>47</v>
      </c>
      <c r="I225" s="33">
        <v>47</v>
      </c>
      <c r="J225" s="20" t="str">
        <f t="shared" si="14"/>
        <v xml:space="preserve"> </v>
      </c>
      <c r="K225" s="20">
        <f t="shared" si="15"/>
        <v>0</v>
      </c>
    </row>
    <row r="226" spans="1:11" ht="15" thickBot="1" x14ac:dyDescent="0.35">
      <c r="A226" s="32">
        <v>225</v>
      </c>
      <c r="B226" s="28">
        <v>0.19700000000000001</v>
      </c>
      <c r="C226" s="29">
        <f t="shared" si="12"/>
        <v>0.19700000000000001</v>
      </c>
      <c r="D226" s="28">
        <v>0.4</v>
      </c>
      <c r="E226" s="30" t="str">
        <f t="shared" si="13"/>
        <v>Acceptable</v>
      </c>
      <c r="F226" s="28">
        <v>0.22389999999999999</v>
      </c>
      <c r="G226" s="28">
        <v>2</v>
      </c>
      <c r="H226" s="28">
        <v>43</v>
      </c>
      <c r="I226" s="33">
        <v>45</v>
      </c>
      <c r="J226" s="20" t="str">
        <f t="shared" si="14"/>
        <v xml:space="preserve"> </v>
      </c>
      <c r="K226" s="20">
        <f t="shared" si="15"/>
        <v>0</v>
      </c>
    </row>
    <row r="227" spans="1:11" ht="15" thickBot="1" x14ac:dyDescent="0.35">
      <c r="A227" s="32">
        <v>226</v>
      </c>
      <c r="B227" s="28">
        <v>0.21210000000000001</v>
      </c>
      <c r="C227" s="29">
        <f t="shared" si="12"/>
        <v>0.21210000000000001</v>
      </c>
      <c r="D227" s="28">
        <v>0.4</v>
      </c>
      <c r="E227" s="30" t="str">
        <f t="shared" si="13"/>
        <v>Acceptable</v>
      </c>
      <c r="F227" s="28">
        <v>0.1343</v>
      </c>
      <c r="G227" s="28">
        <v>4</v>
      </c>
      <c r="H227" s="28">
        <v>70</v>
      </c>
      <c r="I227" s="33">
        <v>74</v>
      </c>
      <c r="J227" s="20" t="str">
        <f t="shared" si="14"/>
        <v xml:space="preserve"> </v>
      </c>
      <c r="K227" s="20">
        <f t="shared" si="15"/>
        <v>0</v>
      </c>
    </row>
    <row r="228" spans="1:11" ht="15" thickBot="1" x14ac:dyDescent="0.35">
      <c r="A228" s="32">
        <v>227</v>
      </c>
      <c r="B228" s="28">
        <v>0.2273</v>
      </c>
      <c r="C228" s="29">
        <f t="shared" si="12"/>
        <v>0.2273</v>
      </c>
      <c r="D228" s="28">
        <v>0.4</v>
      </c>
      <c r="E228" s="30" t="str">
        <f t="shared" si="13"/>
        <v>Acceptable</v>
      </c>
      <c r="F228" s="28">
        <v>0.1045</v>
      </c>
      <c r="G228" s="28">
        <v>4</v>
      </c>
      <c r="H228" s="28">
        <v>174</v>
      </c>
      <c r="I228" s="33">
        <v>178</v>
      </c>
      <c r="J228" s="20" t="str">
        <f t="shared" si="14"/>
        <v xml:space="preserve"> </v>
      </c>
      <c r="K228" s="20">
        <f t="shared" si="15"/>
        <v>0</v>
      </c>
    </row>
    <row r="229" spans="1:11" ht="15" thickBot="1" x14ac:dyDescent="0.35">
      <c r="A229" s="32">
        <v>228</v>
      </c>
      <c r="B229" s="28">
        <v>0.19700000000000001</v>
      </c>
      <c r="C229" s="29">
        <f t="shared" si="12"/>
        <v>0.19700000000000001</v>
      </c>
      <c r="D229" s="28">
        <v>0.4</v>
      </c>
      <c r="E229" s="30" t="str">
        <f t="shared" si="13"/>
        <v>Acceptable</v>
      </c>
      <c r="F229" s="28">
        <v>0.22389999999999999</v>
      </c>
      <c r="G229" s="28">
        <v>1</v>
      </c>
      <c r="H229" s="28">
        <v>154</v>
      </c>
      <c r="I229" s="33">
        <v>155</v>
      </c>
      <c r="J229" s="20" t="str">
        <f t="shared" si="14"/>
        <v xml:space="preserve"> </v>
      </c>
      <c r="K229" s="20">
        <f t="shared" si="15"/>
        <v>0</v>
      </c>
    </row>
    <row r="230" spans="1:11" ht="15" thickBot="1" x14ac:dyDescent="0.35">
      <c r="A230" s="32">
        <v>229</v>
      </c>
      <c r="B230" s="28">
        <v>0.16669999999999999</v>
      </c>
      <c r="C230" s="29">
        <f t="shared" si="12"/>
        <v>0.16669999999999999</v>
      </c>
      <c r="D230" s="28">
        <v>0.47</v>
      </c>
      <c r="E230" s="30" t="str">
        <f t="shared" si="13"/>
        <v>Acceptable</v>
      </c>
      <c r="F230" s="28">
        <v>0.16420000000000001</v>
      </c>
      <c r="G230" s="28">
        <v>3</v>
      </c>
      <c r="H230" s="28">
        <v>92</v>
      </c>
      <c r="I230" s="33">
        <v>95</v>
      </c>
      <c r="J230" s="20" t="str">
        <f t="shared" si="14"/>
        <v xml:space="preserve"> </v>
      </c>
      <c r="K230" s="20">
        <f t="shared" si="15"/>
        <v>0</v>
      </c>
    </row>
    <row r="231" spans="1:11" ht="15" thickBot="1" x14ac:dyDescent="0.35">
      <c r="A231" s="32">
        <v>230</v>
      </c>
      <c r="B231" s="28">
        <v>0.16669999999999999</v>
      </c>
      <c r="C231" s="29">
        <f t="shared" si="12"/>
        <v>0.16669999999999999</v>
      </c>
      <c r="D231" s="28">
        <v>0.5</v>
      </c>
      <c r="E231" s="30" t="str">
        <f t="shared" si="13"/>
        <v>Acceptable</v>
      </c>
      <c r="F231" s="28">
        <v>0.16420000000000001</v>
      </c>
      <c r="G231" s="28">
        <v>1</v>
      </c>
      <c r="H231" s="28">
        <v>73</v>
      </c>
      <c r="I231" s="33">
        <v>74</v>
      </c>
      <c r="J231" s="20" t="str">
        <f t="shared" si="14"/>
        <v xml:space="preserve"> </v>
      </c>
      <c r="K231" s="20">
        <f t="shared" si="15"/>
        <v>0</v>
      </c>
    </row>
    <row r="232" spans="1:11" ht="15" thickBot="1" x14ac:dyDescent="0.35">
      <c r="A232" s="32">
        <v>231</v>
      </c>
      <c r="B232" s="28">
        <v>0.13639999999999999</v>
      </c>
      <c r="C232" s="29">
        <f t="shared" si="12"/>
        <v>0.13639999999999999</v>
      </c>
      <c r="D232" s="28">
        <v>0.59</v>
      </c>
      <c r="E232" s="30" t="str">
        <f t="shared" si="13"/>
        <v>Acceptable</v>
      </c>
      <c r="F232" s="28">
        <v>0.19400000000000001</v>
      </c>
      <c r="G232" s="28">
        <v>1</v>
      </c>
      <c r="H232" s="28">
        <v>37</v>
      </c>
      <c r="I232" s="33">
        <v>38</v>
      </c>
      <c r="J232" s="20" t="str">
        <f t="shared" si="14"/>
        <v xml:space="preserve"> </v>
      </c>
      <c r="K232" s="20">
        <f t="shared" si="15"/>
        <v>0</v>
      </c>
    </row>
    <row r="233" spans="1:11" ht="15" thickBot="1" x14ac:dyDescent="0.35">
      <c r="A233" s="32">
        <v>232</v>
      </c>
      <c r="B233" s="28">
        <v>0.1515</v>
      </c>
      <c r="C233" s="29">
        <f t="shared" si="12"/>
        <v>0.1515</v>
      </c>
      <c r="D233" s="28">
        <v>0.59</v>
      </c>
      <c r="E233" s="30" t="str">
        <f t="shared" si="13"/>
        <v>Acceptable</v>
      </c>
      <c r="F233" s="28">
        <v>0.16420000000000001</v>
      </c>
      <c r="G233" s="28">
        <v>2</v>
      </c>
      <c r="H233" s="28">
        <v>22</v>
      </c>
      <c r="I233" s="33">
        <v>24</v>
      </c>
      <c r="J233" s="20" t="str">
        <f t="shared" si="14"/>
        <v xml:space="preserve"> </v>
      </c>
      <c r="K233" s="20">
        <f t="shared" si="15"/>
        <v>0</v>
      </c>
    </row>
    <row r="234" spans="1:11" ht="15" thickBot="1" x14ac:dyDescent="0.35">
      <c r="A234" s="32">
        <v>233</v>
      </c>
      <c r="B234" s="28">
        <v>0.1515</v>
      </c>
      <c r="C234" s="29">
        <f t="shared" si="12"/>
        <v>0.1515</v>
      </c>
      <c r="D234" s="28">
        <v>0.59</v>
      </c>
      <c r="E234" s="30" t="str">
        <f t="shared" si="13"/>
        <v>Acceptable</v>
      </c>
      <c r="F234" s="28">
        <v>0.16420000000000001</v>
      </c>
      <c r="G234" s="28">
        <v>0</v>
      </c>
      <c r="H234" s="28">
        <v>18</v>
      </c>
      <c r="I234" s="33">
        <v>18</v>
      </c>
      <c r="J234" s="20" t="str">
        <f t="shared" si="14"/>
        <v xml:space="preserve"> </v>
      </c>
      <c r="K234" s="20">
        <f t="shared" si="15"/>
        <v>0</v>
      </c>
    </row>
    <row r="235" spans="1:11" ht="15" thickBot="1" x14ac:dyDescent="0.35">
      <c r="A235" s="32">
        <v>234</v>
      </c>
      <c r="B235" s="28">
        <v>0.16669999999999999</v>
      </c>
      <c r="C235" s="29">
        <f t="shared" si="12"/>
        <v>0.16669999999999999</v>
      </c>
      <c r="D235" s="28">
        <v>0.59</v>
      </c>
      <c r="E235" s="30" t="str">
        <f t="shared" si="13"/>
        <v>Acceptable</v>
      </c>
      <c r="F235" s="28">
        <v>0.1045</v>
      </c>
      <c r="G235" s="28">
        <v>2</v>
      </c>
      <c r="H235" s="28">
        <v>10</v>
      </c>
      <c r="I235" s="33">
        <v>12</v>
      </c>
      <c r="J235" s="20" t="str">
        <f t="shared" si="14"/>
        <v xml:space="preserve"> </v>
      </c>
      <c r="K235" s="20">
        <f t="shared" si="15"/>
        <v>0</v>
      </c>
    </row>
    <row r="236" spans="1:11" ht="15" thickBot="1" x14ac:dyDescent="0.35">
      <c r="A236" s="32">
        <v>235</v>
      </c>
      <c r="B236" s="28">
        <v>0.1515</v>
      </c>
      <c r="C236" s="29">
        <f t="shared" si="12"/>
        <v>0.1515</v>
      </c>
      <c r="D236" s="28">
        <v>0.59</v>
      </c>
      <c r="E236" s="30" t="str">
        <f t="shared" si="13"/>
        <v>Acceptable</v>
      </c>
      <c r="F236" s="28">
        <v>0.16420000000000001</v>
      </c>
      <c r="G236" s="28">
        <v>0</v>
      </c>
      <c r="H236" s="28">
        <v>3</v>
      </c>
      <c r="I236" s="33">
        <v>3</v>
      </c>
      <c r="J236" s="20" t="str">
        <f t="shared" si="14"/>
        <v xml:space="preserve"> </v>
      </c>
      <c r="K236" s="20">
        <f t="shared" si="15"/>
        <v>0</v>
      </c>
    </row>
    <row r="237" spans="1:11" ht="15" thickBot="1" x14ac:dyDescent="0.35">
      <c r="A237" s="32">
        <v>236</v>
      </c>
      <c r="B237" s="28">
        <v>0.1515</v>
      </c>
      <c r="C237" s="29">
        <f t="shared" si="12"/>
        <v>0.1515</v>
      </c>
      <c r="D237" s="28">
        <v>0.55000000000000004</v>
      </c>
      <c r="E237" s="30" t="str">
        <f t="shared" si="13"/>
        <v>Acceptable</v>
      </c>
      <c r="F237" s="28">
        <v>0.19400000000000001</v>
      </c>
      <c r="G237" s="28">
        <v>0</v>
      </c>
      <c r="H237" s="28">
        <v>3</v>
      </c>
      <c r="I237" s="33">
        <v>3</v>
      </c>
      <c r="J237" s="20" t="str">
        <f t="shared" si="14"/>
        <v xml:space="preserve"> </v>
      </c>
      <c r="K237" s="20">
        <f t="shared" si="15"/>
        <v>0</v>
      </c>
    </row>
    <row r="238" spans="1:11" ht="15" thickBot="1" x14ac:dyDescent="0.35">
      <c r="A238" s="32">
        <v>237</v>
      </c>
      <c r="B238" s="28">
        <v>0.18179999999999999</v>
      </c>
      <c r="C238" s="29">
        <f t="shared" si="12"/>
        <v>0.18179999999999999</v>
      </c>
      <c r="D238" s="28">
        <v>0.55000000000000004</v>
      </c>
      <c r="E238" s="30" t="str">
        <f t="shared" si="13"/>
        <v>Acceptable</v>
      </c>
      <c r="F238" s="28">
        <v>0.1343</v>
      </c>
      <c r="G238" s="28">
        <v>0</v>
      </c>
      <c r="H238" s="28">
        <v>6</v>
      </c>
      <c r="I238" s="33">
        <v>6</v>
      </c>
      <c r="J238" s="20" t="str">
        <f t="shared" si="14"/>
        <v xml:space="preserve"> </v>
      </c>
      <c r="K238" s="20">
        <f t="shared" si="15"/>
        <v>0</v>
      </c>
    </row>
    <row r="239" spans="1:11" ht="15" thickBot="1" x14ac:dyDescent="0.35">
      <c r="A239" s="32">
        <v>238</v>
      </c>
      <c r="B239" s="28">
        <v>0.18179999999999999</v>
      </c>
      <c r="C239" s="29">
        <f t="shared" si="12"/>
        <v>0.18179999999999999</v>
      </c>
      <c r="D239" s="28">
        <v>0.55000000000000004</v>
      </c>
      <c r="E239" s="30" t="str">
        <f t="shared" si="13"/>
        <v>Acceptable</v>
      </c>
      <c r="F239" s="28">
        <v>0.1343</v>
      </c>
      <c r="G239" s="28">
        <v>0</v>
      </c>
      <c r="H239" s="28">
        <v>27</v>
      </c>
      <c r="I239" s="33">
        <v>27</v>
      </c>
      <c r="J239" s="20" t="str">
        <f t="shared" si="14"/>
        <v xml:space="preserve"> </v>
      </c>
      <c r="K239" s="20">
        <f t="shared" si="15"/>
        <v>0</v>
      </c>
    </row>
    <row r="240" spans="1:11" ht="15" thickBot="1" x14ac:dyDescent="0.35">
      <c r="A240" s="32">
        <v>239</v>
      </c>
      <c r="B240" s="28">
        <v>0.2273</v>
      </c>
      <c r="C240" s="29">
        <f t="shared" si="12"/>
        <v>0.2273</v>
      </c>
      <c r="D240" s="28">
        <v>0.55000000000000004</v>
      </c>
      <c r="E240" s="30" t="str">
        <f t="shared" si="13"/>
        <v>Acceptable</v>
      </c>
      <c r="F240" s="28">
        <v>0</v>
      </c>
      <c r="G240" s="28">
        <v>2</v>
      </c>
      <c r="H240" s="28">
        <v>97</v>
      </c>
      <c r="I240" s="33">
        <v>99</v>
      </c>
      <c r="J240" s="20" t="str">
        <f t="shared" si="14"/>
        <v xml:space="preserve"> </v>
      </c>
      <c r="K240" s="20">
        <f t="shared" si="15"/>
        <v>0</v>
      </c>
    </row>
    <row r="241" spans="1:11" ht="15" thickBot="1" x14ac:dyDescent="0.35">
      <c r="A241" s="32">
        <v>240</v>
      </c>
      <c r="B241" s="28">
        <v>0.21210000000000001</v>
      </c>
      <c r="C241" s="29">
        <f t="shared" si="12"/>
        <v>0.21210000000000001</v>
      </c>
      <c r="D241" s="28">
        <v>0.51</v>
      </c>
      <c r="E241" s="30" t="str">
        <f t="shared" si="13"/>
        <v>Acceptable</v>
      </c>
      <c r="F241" s="28">
        <v>8.9599999999999999E-2</v>
      </c>
      <c r="G241" s="28">
        <v>3</v>
      </c>
      <c r="H241" s="28">
        <v>214</v>
      </c>
      <c r="I241" s="33">
        <v>217</v>
      </c>
      <c r="J241" s="20" t="str">
        <f t="shared" si="14"/>
        <v xml:space="preserve"> </v>
      </c>
      <c r="K241" s="20">
        <f t="shared" si="15"/>
        <v>0</v>
      </c>
    </row>
    <row r="242" spans="1:11" ht="15" thickBot="1" x14ac:dyDescent="0.35">
      <c r="A242" s="32">
        <v>241</v>
      </c>
      <c r="B242" s="28">
        <v>0.19700000000000001</v>
      </c>
      <c r="C242" s="29">
        <f t="shared" si="12"/>
        <v>0.19700000000000001</v>
      </c>
      <c r="D242" s="28">
        <v>0.51</v>
      </c>
      <c r="E242" s="30" t="str">
        <f t="shared" si="13"/>
        <v>Acceptable</v>
      </c>
      <c r="F242" s="28">
        <v>0.16420000000000001</v>
      </c>
      <c r="G242" s="28">
        <v>3</v>
      </c>
      <c r="H242" s="28">
        <v>127</v>
      </c>
      <c r="I242" s="33">
        <v>130</v>
      </c>
      <c r="J242" s="20" t="str">
        <f t="shared" si="14"/>
        <v xml:space="preserve"> </v>
      </c>
      <c r="K242" s="20">
        <f t="shared" si="15"/>
        <v>0</v>
      </c>
    </row>
    <row r="243" spans="1:11" ht="15" thickBot="1" x14ac:dyDescent="0.35">
      <c r="A243" s="32">
        <v>242</v>
      </c>
      <c r="B243" s="28">
        <v>0.21210000000000001</v>
      </c>
      <c r="C243" s="29">
        <f t="shared" si="12"/>
        <v>0.21210000000000001</v>
      </c>
      <c r="D243" s="28">
        <v>0.51</v>
      </c>
      <c r="E243" s="30" t="str">
        <f t="shared" si="13"/>
        <v>Acceptable</v>
      </c>
      <c r="F243" s="28">
        <v>0.16420000000000001</v>
      </c>
      <c r="G243" s="28">
        <v>3</v>
      </c>
      <c r="H243" s="28">
        <v>51</v>
      </c>
      <c r="I243" s="33">
        <v>54</v>
      </c>
      <c r="J243" s="20" t="str">
        <f t="shared" si="14"/>
        <v xml:space="preserve"> </v>
      </c>
      <c r="K243" s="20">
        <f t="shared" si="15"/>
        <v>0</v>
      </c>
    </row>
    <row r="244" spans="1:11" ht="15" thickBot="1" x14ac:dyDescent="0.35">
      <c r="A244" s="32">
        <v>243</v>
      </c>
      <c r="B244" s="28">
        <v>0.21210000000000001</v>
      </c>
      <c r="C244" s="29">
        <f t="shared" si="12"/>
        <v>0.21210000000000001</v>
      </c>
      <c r="D244" s="28">
        <v>0.47</v>
      </c>
      <c r="E244" s="30" t="str">
        <f t="shared" si="13"/>
        <v>Acceptable</v>
      </c>
      <c r="F244" s="28">
        <v>0.1343</v>
      </c>
      <c r="G244" s="28">
        <v>4</v>
      </c>
      <c r="H244" s="28">
        <v>31</v>
      </c>
      <c r="I244" s="33">
        <v>35</v>
      </c>
      <c r="J244" s="20" t="str">
        <f t="shared" si="14"/>
        <v xml:space="preserve"> </v>
      </c>
      <c r="K244" s="20">
        <f t="shared" si="15"/>
        <v>0</v>
      </c>
    </row>
    <row r="245" spans="1:11" ht="15" thickBot="1" x14ac:dyDescent="0.35">
      <c r="A245" s="32">
        <v>244</v>
      </c>
      <c r="B245" s="28">
        <v>0.2273</v>
      </c>
      <c r="C245" s="29">
        <f t="shared" si="12"/>
        <v>0.2273</v>
      </c>
      <c r="D245" s="28">
        <v>0.51</v>
      </c>
      <c r="E245" s="30" t="str">
        <f t="shared" si="13"/>
        <v>Acceptable</v>
      </c>
      <c r="F245" s="28">
        <v>0.1045</v>
      </c>
      <c r="G245" s="28">
        <v>2</v>
      </c>
      <c r="H245" s="28">
        <v>55</v>
      </c>
      <c r="I245" s="33">
        <v>57</v>
      </c>
      <c r="J245" s="20" t="str">
        <f t="shared" si="14"/>
        <v xml:space="preserve"> </v>
      </c>
      <c r="K245" s="20">
        <f t="shared" si="15"/>
        <v>0</v>
      </c>
    </row>
    <row r="246" spans="1:11" ht="15" thickBot="1" x14ac:dyDescent="0.35">
      <c r="A246" s="32">
        <v>245</v>
      </c>
      <c r="B246" s="28">
        <v>0.2273</v>
      </c>
      <c r="C246" s="29">
        <f t="shared" si="12"/>
        <v>0.2273</v>
      </c>
      <c r="D246" s="28">
        <v>0.59</v>
      </c>
      <c r="E246" s="30" t="str">
        <f t="shared" si="13"/>
        <v>Acceptable</v>
      </c>
      <c r="F246" s="28">
        <v>8.9599999999999999E-2</v>
      </c>
      <c r="G246" s="28">
        <v>6</v>
      </c>
      <c r="H246" s="28">
        <v>46</v>
      </c>
      <c r="I246" s="33">
        <v>52</v>
      </c>
      <c r="J246" s="20" t="str">
        <f t="shared" si="14"/>
        <v xml:space="preserve"> </v>
      </c>
      <c r="K246" s="20">
        <f t="shared" si="15"/>
        <v>0</v>
      </c>
    </row>
    <row r="247" spans="1:11" ht="15" thickBot="1" x14ac:dyDescent="0.35">
      <c r="A247" s="32">
        <v>246</v>
      </c>
      <c r="B247" s="28">
        <v>0.2273</v>
      </c>
      <c r="C247" s="29">
        <f t="shared" si="12"/>
        <v>0.2273</v>
      </c>
      <c r="D247" s="28">
        <v>0.59</v>
      </c>
      <c r="E247" s="30" t="str">
        <f t="shared" si="13"/>
        <v>Acceptable</v>
      </c>
      <c r="F247" s="28">
        <v>8.9599999999999999E-2</v>
      </c>
      <c r="G247" s="28">
        <v>3</v>
      </c>
      <c r="H247" s="28">
        <v>60</v>
      </c>
      <c r="I247" s="33">
        <v>63</v>
      </c>
      <c r="J247" s="20" t="str">
        <f t="shared" si="14"/>
        <v xml:space="preserve"> </v>
      </c>
      <c r="K247" s="20">
        <f t="shared" si="15"/>
        <v>0</v>
      </c>
    </row>
    <row r="248" spans="1:11" ht="15" thickBot="1" x14ac:dyDescent="0.35">
      <c r="A248" s="32">
        <v>247</v>
      </c>
      <c r="B248" s="28">
        <v>0.19700000000000001</v>
      </c>
      <c r="C248" s="29">
        <f t="shared" si="12"/>
        <v>0.19700000000000001</v>
      </c>
      <c r="D248" s="28">
        <v>0.8</v>
      </c>
      <c r="E248" s="30" t="str">
        <f t="shared" si="13"/>
        <v>Risky</v>
      </c>
      <c r="F248" s="28">
        <v>8.9599999999999999E-2</v>
      </c>
      <c r="G248" s="28">
        <v>2</v>
      </c>
      <c r="H248" s="28">
        <v>45</v>
      </c>
      <c r="I248" s="33">
        <v>47</v>
      </c>
      <c r="J248" s="20" t="str">
        <f t="shared" si="14"/>
        <v xml:space="preserve"> </v>
      </c>
      <c r="K248" s="20">
        <f t="shared" si="15"/>
        <v>0</v>
      </c>
    </row>
    <row r="249" spans="1:11" ht="15" thickBot="1" x14ac:dyDescent="0.35">
      <c r="A249" s="32">
        <v>248</v>
      </c>
      <c r="B249" s="28">
        <v>0.1515</v>
      </c>
      <c r="C249" s="29">
        <f t="shared" si="12"/>
        <v>0.1515</v>
      </c>
      <c r="D249" s="28">
        <v>0.86</v>
      </c>
      <c r="E249" s="30" t="str">
        <f t="shared" si="13"/>
        <v>Risky</v>
      </c>
      <c r="F249" s="28">
        <v>0.22389999999999999</v>
      </c>
      <c r="G249" s="28">
        <v>4</v>
      </c>
      <c r="H249" s="28">
        <v>72</v>
      </c>
      <c r="I249" s="33">
        <v>76</v>
      </c>
      <c r="J249" s="20" t="str">
        <f t="shared" si="14"/>
        <v xml:space="preserve"> </v>
      </c>
      <c r="K249" s="20">
        <f t="shared" si="15"/>
        <v>0</v>
      </c>
    </row>
    <row r="250" spans="1:11" ht="15" thickBot="1" x14ac:dyDescent="0.35">
      <c r="A250" s="32">
        <v>249</v>
      </c>
      <c r="B250" s="28">
        <v>0.1515</v>
      </c>
      <c r="C250" s="29">
        <f t="shared" si="12"/>
        <v>0.1515</v>
      </c>
      <c r="D250" s="28">
        <v>0.86</v>
      </c>
      <c r="E250" s="30" t="str">
        <f t="shared" si="13"/>
        <v>Risky</v>
      </c>
      <c r="F250" s="28">
        <v>0.22389999999999999</v>
      </c>
      <c r="G250" s="28">
        <v>6</v>
      </c>
      <c r="H250" s="28">
        <v>130</v>
      </c>
      <c r="I250" s="33">
        <v>136</v>
      </c>
      <c r="J250" s="20" t="str">
        <f t="shared" si="14"/>
        <v xml:space="preserve"> </v>
      </c>
      <c r="K250" s="20">
        <f t="shared" si="15"/>
        <v>0</v>
      </c>
    </row>
    <row r="251" spans="1:11" ht="15" thickBot="1" x14ac:dyDescent="0.35">
      <c r="A251" s="32">
        <v>250</v>
      </c>
      <c r="B251" s="28">
        <v>0.18179999999999999</v>
      </c>
      <c r="C251" s="29">
        <f t="shared" si="12"/>
        <v>0.18179999999999999</v>
      </c>
      <c r="D251" s="28">
        <v>0.93</v>
      </c>
      <c r="E251" s="30" t="str">
        <f t="shared" si="13"/>
        <v>Risky</v>
      </c>
      <c r="F251" s="28">
        <v>0.1045</v>
      </c>
      <c r="G251" s="28">
        <v>1</v>
      </c>
      <c r="H251" s="28">
        <v>94</v>
      </c>
      <c r="I251" s="33">
        <v>95</v>
      </c>
      <c r="J251" s="20" t="str">
        <f t="shared" si="14"/>
        <v xml:space="preserve"> </v>
      </c>
      <c r="K251" s="20">
        <f t="shared" si="15"/>
        <v>0</v>
      </c>
    </row>
    <row r="252" spans="1:11" ht="15" thickBot="1" x14ac:dyDescent="0.35">
      <c r="A252" s="32">
        <v>251</v>
      </c>
      <c r="B252" s="28">
        <v>0.2273</v>
      </c>
      <c r="C252" s="29">
        <f t="shared" si="12"/>
        <v>0.2273</v>
      </c>
      <c r="D252" s="28">
        <v>0.93</v>
      </c>
      <c r="E252" s="30" t="str">
        <f t="shared" si="13"/>
        <v>Risky</v>
      </c>
      <c r="F252" s="28">
        <v>0</v>
      </c>
      <c r="G252" s="28">
        <v>0</v>
      </c>
      <c r="H252" s="28">
        <v>51</v>
      </c>
      <c r="I252" s="33">
        <v>51</v>
      </c>
      <c r="J252" s="20" t="str">
        <f t="shared" si="14"/>
        <v xml:space="preserve"> </v>
      </c>
      <c r="K252" s="20">
        <f t="shared" si="15"/>
        <v>0</v>
      </c>
    </row>
    <row r="253" spans="1:11" ht="15" thickBot="1" x14ac:dyDescent="0.35">
      <c r="A253" s="32">
        <v>252</v>
      </c>
      <c r="B253" s="28">
        <v>0.1515</v>
      </c>
      <c r="C253" s="29">
        <f t="shared" si="12"/>
        <v>0.1515</v>
      </c>
      <c r="D253" s="28">
        <v>0.93</v>
      </c>
      <c r="E253" s="30" t="str">
        <f t="shared" si="13"/>
        <v>Risky</v>
      </c>
      <c r="F253" s="28">
        <v>0.19400000000000001</v>
      </c>
      <c r="G253" s="28">
        <v>0</v>
      </c>
      <c r="H253" s="28">
        <v>32</v>
      </c>
      <c r="I253" s="33">
        <v>32</v>
      </c>
      <c r="J253" s="20" t="str">
        <f t="shared" si="14"/>
        <v xml:space="preserve"> </v>
      </c>
      <c r="K253" s="20">
        <f t="shared" si="15"/>
        <v>0</v>
      </c>
    </row>
    <row r="254" spans="1:11" ht="15" thickBot="1" x14ac:dyDescent="0.35">
      <c r="A254" s="32">
        <v>253</v>
      </c>
      <c r="B254" s="28">
        <v>0.19700000000000001</v>
      </c>
      <c r="C254" s="29">
        <f t="shared" si="12"/>
        <v>0.19700000000000001</v>
      </c>
      <c r="D254" s="28">
        <v>0.86</v>
      </c>
      <c r="E254" s="30" t="str">
        <f t="shared" si="13"/>
        <v>Risky</v>
      </c>
      <c r="F254" s="28">
        <v>8.9599999999999999E-2</v>
      </c>
      <c r="G254" s="28">
        <v>0</v>
      </c>
      <c r="H254" s="28">
        <v>20</v>
      </c>
      <c r="I254" s="33">
        <v>20</v>
      </c>
      <c r="J254" s="20" t="str">
        <f t="shared" si="14"/>
        <v xml:space="preserve"> </v>
      </c>
      <c r="K254" s="20">
        <f t="shared" si="15"/>
        <v>0</v>
      </c>
    </row>
    <row r="255" spans="1:11" ht="15" thickBot="1" x14ac:dyDescent="0.35">
      <c r="A255" s="32">
        <v>254</v>
      </c>
      <c r="B255" s="28">
        <v>0.18179999999999999</v>
      </c>
      <c r="C255" s="29">
        <f t="shared" si="12"/>
        <v>0.18179999999999999</v>
      </c>
      <c r="D255" s="28">
        <v>0.93</v>
      </c>
      <c r="E255" s="30" t="str">
        <f t="shared" si="13"/>
        <v>Risky</v>
      </c>
      <c r="F255" s="28">
        <v>0.1045</v>
      </c>
      <c r="G255" s="28">
        <v>1</v>
      </c>
      <c r="H255" s="28">
        <v>28</v>
      </c>
      <c r="I255" s="33">
        <v>29</v>
      </c>
      <c r="J255" s="20" t="str">
        <f t="shared" si="14"/>
        <v xml:space="preserve"> </v>
      </c>
      <c r="K255" s="20">
        <f t="shared" si="15"/>
        <v>0</v>
      </c>
    </row>
    <row r="256" spans="1:11" ht="15" thickBot="1" x14ac:dyDescent="0.35">
      <c r="A256" s="32">
        <v>255</v>
      </c>
      <c r="B256" s="28">
        <v>0.19700000000000001</v>
      </c>
      <c r="C256" s="29">
        <f t="shared" si="12"/>
        <v>0.19700000000000001</v>
      </c>
      <c r="D256" s="28">
        <v>0.93</v>
      </c>
      <c r="E256" s="30" t="str">
        <f t="shared" si="13"/>
        <v>Risky</v>
      </c>
      <c r="F256" s="28">
        <v>8.9599999999999999E-2</v>
      </c>
      <c r="G256" s="28">
        <v>1</v>
      </c>
      <c r="H256" s="28">
        <v>18</v>
      </c>
      <c r="I256" s="33">
        <v>19</v>
      </c>
      <c r="J256" s="20" t="str">
        <f t="shared" si="14"/>
        <v xml:space="preserve"> </v>
      </c>
      <c r="K256" s="20">
        <f t="shared" si="15"/>
        <v>0</v>
      </c>
    </row>
    <row r="257" spans="1:11" ht="15" thickBot="1" x14ac:dyDescent="0.35">
      <c r="A257" s="32">
        <v>256</v>
      </c>
      <c r="B257" s="28">
        <v>0.19700000000000001</v>
      </c>
      <c r="C257" s="29">
        <f t="shared" si="12"/>
        <v>0.19700000000000001</v>
      </c>
      <c r="D257" s="28">
        <v>0.86</v>
      </c>
      <c r="E257" s="30" t="str">
        <f t="shared" si="13"/>
        <v>Risky</v>
      </c>
      <c r="F257" s="28">
        <v>8.9599999999999999E-2</v>
      </c>
      <c r="G257" s="28">
        <v>0</v>
      </c>
      <c r="H257" s="28">
        <v>7</v>
      </c>
      <c r="I257" s="33">
        <v>7</v>
      </c>
      <c r="J257" s="20" t="str">
        <f t="shared" si="14"/>
        <v xml:space="preserve"> </v>
      </c>
      <c r="K257" s="20">
        <f t="shared" si="15"/>
        <v>0</v>
      </c>
    </row>
    <row r="258" spans="1:11" ht="15" thickBot="1" x14ac:dyDescent="0.35">
      <c r="A258" s="32">
        <v>257</v>
      </c>
      <c r="B258" s="28">
        <v>0.18179999999999999</v>
      </c>
      <c r="C258" s="29">
        <f t="shared" si="12"/>
        <v>0.18179999999999999</v>
      </c>
      <c r="D258" s="28">
        <v>0.86</v>
      </c>
      <c r="E258" s="30" t="str">
        <f t="shared" si="13"/>
        <v>Risky</v>
      </c>
      <c r="F258" s="28">
        <v>0.1045</v>
      </c>
      <c r="G258" s="28">
        <v>0</v>
      </c>
      <c r="H258" s="28">
        <v>6</v>
      </c>
      <c r="I258" s="33">
        <v>6</v>
      </c>
      <c r="J258" s="20" t="str">
        <f t="shared" si="14"/>
        <v xml:space="preserve"> </v>
      </c>
      <c r="K258" s="20">
        <f t="shared" si="15"/>
        <v>0</v>
      </c>
    </row>
    <row r="259" spans="1:11" ht="15" thickBot="1" x14ac:dyDescent="0.35">
      <c r="A259" s="32">
        <v>258</v>
      </c>
      <c r="B259" s="28">
        <v>0.1515</v>
      </c>
      <c r="C259" s="29">
        <f t="shared" ref="C259:C322" si="16">IF(ISBLANK(B259),AVERAGE(B259:B868),B259)</f>
        <v>0.1515</v>
      </c>
      <c r="D259" s="28">
        <v>0.86</v>
      </c>
      <c r="E259" s="30" t="str">
        <f t="shared" ref="E259:E322" si="17">IF(D259&lt;0.7,"Acceptable","Risky")</f>
        <v>Risky</v>
      </c>
      <c r="F259" s="28">
        <v>0.1343</v>
      </c>
      <c r="G259" s="28">
        <v>0</v>
      </c>
      <c r="H259" s="28">
        <v>1</v>
      </c>
      <c r="I259" s="33">
        <v>1</v>
      </c>
      <c r="J259" s="20" t="str">
        <f t="shared" ref="J259:J322" si="18">IF(G259+H259=I259," ","Not same")</f>
        <v xml:space="preserve"> </v>
      </c>
      <c r="K259" s="20">
        <f t="shared" ref="K259:K322" si="19">COUNTBLANK(A259:J259)</f>
        <v>0</v>
      </c>
    </row>
    <row r="260" spans="1:11" ht="15" thickBot="1" x14ac:dyDescent="0.35">
      <c r="A260" s="32">
        <v>259</v>
      </c>
      <c r="B260" s="28">
        <v>0.1515</v>
      </c>
      <c r="C260" s="29">
        <f t="shared" si="16"/>
        <v>0.1515</v>
      </c>
      <c r="D260" s="28">
        <v>0.86</v>
      </c>
      <c r="E260" s="30" t="str">
        <f t="shared" si="17"/>
        <v>Risky</v>
      </c>
      <c r="F260" s="28">
        <v>0.16420000000000001</v>
      </c>
      <c r="G260" s="28">
        <v>0</v>
      </c>
      <c r="H260" s="28">
        <v>5</v>
      </c>
      <c r="I260" s="33">
        <v>5</v>
      </c>
      <c r="J260" s="20" t="str">
        <f t="shared" si="18"/>
        <v xml:space="preserve"> </v>
      </c>
      <c r="K260" s="20">
        <f t="shared" si="19"/>
        <v>0</v>
      </c>
    </row>
    <row r="261" spans="1:11" ht="15" thickBot="1" x14ac:dyDescent="0.35">
      <c r="A261" s="32">
        <v>260</v>
      </c>
      <c r="B261" s="28">
        <v>0.1515</v>
      </c>
      <c r="C261" s="29">
        <f t="shared" si="16"/>
        <v>0.1515</v>
      </c>
      <c r="D261" s="28">
        <v>0.93</v>
      </c>
      <c r="E261" s="30" t="str">
        <f t="shared" si="17"/>
        <v>Risky</v>
      </c>
      <c r="F261" s="28">
        <v>0.1343</v>
      </c>
      <c r="G261" s="28">
        <v>0</v>
      </c>
      <c r="H261" s="28">
        <v>16</v>
      </c>
      <c r="I261" s="33">
        <v>16</v>
      </c>
      <c r="J261" s="20" t="str">
        <f t="shared" si="18"/>
        <v xml:space="preserve"> </v>
      </c>
      <c r="K261" s="20">
        <f t="shared" si="19"/>
        <v>0</v>
      </c>
    </row>
    <row r="262" spans="1:11" ht="15" thickBot="1" x14ac:dyDescent="0.35">
      <c r="A262" s="32">
        <v>261</v>
      </c>
      <c r="B262" s="28">
        <v>0.1515</v>
      </c>
      <c r="C262" s="29">
        <f t="shared" si="16"/>
        <v>0.1515</v>
      </c>
      <c r="D262" s="28">
        <v>0.69</v>
      </c>
      <c r="E262" s="30" t="str">
        <f t="shared" si="17"/>
        <v>Acceptable</v>
      </c>
      <c r="F262" s="28">
        <v>0.1343</v>
      </c>
      <c r="G262" s="28">
        <v>0</v>
      </c>
      <c r="H262" s="28">
        <v>54</v>
      </c>
      <c r="I262" s="33">
        <v>54</v>
      </c>
      <c r="J262" s="20" t="str">
        <f t="shared" si="18"/>
        <v xml:space="preserve"> </v>
      </c>
      <c r="K262" s="20">
        <f t="shared" si="19"/>
        <v>0</v>
      </c>
    </row>
    <row r="263" spans="1:11" ht="15" thickBot="1" x14ac:dyDescent="0.35">
      <c r="A263" s="32">
        <v>262</v>
      </c>
      <c r="B263" s="28">
        <v>0.16669999999999999</v>
      </c>
      <c r="C263" s="29">
        <f t="shared" si="16"/>
        <v>0.16669999999999999</v>
      </c>
      <c r="D263" s="28">
        <v>0.59</v>
      </c>
      <c r="E263" s="30" t="str">
        <f t="shared" si="17"/>
        <v>Acceptable</v>
      </c>
      <c r="F263" s="28">
        <v>0.16420000000000001</v>
      </c>
      <c r="G263" s="28">
        <v>3</v>
      </c>
      <c r="H263" s="28">
        <v>125</v>
      </c>
      <c r="I263" s="33">
        <v>128</v>
      </c>
      <c r="J263" s="20" t="str">
        <f t="shared" si="18"/>
        <v xml:space="preserve"> </v>
      </c>
      <c r="K263" s="20">
        <f t="shared" si="19"/>
        <v>0</v>
      </c>
    </row>
    <row r="264" spans="1:11" ht="15" thickBot="1" x14ac:dyDescent="0.35">
      <c r="A264" s="32">
        <v>263</v>
      </c>
      <c r="B264" s="28">
        <v>0.13639999999999999</v>
      </c>
      <c r="C264" s="29">
        <f t="shared" si="16"/>
        <v>0.13639999999999999</v>
      </c>
      <c r="D264" s="28">
        <v>0.59</v>
      </c>
      <c r="E264" s="30" t="str">
        <f t="shared" si="17"/>
        <v>Acceptable</v>
      </c>
      <c r="F264" s="28">
        <v>0.32840000000000003</v>
      </c>
      <c r="G264" s="28">
        <v>3</v>
      </c>
      <c r="H264" s="28">
        <v>78</v>
      </c>
      <c r="I264" s="33">
        <v>81</v>
      </c>
      <c r="J264" s="20" t="str">
        <f t="shared" si="18"/>
        <v xml:space="preserve"> </v>
      </c>
      <c r="K264" s="20">
        <f t="shared" si="19"/>
        <v>0</v>
      </c>
    </row>
    <row r="265" spans="1:11" ht="15" thickBot="1" x14ac:dyDescent="0.35">
      <c r="A265" s="32">
        <v>264</v>
      </c>
      <c r="B265" s="28">
        <v>0.18179999999999999</v>
      </c>
      <c r="C265" s="29">
        <f t="shared" si="16"/>
        <v>0.18179999999999999</v>
      </c>
      <c r="D265" s="28">
        <v>0.55000000000000004</v>
      </c>
      <c r="E265" s="30" t="str">
        <f t="shared" si="17"/>
        <v>Acceptable</v>
      </c>
      <c r="F265" s="28">
        <v>0.22389999999999999</v>
      </c>
      <c r="G265" s="28">
        <v>0</v>
      </c>
      <c r="H265" s="28">
        <v>39</v>
      </c>
      <c r="I265" s="33">
        <v>39</v>
      </c>
      <c r="J265" s="20" t="str">
        <f t="shared" si="18"/>
        <v xml:space="preserve"> </v>
      </c>
      <c r="K265" s="20">
        <f t="shared" si="19"/>
        <v>0</v>
      </c>
    </row>
    <row r="266" spans="1:11" ht="15" thickBot="1" x14ac:dyDescent="0.35">
      <c r="A266" s="32">
        <v>265</v>
      </c>
      <c r="B266" s="28">
        <v>0.18179999999999999</v>
      </c>
      <c r="C266" s="29">
        <f t="shared" si="16"/>
        <v>0.18179999999999999</v>
      </c>
      <c r="D266" s="28">
        <v>0.51</v>
      </c>
      <c r="E266" s="30" t="str">
        <f t="shared" si="17"/>
        <v>Acceptable</v>
      </c>
      <c r="F266" s="28">
        <v>0.3881</v>
      </c>
      <c r="G266" s="28">
        <v>3</v>
      </c>
      <c r="H266" s="28">
        <v>32</v>
      </c>
      <c r="I266" s="33">
        <v>35</v>
      </c>
      <c r="J266" s="20" t="str">
        <f t="shared" si="18"/>
        <v xml:space="preserve"> </v>
      </c>
      <c r="K266" s="20">
        <f t="shared" si="19"/>
        <v>0</v>
      </c>
    </row>
    <row r="267" spans="1:11" ht="15" thickBot="1" x14ac:dyDescent="0.35">
      <c r="A267" s="32">
        <v>266</v>
      </c>
      <c r="B267" s="28">
        <v>0.1515</v>
      </c>
      <c r="C267" s="29">
        <f t="shared" si="16"/>
        <v>0.1515</v>
      </c>
      <c r="D267" s="28">
        <v>0.47</v>
      </c>
      <c r="E267" s="30" t="str">
        <f t="shared" si="17"/>
        <v>Acceptable</v>
      </c>
      <c r="F267" s="28">
        <v>0.58209999999999995</v>
      </c>
      <c r="G267" s="28">
        <v>3</v>
      </c>
      <c r="H267" s="28">
        <v>52</v>
      </c>
      <c r="I267" s="33">
        <v>55</v>
      </c>
      <c r="J267" s="20" t="str">
        <f t="shared" si="18"/>
        <v xml:space="preserve"> </v>
      </c>
      <c r="K267" s="20">
        <f t="shared" si="19"/>
        <v>0</v>
      </c>
    </row>
    <row r="268" spans="1:11" ht="15" thickBot="1" x14ac:dyDescent="0.35">
      <c r="A268" s="32">
        <v>267</v>
      </c>
      <c r="B268" s="28">
        <v>0.19700000000000001</v>
      </c>
      <c r="C268" s="29">
        <f t="shared" si="16"/>
        <v>0.19700000000000001</v>
      </c>
      <c r="D268" s="28">
        <v>0.44</v>
      </c>
      <c r="E268" s="30" t="str">
        <f t="shared" si="17"/>
        <v>Acceptable</v>
      </c>
      <c r="F268" s="28">
        <v>0.35820000000000002</v>
      </c>
      <c r="G268" s="28">
        <v>0</v>
      </c>
      <c r="H268" s="28">
        <v>49</v>
      </c>
      <c r="I268" s="33">
        <v>49</v>
      </c>
      <c r="J268" s="20" t="str">
        <f t="shared" si="18"/>
        <v xml:space="preserve"> </v>
      </c>
      <c r="K268" s="20">
        <f t="shared" si="19"/>
        <v>0</v>
      </c>
    </row>
    <row r="269" spans="1:11" ht="15" thickBot="1" x14ac:dyDescent="0.35">
      <c r="A269" s="32">
        <v>268</v>
      </c>
      <c r="B269" s="28">
        <v>0.18179999999999999</v>
      </c>
      <c r="C269" s="29">
        <f t="shared" si="16"/>
        <v>0.18179999999999999</v>
      </c>
      <c r="D269" s="28">
        <v>0.47</v>
      </c>
      <c r="E269" s="30" t="str">
        <f t="shared" si="17"/>
        <v>Acceptable</v>
      </c>
      <c r="F269" s="28">
        <v>0.32840000000000003</v>
      </c>
      <c r="G269" s="28">
        <v>0</v>
      </c>
      <c r="H269" s="28">
        <v>44</v>
      </c>
      <c r="I269" s="33">
        <v>44</v>
      </c>
      <c r="J269" s="20" t="str">
        <f t="shared" si="18"/>
        <v xml:space="preserve"> </v>
      </c>
      <c r="K269" s="20">
        <f t="shared" si="19"/>
        <v>0</v>
      </c>
    </row>
    <row r="270" spans="1:11" ht="15" thickBot="1" x14ac:dyDescent="0.35">
      <c r="A270" s="32">
        <v>269</v>
      </c>
      <c r="B270" s="28">
        <v>0.16669999999999999</v>
      </c>
      <c r="C270" s="29">
        <f t="shared" si="16"/>
        <v>0.16669999999999999</v>
      </c>
      <c r="D270" s="28">
        <v>0.47</v>
      </c>
      <c r="E270" s="30" t="str">
        <f t="shared" si="17"/>
        <v>Acceptable</v>
      </c>
      <c r="F270" s="28">
        <v>0.41789999999999999</v>
      </c>
      <c r="G270" s="28">
        <v>1</v>
      </c>
      <c r="H270" s="28">
        <v>48</v>
      </c>
      <c r="I270" s="33">
        <v>49</v>
      </c>
      <c r="J270" s="20" t="str">
        <f t="shared" si="18"/>
        <v xml:space="preserve"> </v>
      </c>
      <c r="K270" s="20">
        <f t="shared" si="19"/>
        <v>0</v>
      </c>
    </row>
    <row r="271" spans="1:11" ht="15" thickBot="1" x14ac:dyDescent="0.35">
      <c r="A271" s="32">
        <v>270</v>
      </c>
      <c r="B271" s="28">
        <v>0.19700000000000001</v>
      </c>
      <c r="C271" s="29">
        <f t="shared" si="16"/>
        <v>0.19700000000000001</v>
      </c>
      <c r="D271" s="28">
        <v>0.44</v>
      </c>
      <c r="E271" s="30" t="str">
        <f t="shared" si="17"/>
        <v>Acceptable</v>
      </c>
      <c r="F271" s="28">
        <v>0.32840000000000003</v>
      </c>
      <c r="G271" s="28">
        <v>5</v>
      </c>
      <c r="H271" s="28">
        <v>63</v>
      </c>
      <c r="I271" s="33">
        <v>68</v>
      </c>
      <c r="J271" s="20" t="str">
        <f t="shared" si="18"/>
        <v xml:space="preserve"> </v>
      </c>
      <c r="K271" s="20">
        <f t="shared" si="19"/>
        <v>0</v>
      </c>
    </row>
    <row r="272" spans="1:11" ht="15" thickBot="1" x14ac:dyDescent="0.35">
      <c r="A272" s="32">
        <v>271</v>
      </c>
      <c r="B272" s="28">
        <v>0.18179999999999999</v>
      </c>
      <c r="C272" s="29">
        <f t="shared" si="16"/>
        <v>0.18179999999999999</v>
      </c>
      <c r="D272" s="28">
        <v>0.47</v>
      </c>
      <c r="E272" s="30" t="str">
        <f t="shared" si="17"/>
        <v>Acceptable</v>
      </c>
      <c r="F272" s="28">
        <v>0.35820000000000002</v>
      </c>
      <c r="G272" s="28">
        <v>0</v>
      </c>
      <c r="H272" s="28">
        <v>139</v>
      </c>
      <c r="I272" s="33">
        <v>139</v>
      </c>
      <c r="J272" s="20" t="str">
        <f t="shared" si="18"/>
        <v xml:space="preserve"> </v>
      </c>
      <c r="K272" s="20">
        <f t="shared" si="19"/>
        <v>0</v>
      </c>
    </row>
    <row r="273" spans="1:11" ht="15" thickBot="1" x14ac:dyDescent="0.35">
      <c r="A273" s="32">
        <v>272</v>
      </c>
      <c r="B273" s="28">
        <v>0.1515</v>
      </c>
      <c r="C273" s="29">
        <f t="shared" si="16"/>
        <v>0.1515</v>
      </c>
      <c r="D273" s="28">
        <v>0.47</v>
      </c>
      <c r="E273" s="30" t="str">
        <f t="shared" si="17"/>
        <v>Acceptable</v>
      </c>
      <c r="F273" s="28">
        <v>0.52239999999999998</v>
      </c>
      <c r="G273" s="28">
        <v>2</v>
      </c>
      <c r="H273" s="28">
        <v>135</v>
      </c>
      <c r="I273" s="33">
        <v>137</v>
      </c>
      <c r="J273" s="20" t="str">
        <f t="shared" si="18"/>
        <v xml:space="preserve"> </v>
      </c>
      <c r="K273" s="20">
        <f t="shared" si="19"/>
        <v>0</v>
      </c>
    </row>
    <row r="274" spans="1:11" ht="15" thickBot="1" x14ac:dyDescent="0.35">
      <c r="A274" s="32">
        <v>273</v>
      </c>
      <c r="B274" s="28">
        <v>0.1515</v>
      </c>
      <c r="C274" s="29">
        <f t="shared" si="16"/>
        <v>0.1515</v>
      </c>
      <c r="D274" s="28">
        <v>0.47</v>
      </c>
      <c r="E274" s="30" t="str">
        <f t="shared" si="17"/>
        <v>Acceptable</v>
      </c>
      <c r="F274" s="28">
        <v>0.41789999999999999</v>
      </c>
      <c r="G274" s="28">
        <v>1</v>
      </c>
      <c r="H274" s="28">
        <v>82</v>
      </c>
      <c r="I274" s="33">
        <v>83</v>
      </c>
      <c r="J274" s="20" t="str">
        <f t="shared" si="18"/>
        <v xml:space="preserve"> </v>
      </c>
      <c r="K274" s="20">
        <f t="shared" si="19"/>
        <v>0</v>
      </c>
    </row>
    <row r="275" spans="1:11" ht="15" thickBot="1" x14ac:dyDescent="0.35">
      <c r="A275" s="32">
        <v>274</v>
      </c>
      <c r="B275" s="28">
        <v>0.13639999999999999</v>
      </c>
      <c r="C275" s="29">
        <f t="shared" si="16"/>
        <v>0.13639999999999999</v>
      </c>
      <c r="D275" s="28">
        <v>0.5</v>
      </c>
      <c r="E275" s="30" t="str">
        <f t="shared" si="17"/>
        <v>Acceptable</v>
      </c>
      <c r="F275" s="28">
        <v>0.32840000000000003</v>
      </c>
      <c r="G275" s="28">
        <v>2</v>
      </c>
      <c r="H275" s="28">
        <v>54</v>
      </c>
      <c r="I275" s="33">
        <v>56</v>
      </c>
      <c r="J275" s="20" t="str">
        <f t="shared" si="18"/>
        <v xml:space="preserve"> </v>
      </c>
      <c r="K275" s="20">
        <f t="shared" si="19"/>
        <v>0</v>
      </c>
    </row>
    <row r="276" spans="1:11" ht="15" thickBot="1" x14ac:dyDescent="0.35">
      <c r="A276" s="32">
        <v>275</v>
      </c>
      <c r="B276" s="28">
        <v>0.13639999999999999</v>
      </c>
      <c r="C276" s="29">
        <f t="shared" si="16"/>
        <v>0.13639999999999999</v>
      </c>
      <c r="D276" s="28">
        <v>0.55000000000000004</v>
      </c>
      <c r="E276" s="30" t="str">
        <f t="shared" si="17"/>
        <v>Acceptable</v>
      </c>
      <c r="F276" s="28">
        <v>0.32840000000000003</v>
      </c>
      <c r="G276" s="28">
        <v>0</v>
      </c>
      <c r="H276" s="28">
        <v>57</v>
      </c>
      <c r="I276" s="33">
        <v>57</v>
      </c>
      <c r="J276" s="20" t="str">
        <f t="shared" si="18"/>
        <v xml:space="preserve"> </v>
      </c>
      <c r="K276" s="20">
        <f t="shared" si="19"/>
        <v>0</v>
      </c>
    </row>
    <row r="277" spans="1:11" ht="15" thickBot="1" x14ac:dyDescent="0.35">
      <c r="A277" s="32">
        <v>276</v>
      </c>
      <c r="B277" s="28">
        <v>0.1212</v>
      </c>
      <c r="C277" s="29">
        <f t="shared" si="16"/>
        <v>0.1212</v>
      </c>
      <c r="D277" s="28">
        <v>0.55000000000000004</v>
      </c>
      <c r="E277" s="30" t="str">
        <f t="shared" si="17"/>
        <v>Acceptable</v>
      </c>
      <c r="F277" s="28">
        <v>0.44779999999999998</v>
      </c>
      <c r="G277" s="28">
        <v>1</v>
      </c>
      <c r="H277" s="28">
        <v>32</v>
      </c>
      <c r="I277" s="33">
        <v>33</v>
      </c>
      <c r="J277" s="20" t="str">
        <f t="shared" si="18"/>
        <v xml:space="preserve"> </v>
      </c>
      <c r="K277" s="20">
        <f t="shared" si="19"/>
        <v>0</v>
      </c>
    </row>
    <row r="278" spans="1:11" ht="15" thickBot="1" x14ac:dyDescent="0.35">
      <c r="A278" s="32">
        <v>277</v>
      </c>
      <c r="B278" s="28">
        <v>0.1061</v>
      </c>
      <c r="C278" s="29">
        <f t="shared" si="16"/>
        <v>0.1061</v>
      </c>
      <c r="D278" s="28">
        <v>0.59</v>
      </c>
      <c r="E278" s="30" t="str">
        <f t="shared" si="17"/>
        <v>Acceptable</v>
      </c>
      <c r="F278" s="28">
        <v>0.41789999999999999</v>
      </c>
      <c r="G278" s="28">
        <v>1</v>
      </c>
      <c r="H278" s="28">
        <v>19</v>
      </c>
      <c r="I278" s="33">
        <v>20</v>
      </c>
      <c r="J278" s="20" t="str">
        <f t="shared" si="18"/>
        <v xml:space="preserve"> </v>
      </c>
      <c r="K278" s="20">
        <f t="shared" si="19"/>
        <v>0</v>
      </c>
    </row>
    <row r="279" spans="1:11" ht="15" thickBot="1" x14ac:dyDescent="0.35">
      <c r="A279" s="32">
        <v>278</v>
      </c>
      <c r="B279" s="28">
        <v>0.1212</v>
      </c>
      <c r="C279" s="29">
        <f t="shared" si="16"/>
        <v>0.1212</v>
      </c>
      <c r="D279" s="28">
        <v>0.59</v>
      </c>
      <c r="E279" s="30" t="str">
        <f t="shared" si="17"/>
        <v>Acceptable</v>
      </c>
      <c r="F279" s="28">
        <v>0.28360000000000002</v>
      </c>
      <c r="G279" s="28">
        <v>1</v>
      </c>
      <c r="H279" s="28">
        <v>6</v>
      </c>
      <c r="I279" s="33">
        <v>7</v>
      </c>
      <c r="J279" s="20" t="str">
        <f t="shared" si="18"/>
        <v xml:space="preserve"> </v>
      </c>
      <c r="K279" s="20">
        <f t="shared" si="19"/>
        <v>0</v>
      </c>
    </row>
    <row r="280" spans="1:11" ht="15" thickBot="1" x14ac:dyDescent="0.35">
      <c r="A280" s="32">
        <v>279</v>
      </c>
      <c r="B280" s="28">
        <v>0.1212</v>
      </c>
      <c r="C280" s="29">
        <f t="shared" si="16"/>
        <v>0.1212</v>
      </c>
      <c r="D280" s="28">
        <v>0.5</v>
      </c>
      <c r="E280" s="30" t="str">
        <f t="shared" si="17"/>
        <v>Acceptable</v>
      </c>
      <c r="F280" s="28">
        <v>0.28360000000000002</v>
      </c>
      <c r="G280" s="28">
        <v>0</v>
      </c>
      <c r="H280" s="28">
        <v>2</v>
      </c>
      <c r="I280" s="33">
        <v>2</v>
      </c>
      <c r="J280" s="20" t="str">
        <f t="shared" si="18"/>
        <v xml:space="preserve"> </v>
      </c>
      <c r="K280" s="20">
        <f t="shared" si="19"/>
        <v>0</v>
      </c>
    </row>
    <row r="281" spans="1:11" ht="15" thickBot="1" x14ac:dyDescent="0.35">
      <c r="A281" s="32">
        <v>280</v>
      </c>
      <c r="B281" s="28">
        <v>0.1212</v>
      </c>
      <c r="C281" s="29">
        <f t="shared" si="16"/>
        <v>0.1212</v>
      </c>
      <c r="D281" s="28">
        <v>0.5</v>
      </c>
      <c r="E281" s="30" t="str">
        <f t="shared" si="17"/>
        <v>Acceptable</v>
      </c>
      <c r="F281" s="28">
        <v>0.35820000000000002</v>
      </c>
      <c r="G281" s="28">
        <v>0</v>
      </c>
      <c r="H281" s="28">
        <v>2</v>
      </c>
      <c r="I281" s="33">
        <v>2</v>
      </c>
      <c r="J281" s="20" t="str">
        <f t="shared" si="18"/>
        <v xml:space="preserve"> </v>
      </c>
      <c r="K281" s="20">
        <f t="shared" si="19"/>
        <v>0</v>
      </c>
    </row>
    <row r="282" spans="1:11" ht="15" thickBot="1" x14ac:dyDescent="0.35">
      <c r="A282" s="32">
        <v>281</v>
      </c>
      <c r="B282" s="28">
        <v>0.1212</v>
      </c>
      <c r="C282" s="29">
        <f t="shared" si="16"/>
        <v>0.1212</v>
      </c>
      <c r="D282" s="28">
        <v>0.5</v>
      </c>
      <c r="E282" s="30" t="str">
        <f t="shared" si="17"/>
        <v>Acceptable</v>
      </c>
      <c r="F282" s="28">
        <v>0.32840000000000003</v>
      </c>
      <c r="G282" s="28">
        <v>0</v>
      </c>
      <c r="H282" s="28">
        <v>3</v>
      </c>
      <c r="I282" s="33">
        <v>3</v>
      </c>
      <c r="J282" s="20" t="str">
        <f t="shared" si="18"/>
        <v xml:space="preserve"> </v>
      </c>
      <c r="K282" s="20">
        <f t="shared" si="19"/>
        <v>0</v>
      </c>
    </row>
    <row r="283" spans="1:11" ht="15" thickBot="1" x14ac:dyDescent="0.35">
      <c r="A283" s="32">
        <v>282</v>
      </c>
      <c r="B283" s="28">
        <v>0.1212</v>
      </c>
      <c r="C283" s="29">
        <f t="shared" si="16"/>
        <v>0.1212</v>
      </c>
      <c r="D283" s="28">
        <v>0.5</v>
      </c>
      <c r="E283" s="30" t="str">
        <f t="shared" si="17"/>
        <v>Acceptable</v>
      </c>
      <c r="F283" s="28">
        <v>0.25369999999999998</v>
      </c>
      <c r="G283" s="28">
        <v>0</v>
      </c>
      <c r="H283" s="28">
        <v>4</v>
      </c>
      <c r="I283" s="33">
        <v>4</v>
      </c>
      <c r="J283" s="20" t="str">
        <f t="shared" si="18"/>
        <v xml:space="preserve"> </v>
      </c>
      <c r="K283" s="20">
        <f t="shared" si="19"/>
        <v>0</v>
      </c>
    </row>
    <row r="284" spans="1:11" ht="15" thickBot="1" x14ac:dyDescent="0.35">
      <c r="A284" s="32">
        <v>283</v>
      </c>
      <c r="B284" s="28">
        <v>0.1212</v>
      </c>
      <c r="C284" s="29">
        <f t="shared" si="16"/>
        <v>0.1212</v>
      </c>
      <c r="D284" s="28">
        <v>0.5</v>
      </c>
      <c r="E284" s="30" t="str">
        <f t="shared" si="17"/>
        <v>Acceptable</v>
      </c>
      <c r="F284" s="28">
        <v>0.29849999999999999</v>
      </c>
      <c r="G284" s="28">
        <v>0</v>
      </c>
      <c r="H284" s="28">
        <v>3</v>
      </c>
      <c r="I284" s="33">
        <v>3</v>
      </c>
      <c r="J284" s="20" t="str">
        <f t="shared" si="18"/>
        <v xml:space="preserve"> </v>
      </c>
      <c r="K284" s="20">
        <f t="shared" si="19"/>
        <v>0</v>
      </c>
    </row>
    <row r="285" spans="1:11" ht="15" thickBot="1" x14ac:dyDescent="0.35">
      <c r="A285" s="32">
        <v>284</v>
      </c>
      <c r="B285" s="28">
        <v>0.1515</v>
      </c>
      <c r="C285" s="29">
        <f t="shared" si="16"/>
        <v>0.1515</v>
      </c>
      <c r="D285" s="28">
        <v>0.54</v>
      </c>
      <c r="E285" s="30" t="str">
        <f t="shared" si="17"/>
        <v>Acceptable</v>
      </c>
      <c r="F285" s="28">
        <v>0.1343</v>
      </c>
      <c r="G285" s="28">
        <v>0</v>
      </c>
      <c r="H285" s="28">
        <v>28</v>
      </c>
      <c r="I285" s="33">
        <v>28</v>
      </c>
      <c r="J285" s="20" t="str">
        <f t="shared" si="18"/>
        <v xml:space="preserve"> </v>
      </c>
      <c r="K285" s="20">
        <f t="shared" si="19"/>
        <v>0</v>
      </c>
    </row>
    <row r="286" spans="1:11" ht="15" thickBot="1" x14ac:dyDescent="0.35">
      <c r="A286" s="32">
        <v>285</v>
      </c>
      <c r="B286" s="28">
        <v>0.1515</v>
      </c>
      <c r="C286" s="29">
        <f t="shared" si="16"/>
        <v>0.1515</v>
      </c>
      <c r="D286" s="28">
        <v>0.54</v>
      </c>
      <c r="E286" s="30" t="str">
        <f t="shared" si="17"/>
        <v>Acceptable</v>
      </c>
      <c r="F286" s="28">
        <v>0.1343</v>
      </c>
      <c r="G286" s="28">
        <v>0</v>
      </c>
      <c r="H286" s="28">
        <v>72</v>
      </c>
      <c r="I286" s="33">
        <v>72</v>
      </c>
      <c r="J286" s="20" t="str">
        <f t="shared" si="18"/>
        <v xml:space="preserve"> </v>
      </c>
      <c r="K286" s="20">
        <f t="shared" si="19"/>
        <v>0</v>
      </c>
    </row>
    <row r="287" spans="1:11" ht="15" thickBot="1" x14ac:dyDescent="0.35">
      <c r="A287" s="32">
        <v>286</v>
      </c>
      <c r="B287" s="28">
        <v>0.13639999999999999</v>
      </c>
      <c r="C287" s="29">
        <f t="shared" si="16"/>
        <v>0.13639999999999999</v>
      </c>
      <c r="D287" s="28">
        <v>0.5</v>
      </c>
      <c r="E287" s="30" t="str">
        <f t="shared" si="17"/>
        <v>Acceptable</v>
      </c>
      <c r="F287" s="28">
        <v>0.19400000000000001</v>
      </c>
      <c r="G287" s="28">
        <v>5</v>
      </c>
      <c r="H287" s="28">
        <v>197</v>
      </c>
      <c r="I287" s="33">
        <v>202</v>
      </c>
      <c r="J287" s="20" t="str">
        <f t="shared" si="18"/>
        <v xml:space="preserve"> </v>
      </c>
      <c r="K287" s="20">
        <f t="shared" si="19"/>
        <v>0</v>
      </c>
    </row>
    <row r="288" spans="1:11" ht="15" thickBot="1" x14ac:dyDescent="0.35">
      <c r="A288" s="32">
        <v>287</v>
      </c>
      <c r="B288" s="28">
        <v>0.1212</v>
      </c>
      <c r="C288" s="29">
        <f t="shared" si="16"/>
        <v>0.1212</v>
      </c>
      <c r="D288" s="28">
        <v>0.5</v>
      </c>
      <c r="E288" s="30" t="str">
        <f t="shared" si="17"/>
        <v>Acceptable</v>
      </c>
      <c r="F288" s="28">
        <v>0.32840000000000003</v>
      </c>
      <c r="G288" s="28">
        <v>2</v>
      </c>
      <c r="H288" s="28">
        <v>137</v>
      </c>
      <c r="I288" s="33">
        <v>139</v>
      </c>
      <c r="J288" s="20" t="str">
        <f t="shared" si="18"/>
        <v xml:space="preserve"> </v>
      </c>
      <c r="K288" s="20">
        <f t="shared" si="19"/>
        <v>0</v>
      </c>
    </row>
    <row r="289" spans="1:11" ht="15" thickBot="1" x14ac:dyDescent="0.35">
      <c r="A289" s="32">
        <v>288</v>
      </c>
      <c r="B289" s="28">
        <v>0.13639999999999999</v>
      </c>
      <c r="C289" s="29">
        <f t="shared" si="16"/>
        <v>0.13639999999999999</v>
      </c>
      <c r="D289" s="28">
        <v>0.5</v>
      </c>
      <c r="E289" s="30" t="str">
        <f t="shared" si="17"/>
        <v>Acceptable</v>
      </c>
      <c r="F289" s="28">
        <v>0.35820000000000002</v>
      </c>
      <c r="G289" s="28">
        <v>2</v>
      </c>
      <c r="H289" s="28">
        <v>36</v>
      </c>
      <c r="I289" s="33">
        <v>38</v>
      </c>
      <c r="J289" s="20" t="str">
        <f t="shared" si="18"/>
        <v xml:space="preserve"> </v>
      </c>
      <c r="K289" s="20">
        <f t="shared" si="19"/>
        <v>0</v>
      </c>
    </row>
    <row r="290" spans="1:11" ht="15" thickBot="1" x14ac:dyDescent="0.35">
      <c r="A290" s="32">
        <v>289</v>
      </c>
      <c r="B290" s="28">
        <v>0.16669999999999999</v>
      </c>
      <c r="C290" s="29">
        <f t="shared" si="16"/>
        <v>0.16669999999999999</v>
      </c>
      <c r="D290" s="28">
        <v>0.44</v>
      </c>
      <c r="E290" s="30" t="str">
        <f t="shared" si="17"/>
        <v>Acceptable</v>
      </c>
      <c r="F290" s="28">
        <v>0.44779999999999998</v>
      </c>
      <c r="G290" s="28">
        <v>4</v>
      </c>
      <c r="H290" s="28">
        <v>33</v>
      </c>
      <c r="I290" s="33">
        <v>37</v>
      </c>
      <c r="J290" s="20" t="str">
        <f t="shared" si="18"/>
        <v xml:space="preserve"> </v>
      </c>
      <c r="K290" s="20">
        <f t="shared" si="19"/>
        <v>0</v>
      </c>
    </row>
    <row r="291" spans="1:11" ht="15" thickBot="1" x14ac:dyDescent="0.35">
      <c r="A291" s="32">
        <v>290</v>
      </c>
      <c r="B291" s="28">
        <v>0.16669999999999999</v>
      </c>
      <c r="C291" s="29">
        <f t="shared" si="16"/>
        <v>0.16669999999999999</v>
      </c>
      <c r="D291" s="28">
        <v>0.44</v>
      </c>
      <c r="E291" s="30" t="str">
        <f t="shared" si="17"/>
        <v>Acceptable</v>
      </c>
      <c r="F291" s="28">
        <v>0.41789999999999999</v>
      </c>
      <c r="G291" s="28">
        <v>3</v>
      </c>
      <c r="H291" s="28">
        <v>49</v>
      </c>
      <c r="I291" s="33">
        <v>52</v>
      </c>
      <c r="J291" s="20" t="str">
        <f t="shared" si="18"/>
        <v xml:space="preserve"> </v>
      </c>
      <c r="K291" s="20">
        <f t="shared" si="19"/>
        <v>0</v>
      </c>
    </row>
    <row r="292" spans="1:11" ht="15" thickBot="1" x14ac:dyDescent="0.35">
      <c r="A292" s="32">
        <v>291</v>
      </c>
      <c r="B292" s="28">
        <v>0.19700000000000001</v>
      </c>
      <c r="C292" s="29">
        <f t="shared" si="16"/>
        <v>0.19700000000000001</v>
      </c>
      <c r="D292" s="28">
        <v>0.41</v>
      </c>
      <c r="E292" s="30" t="str">
        <f t="shared" si="17"/>
        <v>Acceptable</v>
      </c>
      <c r="F292" s="28">
        <v>0.44779999999999998</v>
      </c>
      <c r="G292" s="28">
        <v>2</v>
      </c>
      <c r="H292" s="28">
        <v>81</v>
      </c>
      <c r="I292" s="33">
        <v>83</v>
      </c>
      <c r="J292" s="20" t="str">
        <f t="shared" si="18"/>
        <v xml:space="preserve"> </v>
      </c>
      <c r="K292" s="20">
        <f t="shared" si="19"/>
        <v>0</v>
      </c>
    </row>
    <row r="293" spans="1:11" ht="15" thickBot="1" x14ac:dyDescent="0.35">
      <c r="A293" s="32">
        <v>292</v>
      </c>
      <c r="B293" s="28">
        <v>0.19700000000000001</v>
      </c>
      <c r="C293" s="29">
        <f t="shared" si="16"/>
        <v>0.19700000000000001</v>
      </c>
      <c r="D293" s="28">
        <v>0.41</v>
      </c>
      <c r="E293" s="30" t="str">
        <f t="shared" si="17"/>
        <v>Acceptable</v>
      </c>
      <c r="F293" s="28">
        <v>0.3881</v>
      </c>
      <c r="G293" s="28">
        <v>3</v>
      </c>
      <c r="H293" s="28">
        <v>39</v>
      </c>
      <c r="I293" s="33">
        <v>42</v>
      </c>
      <c r="J293" s="20" t="str">
        <f t="shared" si="18"/>
        <v xml:space="preserve"> </v>
      </c>
      <c r="K293" s="20">
        <f t="shared" si="19"/>
        <v>0</v>
      </c>
    </row>
    <row r="294" spans="1:11" ht="15" thickBot="1" x14ac:dyDescent="0.35">
      <c r="A294" s="32">
        <v>293</v>
      </c>
      <c r="B294" s="28">
        <v>0.21210000000000001</v>
      </c>
      <c r="C294" s="29">
        <f t="shared" si="16"/>
        <v>0.21210000000000001</v>
      </c>
      <c r="D294" s="28">
        <v>0.38</v>
      </c>
      <c r="E294" s="30" t="str">
        <f t="shared" si="17"/>
        <v>Acceptable</v>
      </c>
      <c r="F294" s="28">
        <v>0.29849999999999999</v>
      </c>
      <c r="G294" s="28">
        <v>5</v>
      </c>
      <c r="H294" s="28">
        <v>55</v>
      </c>
      <c r="I294" s="33">
        <v>60</v>
      </c>
      <c r="J294" s="20" t="str">
        <f t="shared" si="18"/>
        <v xml:space="preserve"> </v>
      </c>
      <c r="K294" s="20">
        <f t="shared" si="19"/>
        <v>0</v>
      </c>
    </row>
    <row r="295" spans="1:11" ht="15" thickBot="1" x14ac:dyDescent="0.35">
      <c r="A295" s="32">
        <v>294</v>
      </c>
      <c r="B295" s="28">
        <v>0.21210000000000001</v>
      </c>
      <c r="C295" s="29">
        <f t="shared" si="16"/>
        <v>0.21210000000000001</v>
      </c>
      <c r="D295" s="28">
        <v>0.38</v>
      </c>
      <c r="E295" s="30" t="str">
        <f t="shared" si="17"/>
        <v>Acceptable</v>
      </c>
      <c r="F295" s="28">
        <v>0.35820000000000002</v>
      </c>
      <c r="G295" s="28">
        <v>2</v>
      </c>
      <c r="H295" s="28">
        <v>76</v>
      </c>
      <c r="I295" s="33">
        <v>78</v>
      </c>
      <c r="J295" s="20" t="str">
        <f t="shared" si="18"/>
        <v xml:space="preserve"> </v>
      </c>
      <c r="K295" s="20">
        <f t="shared" si="19"/>
        <v>0</v>
      </c>
    </row>
    <row r="296" spans="1:11" ht="15" thickBot="1" x14ac:dyDescent="0.35">
      <c r="A296" s="32">
        <v>295</v>
      </c>
      <c r="B296" s="28">
        <v>0.18179999999999999</v>
      </c>
      <c r="C296" s="29">
        <f t="shared" si="16"/>
        <v>0.18179999999999999</v>
      </c>
      <c r="D296" s="28">
        <v>0.4</v>
      </c>
      <c r="E296" s="30" t="str">
        <f t="shared" si="17"/>
        <v>Acceptable</v>
      </c>
      <c r="F296" s="28">
        <v>0.28360000000000002</v>
      </c>
      <c r="G296" s="28">
        <v>4</v>
      </c>
      <c r="H296" s="28">
        <v>158</v>
      </c>
      <c r="I296" s="33">
        <v>162</v>
      </c>
      <c r="J296" s="20" t="str">
        <f t="shared" si="18"/>
        <v xml:space="preserve"> </v>
      </c>
      <c r="K296" s="20">
        <f t="shared" si="19"/>
        <v>0</v>
      </c>
    </row>
    <row r="297" spans="1:11" ht="15" thickBot="1" x14ac:dyDescent="0.35">
      <c r="A297" s="32">
        <v>296</v>
      </c>
      <c r="B297" s="28">
        <v>0.18179999999999999</v>
      </c>
      <c r="C297" s="29">
        <f t="shared" si="16"/>
        <v>0.18179999999999999</v>
      </c>
      <c r="D297" s="28">
        <v>0.4</v>
      </c>
      <c r="E297" s="30" t="str">
        <f t="shared" si="17"/>
        <v>Acceptable</v>
      </c>
      <c r="F297" s="28">
        <v>0.32840000000000003</v>
      </c>
      <c r="G297" s="28">
        <v>3</v>
      </c>
      <c r="H297" s="28">
        <v>141</v>
      </c>
      <c r="I297" s="33">
        <v>144</v>
      </c>
      <c r="J297" s="20" t="str">
        <f t="shared" si="18"/>
        <v xml:space="preserve"> </v>
      </c>
      <c r="K297" s="20">
        <f t="shared" si="19"/>
        <v>0</v>
      </c>
    </row>
    <row r="298" spans="1:11" ht="15" thickBot="1" x14ac:dyDescent="0.35">
      <c r="A298" s="32">
        <v>297</v>
      </c>
      <c r="B298" s="28">
        <v>0.1515</v>
      </c>
      <c r="C298" s="29">
        <f t="shared" si="16"/>
        <v>0.1515</v>
      </c>
      <c r="D298" s="28">
        <v>0.47</v>
      </c>
      <c r="E298" s="30" t="str">
        <f t="shared" si="17"/>
        <v>Acceptable</v>
      </c>
      <c r="F298" s="28">
        <v>0.25369999999999998</v>
      </c>
      <c r="G298" s="28">
        <v>1</v>
      </c>
      <c r="H298" s="28">
        <v>98</v>
      </c>
      <c r="I298" s="33">
        <v>99</v>
      </c>
      <c r="J298" s="20" t="str">
        <f t="shared" si="18"/>
        <v xml:space="preserve"> </v>
      </c>
      <c r="K298" s="20">
        <f t="shared" si="19"/>
        <v>0</v>
      </c>
    </row>
    <row r="299" spans="1:11" ht="15" thickBot="1" x14ac:dyDescent="0.35">
      <c r="A299" s="32">
        <v>298</v>
      </c>
      <c r="B299" s="28">
        <v>0.1515</v>
      </c>
      <c r="C299" s="29">
        <f t="shared" si="16"/>
        <v>0.1515</v>
      </c>
      <c r="D299" s="28">
        <v>0.47</v>
      </c>
      <c r="E299" s="30" t="str">
        <f t="shared" si="17"/>
        <v>Acceptable</v>
      </c>
      <c r="F299" s="28">
        <v>0.22389999999999999</v>
      </c>
      <c r="G299" s="28">
        <v>0</v>
      </c>
      <c r="H299" s="28">
        <v>64</v>
      </c>
      <c r="I299" s="33">
        <v>64</v>
      </c>
      <c r="J299" s="20" t="str">
        <f t="shared" si="18"/>
        <v xml:space="preserve"> </v>
      </c>
      <c r="K299" s="20">
        <f t="shared" si="19"/>
        <v>0</v>
      </c>
    </row>
    <row r="300" spans="1:11" ht="15" thickBot="1" x14ac:dyDescent="0.35">
      <c r="A300" s="32">
        <v>299</v>
      </c>
      <c r="B300" s="28">
        <v>0.1212</v>
      </c>
      <c r="C300" s="29">
        <f t="shared" si="16"/>
        <v>0.1212</v>
      </c>
      <c r="D300" s="28">
        <v>0.46</v>
      </c>
      <c r="E300" s="30" t="str">
        <f t="shared" si="17"/>
        <v>Acceptable</v>
      </c>
      <c r="F300" s="28">
        <v>0.29849999999999999</v>
      </c>
      <c r="G300" s="28">
        <v>0</v>
      </c>
      <c r="H300" s="28">
        <v>40</v>
      </c>
      <c r="I300" s="33">
        <v>40</v>
      </c>
      <c r="J300" s="20" t="str">
        <f t="shared" si="18"/>
        <v xml:space="preserve"> </v>
      </c>
      <c r="K300" s="20">
        <f t="shared" si="19"/>
        <v>0</v>
      </c>
    </row>
    <row r="301" spans="1:11" ht="15" thickBot="1" x14ac:dyDescent="0.35">
      <c r="A301" s="32">
        <v>300</v>
      </c>
      <c r="B301" s="28">
        <v>0.1212</v>
      </c>
      <c r="C301" s="29">
        <f t="shared" si="16"/>
        <v>0.1212</v>
      </c>
      <c r="D301" s="28">
        <v>0.46</v>
      </c>
      <c r="E301" s="30" t="str">
        <f t="shared" si="17"/>
        <v>Acceptable</v>
      </c>
      <c r="F301" s="28">
        <v>0.32840000000000003</v>
      </c>
      <c r="G301" s="28">
        <v>0</v>
      </c>
      <c r="H301" s="28">
        <v>30</v>
      </c>
      <c r="I301" s="33">
        <v>30</v>
      </c>
      <c r="J301" s="20" t="str">
        <f t="shared" si="18"/>
        <v xml:space="preserve"> </v>
      </c>
      <c r="K301" s="20">
        <f t="shared" si="19"/>
        <v>0</v>
      </c>
    </row>
    <row r="302" spans="1:11" ht="15" thickBot="1" x14ac:dyDescent="0.35">
      <c r="A302" s="32">
        <v>301</v>
      </c>
      <c r="B302" s="28">
        <v>0.13639999999999999</v>
      </c>
      <c r="C302" s="29">
        <f t="shared" si="16"/>
        <v>0.13639999999999999</v>
      </c>
      <c r="D302" s="28">
        <v>0.5</v>
      </c>
      <c r="E302" s="30" t="str">
        <f t="shared" si="17"/>
        <v>Acceptable</v>
      </c>
      <c r="F302" s="28">
        <v>0.19400000000000001</v>
      </c>
      <c r="G302" s="28">
        <v>1</v>
      </c>
      <c r="H302" s="28">
        <v>14</v>
      </c>
      <c r="I302" s="33">
        <v>15</v>
      </c>
      <c r="J302" s="20" t="str">
        <f t="shared" si="18"/>
        <v xml:space="preserve"> </v>
      </c>
      <c r="K302" s="20">
        <f t="shared" si="19"/>
        <v>0</v>
      </c>
    </row>
    <row r="303" spans="1:11" ht="15" thickBot="1" x14ac:dyDescent="0.35">
      <c r="A303" s="32">
        <v>302</v>
      </c>
      <c r="B303" s="28">
        <v>0.13639999999999999</v>
      </c>
      <c r="C303" s="29">
        <f t="shared" si="16"/>
        <v>0.13639999999999999</v>
      </c>
      <c r="D303" s="28">
        <v>0.5</v>
      </c>
      <c r="E303" s="30" t="str">
        <f t="shared" si="17"/>
        <v>Acceptable</v>
      </c>
      <c r="F303" s="28">
        <v>0.19400000000000001</v>
      </c>
      <c r="G303" s="28">
        <v>0</v>
      </c>
      <c r="H303" s="28">
        <v>14</v>
      </c>
      <c r="I303" s="33">
        <v>14</v>
      </c>
      <c r="J303" s="20" t="str">
        <f t="shared" si="18"/>
        <v xml:space="preserve"> </v>
      </c>
      <c r="K303" s="20">
        <f t="shared" si="19"/>
        <v>0</v>
      </c>
    </row>
    <row r="304" spans="1:11" ht="15" thickBot="1" x14ac:dyDescent="0.35">
      <c r="A304" s="32">
        <v>303</v>
      </c>
      <c r="B304" s="28">
        <v>0.1212</v>
      </c>
      <c r="C304" s="29">
        <f t="shared" si="16"/>
        <v>0.1212</v>
      </c>
      <c r="D304" s="28">
        <v>0.54</v>
      </c>
      <c r="E304" s="30" t="str">
        <f t="shared" si="17"/>
        <v>Acceptable</v>
      </c>
      <c r="F304" s="28">
        <v>0.16420000000000001</v>
      </c>
      <c r="G304" s="28">
        <v>0</v>
      </c>
      <c r="H304" s="28">
        <v>5</v>
      </c>
      <c r="I304" s="33">
        <v>5</v>
      </c>
      <c r="J304" s="20" t="str">
        <f t="shared" si="18"/>
        <v xml:space="preserve"> </v>
      </c>
      <c r="K304" s="20">
        <f t="shared" si="19"/>
        <v>0</v>
      </c>
    </row>
    <row r="305" spans="1:11" ht="15" thickBot="1" x14ac:dyDescent="0.35">
      <c r="A305" s="32">
        <v>304</v>
      </c>
      <c r="B305" s="28">
        <v>0.1212</v>
      </c>
      <c r="C305" s="29">
        <f t="shared" si="16"/>
        <v>0.1212</v>
      </c>
      <c r="D305" s="28">
        <v>0.54</v>
      </c>
      <c r="E305" s="30" t="str">
        <f t="shared" si="17"/>
        <v>Acceptable</v>
      </c>
      <c r="F305" s="28">
        <v>0.1343</v>
      </c>
      <c r="G305" s="28">
        <v>0</v>
      </c>
      <c r="H305" s="28">
        <v>1</v>
      </c>
      <c r="I305" s="33">
        <v>1</v>
      </c>
      <c r="J305" s="20" t="str">
        <f t="shared" si="18"/>
        <v xml:space="preserve"> </v>
      </c>
      <c r="K305" s="20">
        <f t="shared" si="19"/>
        <v>0</v>
      </c>
    </row>
    <row r="306" spans="1:11" ht="15" thickBot="1" x14ac:dyDescent="0.35">
      <c r="A306" s="32">
        <v>305</v>
      </c>
      <c r="B306" s="28">
        <v>0.13639999999999999</v>
      </c>
      <c r="C306" s="29">
        <f t="shared" si="16"/>
        <v>0.13639999999999999</v>
      </c>
      <c r="D306" s="28">
        <v>0.54</v>
      </c>
      <c r="E306" s="30" t="str">
        <f t="shared" si="17"/>
        <v>Acceptable</v>
      </c>
      <c r="F306" s="28">
        <v>0.1045</v>
      </c>
      <c r="G306" s="28">
        <v>0</v>
      </c>
      <c r="H306" s="28">
        <v>1</v>
      </c>
      <c r="I306" s="33">
        <v>1</v>
      </c>
      <c r="J306" s="20" t="str">
        <f t="shared" si="18"/>
        <v xml:space="preserve"> </v>
      </c>
      <c r="K306" s="20">
        <f t="shared" si="19"/>
        <v>0</v>
      </c>
    </row>
    <row r="307" spans="1:11" ht="15" thickBot="1" x14ac:dyDescent="0.35">
      <c r="A307" s="32">
        <v>306</v>
      </c>
      <c r="B307" s="28">
        <v>0.13639999999999999</v>
      </c>
      <c r="C307" s="29">
        <f t="shared" si="16"/>
        <v>0.13639999999999999</v>
      </c>
      <c r="D307" s="28">
        <v>0.54</v>
      </c>
      <c r="E307" s="30" t="str">
        <f t="shared" si="17"/>
        <v>Acceptable</v>
      </c>
      <c r="F307" s="28">
        <v>8.9599999999999999E-2</v>
      </c>
      <c r="G307" s="28">
        <v>0</v>
      </c>
      <c r="H307" s="28">
        <v>8</v>
      </c>
      <c r="I307" s="33">
        <v>8</v>
      </c>
      <c r="J307" s="20" t="str">
        <f t="shared" si="18"/>
        <v xml:space="preserve"> </v>
      </c>
      <c r="K307" s="20">
        <f t="shared" si="19"/>
        <v>0</v>
      </c>
    </row>
    <row r="308" spans="1:11" ht="15" thickBot="1" x14ac:dyDescent="0.35">
      <c r="A308" s="32">
        <v>307</v>
      </c>
      <c r="B308" s="28">
        <v>0.18179999999999999</v>
      </c>
      <c r="C308" s="29">
        <f t="shared" si="16"/>
        <v>0.18179999999999999</v>
      </c>
      <c r="D308" s="28">
        <v>0.54</v>
      </c>
      <c r="E308" s="30" t="str">
        <f t="shared" si="17"/>
        <v>Acceptable</v>
      </c>
      <c r="F308" s="28">
        <v>0</v>
      </c>
      <c r="G308" s="28">
        <v>0</v>
      </c>
      <c r="H308" s="28">
        <v>17</v>
      </c>
      <c r="I308" s="33">
        <v>17</v>
      </c>
      <c r="J308" s="20" t="str">
        <f t="shared" si="18"/>
        <v xml:space="preserve"> </v>
      </c>
      <c r="K308" s="20">
        <f t="shared" si="19"/>
        <v>0</v>
      </c>
    </row>
    <row r="309" spans="1:11" ht="15" thickBot="1" x14ac:dyDescent="0.35">
      <c r="A309" s="32">
        <v>308</v>
      </c>
      <c r="B309" s="28">
        <v>0.1212</v>
      </c>
      <c r="C309" s="29">
        <f t="shared" si="16"/>
        <v>0.1212</v>
      </c>
      <c r="D309" s="28">
        <v>0.74</v>
      </c>
      <c r="E309" s="30" t="str">
        <f t="shared" si="17"/>
        <v>Risky</v>
      </c>
      <c r="F309" s="28">
        <v>0.16420000000000001</v>
      </c>
      <c r="G309" s="28">
        <v>0</v>
      </c>
      <c r="H309" s="28">
        <v>70</v>
      </c>
      <c r="I309" s="33">
        <v>70</v>
      </c>
      <c r="J309" s="20" t="str">
        <f t="shared" si="18"/>
        <v xml:space="preserve"> </v>
      </c>
      <c r="K309" s="20">
        <f t="shared" si="19"/>
        <v>0</v>
      </c>
    </row>
    <row r="310" spans="1:11" ht="15" thickBot="1" x14ac:dyDescent="0.35">
      <c r="A310" s="32">
        <v>309</v>
      </c>
      <c r="B310" s="28">
        <v>0.16669999999999999</v>
      </c>
      <c r="C310" s="29">
        <f t="shared" si="16"/>
        <v>0.16669999999999999</v>
      </c>
      <c r="D310" s="28">
        <v>0.68</v>
      </c>
      <c r="E310" s="30" t="str">
        <f t="shared" si="17"/>
        <v>Acceptable</v>
      </c>
      <c r="F310" s="28">
        <v>0</v>
      </c>
      <c r="G310" s="28">
        <v>2</v>
      </c>
      <c r="H310" s="28">
        <v>156</v>
      </c>
      <c r="I310" s="33">
        <v>158</v>
      </c>
      <c r="J310" s="20" t="str">
        <f t="shared" si="18"/>
        <v xml:space="preserve"> </v>
      </c>
      <c r="K310" s="20">
        <f t="shared" si="19"/>
        <v>0</v>
      </c>
    </row>
    <row r="311" spans="1:11" ht="15" thickBot="1" x14ac:dyDescent="0.35">
      <c r="A311" s="32">
        <v>310</v>
      </c>
      <c r="B311" s="28">
        <v>0.1515</v>
      </c>
      <c r="C311" s="29">
        <f t="shared" si="16"/>
        <v>0.1515</v>
      </c>
      <c r="D311" s="28">
        <v>0.69</v>
      </c>
      <c r="E311" s="30" t="str">
        <f t="shared" si="17"/>
        <v>Acceptable</v>
      </c>
      <c r="F311" s="28">
        <v>0.1343</v>
      </c>
      <c r="G311" s="28">
        <v>0</v>
      </c>
      <c r="H311" s="28">
        <v>117</v>
      </c>
      <c r="I311" s="33">
        <v>117</v>
      </c>
      <c r="J311" s="20" t="str">
        <f t="shared" si="18"/>
        <v xml:space="preserve"> </v>
      </c>
      <c r="K311" s="20">
        <f t="shared" si="19"/>
        <v>0</v>
      </c>
    </row>
    <row r="312" spans="1:11" ht="15" thickBot="1" x14ac:dyDescent="0.35">
      <c r="A312" s="32">
        <v>311</v>
      </c>
      <c r="B312" s="28">
        <v>0.18179999999999999</v>
      </c>
      <c r="C312" s="29">
        <f t="shared" si="16"/>
        <v>0.18179999999999999</v>
      </c>
      <c r="D312" s="28">
        <v>0.55000000000000004</v>
      </c>
      <c r="E312" s="30" t="str">
        <f t="shared" si="17"/>
        <v>Acceptable</v>
      </c>
      <c r="F312" s="28">
        <v>0.19400000000000001</v>
      </c>
      <c r="G312" s="28">
        <v>4</v>
      </c>
      <c r="H312" s="28">
        <v>40</v>
      </c>
      <c r="I312" s="33">
        <v>44</v>
      </c>
      <c r="J312" s="20" t="str">
        <f t="shared" si="18"/>
        <v xml:space="preserve"> </v>
      </c>
      <c r="K312" s="20">
        <f t="shared" si="19"/>
        <v>0</v>
      </c>
    </row>
    <row r="313" spans="1:11" ht="15" thickBot="1" x14ac:dyDescent="0.35">
      <c r="A313" s="32">
        <v>312</v>
      </c>
      <c r="B313" s="28">
        <v>0.16669999999999999</v>
      </c>
      <c r="C313" s="29">
        <f t="shared" si="16"/>
        <v>0.16669999999999999</v>
      </c>
      <c r="D313" s="28">
        <v>0.51</v>
      </c>
      <c r="E313" s="30" t="str">
        <f t="shared" si="17"/>
        <v>Acceptable</v>
      </c>
      <c r="F313" s="28">
        <v>0.28360000000000002</v>
      </c>
      <c r="G313" s="28">
        <v>6</v>
      </c>
      <c r="H313" s="28">
        <v>47</v>
      </c>
      <c r="I313" s="33">
        <v>53</v>
      </c>
      <c r="J313" s="20" t="str">
        <f t="shared" si="18"/>
        <v xml:space="preserve"> </v>
      </c>
      <c r="K313" s="20">
        <f t="shared" si="19"/>
        <v>0</v>
      </c>
    </row>
    <row r="314" spans="1:11" ht="15" thickBot="1" x14ac:dyDescent="0.35">
      <c r="A314" s="32">
        <v>313</v>
      </c>
      <c r="B314" s="28">
        <v>0.19700000000000001</v>
      </c>
      <c r="C314" s="29">
        <f t="shared" si="16"/>
        <v>0.19700000000000001</v>
      </c>
      <c r="D314" s="28">
        <v>0.44</v>
      </c>
      <c r="E314" s="30" t="str">
        <f t="shared" si="17"/>
        <v>Acceptable</v>
      </c>
      <c r="F314" s="28">
        <v>0.25369999999999998</v>
      </c>
      <c r="G314" s="28">
        <v>2</v>
      </c>
      <c r="H314" s="28">
        <v>59</v>
      </c>
      <c r="I314" s="33">
        <v>61</v>
      </c>
      <c r="J314" s="20" t="str">
        <f t="shared" si="18"/>
        <v xml:space="preserve"> </v>
      </c>
      <c r="K314" s="20">
        <f t="shared" si="19"/>
        <v>0</v>
      </c>
    </row>
    <row r="315" spans="1:11" ht="15" thickBot="1" x14ac:dyDescent="0.35">
      <c r="A315" s="32">
        <v>314</v>
      </c>
      <c r="B315" s="28">
        <v>0.19700000000000001</v>
      </c>
      <c r="C315" s="29">
        <f t="shared" si="16"/>
        <v>0.19700000000000001</v>
      </c>
      <c r="D315" s="28">
        <v>0.37</v>
      </c>
      <c r="E315" s="30" t="str">
        <f t="shared" si="17"/>
        <v>Acceptable</v>
      </c>
      <c r="F315" s="28">
        <v>0.3881</v>
      </c>
      <c r="G315" s="28">
        <v>4</v>
      </c>
      <c r="H315" s="28">
        <v>73</v>
      </c>
      <c r="I315" s="33">
        <v>77</v>
      </c>
      <c r="J315" s="20" t="str">
        <f t="shared" si="18"/>
        <v xml:space="preserve"> </v>
      </c>
      <c r="K315" s="20">
        <f t="shared" si="19"/>
        <v>0</v>
      </c>
    </row>
    <row r="316" spans="1:11" ht="15" thickBot="1" x14ac:dyDescent="0.35">
      <c r="A316" s="32">
        <v>315</v>
      </c>
      <c r="B316" s="28">
        <v>0.21210000000000001</v>
      </c>
      <c r="C316" s="29">
        <f t="shared" si="16"/>
        <v>0.21210000000000001</v>
      </c>
      <c r="D316" s="28">
        <v>0.41</v>
      </c>
      <c r="E316" s="30" t="str">
        <f t="shared" si="17"/>
        <v>Acceptable</v>
      </c>
      <c r="F316" s="28">
        <v>0.28360000000000002</v>
      </c>
      <c r="G316" s="28">
        <v>5</v>
      </c>
      <c r="H316" s="28">
        <v>59</v>
      </c>
      <c r="I316" s="33">
        <v>64</v>
      </c>
      <c r="J316" s="20" t="str">
        <f t="shared" si="18"/>
        <v xml:space="preserve"> </v>
      </c>
      <c r="K316" s="20">
        <f t="shared" si="19"/>
        <v>0</v>
      </c>
    </row>
    <row r="317" spans="1:11" ht="15" thickBot="1" x14ac:dyDescent="0.35">
      <c r="A317" s="32">
        <v>316</v>
      </c>
      <c r="B317" s="28">
        <v>0.2424</v>
      </c>
      <c r="C317" s="29">
        <f t="shared" si="16"/>
        <v>0.2424</v>
      </c>
      <c r="D317" s="28">
        <v>0.38</v>
      </c>
      <c r="E317" s="30" t="str">
        <f t="shared" si="17"/>
        <v>Acceptable</v>
      </c>
      <c r="F317" s="28">
        <v>0.16420000000000001</v>
      </c>
      <c r="G317" s="28">
        <v>9</v>
      </c>
      <c r="H317" s="28">
        <v>59</v>
      </c>
      <c r="I317" s="33">
        <v>68</v>
      </c>
      <c r="J317" s="20" t="str">
        <f t="shared" si="18"/>
        <v xml:space="preserve"> </v>
      </c>
      <c r="K317" s="20">
        <f t="shared" si="19"/>
        <v>0</v>
      </c>
    </row>
    <row r="318" spans="1:11" ht="15" thickBot="1" x14ac:dyDescent="0.35">
      <c r="A318" s="32">
        <v>317</v>
      </c>
      <c r="B318" s="28">
        <v>0.2424</v>
      </c>
      <c r="C318" s="29">
        <f t="shared" si="16"/>
        <v>0.2424</v>
      </c>
      <c r="D318" s="28">
        <v>0.41</v>
      </c>
      <c r="E318" s="30" t="str">
        <f t="shared" si="17"/>
        <v>Acceptable</v>
      </c>
      <c r="F318" s="28">
        <v>0.1045</v>
      </c>
      <c r="G318" s="28">
        <v>3</v>
      </c>
      <c r="H318" s="28">
        <v>87</v>
      </c>
      <c r="I318" s="33">
        <v>90</v>
      </c>
      <c r="J318" s="20" t="str">
        <f t="shared" si="18"/>
        <v xml:space="preserve"> </v>
      </c>
      <c r="K318" s="20">
        <f t="shared" si="19"/>
        <v>0</v>
      </c>
    </row>
    <row r="319" spans="1:11" ht="15" thickBot="1" x14ac:dyDescent="0.35">
      <c r="A319" s="32">
        <v>318</v>
      </c>
      <c r="B319" s="28">
        <v>0.2273</v>
      </c>
      <c r="C319" s="29">
        <f t="shared" si="16"/>
        <v>0.2273</v>
      </c>
      <c r="D319" s="28">
        <v>0.41</v>
      </c>
      <c r="E319" s="30" t="str">
        <f t="shared" si="17"/>
        <v>Acceptable</v>
      </c>
      <c r="F319" s="28">
        <v>0.16420000000000001</v>
      </c>
      <c r="G319" s="28">
        <v>4</v>
      </c>
      <c r="H319" s="28">
        <v>155</v>
      </c>
      <c r="I319" s="33">
        <v>159</v>
      </c>
      <c r="J319" s="20" t="str">
        <f t="shared" si="18"/>
        <v xml:space="preserve"> </v>
      </c>
      <c r="K319" s="20">
        <f t="shared" si="19"/>
        <v>0</v>
      </c>
    </row>
    <row r="320" spans="1:11" ht="15" thickBot="1" x14ac:dyDescent="0.35">
      <c r="A320" s="32">
        <v>319</v>
      </c>
      <c r="B320" s="28">
        <v>0.2576</v>
      </c>
      <c r="C320" s="29">
        <f t="shared" si="16"/>
        <v>0.2576</v>
      </c>
      <c r="D320" s="28">
        <v>0.47</v>
      </c>
      <c r="E320" s="30" t="str">
        <f t="shared" si="17"/>
        <v>Acceptable</v>
      </c>
      <c r="F320" s="28">
        <v>0</v>
      </c>
      <c r="G320" s="28">
        <v>5</v>
      </c>
      <c r="H320" s="28">
        <v>134</v>
      </c>
      <c r="I320" s="33">
        <v>139</v>
      </c>
      <c r="J320" s="20" t="str">
        <f t="shared" si="18"/>
        <v xml:space="preserve"> </v>
      </c>
      <c r="K320" s="20">
        <f t="shared" si="19"/>
        <v>0</v>
      </c>
    </row>
    <row r="321" spans="1:11" ht="15" thickBot="1" x14ac:dyDescent="0.35">
      <c r="A321" s="32">
        <v>320</v>
      </c>
      <c r="B321" s="28">
        <v>0.19700000000000001</v>
      </c>
      <c r="C321" s="29">
        <f t="shared" si="16"/>
        <v>0.19700000000000001</v>
      </c>
      <c r="D321" s="28">
        <v>0.59</v>
      </c>
      <c r="E321" s="30" t="str">
        <f t="shared" si="17"/>
        <v>Acceptable</v>
      </c>
      <c r="F321" s="28">
        <v>8.9599999999999999E-2</v>
      </c>
      <c r="G321" s="28">
        <v>3</v>
      </c>
      <c r="H321" s="28">
        <v>89</v>
      </c>
      <c r="I321" s="33">
        <v>92</v>
      </c>
      <c r="J321" s="20" t="str">
        <f t="shared" si="18"/>
        <v xml:space="preserve"> </v>
      </c>
      <c r="K321" s="20">
        <f t="shared" si="19"/>
        <v>0</v>
      </c>
    </row>
    <row r="322" spans="1:11" ht="15" thickBot="1" x14ac:dyDescent="0.35">
      <c r="A322" s="32">
        <v>321</v>
      </c>
      <c r="B322" s="28">
        <v>0.2424</v>
      </c>
      <c r="C322" s="29">
        <f t="shared" si="16"/>
        <v>0.2424</v>
      </c>
      <c r="D322" s="28">
        <v>0.59</v>
      </c>
      <c r="E322" s="30" t="str">
        <f t="shared" si="17"/>
        <v>Acceptable</v>
      </c>
      <c r="F322" s="28">
        <v>0</v>
      </c>
      <c r="G322" s="28">
        <v>0</v>
      </c>
      <c r="H322" s="28">
        <v>68</v>
      </c>
      <c r="I322" s="33">
        <v>68</v>
      </c>
      <c r="J322" s="20" t="str">
        <f t="shared" si="18"/>
        <v xml:space="preserve"> </v>
      </c>
      <c r="K322" s="20">
        <f t="shared" si="19"/>
        <v>0</v>
      </c>
    </row>
    <row r="323" spans="1:11" ht="15" thickBot="1" x14ac:dyDescent="0.35">
      <c r="A323" s="32">
        <v>322</v>
      </c>
      <c r="B323" s="28">
        <v>0.2273</v>
      </c>
      <c r="C323" s="29">
        <f t="shared" ref="C323:C386" si="20">IF(ISBLANK(B323),AVERAGE(B323:B932),B323)</f>
        <v>0.2273</v>
      </c>
      <c r="D323" s="28">
        <v>0.69</v>
      </c>
      <c r="E323" s="30" t="str">
        <f t="shared" ref="E323:E386" si="21">IF(D323&lt;0.7,"Acceptable","Risky")</f>
        <v>Acceptable</v>
      </c>
      <c r="F323" s="28">
        <v>0</v>
      </c>
      <c r="G323" s="28">
        <v>4</v>
      </c>
      <c r="H323" s="28">
        <v>48</v>
      </c>
      <c r="I323" s="33">
        <v>52</v>
      </c>
      <c r="J323" s="20" t="str">
        <f t="shared" ref="J323:J386" si="22">IF(G323+H323=I323," ","Not same")</f>
        <v xml:space="preserve"> </v>
      </c>
      <c r="K323" s="20">
        <f t="shared" ref="K323:K386" si="23">COUNTBLANK(A323:J323)</f>
        <v>0</v>
      </c>
    </row>
    <row r="324" spans="1:11" ht="15" thickBot="1" x14ac:dyDescent="0.35">
      <c r="A324" s="32">
        <v>323</v>
      </c>
      <c r="B324" s="28">
        <v>0.2273</v>
      </c>
      <c r="C324" s="29">
        <f t="shared" si="20"/>
        <v>0.2273</v>
      </c>
      <c r="D324" s="28">
        <v>0.69</v>
      </c>
      <c r="E324" s="30" t="str">
        <f t="shared" si="21"/>
        <v>Acceptable</v>
      </c>
      <c r="F324" s="28">
        <v>0</v>
      </c>
      <c r="G324" s="28">
        <v>2</v>
      </c>
      <c r="H324" s="28">
        <v>34</v>
      </c>
      <c r="I324" s="33">
        <v>36</v>
      </c>
      <c r="J324" s="20" t="str">
        <f t="shared" si="22"/>
        <v xml:space="preserve"> </v>
      </c>
      <c r="K324" s="20">
        <f t="shared" si="23"/>
        <v>0</v>
      </c>
    </row>
    <row r="325" spans="1:11" ht="15" thickBot="1" x14ac:dyDescent="0.35">
      <c r="A325" s="32">
        <v>324</v>
      </c>
      <c r="B325" s="28">
        <v>0.2424</v>
      </c>
      <c r="C325" s="29">
        <f t="shared" si="20"/>
        <v>0.2424</v>
      </c>
      <c r="D325" s="28">
        <v>0.55000000000000004</v>
      </c>
      <c r="E325" s="30" t="str">
        <f t="shared" si="21"/>
        <v>Acceptable</v>
      </c>
      <c r="F325" s="28">
        <v>0</v>
      </c>
      <c r="G325" s="28">
        <v>1</v>
      </c>
      <c r="H325" s="28">
        <v>26</v>
      </c>
      <c r="I325" s="33">
        <v>27</v>
      </c>
      <c r="J325" s="20" t="str">
        <f t="shared" si="22"/>
        <v xml:space="preserve"> </v>
      </c>
      <c r="K325" s="20">
        <f t="shared" si="23"/>
        <v>0</v>
      </c>
    </row>
    <row r="326" spans="1:11" ht="15" thickBot="1" x14ac:dyDescent="0.35">
      <c r="A326" s="32">
        <v>325</v>
      </c>
      <c r="B326" s="28">
        <v>0.2424</v>
      </c>
      <c r="C326" s="29">
        <f t="shared" si="20"/>
        <v>0.2424</v>
      </c>
      <c r="D326" s="28">
        <v>0.55000000000000004</v>
      </c>
      <c r="E326" s="30" t="str">
        <f t="shared" si="21"/>
        <v>Acceptable</v>
      </c>
      <c r="F326" s="28">
        <v>0</v>
      </c>
      <c r="G326" s="28">
        <v>3</v>
      </c>
      <c r="H326" s="28">
        <v>25</v>
      </c>
      <c r="I326" s="33">
        <v>28</v>
      </c>
      <c r="J326" s="20" t="str">
        <f t="shared" si="22"/>
        <v xml:space="preserve"> </v>
      </c>
      <c r="K326" s="20">
        <f t="shared" si="23"/>
        <v>0</v>
      </c>
    </row>
    <row r="327" spans="1:11" ht="15" thickBot="1" x14ac:dyDescent="0.35">
      <c r="A327" s="32">
        <v>326</v>
      </c>
      <c r="B327" s="28">
        <v>0.19700000000000001</v>
      </c>
      <c r="C327" s="29">
        <f t="shared" si="20"/>
        <v>0.19700000000000001</v>
      </c>
      <c r="D327" s="28">
        <v>0.59</v>
      </c>
      <c r="E327" s="30" t="str">
        <f t="shared" si="21"/>
        <v>Acceptable</v>
      </c>
      <c r="F327" s="28">
        <v>8.9599999999999999E-2</v>
      </c>
      <c r="G327" s="28">
        <v>2</v>
      </c>
      <c r="H327" s="28">
        <v>18</v>
      </c>
      <c r="I327" s="33">
        <v>20</v>
      </c>
      <c r="J327" s="20" t="str">
        <f t="shared" si="22"/>
        <v xml:space="preserve"> </v>
      </c>
      <c r="K327" s="20">
        <f t="shared" si="23"/>
        <v>0</v>
      </c>
    </row>
    <row r="328" spans="1:11" ht="15" thickBot="1" x14ac:dyDescent="0.35">
      <c r="A328" s="32">
        <v>327</v>
      </c>
      <c r="B328" s="28">
        <v>0.19700000000000001</v>
      </c>
      <c r="C328" s="29">
        <f t="shared" si="20"/>
        <v>0.19700000000000001</v>
      </c>
      <c r="D328" s="28">
        <v>0.59</v>
      </c>
      <c r="E328" s="30" t="str">
        <f t="shared" si="21"/>
        <v>Acceptable</v>
      </c>
      <c r="F328" s="28">
        <v>8.9599999999999999E-2</v>
      </c>
      <c r="G328" s="28">
        <v>0</v>
      </c>
      <c r="H328" s="28">
        <v>12</v>
      </c>
      <c r="I328" s="33">
        <v>12</v>
      </c>
      <c r="J328" s="20" t="str">
        <f t="shared" si="22"/>
        <v xml:space="preserve"> </v>
      </c>
      <c r="K328" s="20">
        <f t="shared" si="23"/>
        <v>0</v>
      </c>
    </row>
    <row r="329" spans="1:11" ht="15" thickBot="1" x14ac:dyDescent="0.35">
      <c r="A329" s="32">
        <v>328</v>
      </c>
      <c r="B329" s="28">
        <v>0.2273</v>
      </c>
      <c r="C329" s="29">
        <f t="shared" si="20"/>
        <v>0.2273</v>
      </c>
      <c r="D329" s="28">
        <v>0.59</v>
      </c>
      <c r="E329" s="30" t="str">
        <f t="shared" si="21"/>
        <v>Acceptable</v>
      </c>
      <c r="F329" s="28">
        <v>0</v>
      </c>
      <c r="G329" s="28">
        <v>1</v>
      </c>
      <c r="H329" s="28">
        <v>7</v>
      </c>
      <c r="I329" s="33">
        <v>8</v>
      </c>
      <c r="J329" s="20" t="str">
        <f t="shared" si="22"/>
        <v xml:space="preserve"> </v>
      </c>
      <c r="K329" s="20">
        <f t="shared" si="23"/>
        <v>0</v>
      </c>
    </row>
    <row r="330" spans="1:11" ht="15" thickBot="1" x14ac:dyDescent="0.35">
      <c r="A330" s="32">
        <v>329</v>
      </c>
      <c r="B330" s="28">
        <v>0.2273</v>
      </c>
      <c r="C330" s="29">
        <f t="shared" si="20"/>
        <v>0.2273</v>
      </c>
      <c r="D330" s="28">
        <v>0.59</v>
      </c>
      <c r="E330" s="30" t="str">
        <f t="shared" si="21"/>
        <v>Acceptable</v>
      </c>
      <c r="F330" s="28">
        <v>0</v>
      </c>
      <c r="G330" s="28">
        <v>0</v>
      </c>
      <c r="H330" s="28">
        <v>5</v>
      </c>
      <c r="I330" s="33">
        <v>5</v>
      </c>
      <c r="J330" s="20" t="str">
        <f t="shared" si="22"/>
        <v xml:space="preserve"> </v>
      </c>
      <c r="K330" s="20">
        <f t="shared" si="23"/>
        <v>0</v>
      </c>
    </row>
    <row r="331" spans="1:11" ht="15" thickBot="1" x14ac:dyDescent="0.35">
      <c r="A331" s="32">
        <v>330</v>
      </c>
      <c r="B331" s="28">
        <v>0.2273</v>
      </c>
      <c r="C331" s="29">
        <f t="shared" si="20"/>
        <v>0.2273</v>
      </c>
      <c r="D331" s="28">
        <v>0.59</v>
      </c>
      <c r="E331" s="30" t="str">
        <f t="shared" si="21"/>
        <v>Acceptable</v>
      </c>
      <c r="F331" s="28">
        <v>0</v>
      </c>
      <c r="G331" s="28">
        <v>0</v>
      </c>
      <c r="H331" s="28">
        <v>1</v>
      </c>
      <c r="I331" s="33">
        <v>1</v>
      </c>
      <c r="J331" s="20" t="str">
        <f t="shared" si="22"/>
        <v xml:space="preserve"> </v>
      </c>
      <c r="K331" s="20">
        <f t="shared" si="23"/>
        <v>0</v>
      </c>
    </row>
    <row r="332" spans="1:11" ht="15" thickBot="1" x14ac:dyDescent="0.35">
      <c r="A332" s="32">
        <v>331</v>
      </c>
      <c r="B332" s="28">
        <v>0.16669999999999999</v>
      </c>
      <c r="C332" s="29">
        <f t="shared" si="20"/>
        <v>0.16669999999999999</v>
      </c>
      <c r="D332" s="28">
        <v>0.63</v>
      </c>
      <c r="E332" s="30" t="str">
        <f t="shared" si="21"/>
        <v>Acceptable</v>
      </c>
      <c r="F332" s="28">
        <v>0.1045</v>
      </c>
      <c r="G332" s="28">
        <v>1</v>
      </c>
      <c r="H332" s="28">
        <v>2</v>
      </c>
      <c r="I332" s="33">
        <v>3</v>
      </c>
      <c r="J332" s="20" t="str">
        <f t="shared" si="22"/>
        <v xml:space="preserve"> </v>
      </c>
      <c r="K332" s="20">
        <f t="shared" si="23"/>
        <v>0</v>
      </c>
    </row>
    <row r="333" spans="1:11" ht="15" thickBot="1" x14ac:dyDescent="0.35">
      <c r="A333" s="32">
        <v>332</v>
      </c>
      <c r="B333" s="28">
        <v>0.21210000000000001</v>
      </c>
      <c r="C333" s="29">
        <f t="shared" si="20"/>
        <v>0.21210000000000001</v>
      </c>
      <c r="D333" s="28">
        <v>0.63</v>
      </c>
      <c r="E333" s="30" t="str">
        <f t="shared" si="21"/>
        <v>Acceptable</v>
      </c>
      <c r="F333" s="28">
        <v>0</v>
      </c>
      <c r="G333" s="28">
        <v>1</v>
      </c>
      <c r="H333" s="28">
        <v>9</v>
      </c>
      <c r="I333" s="33">
        <v>10</v>
      </c>
      <c r="J333" s="20" t="str">
        <f t="shared" si="22"/>
        <v xml:space="preserve"> </v>
      </c>
      <c r="K333" s="20">
        <f t="shared" si="23"/>
        <v>0</v>
      </c>
    </row>
    <row r="334" spans="1:11" ht="15" thickBot="1" x14ac:dyDescent="0.35">
      <c r="A334" s="32">
        <v>333</v>
      </c>
      <c r="B334" s="28">
        <v>0.1515</v>
      </c>
      <c r="C334" s="29">
        <f t="shared" si="20"/>
        <v>0.1515</v>
      </c>
      <c r="D334" s="28">
        <v>0.63</v>
      </c>
      <c r="E334" s="30" t="str">
        <f t="shared" si="21"/>
        <v>Acceptable</v>
      </c>
      <c r="F334" s="28">
        <v>0.1343</v>
      </c>
      <c r="G334" s="28">
        <v>1</v>
      </c>
      <c r="H334" s="28">
        <v>22</v>
      </c>
      <c r="I334" s="33">
        <v>23</v>
      </c>
      <c r="J334" s="20" t="str">
        <f t="shared" si="22"/>
        <v xml:space="preserve"> </v>
      </c>
      <c r="K334" s="20">
        <f t="shared" si="23"/>
        <v>0</v>
      </c>
    </row>
    <row r="335" spans="1:11" ht="15" thickBot="1" x14ac:dyDescent="0.35">
      <c r="A335" s="32">
        <v>334</v>
      </c>
      <c r="B335" s="28">
        <v>0.18179999999999999</v>
      </c>
      <c r="C335" s="29">
        <f t="shared" si="20"/>
        <v>0.18179999999999999</v>
      </c>
      <c r="D335" s="28">
        <v>0.64</v>
      </c>
      <c r="E335" s="30" t="str">
        <f t="shared" si="21"/>
        <v>Acceptable</v>
      </c>
      <c r="F335" s="28">
        <v>0.1343</v>
      </c>
      <c r="G335" s="28">
        <v>2</v>
      </c>
      <c r="H335" s="28">
        <v>31</v>
      </c>
      <c r="I335" s="33">
        <v>33</v>
      </c>
      <c r="J335" s="20" t="str">
        <f t="shared" si="22"/>
        <v xml:space="preserve"> </v>
      </c>
      <c r="K335" s="20">
        <f t="shared" si="23"/>
        <v>0</v>
      </c>
    </row>
    <row r="336" spans="1:11" ht="15" thickBot="1" x14ac:dyDescent="0.35">
      <c r="A336" s="32">
        <v>335</v>
      </c>
      <c r="B336" s="28">
        <v>0.19700000000000001</v>
      </c>
      <c r="C336" s="29">
        <f t="shared" si="20"/>
        <v>0.19700000000000001</v>
      </c>
      <c r="D336" s="28">
        <v>0.59</v>
      </c>
      <c r="E336" s="30" t="str">
        <f t="shared" si="21"/>
        <v>Acceptable</v>
      </c>
      <c r="F336" s="28">
        <v>0.16420000000000001</v>
      </c>
      <c r="G336" s="28">
        <v>2</v>
      </c>
      <c r="H336" s="28">
        <v>57</v>
      </c>
      <c r="I336" s="33">
        <v>59</v>
      </c>
      <c r="J336" s="20" t="str">
        <f t="shared" si="22"/>
        <v xml:space="preserve"> </v>
      </c>
      <c r="K336" s="20">
        <f t="shared" si="23"/>
        <v>0</v>
      </c>
    </row>
    <row r="337" spans="1:11" ht="15" thickBot="1" x14ac:dyDescent="0.35">
      <c r="A337" s="32">
        <v>336</v>
      </c>
      <c r="B337" s="28">
        <v>0.19700000000000001</v>
      </c>
      <c r="C337" s="29">
        <f t="shared" si="20"/>
        <v>0.19700000000000001</v>
      </c>
      <c r="D337" s="28">
        <v>0.55000000000000004</v>
      </c>
      <c r="E337" s="30" t="str">
        <f t="shared" si="21"/>
        <v>Acceptable</v>
      </c>
      <c r="F337" s="28">
        <v>0.22389999999999999</v>
      </c>
      <c r="G337" s="28">
        <v>18</v>
      </c>
      <c r="H337" s="28">
        <v>54</v>
      </c>
      <c r="I337" s="33">
        <v>72</v>
      </c>
      <c r="J337" s="20" t="str">
        <f t="shared" si="22"/>
        <v xml:space="preserve"> </v>
      </c>
      <c r="K337" s="20">
        <f t="shared" si="23"/>
        <v>0</v>
      </c>
    </row>
    <row r="338" spans="1:11" ht="15" thickBot="1" x14ac:dyDescent="0.35">
      <c r="A338" s="32">
        <v>337</v>
      </c>
      <c r="B338" s="28">
        <v>0.2273</v>
      </c>
      <c r="C338" s="29">
        <f t="shared" si="20"/>
        <v>0.2273</v>
      </c>
      <c r="D338" s="28">
        <v>0.48</v>
      </c>
      <c r="E338" s="30" t="str">
        <f t="shared" si="21"/>
        <v>Acceptable</v>
      </c>
      <c r="F338" s="28">
        <v>0.22389999999999999</v>
      </c>
      <c r="G338" s="28">
        <v>15</v>
      </c>
      <c r="H338" s="28">
        <v>74</v>
      </c>
      <c r="I338" s="33">
        <v>89</v>
      </c>
      <c r="J338" s="20" t="str">
        <f t="shared" si="22"/>
        <v xml:space="preserve"> </v>
      </c>
      <c r="K338" s="20">
        <f t="shared" si="23"/>
        <v>0</v>
      </c>
    </row>
    <row r="339" spans="1:11" ht="15" thickBot="1" x14ac:dyDescent="0.35">
      <c r="A339" s="32">
        <v>338</v>
      </c>
      <c r="B339" s="28">
        <v>0.2576</v>
      </c>
      <c r="C339" s="29">
        <f t="shared" si="20"/>
        <v>0.2576</v>
      </c>
      <c r="D339" s="28">
        <v>0.38</v>
      </c>
      <c r="E339" s="30" t="str">
        <f t="shared" si="21"/>
        <v>Acceptable</v>
      </c>
      <c r="F339" s="28">
        <v>0.29849999999999999</v>
      </c>
      <c r="G339" s="28">
        <v>21</v>
      </c>
      <c r="H339" s="28">
        <v>80</v>
      </c>
      <c r="I339" s="33">
        <v>101</v>
      </c>
      <c r="J339" s="20" t="str">
        <f t="shared" si="22"/>
        <v xml:space="preserve"> </v>
      </c>
      <c r="K339" s="20">
        <f t="shared" si="23"/>
        <v>0</v>
      </c>
    </row>
    <row r="340" spans="1:11" ht="15" thickBot="1" x14ac:dyDescent="0.35">
      <c r="A340" s="32">
        <v>339</v>
      </c>
      <c r="B340" s="28">
        <v>0.28789999999999999</v>
      </c>
      <c r="C340" s="29">
        <f t="shared" si="20"/>
        <v>0.28789999999999999</v>
      </c>
      <c r="D340" s="28">
        <v>0.39</v>
      </c>
      <c r="E340" s="30" t="str">
        <f t="shared" si="21"/>
        <v>Acceptable</v>
      </c>
      <c r="F340" s="28">
        <v>0.28360000000000002</v>
      </c>
      <c r="G340" s="28">
        <v>26</v>
      </c>
      <c r="H340" s="28">
        <v>92</v>
      </c>
      <c r="I340" s="33">
        <v>118</v>
      </c>
      <c r="J340" s="20" t="str">
        <f t="shared" si="22"/>
        <v xml:space="preserve"> </v>
      </c>
      <c r="K340" s="20">
        <f t="shared" si="23"/>
        <v>0</v>
      </c>
    </row>
    <row r="341" spans="1:11" ht="15" thickBot="1" x14ac:dyDescent="0.35">
      <c r="A341" s="32">
        <v>340</v>
      </c>
      <c r="B341" s="28">
        <v>0.31819999999999998</v>
      </c>
      <c r="C341" s="29">
        <f t="shared" si="20"/>
        <v>0.31819999999999998</v>
      </c>
      <c r="D341" s="28">
        <v>0.36</v>
      </c>
      <c r="E341" s="30" t="str">
        <f t="shared" si="21"/>
        <v>Acceptable</v>
      </c>
      <c r="F341" s="28">
        <v>0.19400000000000001</v>
      </c>
      <c r="G341" s="28">
        <v>21</v>
      </c>
      <c r="H341" s="28">
        <v>108</v>
      </c>
      <c r="I341" s="33">
        <v>129</v>
      </c>
      <c r="J341" s="20" t="str">
        <f t="shared" si="22"/>
        <v xml:space="preserve"> </v>
      </c>
      <c r="K341" s="20">
        <f t="shared" si="23"/>
        <v>0</v>
      </c>
    </row>
    <row r="342" spans="1:11" ht="15" thickBot="1" x14ac:dyDescent="0.35">
      <c r="A342" s="32">
        <v>341</v>
      </c>
      <c r="B342" s="28">
        <v>0.33329999999999999</v>
      </c>
      <c r="C342" s="29">
        <f t="shared" si="20"/>
        <v>0.33329999999999999</v>
      </c>
      <c r="D342" s="28">
        <v>0.34</v>
      </c>
      <c r="E342" s="30" t="str">
        <f t="shared" si="21"/>
        <v>Acceptable</v>
      </c>
      <c r="F342" s="28">
        <v>0.19400000000000001</v>
      </c>
      <c r="G342" s="28">
        <v>33</v>
      </c>
      <c r="H342" s="28">
        <v>95</v>
      </c>
      <c r="I342" s="33">
        <v>128</v>
      </c>
      <c r="J342" s="20" t="str">
        <f t="shared" si="22"/>
        <v xml:space="preserve"> </v>
      </c>
      <c r="K342" s="20">
        <f t="shared" si="23"/>
        <v>0</v>
      </c>
    </row>
    <row r="343" spans="1:11" ht="15" thickBot="1" x14ac:dyDescent="0.35">
      <c r="A343" s="32">
        <v>342</v>
      </c>
      <c r="B343" s="28">
        <v>0.30299999999999999</v>
      </c>
      <c r="C343" s="29">
        <f t="shared" si="20"/>
        <v>0.30299999999999999</v>
      </c>
      <c r="D343" s="28">
        <v>0.36</v>
      </c>
      <c r="E343" s="30" t="str">
        <f t="shared" si="21"/>
        <v>Acceptable</v>
      </c>
      <c r="F343" s="28">
        <v>0.28360000000000002</v>
      </c>
      <c r="G343" s="28">
        <v>29</v>
      </c>
      <c r="H343" s="28">
        <v>54</v>
      </c>
      <c r="I343" s="33">
        <v>83</v>
      </c>
      <c r="J343" s="20" t="str">
        <f t="shared" si="22"/>
        <v xml:space="preserve"> </v>
      </c>
      <c r="K343" s="20">
        <f t="shared" si="23"/>
        <v>0</v>
      </c>
    </row>
    <row r="344" spans="1:11" ht="15" thickBot="1" x14ac:dyDescent="0.35">
      <c r="A344" s="32">
        <v>343</v>
      </c>
      <c r="B344" s="28">
        <v>0.28789999999999999</v>
      </c>
      <c r="C344" s="29">
        <f t="shared" si="20"/>
        <v>0.28789999999999999</v>
      </c>
      <c r="D344" s="28">
        <v>0.45</v>
      </c>
      <c r="E344" s="30" t="str">
        <f t="shared" si="21"/>
        <v>Acceptable</v>
      </c>
      <c r="F344" s="28">
        <v>0.25369999999999998</v>
      </c>
      <c r="G344" s="28">
        <v>15</v>
      </c>
      <c r="H344" s="28">
        <v>69</v>
      </c>
      <c r="I344" s="33">
        <v>84</v>
      </c>
      <c r="J344" s="20" t="str">
        <f t="shared" si="22"/>
        <v xml:space="preserve"> </v>
      </c>
      <c r="K344" s="20">
        <f t="shared" si="23"/>
        <v>0</v>
      </c>
    </row>
    <row r="345" spans="1:11" ht="15" thickBot="1" x14ac:dyDescent="0.35">
      <c r="A345" s="32">
        <v>344</v>
      </c>
      <c r="B345" s="28">
        <v>0.30299999999999999</v>
      </c>
      <c r="C345" s="29">
        <f t="shared" si="20"/>
        <v>0.30299999999999999</v>
      </c>
      <c r="D345" s="28">
        <v>0.39</v>
      </c>
      <c r="E345" s="30" t="str">
        <f t="shared" si="21"/>
        <v>Acceptable</v>
      </c>
      <c r="F345" s="28">
        <v>0.25369999999999998</v>
      </c>
      <c r="G345" s="28">
        <v>14</v>
      </c>
      <c r="H345" s="28">
        <v>60</v>
      </c>
      <c r="I345" s="33">
        <v>74</v>
      </c>
      <c r="J345" s="20" t="str">
        <f t="shared" si="22"/>
        <v xml:space="preserve"> </v>
      </c>
      <c r="K345" s="20">
        <f t="shared" si="23"/>
        <v>0</v>
      </c>
    </row>
    <row r="346" spans="1:11" ht="15" thickBot="1" x14ac:dyDescent="0.35">
      <c r="A346" s="32">
        <v>345</v>
      </c>
      <c r="B346" s="28">
        <v>0.30299999999999999</v>
      </c>
      <c r="C346" s="29">
        <f t="shared" si="20"/>
        <v>0.30299999999999999</v>
      </c>
      <c r="D346" s="28">
        <v>0.39</v>
      </c>
      <c r="E346" s="30" t="str">
        <f t="shared" si="21"/>
        <v>Acceptable</v>
      </c>
      <c r="F346" s="28">
        <v>0.25369999999999998</v>
      </c>
      <c r="G346" s="28">
        <v>6</v>
      </c>
      <c r="H346" s="28">
        <v>35</v>
      </c>
      <c r="I346" s="33">
        <v>41</v>
      </c>
      <c r="J346" s="20" t="str">
        <f t="shared" si="22"/>
        <v xml:space="preserve"> </v>
      </c>
      <c r="K346" s="20">
        <f t="shared" si="23"/>
        <v>0</v>
      </c>
    </row>
    <row r="347" spans="1:11" ht="15" thickBot="1" x14ac:dyDescent="0.35">
      <c r="A347" s="32">
        <v>346</v>
      </c>
      <c r="B347" s="28">
        <v>0.30299999999999999</v>
      </c>
      <c r="C347" s="29">
        <f t="shared" si="20"/>
        <v>0.30299999999999999</v>
      </c>
      <c r="D347" s="28">
        <v>0.39</v>
      </c>
      <c r="E347" s="30" t="str">
        <f t="shared" si="21"/>
        <v>Acceptable</v>
      </c>
      <c r="F347" s="28">
        <v>0.22389999999999999</v>
      </c>
      <c r="G347" s="28">
        <v>6</v>
      </c>
      <c r="H347" s="28">
        <v>51</v>
      </c>
      <c r="I347" s="33">
        <v>57</v>
      </c>
      <c r="J347" s="20" t="str">
        <f t="shared" si="22"/>
        <v xml:space="preserve"> </v>
      </c>
      <c r="K347" s="20">
        <f t="shared" si="23"/>
        <v>0</v>
      </c>
    </row>
    <row r="348" spans="1:11" ht="15" thickBot="1" x14ac:dyDescent="0.35">
      <c r="A348" s="32">
        <v>347</v>
      </c>
      <c r="B348" s="28">
        <v>0.31819999999999998</v>
      </c>
      <c r="C348" s="29">
        <f t="shared" si="20"/>
        <v>0.31819999999999998</v>
      </c>
      <c r="D348" s="28">
        <v>0.42</v>
      </c>
      <c r="E348" s="30" t="str">
        <f t="shared" si="21"/>
        <v>Acceptable</v>
      </c>
      <c r="F348" s="28">
        <v>0.1045</v>
      </c>
      <c r="G348" s="28">
        <v>0</v>
      </c>
      <c r="H348" s="28">
        <v>26</v>
      </c>
      <c r="I348" s="33">
        <v>26</v>
      </c>
      <c r="J348" s="20" t="str">
        <f t="shared" si="22"/>
        <v xml:space="preserve"> </v>
      </c>
      <c r="K348" s="20">
        <f t="shared" si="23"/>
        <v>0</v>
      </c>
    </row>
    <row r="349" spans="1:11" ht="15" thickBot="1" x14ac:dyDescent="0.35">
      <c r="A349" s="32">
        <v>348</v>
      </c>
      <c r="B349" s="28">
        <v>0.28789999999999999</v>
      </c>
      <c r="C349" s="29">
        <f t="shared" si="20"/>
        <v>0.28789999999999999</v>
      </c>
      <c r="D349" s="28">
        <v>0.45</v>
      </c>
      <c r="E349" s="30" t="str">
        <f t="shared" si="21"/>
        <v>Acceptable</v>
      </c>
      <c r="F349" s="28">
        <v>0.28360000000000002</v>
      </c>
      <c r="G349" s="28">
        <v>5</v>
      </c>
      <c r="H349" s="28">
        <v>39</v>
      </c>
      <c r="I349" s="33">
        <v>44</v>
      </c>
      <c r="J349" s="20" t="str">
        <f t="shared" si="22"/>
        <v xml:space="preserve"> </v>
      </c>
      <c r="K349" s="20">
        <f t="shared" si="23"/>
        <v>0</v>
      </c>
    </row>
    <row r="350" spans="1:11" ht="15" thickBot="1" x14ac:dyDescent="0.35">
      <c r="A350" s="32">
        <v>349</v>
      </c>
      <c r="B350" s="28">
        <v>0.30299999999999999</v>
      </c>
      <c r="C350" s="29">
        <f t="shared" si="20"/>
        <v>0.30299999999999999</v>
      </c>
      <c r="D350" s="28">
        <v>0.56000000000000005</v>
      </c>
      <c r="E350" s="30" t="str">
        <f t="shared" si="21"/>
        <v>Acceptable</v>
      </c>
      <c r="F350" s="28">
        <v>0</v>
      </c>
      <c r="G350" s="28">
        <v>6</v>
      </c>
      <c r="H350" s="28">
        <v>33</v>
      </c>
      <c r="I350" s="33">
        <v>39</v>
      </c>
      <c r="J350" s="20" t="str">
        <f t="shared" si="22"/>
        <v xml:space="preserve"> </v>
      </c>
      <c r="K350" s="20">
        <f t="shared" si="23"/>
        <v>0</v>
      </c>
    </row>
    <row r="351" spans="1:11" ht="15" thickBot="1" x14ac:dyDescent="0.35">
      <c r="A351" s="32">
        <v>350</v>
      </c>
      <c r="B351" s="28">
        <v>0.2727</v>
      </c>
      <c r="C351" s="29">
        <f t="shared" si="20"/>
        <v>0.2727</v>
      </c>
      <c r="D351" s="28">
        <v>0.56000000000000005</v>
      </c>
      <c r="E351" s="30" t="str">
        <f t="shared" si="21"/>
        <v>Acceptable</v>
      </c>
      <c r="F351" s="28">
        <v>0.1343</v>
      </c>
      <c r="G351" s="28">
        <v>4</v>
      </c>
      <c r="H351" s="28">
        <v>19</v>
      </c>
      <c r="I351" s="33">
        <v>23</v>
      </c>
      <c r="J351" s="20" t="str">
        <f t="shared" si="22"/>
        <v xml:space="preserve"> </v>
      </c>
      <c r="K351" s="20">
        <f t="shared" si="23"/>
        <v>0</v>
      </c>
    </row>
    <row r="352" spans="1:11" ht="15" thickBot="1" x14ac:dyDescent="0.35">
      <c r="A352" s="32">
        <v>351</v>
      </c>
      <c r="B352" s="28">
        <v>0.28789999999999999</v>
      </c>
      <c r="C352" s="29">
        <f t="shared" si="20"/>
        <v>0.28789999999999999</v>
      </c>
      <c r="D352" s="28">
        <v>0.56000000000000005</v>
      </c>
      <c r="E352" s="30" t="str">
        <f t="shared" si="21"/>
        <v>Acceptable</v>
      </c>
      <c r="F352" s="28">
        <v>8.9599999999999999E-2</v>
      </c>
      <c r="G352" s="28">
        <v>3</v>
      </c>
      <c r="H352" s="28">
        <v>13</v>
      </c>
      <c r="I352" s="33">
        <v>16</v>
      </c>
      <c r="J352" s="20" t="str">
        <f t="shared" si="22"/>
        <v xml:space="preserve"> </v>
      </c>
      <c r="K352" s="20">
        <f t="shared" si="23"/>
        <v>0</v>
      </c>
    </row>
    <row r="353" spans="1:11" ht="15" thickBot="1" x14ac:dyDescent="0.35">
      <c r="A353" s="32">
        <v>352</v>
      </c>
      <c r="B353" s="28">
        <v>0.2727</v>
      </c>
      <c r="C353" s="29">
        <f t="shared" si="20"/>
        <v>0.2727</v>
      </c>
      <c r="D353" s="28">
        <v>0.69</v>
      </c>
      <c r="E353" s="30" t="str">
        <f t="shared" si="21"/>
        <v>Acceptable</v>
      </c>
      <c r="F353" s="28">
        <v>0</v>
      </c>
      <c r="G353" s="28">
        <v>9</v>
      </c>
      <c r="H353" s="28">
        <v>6</v>
      </c>
      <c r="I353" s="33">
        <v>15</v>
      </c>
      <c r="J353" s="20" t="str">
        <f t="shared" si="22"/>
        <v xml:space="preserve"> </v>
      </c>
      <c r="K353" s="20">
        <f t="shared" si="23"/>
        <v>0</v>
      </c>
    </row>
    <row r="354" spans="1:11" ht="15" thickBot="1" x14ac:dyDescent="0.35">
      <c r="A354" s="32">
        <v>353</v>
      </c>
      <c r="B354" s="28">
        <v>0.2576</v>
      </c>
      <c r="C354" s="29">
        <f t="shared" si="20"/>
        <v>0.2576</v>
      </c>
      <c r="D354" s="28">
        <v>0.56000000000000005</v>
      </c>
      <c r="E354" s="30" t="str">
        <f t="shared" si="21"/>
        <v>Acceptable</v>
      </c>
      <c r="F354" s="28">
        <v>0.16420000000000001</v>
      </c>
      <c r="G354" s="28">
        <v>0</v>
      </c>
      <c r="H354" s="28">
        <v>1</v>
      </c>
      <c r="I354" s="33">
        <v>1</v>
      </c>
      <c r="J354" s="20" t="str">
        <f t="shared" si="22"/>
        <v xml:space="preserve"> </v>
      </c>
      <c r="K354" s="20">
        <f t="shared" si="23"/>
        <v>0</v>
      </c>
    </row>
    <row r="355" spans="1:11" ht="15" thickBot="1" x14ac:dyDescent="0.35">
      <c r="A355" s="32">
        <v>354</v>
      </c>
      <c r="B355" s="28">
        <v>0.2576</v>
      </c>
      <c r="C355" s="29">
        <f t="shared" si="20"/>
        <v>0.2576</v>
      </c>
      <c r="D355" s="28">
        <v>0.56000000000000005</v>
      </c>
      <c r="E355" s="30" t="str">
        <f t="shared" si="21"/>
        <v>Acceptable</v>
      </c>
      <c r="F355" s="28">
        <v>0.16420000000000001</v>
      </c>
      <c r="G355" s="28">
        <v>1</v>
      </c>
      <c r="H355" s="28">
        <v>1</v>
      </c>
      <c r="I355" s="33">
        <v>2</v>
      </c>
      <c r="J355" s="20" t="str">
        <f t="shared" si="22"/>
        <v xml:space="preserve"> </v>
      </c>
      <c r="K355" s="20">
        <f t="shared" si="23"/>
        <v>0</v>
      </c>
    </row>
    <row r="356" spans="1:11" ht="15" thickBot="1" x14ac:dyDescent="0.35">
      <c r="A356" s="32">
        <v>355</v>
      </c>
      <c r="B356" s="28">
        <v>0.2576</v>
      </c>
      <c r="C356" s="29">
        <f t="shared" si="20"/>
        <v>0.2576</v>
      </c>
      <c r="D356" s="28">
        <v>0.56000000000000005</v>
      </c>
      <c r="E356" s="30" t="str">
        <f t="shared" si="21"/>
        <v>Acceptable</v>
      </c>
      <c r="F356" s="28">
        <v>0.16420000000000001</v>
      </c>
      <c r="G356" s="28">
        <v>0</v>
      </c>
      <c r="H356" s="28">
        <v>1</v>
      </c>
      <c r="I356" s="33">
        <v>1</v>
      </c>
      <c r="J356" s="20" t="str">
        <f t="shared" si="22"/>
        <v xml:space="preserve"> </v>
      </c>
      <c r="K356" s="20">
        <f t="shared" si="23"/>
        <v>0</v>
      </c>
    </row>
    <row r="357" spans="1:11" ht="15" thickBot="1" x14ac:dyDescent="0.35">
      <c r="A357" s="32">
        <v>356</v>
      </c>
      <c r="B357" s="28">
        <v>0.21210000000000001</v>
      </c>
      <c r="C357" s="29">
        <f t="shared" si="20"/>
        <v>0.21210000000000001</v>
      </c>
      <c r="D357" s="28">
        <v>0.56000000000000005</v>
      </c>
      <c r="E357" s="30" t="str">
        <f t="shared" si="21"/>
        <v>Acceptable</v>
      </c>
      <c r="F357" s="28">
        <v>0.29849999999999999</v>
      </c>
      <c r="G357" s="28">
        <v>0</v>
      </c>
      <c r="H357" s="28">
        <v>3</v>
      </c>
      <c r="I357" s="33">
        <v>3</v>
      </c>
      <c r="J357" s="20" t="str">
        <f t="shared" si="22"/>
        <v xml:space="preserve"> </v>
      </c>
      <c r="K357" s="20">
        <f t="shared" si="23"/>
        <v>0</v>
      </c>
    </row>
    <row r="358" spans="1:11" ht="15" thickBot="1" x14ac:dyDescent="0.35">
      <c r="A358" s="32">
        <v>357</v>
      </c>
      <c r="B358" s="28">
        <v>0.21210000000000001</v>
      </c>
      <c r="C358" s="29">
        <f t="shared" si="20"/>
        <v>0.21210000000000001</v>
      </c>
      <c r="D358" s="28">
        <v>0.55000000000000004</v>
      </c>
      <c r="E358" s="30" t="str">
        <f t="shared" si="21"/>
        <v>Acceptable</v>
      </c>
      <c r="F358" s="28">
        <v>0.28360000000000002</v>
      </c>
      <c r="G358" s="28">
        <v>0</v>
      </c>
      <c r="H358" s="28">
        <v>18</v>
      </c>
      <c r="I358" s="33">
        <v>18</v>
      </c>
      <c r="J358" s="20" t="str">
        <f t="shared" si="22"/>
        <v xml:space="preserve"> </v>
      </c>
      <c r="K358" s="20">
        <f t="shared" si="23"/>
        <v>0</v>
      </c>
    </row>
    <row r="359" spans="1:11" ht="15" thickBot="1" x14ac:dyDescent="0.35">
      <c r="A359" s="32">
        <v>358</v>
      </c>
      <c r="B359" s="28">
        <v>0.21210000000000001</v>
      </c>
      <c r="C359" s="29">
        <f t="shared" si="20"/>
        <v>0.21210000000000001</v>
      </c>
      <c r="D359" s="28">
        <v>0.51</v>
      </c>
      <c r="E359" s="30" t="str">
        <f t="shared" si="21"/>
        <v>Acceptable</v>
      </c>
      <c r="F359" s="28">
        <v>0.25369999999999998</v>
      </c>
      <c r="G359" s="28">
        <v>3</v>
      </c>
      <c r="H359" s="28">
        <v>29</v>
      </c>
      <c r="I359" s="33">
        <v>32</v>
      </c>
      <c r="J359" s="20" t="str">
        <f t="shared" si="22"/>
        <v xml:space="preserve"> </v>
      </c>
      <c r="K359" s="20">
        <f t="shared" si="23"/>
        <v>0</v>
      </c>
    </row>
    <row r="360" spans="1:11" ht="15" thickBot="1" x14ac:dyDescent="0.35">
      <c r="A360" s="32">
        <v>359</v>
      </c>
      <c r="B360" s="28">
        <v>0.21210000000000001</v>
      </c>
      <c r="C360" s="29">
        <f t="shared" si="20"/>
        <v>0.21210000000000001</v>
      </c>
      <c r="D360" s="28">
        <v>0.51</v>
      </c>
      <c r="E360" s="30" t="str">
        <f t="shared" si="21"/>
        <v>Acceptable</v>
      </c>
      <c r="F360" s="28">
        <v>0.28360000000000002</v>
      </c>
      <c r="G360" s="28">
        <v>8</v>
      </c>
      <c r="H360" s="28">
        <v>71</v>
      </c>
      <c r="I360" s="33">
        <v>79</v>
      </c>
      <c r="J360" s="20" t="str">
        <f t="shared" si="22"/>
        <v xml:space="preserve"> </v>
      </c>
      <c r="K360" s="20">
        <f t="shared" si="23"/>
        <v>0</v>
      </c>
    </row>
    <row r="361" spans="1:11" ht="15" thickBot="1" x14ac:dyDescent="0.35">
      <c r="A361" s="32">
        <v>360</v>
      </c>
      <c r="B361" s="28">
        <v>0.2273</v>
      </c>
      <c r="C361" s="29">
        <f t="shared" si="20"/>
        <v>0.2273</v>
      </c>
      <c r="D361" s="28">
        <v>0.44</v>
      </c>
      <c r="E361" s="30" t="str">
        <f t="shared" si="21"/>
        <v>Acceptable</v>
      </c>
      <c r="F361" s="28">
        <v>0.25369999999999998</v>
      </c>
      <c r="G361" s="28">
        <v>23</v>
      </c>
      <c r="H361" s="28">
        <v>70</v>
      </c>
      <c r="I361" s="33">
        <v>93</v>
      </c>
      <c r="J361" s="20" t="str">
        <f t="shared" si="22"/>
        <v xml:space="preserve"> </v>
      </c>
      <c r="K361" s="20">
        <f t="shared" si="23"/>
        <v>0</v>
      </c>
    </row>
    <row r="362" spans="1:11" ht="15" thickBot="1" x14ac:dyDescent="0.35">
      <c r="A362" s="32">
        <v>361</v>
      </c>
      <c r="B362" s="28">
        <v>0.21210000000000001</v>
      </c>
      <c r="C362" s="29">
        <f t="shared" si="20"/>
        <v>0.21210000000000001</v>
      </c>
      <c r="D362" s="28">
        <v>0.41</v>
      </c>
      <c r="E362" s="30" t="str">
        <f t="shared" si="21"/>
        <v>Acceptable</v>
      </c>
      <c r="F362" s="28">
        <v>0.28360000000000002</v>
      </c>
      <c r="G362" s="28">
        <v>29</v>
      </c>
      <c r="H362" s="28">
        <v>75</v>
      </c>
      <c r="I362" s="33">
        <v>104</v>
      </c>
      <c r="J362" s="20" t="str">
        <f t="shared" si="22"/>
        <v xml:space="preserve"> </v>
      </c>
      <c r="K362" s="20">
        <f t="shared" si="23"/>
        <v>0</v>
      </c>
    </row>
    <row r="363" spans="1:11" ht="15" thickBot="1" x14ac:dyDescent="0.35">
      <c r="A363" s="32">
        <v>362</v>
      </c>
      <c r="B363" s="28">
        <v>0.2273</v>
      </c>
      <c r="C363" s="29">
        <f t="shared" si="20"/>
        <v>0.2273</v>
      </c>
      <c r="D363" s="28">
        <v>0.35</v>
      </c>
      <c r="E363" s="30" t="str">
        <f t="shared" si="21"/>
        <v>Acceptable</v>
      </c>
      <c r="F363" s="28">
        <v>0.29849999999999999</v>
      </c>
      <c r="G363" s="28">
        <v>23</v>
      </c>
      <c r="H363" s="28">
        <v>95</v>
      </c>
      <c r="I363" s="33">
        <v>118</v>
      </c>
      <c r="J363" s="20" t="str">
        <f t="shared" si="22"/>
        <v xml:space="preserve"> </v>
      </c>
      <c r="K363" s="20">
        <f t="shared" si="23"/>
        <v>0</v>
      </c>
    </row>
    <row r="364" spans="1:11" ht="15" thickBot="1" x14ac:dyDescent="0.35">
      <c r="A364" s="32">
        <v>363</v>
      </c>
      <c r="B364" s="28">
        <v>0.2727</v>
      </c>
      <c r="C364" s="29">
        <f t="shared" si="20"/>
        <v>0.2727</v>
      </c>
      <c r="D364" s="28">
        <v>0.36</v>
      </c>
      <c r="E364" s="30" t="str">
        <f t="shared" si="21"/>
        <v>Acceptable</v>
      </c>
      <c r="F364" s="28">
        <v>0.25369999999999998</v>
      </c>
      <c r="G364" s="28">
        <v>22</v>
      </c>
      <c r="H364" s="28">
        <v>69</v>
      </c>
      <c r="I364" s="33">
        <v>91</v>
      </c>
      <c r="J364" s="20" t="str">
        <f t="shared" si="22"/>
        <v xml:space="preserve"> </v>
      </c>
      <c r="K364" s="20">
        <f t="shared" si="23"/>
        <v>0</v>
      </c>
    </row>
    <row r="365" spans="1:11" ht="15" thickBot="1" x14ac:dyDescent="0.35">
      <c r="A365" s="32">
        <v>364</v>
      </c>
      <c r="B365" s="28">
        <v>0.2424</v>
      </c>
      <c r="C365" s="29">
        <f t="shared" si="20"/>
        <v>0.2424</v>
      </c>
      <c r="D365" s="28">
        <v>0.38</v>
      </c>
      <c r="E365" s="30" t="str">
        <f t="shared" si="21"/>
        <v>Acceptable</v>
      </c>
      <c r="F365" s="28">
        <v>0.25369999999999998</v>
      </c>
      <c r="G365" s="28">
        <v>35</v>
      </c>
      <c r="H365" s="28">
        <v>78</v>
      </c>
      <c r="I365" s="33">
        <v>113</v>
      </c>
      <c r="J365" s="20" t="str">
        <f t="shared" si="22"/>
        <v xml:space="preserve"> </v>
      </c>
      <c r="K365" s="20">
        <f t="shared" si="23"/>
        <v>0</v>
      </c>
    </row>
    <row r="366" spans="1:11" ht="15" thickBot="1" x14ac:dyDescent="0.35">
      <c r="A366" s="32">
        <v>365</v>
      </c>
      <c r="B366" s="28">
        <v>0.2273</v>
      </c>
      <c r="C366" s="29">
        <f t="shared" si="20"/>
        <v>0.2273</v>
      </c>
      <c r="D366" s="28">
        <v>0.38</v>
      </c>
      <c r="E366" s="30" t="str">
        <f t="shared" si="21"/>
        <v>Acceptable</v>
      </c>
      <c r="F366" s="28">
        <v>0.22389999999999999</v>
      </c>
      <c r="G366" s="28">
        <v>22</v>
      </c>
      <c r="H366" s="28">
        <v>77</v>
      </c>
      <c r="I366" s="33">
        <v>99</v>
      </c>
      <c r="J366" s="20" t="str">
        <f t="shared" si="22"/>
        <v xml:space="preserve"> </v>
      </c>
      <c r="K366" s="20">
        <f t="shared" si="23"/>
        <v>0</v>
      </c>
    </row>
    <row r="367" spans="1:11" ht="15" thickBot="1" x14ac:dyDescent="0.35">
      <c r="A367" s="32">
        <v>366</v>
      </c>
      <c r="B367" s="28">
        <v>0.21210000000000001</v>
      </c>
      <c r="C367" s="29">
        <f t="shared" si="20"/>
        <v>0.21210000000000001</v>
      </c>
      <c r="D367" s="28">
        <v>0.37</v>
      </c>
      <c r="E367" s="30" t="str">
        <f t="shared" si="21"/>
        <v>Acceptable</v>
      </c>
      <c r="F367" s="28">
        <v>0.25369999999999998</v>
      </c>
      <c r="G367" s="28">
        <v>23</v>
      </c>
      <c r="H367" s="28">
        <v>82</v>
      </c>
      <c r="I367" s="33">
        <v>105</v>
      </c>
      <c r="J367" s="20" t="str">
        <f t="shared" si="22"/>
        <v xml:space="preserve"> </v>
      </c>
      <c r="K367" s="20">
        <f t="shared" si="23"/>
        <v>0</v>
      </c>
    </row>
    <row r="368" spans="1:11" ht="15" thickBot="1" x14ac:dyDescent="0.35">
      <c r="A368" s="32">
        <v>367</v>
      </c>
      <c r="B368" s="28">
        <v>0.21210000000000001</v>
      </c>
      <c r="C368" s="29">
        <f t="shared" si="20"/>
        <v>0.21210000000000001</v>
      </c>
      <c r="D368" s="28">
        <v>0.4</v>
      </c>
      <c r="E368" s="30" t="str">
        <f t="shared" si="21"/>
        <v>Acceptable</v>
      </c>
      <c r="F368" s="28">
        <v>0.16420000000000001</v>
      </c>
      <c r="G368" s="28">
        <v>11</v>
      </c>
      <c r="H368" s="28">
        <v>56</v>
      </c>
      <c r="I368" s="33">
        <v>67</v>
      </c>
      <c r="J368" s="20" t="str">
        <f t="shared" si="22"/>
        <v xml:space="preserve"> </v>
      </c>
      <c r="K368" s="20">
        <f t="shared" si="23"/>
        <v>0</v>
      </c>
    </row>
    <row r="369" spans="1:11" ht="15" thickBot="1" x14ac:dyDescent="0.35">
      <c r="A369" s="32">
        <v>368</v>
      </c>
      <c r="B369" s="28">
        <v>0.19700000000000001</v>
      </c>
      <c r="C369" s="29">
        <f t="shared" si="20"/>
        <v>0.19700000000000001</v>
      </c>
      <c r="D369" s="28">
        <v>0.47</v>
      </c>
      <c r="E369" s="30" t="str">
        <f t="shared" si="21"/>
        <v>Acceptable</v>
      </c>
      <c r="F369" s="28">
        <v>0.1343</v>
      </c>
      <c r="G369" s="28">
        <v>14</v>
      </c>
      <c r="H369" s="28">
        <v>47</v>
      </c>
      <c r="I369" s="33">
        <v>61</v>
      </c>
      <c r="J369" s="20" t="str">
        <f t="shared" si="22"/>
        <v xml:space="preserve"> </v>
      </c>
      <c r="K369" s="20">
        <f t="shared" si="23"/>
        <v>0</v>
      </c>
    </row>
    <row r="370" spans="1:11" ht="15" thickBot="1" x14ac:dyDescent="0.35">
      <c r="A370" s="32">
        <v>369</v>
      </c>
      <c r="B370" s="28">
        <v>0.19700000000000001</v>
      </c>
      <c r="C370" s="29">
        <f t="shared" si="20"/>
        <v>0.19700000000000001</v>
      </c>
      <c r="D370" s="28">
        <v>0.47</v>
      </c>
      <c r="E370" s="30" t="str">
        <f t="shared" si="21"/>
        <v>Acceptable</v>
      </c>
      <c r="F370" s="28">
        <v>0.16420000000000001</v>
      </c>
      <c r="G370" s="28">
        <v>7</v>
      </c>
      <c r="H370" s="28">
        <v>50</v>
      </c>
      <c r="I370" s="33">
        <v>57</v>
      </c>
      <c r="J370" s="20" t="str">
        <f t="shared" si="22"/>
        <v xml:space="preserve"> </v>
      </c>
      <c r="K370" s="20">
        <f t="shared" si="23"/>
        <v>0</v>
      </c>
    </row>
    <row r="371" spans="1:11" ht="15" thickBot="1" x14ac:dyDescent="0.35">
      <c r="A371" s="32">
        <v>370</v>
      </c>
      <c r="B371" s="28">
        <v>0.19700000000000001</v>
      </c>
      <c r="C371" s="29">
        <f t="shared" si="20"/>
        <v>0.19700000000000001</v>
      </c>
      <c r="D371" s="28">
        <v>0.51</v>
      </c>
      <c r="E371" s="30" t="str">
        <f t="shared" si="21"/>
        <v>Acceptable</v>
      </c>
      <c r="F371" s="28">
        <v>0.16420000000000001</v>
      </c>
      <c r="G371" s="28">
        <v>6</v>
      </c>
      <c r="H371" s="28">
        <v>22</v>
      </c>
      <c r="I371" s="33">
        <v>28</v>
      </c>
      <c r="J371" s="20" t="str">
        <f t="shared" si="22"/>
        <v xml:space="preserve"> </v>
      </c>
      <c r="K371" s="20">
        <f t="shared" si="23"/>
        <v>0</v>
      </c>
    </row>
    <row r="372" spans="1:11" ht="15" thickBot="1" x14ac:dyDescent="0.35">
      <c r="A372" s="32">
        <v>371</v>
      </c>
      <c r="B372" s="28">
        <v>0.21210000000000001</v>
      </c>
      <c r="C372" s="29">
        <f t="shared" si="20"/>
        <v>0.21210000000000001</v>
      </c>
      <c r="D372" s="28">
        <v>0.49</v>
      </c>
      <c r="E372" s="30" t="str">
        <f t="shared" si="21"/>
        <v>Acceptable</v>
      </c>
      <c r="F372" s="28">
        <v>0.1343</v>
      </c>
      <c r="G372" s="28">
        <v>2</v>
      </c>
      <c r="H372" s="28">
        <v>19</v>
      </c>
      <c r="I372" s="33">
        <v>21</v>
      </c>
      <c r="J372" s="20" t="str">
        <f t="shared" si="22"/>
        <v xml:space="preserve"> </v>
      </c>
      <c r="K372" s="20">
        <f t="shared" si="23"/>
        <v>0</v>
      </c>
    </row>
    <row r="373" spans="1:11" ht="15" thickBot="1" x14ac:dyDescent="0.35">
      <c r="A373" s="32">
        <v>372</v>
      </c>
      <c r="B373" s="28">
        <v>0.2273</v>
      </c>
      <c r="C373" s="29">
        <f t="shared" si="20"/>
        <v>0.2273</v>
      </c>
      <c r="D373" s="28">
        <v>0.4</v>
      </c>
      <c r="E373" s="30" t="str">
        <f t="shared" si="21"/>
        <v>Acceptable</v>
      </c>
      <c r="F373" s="28">
        <v>0.1045</v>
      </c>
      <c r="G373" s="28">
        <v>0</v>
      </c>
      <c r="H373" s="28">
        <v>18</v>
      </c>
      <c r="I373" s="33">
        <v>18</v>
      </c>
      <c r="J373" s="20" t="str">
        <f t="shared" si="22"/>
        <v xml:space="preserve"> </v>
      </c>
      <c r="K373" s="20">
        <f t="shared" si="23"/>
        <v>0</v>
      </c>
    </row>
    <row r="374" spans="1:11" ht="15" thickBot="1" x14ac:dyDescent="0.35">
      <c r="A374" s="32">
        <v>373</v>
      </c>
      <c r="B374" s="28">
        <v>0.19700000000000001</v>
      </c>
      <c r="C374" s="29">
        <f t="shared" si="20"/>
        <v>0.19700000000000001</v>
      </c>
      <c r="D374" s="28">
        <v>0.47</v>
      </c>
      <c r="E374" s="30" t="str">
        <f t="shared" si="21"/>
        <v>Acceptable</v>
      </c>
      <c r="F374" s="28">
        <v>0.22389999999999999</v>
      </c>
      <c r="G374" s="28">
        <v>1</v>
      </c>
      <c r="H374" s="28">
        <v>16</v>
      </c>
      <c r="I374" s="33">
        <v>17</v>
      </c>
      <c r="J374" s="20" t="str">
        <f t="shared" si="22"/>
        <v xml:space="preserve"> </v>
      </c>
      <c r="K374" s="20">
        <f t="shared" si="23"/>
        <v>0</v>
      </c>
    </row>
    <row r="375" spans="1:11" ht="15" thickBot="1" x14ac:dyDescent="0.35">
      <c r="A375" s="32">
        <v>374</v>
      </c>
      <c r="B375" s="28">
        <v>0.19700000000000001</v>
      </c>
      <c r="C375" s="29">
        <f t="shared" si="20"/>
        <v>0.19700000000000001</v>
      </c>
      <c r="D375" s="28">
        <v>0.44</v>
      </c>
      <c r="E375" s="30" t="str">
        <f t="shared" si="21"/>
        <v>Acceptable</v>
      </c>
      <c r="F375" s="28">
        <v>0.19400000000000001</v>
      </c>
      <c r="G375" s="28">
        <v>1</v>
      </c>
      <c r="H375" s="28">
        <v>15</v>
      </c>
      <c r="I375" s="33">
        <v>16</v>
      </c>
      <c r="J375" s="20" t="str">
        <f t="shared" si="22"/>
        <v xml:space="preserve"> </v>
      </c>
      <c r="K375" s="20">
        <f t="shared" si="23"/>
        <v>0</v>
      </c>
    </row>
    <row r="376" spans="1:11" ht="15" thickBot="1" x14ac:dyDescent="0.35">
      <c r="A376" s="32">
        <v>375</v>
      </c>
      <c r="B376" s="28">
        <v>0.16669999999999999</v>
      </c>
      <c r="C376" s="29">
        <f t="shared" si="20"/>
        <v>0.16669999999999999</v>
      </c>
      <c r="D376" s="28">
        <v>0.43</v>
      </c>
      <c r="E376" s="30" t="str">
        <f t="shared" si="21"/>
        <v>Acceptable</v>
      </c>
      <c r="F376" s="28">
        <v>0.25369999999999998</v>
      </c>
      <c r="G376" s="28">
        <v>0</v>
      </c>
      <c r="H376" s="28">
        <v>8</v>
      </c>
      <c r="I376" s="33">
        <v>8</v>
      </c>
      <c r="J376" s="20" t="str">
        <f t="shared" si="22"/>
        <v xml:space="preserve"> </v>
      </c>
      <c r="K376" s="20">
        <f t="shared" si="23"/>
        <v>0</v>
      </c>
    </row>
    <row r="377" spans="1:11" ht="15" thickBot="1" x14ac:dyDescent="0.35">
      <c r="A377" s="32">
        <v>376</v>
      </c>
      <c r="B377" s="28">
        <v>0.18179999999999999</v>
      </c>
      <c r="C377" s="29">
        <f t="shared" si="20"/>
        <v>0.18179999999999999</v>
      </c>
      <c r="D377" s="28">
        <v>0.43</v>
      </c>
      <c r="E377" s="30" t="str">
        <f t="shared" si="21"/>
        <v>Acceptable</v>
      </c>
      <c r="F377" s="28">
        <v>0.19400000000000001</v>
      </c>
      <c r="G377" s="28">
        <v>0</v>
      </c>
      <c r="H377" s="28">
        <v>2</v>
      </c>
      <c r="I377" s="33">
        <v>2</v>
      </c>
      <c r="J377" s="20" t="str">
        <f t="shared" si="22"/>
        <v xml:space="preserve"> </v>
      </c>
      <c r="K377" s="20">
        <f t="shared" si="23"/>
        <v>0</v>
      </c>
    </row>
    <row r="378" spans="1:11" ht="15" thickBot="1" x14ac:dyDescent="0.35">
      <c r="A378" s="32">
        <v>377</v>
      </c>
      <c r="B378" s="28">
        <v>0.19700000000000001</v>
      </c>
      <c r="C378" s="29">
        <f t="shared" si="20"/>
        <v>0.19700000000000001</v>
      </c>
      <c r="D378" s="28">
        <v>0.43</v>
      </c>
      <c r="E378" s="30" t="str">
        <f t="shared" si="21"/>
        <v>Acceptable</v>
      </c>
      <c r="F378" s="28">
        <v>0.1343</v>
      </c>
      <c r="G378" s="28">
        <v>1</v>
      </c>
      <c r="H378" s="28">
        <v>2</v>
      </c>
      <c r="I378" s="33">
        <v>3</v>
      </c>
      <c r="J378" s="20" t="str">
        <f t="shared" si="22"/>
        <v xml:space="preserve"> </v>
      </c>
      <c r="K378" s="20">
        <f t="shared" si="23"/>
        <v>0</v>
      </c>
    </row>
    <row r="379" spans="1:11" ht="15" thickBot="1" x14ac:dyDescent="0.35">
      <c r="A379" s="32">
        <v>378</v>
      </c>
      <c r="B379" s="28">
        <v>0.19700000000000001</v>
      </c>
      <c r="C379" s="29">
        <f t="shared" si="20"/>
        <v>0.19700000000000001</v>
      </c>
      <c r="D379" s="28">
        <v>0.43</v>
      </c>
      <c r="E379" s="30" t="str">
        <f t="shared" si="21"/>
        <v>Acceptable</v>
      </c>
      <c r="F379" s="28">
        <v>0.16420000000000001</v>
      </c>
      <c r="G379" s="28">
        <v>0</v>
      </c>
      <c r="H379" s="28">
        <v>1</v>
      </c>
      <c r="I379" s="33">
        <v>1</v>
      </c>
      <c r="J379" s="20" t="str">
        <f t="shared" si="22"/>
        <v xml:space="preserve"> </v>
      </c>
      <c r="K379" s="20">
        <f t="shared" si="23"/>
        <v>0</v>
      </c>
    </row>
    <row r="380" spans="1:11" ht="15" thickBot="1" x14ac:dyDescent="0.35">
      <c r="A380" s="32">
        <v>379</v>
      </c>
      <c r="B380" s="28">
        <v>0.18179999999999999</v>
      </c>
      <c r="C380" s="29">
        <f t="shared" si="20"/>
        <v>0.18179999999999999</v>
      </c>
      <c r="D380" s="28">
        <v>0.43</v>
      </c>
      <c r="E380" s="30" t="str">
        <f t="shared" si="21"/>
        <v>Acceptable</v>
      </c>
      <c r="F380" s="28">
        <v>0.19400000000000001</v>
      </c>
      <c r="G380" s="28">
        <v>0</v>
      </c>
      <c r="H380" s="28">
        <v>5</v>
      </c>
      <c r="I380" s="33">
        <v>5</v>
      </c>
      <c r="J380" s="20" t="str">
        <f t="shared" si="22"/>
        <v xml:space="preserve"> </v>
      </c>
      <c r="K380" s="20">
        <f t="shared" si="23"/>
        <v>0</v>
      </c>
    </row>
    <row r="381" spans="1:11" ht="15" thickBot="1" x14ac:dyDescent="0.35">
      <c r="A381" s="32">
        <v>380</v>
      </c>
      <c r="B381" s="28">
        <v>0.18179999999999999</v>
      </c>
      <c r="C381" s="29">
        <f t="shared" si="20"/>
        <v>0.18179999999999999</v>
      </c>
      <c r="D381" s="28">
        <v>0.5</v>
      </c>
      <c r="E381" s="30" t="str">
        <f t="shared" si="21"/>
        <v>Acceptable</v>
      </c>
      <c r="F381" s="28">
        <v>0.1343</v>
      </c>
      <c r="G381" s="28">
        <v>4</v>
      </c>
      <c r="H381" s="28">
        <v>9</v>
      </c>
      <c r="I381" s="33">
        <v>13</v>
      </c>
      <c r="J381" s="20" t="str">
        <f t="shared" si="22"/>
        <v xml:space="preserve"> </v>
      </c>
      <c r="K381" s="20">
        <f t="shared" si="23"/>
        <v>0</v>
      </c>
    </row>
    <row r="382" spans="1:11" ht="15" thickBot="1" x14ac:dyDescent="0.35">
      <c r="A382" s="32">
        <v>381</v>
      </c>
      <c r="B382" s="28">
        <v>0.1515</v>
      </c>
      <c r="C382" s="29">
        <f t="shared" si="20"/>
        <v>0.1515</v>
      </c>
      <c r="D382" s="28">
        <v>0.47</v>
      </c>
      <c r="E382" s="30" t="str">
        <f t="shared" si="21"/>
        <v>Acceptable</v>
      </c>
      <c r="F382" s="28">
        <v>0.22389999999999999</v>
      </c>
      <c r="G382" s="28">
        <v>3</v>
      </c>
      <c r="H382" s="28">
        <v>30</v>
      </c>
      <c r="I382" s="33">
        <v>33</v>
      </c>
      <c r="J382" s="20" t="str">
        <f t="shared" si="22"/>
        <v xml:space="preserve"> </v>
      </c>
      <c r="K382" s="20">
        <f t="shared" si="23"/>
        <v>0</v>
      </c>
    </row>
    <row r="383" spans="1:11" ht="15" thickBot="1" x14ac:dyDescent="0.35">
      <c r="A383" s="32">
        <v>382</v>
      </c>
      <c r="B383" s="28">
        <v>0.1515</v>
      </c>
      <c r="C383" s="29">
        <f t="shared" si="20"/>
        <v>0.1515</v>
      </c>
      <c r="D383" s="28">
        <v>0.47</v>
      </c>
      <c r="E383" s="30" t="str">
        <f t="shared" si="21"/>
        <v>Acceptable</v>
      </c>
      <c r="F383" s="28">
        <v>0.22389999999999999</v>
      </c>
      <c r="G383" s="28">
        <v>8</v>
      </c>
      <c r="H383" s="28">
        <v>39</v>
      </c>
      <c r="I383" s="33">
        <v>47</v>
      </c>
      <c r="J383" s="20" t="str">
        <f t="shared" si="22"/>
        <v xml:space="preserve"> </v>
      </c>
      <c r="K383" s="20">
        <f t="shared" si="23"/>
        <v>0</v>
      </c>
    </row>
    <row r="384" spans="1:11" ht="15" thickBot="1" x14ac:dyDescent="0.35">
      <c r="A384" s="32">
        <v>383</v>
      </c>
      <c r="B384" s="28">
        <v>0.1515</v>
      </c>
      <c r="C384" s="29">
        <f t="shared" si="20"/>
        <v>0.1515</v>
      </c>
      <c r="D384" s="28">
        <v>0.5</v>
      </c>
      <c r="E384" s="30" t="str">
        <f t="shared" si="21"/>
        <v>Acceptable</v>
      </c>
      <c r="F384" s="28">
        <v>0.25369999999999998</v>
      </c>
      <c r="G384" s="28">
        <v>7</v>
      </c>
      <c r="H384" s="28">
        <v>50</v>
      </c>
      <c r="I384" s="33">
        <v>57</v>
      </c>
      <c r="J384" s="20" t="str">
        <f t="shared" si="22"/>
        <v xml:space="preserve"> </v>
      </c>
      <c r="K384" s="20">
        <f t="shared" si="23"/>
        <v>0</v>
      </c>
    </row>
    <row r="385" spans="1:11" ht="15" thickBot="1" x14ac:dyDescent="0.35">
      <c r="A385" s="32">
        <v>384</v>
      </c>
      <c r="B385" s="28">
        <v>0.1515</v>
      </c>
      <c r="C385" s="29">
        <f t="shared" si="20"/>
        <v>0.1515</v>
      </c>
      <c r="D385" s="28">
        <v>0.55000000000000004</v>
      </c>
      <c r="E385" s="30" t="str">
        <f t="shared" si="21"/>
        <v>Acceptable</v>
      </c>
      <c r="F385" s="28">
        <v>0.19400000000000001</v>
      </c>
      <c r="G385" s="28">
        <v>9</v>
      </c>
      <c r="H385" s="28">
        <v>55</v>
      </c>
      <c r="I385" s="33">
        <v>64</v>
      </c>
      <c r="J385" s="20" t="str">
        <f t="shared" si="22"/>
        <v xml:space="preserve"> </v>
      </c>
      <c r="K385" s="20">
        <f t="shared" si="23"/>
        <v>0</v>
      </c>
    </row>
    <row r="386" spans="1:11" ht="15" thickBot="1" x14ac:dyDescent="0.35">
      <c r="A386" s="32">
        <v>385</v>
      </c>
      <c r="B386" s="28">
        <v>0.19700000000000001</v>
      </c>
      <c r="C386" s="29">
        <f t="shared" si="20"/>
        <v>0.19700000000000001</v>
      </c>
      <c r="D386" s="28">
        <v>0.47</v>
      </c>
      <c r="E386" s="30" t="str">
        <f t="shared" si="21"/>
        <v>Acceptable</v>
      </c>
      <c r="F386" s="28">
        <v>0.1343</v>
      </c>
      <c r="G386" s="28">
        <v>10</v>
      </c>
      <c r="H386" s="28">
        <v>70</v>
      </c>
      <c r="I386" s="33">
        <v>80</v>
      </c>
      <c r="J386" s="20" t="str">
        <f t="shared" si="22"/>
        <v xml:space="preserve"> </v>
      </c>
      <c r="K386" s="20">
        <f t="shared" si="23"/>
        <v>0</v>
      </c>
    </row>
    <row r="387" spans="1:11" ht="15" thickBot="1" x14ac:dyDescent="0.35">
      <c r="A387" s="32">
        <v>386</v>
      </c>
      <c r="B387" s="28">
        <v>0.19700000000000001</v>
      </c>
      <c r="C387" s="29">
        <f t="shared" ref="C387:C450" si="24">IF(ISBLANK(B387),AVERAGE(B387:B996),B387)</f>
        <v>0.19700000000000001</v>
      </c>
      <c r="D387" s="28">
        <v>0.47</v>
      </c>
      <c r="E387" s="30" t="str">
        <f t="shared" ref="E387:E450" si="25">IF(D387&lt;0.7,"Acceptable","Risky")</f>
        <v>Acceptable</v>
      </c>
      <c r="F387" s="28">
        <v>0.1343</v>
      </c>
      <c r="G387" s="28">
        <v>13</v>
      </c>
      <c r="H387" s="28">
        <v>80</v>
      </c>
      <c r="I387" s="33">
        <v>93</v>
      </c>
      <c r="J387" s="20" t="str">
        <f t="shared" ref="J387:J450" si="26">IF(G387+H387=I387," ","Not same")</f>
        <v xml:space="preserve"> </v>
      </c>
      <c r="K387" s="20">
        <f t="shared" ref="K387:K450" si="27">COUNTBLANK(A387:J387)</f>
        <v>0</v>
      </c>
    </row>
    <row r="388" spans="1:11" ht="15" thickBot="1" x14ac:dyDescent="0.35">
      <c r="A388" s="32">
        <v>387</v>
      </c>
      <c r="B388" s="28">
        <v>0.21210000000000001</v>
      </c>
      <c r="C388" s="29">
        <f t="shared" si="24"/>
        <v>0.21210000000000001</v>
      </c>
      <c r="D388" s="28">
        <v>0.43</v>
      </c>
      <c r="E388" s="30" t="str">
        <f t="shared" si="25"/>
        <v>Acceptable</v>
      </c>
      <c r="F388" s="28">
        <v>0.1045</v>
      </c>
      <c r="G388" s="28">
        <v>12</v>
      </c>
      <c r="H388" s="28">
        <v>74</v>
      </c>
      <c r="I388" s="33">
        <v>86</v>
      </c>
      <c r="J388" s="20" t="str">
        <f t="shared" si="26"/>
        <v xml:space="preserve"> </v>
      </c>
      <c r="K388" s="20">
        <f t="shared" si="27"/>
        <v>0</v>
      </c>
    </row>
    <row r="389" spans="1:11" ht="15" thickBot="1" x14ac:dyDescent="0.35">
      <c r="A389" s="32">
        <v>388</v>
      </c>
      <c r="B389" s="28">
        <v>0.21210000000000001</v>
      </c>
      <c r="C389" s="29">
        <f t="shared" si="24"/>
        <v>0.21210000000000001</v>
      </c>
      <c r="D389" s="28">
        <v>0.47</v>
      </c>
      <c r="E389" s="30" t="str">
        <f t="shared" si="25"/>
        <v>Acceptable</v>
      </c>
      <c r="F389" s="28">
        <v>0.16420000000000001</v>
      </c>
      <c r="G389" s="28">
        <v>21</v>
      </c>
      <c r="H389" s="28">
        <v>72</v>
      </c>
      <c r="I389" s="33">
        <v>93</v>
      </c>
      <c r="J389" s="20" t="str">
        <f t="shared" si="26"/>
        <v xml:space="preserve"> </v>
      </c>
      <c r="K389" s="20">
        <f t="shared" si="27"/>
        <v>0</v>
      </c>
    </row>
    <row r="390" spans="1:11" ht="15" thickBot="1" x14ac:dyDescent="0.35">
      <c r="A390" s="32">
        <v>389</v>
      </c>
      <c r="B390" s="28">
        <v>0.21210000000000001</v>
      </c>
      <c r="C390" s="29">
        <f t="shared" si="24"/>
        <v>0.21210000000000001</v>
      </c>
      <c r="D390" s="28">
        <v>0.47</v>
      </c>
      <c r="E390" s="30" t="str">
        <f t="shared" si="25"/>
        <v>Acceptable</v>
      </c>
      <c r="F390" s="28">
        <v>0.16420000000000001</v>
      </c>
      <c r="G390" s="28">
        <v>6</v>
      </c>
      <c r="H390" s="28">
        <v>76</v>
      </c>
      <c r="I390" s="33">
        <v>82</v>
      </c>
      <c r="J390" s="20" t="str">
        <f t="shared" si="26"/>
        <v xml:space="preserve"> </v>
      </c>
      <c r="K390" s="20">
        <f t="shared" si="27"/>
        <v>0</v>
      </c>
    </row>
    <row r="391" spans="1:11" ht="15" thickBot="1" x14ac:dyDescent="0.35">
      <c r="A391" s="32">
        <v>390</v>
      </c>
      <c r="B391" s="28">
        <v>0.19700000000000001</v>
      </c>
      <c r="C391" s="29">
        <f t="shared" si="24"/>
        <v>0.19700000000000001</v>
      </c>
      <c r="D391" s="28">
        <v>0.51</v>
      </c>
      <c r="E391" s="30" t="str">
        <f t="shared" si="25"/>
        <v>Acceptable</v>
      </c>
      <c r="F391" s="28">
        <v>0.19400000000000001</v>
      </c>
      <c r="G391" s="28">
        <v>4</v>
      </c>
      <c r="H391" s="28">
        <v>67</v>
      </c>
      <c r="I391" s="33">
        <v>71</v>
      </c>
      <c r="J391" s="20" t="str">
        <f t="shared" si="26"/>
        <v xml:space="preserve"> </v>
      </c>
      <c r="K391" s="20">
        <f t="shared" si="27"/>
        <v>0</v>
      </c>
    </row>
    <row r="392" spans="1:11" ht="15" thickBot="1" x14ac:dyDescent="0.35">
      <c r="A392" s="32">
        <v>391</v>
      </c>
      <c r="B392" s="28">
        <v>0.16669999999999999</v>
      </c>
      <c r="C392" s="29">
        <f t="shared" si="24"/>
        <v>0.16669999999999999</v>
      </c>
      <c r="D392" s="28">
        <v>0.55000000000000004</v>
      </c>
      <c r="E392" s="30" t="str">
        <f t="shared" si="25"/>
        <v>Acceptable</v>
      </c>
      <c r="F392" s="28">
        <v>0.25369999999999998</v>
      </c>
      <c r="G392" s="28">
        <v>7</v>
      </c>
      <c r="H392" s="28">
        <v>85</v>
      </c>
      <c r="I392" s="33">
        <v>92</v>
      </c>
      <c r="J392" s="20" t="str">
        <f t="shared" si="26"/>
        <v xml:space="preserve"> </v>
      </c>
      <c r="K392" s="20">
        <f t="shared" si="27"/>
        <v>0</v>
      </c>
    </row>
    <row r="393" spans="1:11" ht="15" thickBot="1" x14ac:dyDescent="0.35">
      <c r="A393" s="32">
        <v>392</v>
      </c>
      <c r="B393" s="28">
        <v>0.18179999999999999</v>
      </c>
      <c r="C393" s="29">
        <f t="shared" si="24"/>
        <v>0.18179999999999999</v>
      </c>
      <c r="D393" s="28">
        <v>0.59</v>
      </c>
      <c r="E393" s="30" t="str">
        <f t="shared" si="25"/>
        <v>Acceptable</v>
      </c>
      <c r="F393" s="28">
        <v>0.19400000000000001</v>
      </c>
      <c r="G393" s="28">
        <v>2</v>
      </c>
      <c r="H393" s="28">
        <v>58</v>
      </c>
      <c r="I393" s="33">
        <v>60</v>
      </c>
      <c r="J393" s="20" t="str">
        <f t="shared" si="26"/>
        <v xml:space="preserve"> </v>
      </c>
      <c r="K393" s="20">
        <f t="shared" si="27"/>
        <v>0</v>
      </c>
    </row>
    <row r="394" spans="1:11" ht="15" thickBot="1" x14ac:dyDescent="0.35">
      <c r="A394" s="32">
        <v>393</v>
      </c>
      <c r="B394" s="28">
        <v>0.1515</v>
      </c>
      <c r="C394" s="29">
        <f t="shared" si="24"/>
        <v>0.1515</v>
      </c>
      <c r="D394" s="28">
        <v>0.8</v>
      </c>
      <c r="E394" s="30" t="str">
        <f t="shared" si="25"/>
        <v>Risky</v>
      </c>
      <c r="F394" s="28">
        <v>0.19400000000000001</v>
      </c>
      <c r="G394" s="28">
        <v>4</v>
      </c>
      <c r="H394" s="28">
        <v>29</v>
      </c>
      <c r="I394" s="33">
        <v>33</v>
      </c>
      <c r="J394" s="20" t="str">
        <f t="shared" si="26"/>
        <v xml:space="preserve"> </v>
      </c>
      <c r="K394" s="20">
        <f t="shared" si="27"/>
        <v>0</v>
      </c>
    </row>
    <row r="395" spans="1:11" ht="15" thickBot="1" x14ac:dyDescent="0.35">
      <c r="A395" s="32">
        <v>394</v>
      </c>
      <c r="B395" s="28">
        <v>0.1515</v>
      </c>
      <c r="C395" s="29">
        <f t="shared" si="24"/>
        <v>0.1515</v>
      </c>
      <c r="D395" s="28">
        <v>0.8</v>
      </c>
      <c r="E395" s="30" t="str">
        <f t="shared" si="25"/>
        <v>Risky</v>
      </c>
      <c r="F395" s="28">
        <v>0.19400000000000001</v>
      </c>
      <c r="G395" s="28">
        <v>3</v>
      </c>
      <c r="H395" s="28">
        <v>24</v>
      </c>
      <c r="I395" s="33">
        <v>27</v>
      </c>
      <c r="J395" s="20" t="str">
        <f t="shared" si="26"/>
        <v xml:space="preserve"> </v>
      </c>
      <c r="K395" s="20">
        <f t="shared" si="27"/>
        <v>0</v>
      </c>
    </row>
    <row r="396" spans="1:11" ht="15" thickBot="1" x14ac:dyDescent="0.35">
      <c r="A396" s="32">
        <v>395</v>
      </c>
      <c r="B396" s="28">
        <v>0.1212</v>
      </c>
      <c r="C396" s="29">
        <f t="shared" si="24"/>
        <v>0.1212</v>
      </c>
      <c r="D396" s="28">
        <v>0.93</v>
      </c>
      <c r="E396" s="30" t="str">
        <f t="shared" si="25"/>
        <v>Risky</v>
      </c>
      <c r="F396" s="28">
        <v>0.25369999999999998</v>
      </c>
      <c r="G396" s="28">
        <v>0</v>
      </c>
      <c r="H396" s="28">
        <v>13</v>
      </c>
      <c r="I396" s="33">
        <v>13</v>
      </c>
      <c r="J396" s="20" t="str">
        <f t="shared" si="26"/>
        <v xml:space="preserve"> </v>
      </c>
      <c r="K396" s="20">
        <f t="shared" si="27"/>
        <v>0</v>
      </c>
    </row>
    <row r="397" spans="1:11" ht="15" thickBot="1" x14ac:dyDescent="0.35">
      <c r="A397" s="32">
        <v>396</v>
      </c>
      <c r="B397" s="28">
        <v>0.13639999999999999</v>
      </c>
      <c r="C397" s="29">
        <f t="shared" si="24"/>
        <v>0.13639999999999999</v>
      </c>
      <c r="D397" s="28">
        <v>0.86</v>
      </c>
      <c r="E397" s="30" t="str">
        <f t="shared" si="25"/>
        <v>Risky</v>
      </c>
      <c r="F397" s="28">
        <v>0.28360000000000002</v>
      </c>
      <c r="G397" s="28">
        <v>1</v>
      </c>
      <c r="H397" s="28">
        <v>3</v>
      </c>
      <c r="I397" s="33">
        <v>4</v>
      </c>
      <c r="J397" s="20" t="str">
        <f t="shared" si="26"/>
        <v xml:space="preserve"> </v>
      </c>
      <c r="K397" s="20">
        <f t="shared" si="27"/>
        <v>0</v>
      </c>
    </row>
    <row r="398" spans="1:11" ht="15" thickBot="1" x14ac:dyDescent="0.35">
      <c r="A398" s="32">
        <v>397</v>
      </c>
      <c r="B398" s="28">
        <v>0.18179999999999999</v>
      </c>
      <c r="C398" s="29">
        <f t="shared" si="24"/>
        <v>0.18179999999999999</v>
      </c>
      <c r="D398" s="28">
        <v>0.86</v>
      </c>
      <c r="E398" s="30" t="str">
        <f t="shared" si="25"/>
        <v>Risky</v>
      </c>
      <c r="F398" s="28">
        <v>0.32840000000000003</v>
      </c>
      <c r="G398" s="28">
        <v>0</v>
      </c>
      <c r="H398" s="28">
        <v>3</v>
      </c>
      <c r="I398" s="33">
        <v>3</v>
      </c>
      <c r="J398" s="20" t="str">
        <f t="shared" si="26"/>
        <v xml:space="preserve"> </v>
      </c>
      <c r="K398" s="20">
        <f t="shared" si="27"/>
        <v>0</v>
      </c>
    </row>
    <row r="399" spans="1:11" ht="15" thickBot="1" x14ac:dyDescent="0.35">
      <c r="A399" s="32">
        <v>398</v>
      </c>
      <c r="B399" s="28">
        <v>0.19700000000000001</v>
      </c>
      <c r="C399" s="29">
        <f t="shared" si="24"/>
        <v>0.19700000000000001</v>
      </c>
      <c r="D399" s="28">
        <v>0.86</v>
      </c>
      <c r="E399" s="30" t="str">
        <f t="shared" si="25"/>
        <v>Risky</v>
      </c>
      <c r="F399" s="28">
        <v>0.22389999999999999</v>
      </c>
      <c r="G399" s="28">
        <v>0</v>
      </c>
      <c r="H399" s="28">
        <v>22</v>
      </c>
      <c r="I399" s="33">
        <v>22</v>
      </c>
      <c r="J399" s="20" t="str">
        <f t="shared" si="26"/>
        <v xml:space="preserve"> </v>
      </c>
      <c r="K399" s="20">
        <f t="shared" si="27"/>
        <v>0</v>
      </c>
    </row>
    <row r="400" spans="1:11" ht="15" thickBot="1" x14ac:dyDescent="0.35">
      <c r="A400" s="32">
        <v>399</v>
      </c>
      <c r="B400" s="28">
        <v>0.2273</v>
      </c>
      <c r="C400" s="29">
        <f t="shared" si="24"/>
        <v>0.2273</v>
      </c>
      <c r="D400" s="28">
        <v>0.8</v>
      </c>
      <c r="E400" s="30" t="str">
        <f t="shared" si="25"/>
        <v>Risky</v>
      </c>
      <c r="F400" s="28">
        <v>0.16420000000000001</v>
      </c>
      <c r="G400" s="28">
        <v>2</v>
      </c>
      <c r="H400" s="28">
        <v>26</v>
      </c>
      <c r="I400" s="33">
        <v>28</v>
      </c>
      <c r="J400" s="20" t="str">
        <f t="shared" si="26"/>
        <v xml:space="preserve"> </v>
      </c>
      <c r="K400" s="20">
        <f t="shared" si="27"/>
        <v>0</v>
      </c>
    </row>
    <row r="401" spans="1:11" ht="15" thickBot="1" x14ac:dyDescent="0.35">
      <c r="A401" s="32">
        <v>400</v>
      </c>
      <c r="B401" s="28">
        <v>0.2273</v>
      </c>
      <c r="C401" s="29">
        <f t="shared" si="24"/>
        <v>0.2273</v>
      </c>
      <c r="D401" s="28">
        <v>0.87</v>
      </c>
      <c r="E401" s="30" t="str">
        <f t="shared" si="25"/>
        <v>Risky</v>
      </c>
      <c r="F401" s="28">
        <v>0.16420000000000001</v>
      </c>
      <c r="G401" s="28">
        <v>3</v>
      </c>
      <c r="H401" s="28">
        <v>32</v>
      </c>
      <c r="I401" s="33">
        <v>35</v>
      </c>
      <c r="J401" s="20" t="str">
        <f t="shared" si="26"/>
        <v xml:space="preserve"> </v>
      </c>
      <c r="K401" s="20">
        <f t="shared" si="27"/>
        <v>0</v>
      </c>
    </row>
    <row r="402" spans="1:11" ht="15" thickBot="1" x14ac:dyDescent="0.35">
      <c r="A402" s="32">
        <v>401</v>
      </c>
      <c r="B402" s="28">
        <v>0.2273</v>
      </c>
      <c r="C402" s="29">
        <f t="shared" si="24"/>
        <v>0.2273</v>
      </c>
      <c r="D402" s="28">
        <v>0.87</v>
      </c>
      <c r="E402" s="30" t="str">
        <f t="shared" si="25"/>
        <v>Risky</v>
      </c>
      <c r="F402" s="28">
        <v>0.19400000000000001</v>
      </c>
      <c r="G402" s="28">
        <v>0</v>
      </c>
      <c r="H402" s="28">
        <v>61</v>
      </c>
      <c r="I402" s="33">
        <v>61</v>
      </c>
      <c r="J402" s="20" t="str">
        <f t="shared" si="26"/>
        <v xml:space="preserve"> </v>
      </c>
      <c r="K402" s="20">
        <f t="shared" si="27"/>
        <v>0</v>
      </c>
    </row>
    <row r="403" spans="1:11" ht="15" thickBot="1" x14ac:dyDescent="0.35">
      <c r="A403" s="32">
        <v>402</v>
      </c>
      <c r="B403" s="28">
        <v>0.2273</v>
      </c>
      <c r="C403" s="29">
        <f t="shared" si="24"/>
        <v>0.2273</v>
      </c>
      <c r="D403" s="28">
        <v>0.82</v>
      </c>
      <c r="E403" s="30" t="str">
        <f t="shared" si="25"/>
        <v>Risky</v>
      </c>
      <c r="F403" s="28">
        <v>0.19400000000000001</v>
      </c>
      <c r="G403" s="28">
        <v>1</v>
      </c>
      <c r="H403" s="28">
        <v>124</v>
      </c>
      <c r="I403" s="33">
        <v>125</v>
      </c>
      <c r="J403" s="20" t="str">
        <f t="shared" si="26"/>
        <v xml:space="preserve"> </v>
      </c>
      <c r="K403" s="20">
        <f t="shared" si="27"/>
        <v>0</v>
      </c>
    </row>
    <row r="404" spans="1:11" ht="15" thickBot="1" x14ac:dyDescent="0.35">
      <c r="A404" s="32">
        <v>403</v>
      </c>
      <c r="B404" s="28">
        <v>0.2273</v>
      </c>
      <c r="C404" s="29">
        <f t="shared" si="24"/>
        <v>0.2273</v>
      </c>
      <c r="D404" s="28">
        <v>0.8</v>
      </c>
      <c r="E404" s="30" t="str">
        <f t="shared" si="25"/>
        <v>Risky</v>
      </c>
      <c r="F404" s="28">
        <v>0.16420000000000001</v>
      </c>
      <c r="G404" s="28">
        <v>1</v>
      </c>
      <c r="H404" s="28">
        <v>132</v>
      </c>
      <c r="I404" s="33">
        <v>133</v>
      </c>
      <c r="J404" s="20" t="str">
        <f t="shared" si="26"/>
        <v xml:space="preserve"> </v>
      </c>
      <c r="K404" s="20">
        <f t="shared" si="27"/>
        <v>0</v>
      </c>
    </row>
    <row r="405" spans="1:11" ht="15" thickBot="1" x14ac:dyDescent="0.35">
      <c r="A405" s="32">
        <v>404</v>
      </c>
      <c r="B405" s="28">
        <v>0.2273</v>
      </c>
      <c r="C405" s="29">
        <f t="shared" si="24"/>
        <v>0.2273</v>
      </c>
      <c r="D405" s="28">
        <v>0.8</v>
      </c>
      <c r="E405" s="30" t="str">
        <f t="shared" si="25"/>
        <v>Risky</v>
      </c>
      <c r="F405" s="28">
        <v>0.1343</v>
      </c>
      <c r="G405" s="28">
        <v>1</v>
      </c>
      <c r="H405" s="28">
        <v>98</v>
      </c>
      <c r="I405" s="33">
        <v>99</v>
      </c>
      <c r="J405" s="20" t="str">
        <f t="shared" si="26"/>
        <v xml:space="preserve"> </v>
      </c>
      <c r="K405" s="20">
        <f t="shared" si="27"/>
        <v>0</v>
      </c>
    </row>
    <row r="406" spans="1:11" ht="15" thickBot="1" x14ac:dyDescent="0.35">
      <c r="A406" s="32">
        <v>405</v>
      </c>
      <c r="B406" s="28">
        <v>0.2727</v>
      </c>
      <c r="C406" s="29">
        <f t="shared" si="24"/>
        <v>0.2727</v>
      </c>
      <c r="D406" s="28">
        <v>0.87</v>
      </c>
      <c r="E406" s="30" t="str">
        <f t="shared" si="25"/>
        <v>Risky</v>
      </c>
      <c r="F406" s="28">
        <v>0</v>
      </c>
      <c r="G406" s="28">
        <v>0</v>
      </c>
      <c r="H406" s="28">
        <v>83</v>
      </c>
      <c r="I406" s="33">
        <v>83</v>
      </c>
      <c r="J406" s="20" t="str">
        <f t="shared" si="26"/>
        <v xml:space="preserve"> </v>
      </c>
      <c r="K406" s="20">
        <f t="shared" si="27"/>
        <v>0</v>
      </c>
    </row>
    <row r="407" spans="1:11" ht="15" thickBot="1" x14ac:dyDescent="0.35">
      <c r="A407" s="32">
        <v>406</v>
      </c>
      <c r="B407" s="28">
        <v>0.2424</v>
      </c>
      <c r="C407" s="29">
        <f t="shared" si="24"/>
        <v>0.2424</v>
      </c>
      <c r="D407" s="28">
        <v>0.93</v>
      </c>
      <c r="E407" s="30" t="str">
        <f t="shared" si="25"/>
        <v>Risky</v>
      </c>
      <c r="F407" s="28">
        <v>0.1045</v>
      </c>
      <c r="G407" s="28">
        <v>0</v>
      </c>
      <c r="H407" s="28">
        <v>41</v>
      </c>
      <c r="I407" s="33">
        <v>41</v>
      </c>
      <c r="J407" s="20" t="str">
        <f t="shared" si="26"/>
        <v xml:space="preserve"> </v>
      </c>
      <c r="K407" s="20">
        <f t="shared" si="27"/>
        <v>0</v>
      </c>
    </row>
    <row r="408" spans="1:11" ht="15" thickBot="1" x14ac:dyDescent="0.35">
      <c r="A408" s="32">
        <v>407</v>
      </c>
      <c r="B408" s="28">
        <v>0.2576</v>
      </c>
      <c r="C408" s="29">
        <f t="shared" si="24"/>
        <v>0.2576</v>
      </c>
      <c r="D408" s="28">
        <v>0.93</v>
      </c>
      <c r="E408" s="30" t="str">
        <f t="shared" si="25"/>
        <v>Risky</v>
      </c>
      <c r="F408" s="28">
        <v>8.9599999999999999E-2</v>
      </c>
      <c r="G408" s="28">
        <v>0</v>
      </c>
      <c r="H408" s="28">
        <v>33</v>
      </c>
      <c r="I408" s="33">
        <v>33</v>
      </c>
      <c r="J408" s="20" t="str">
        <f t="shared" si="26"/>
        <v xml:space="preserve"> </v>
      </c>
      <c r="K408" s="20">
        <f t="shared" si="27"/>
        <v>0</v>
      </c>
    </row>
    <row r="409" spans="1:11" ht="15" thickBot="1" x14ac:dyDescent="0.35">
      <c r="A409" s="32">
        <v>408</v>
      </c>
      <c r="B409" s="28">
        <v>0.2727</v>
      </c>
      <c r="C409" s="29">
        <f t="shared" si="24"/>
        <v>0.2727</v>
      </c>
      <c r="D409" s="28">
        <v>0.93</v>
      </c>
      <c r="E409" s="30" t="str">
        <f t="shared" si="25"/>
        <v>Risky</v>
      </c>
      <c r="F409" s="28">
        <v>0</v>
      </c>
      <c r="G409" s="28">
        <v>1</v>
      </c>
      <c r="H409" s="28">
        <v>19</v>
      </c>
      <c r="I409" s="33">
        <v>20</v>
      </c>
      <c r="J409" s="20" t="str">
        <f t="shared" si="26"/>
        <v xml:space="preserve"> </v>
      </c>
      <c r="K409" s="20">
        <f t="shared" si="27"/>
        <v>0</v>
      </c>
    </row>
    <row r="410" spans="1:11" ht="15" thickBot="1" x14ac:dyDescent="0.35">
      <c r="A410" s="32">
        <v>409</v>
      </c>
      <c r="B410" s="28">
        <v>0.2727</v>
      </c>
      <c r="C410" s="29">
        <f t="shared" si="24"/>
        <v>0.2727</v>
      </c>
      <c r="D410" s="28">
        <v>0.93</v>
      </c>
      <c r="E410" s="30" t="str">
        <f t="shared" si="25"/>
        <v>Risky</v>
      </c>
      <c r="F410" s="28">
        <v>0</v>
      </c>
      <c r="G410" s="28">
        <v>0</v>
      </c>
      <c r="H410" s="28">
        <v>3</v>
      </c>
      <c r="I410" s="33">
        <v>3</v>
      </c>
      <c r="J410" s="20" t="str">
        <f t="shared" si="26"/>
        <v xml:space="preserve"> </v>
      </c>
      <c r="K410" s="20">
        <f t="shared" si="27"/>
        <v>0</v>
      </c>
    </row>
    <row r="411" spans="1:11" ht="15" thickBot="1" x14ac:dyDescent="0.35">
      <c r="A411" s="32">
        <v>410</v>
      </c>
      <c r="B411" s="28">
        <v>0.2273</v>
      </c>
      <c r="C411" s="29">
        <f t="shared" si="24"/>
        <v>0.2273</v>
      </c>
      <c r="D411" s="28">
        <v>0.93</v>
      </c>
      <c r="E411" s="30" t="str">
        <f t="shared" si="25"/>
        <v>Risky</v>
      </c>
      <c r="F411" s="28">
        <v>0.1343</v>
      </c>
      <c r="G411" s="28">
        <v>1</v>
      </c>
      <c r="H411" s="28">
        <v>6</v>
      </c>
      <c r="I411" s="33">
        <v>7</v>
      </c>
      <c r="J411" s="20" t="str">
        <f t="shared" si="26"/>
        <v xml:space="preserve"> </v>
      </c>
      <c r="K411" s="20">
        <f t="shared" si="27"/>
        <v>0</v>
      </c>
    </row>
    <row r="412" spans="1:11" ht="15" thickBot="1" x14ac:dyDescent="0.35">
      <c r="A412" s="32">
        <v>411</v>
      </c>
      <c r="B412" s="28">
        <v>0.2273</v>
      </c>
      <c r="C412" s="29">
        <f t="shared" si="24"/>
        <v>0.2273</v>
      </c>
      <c r="D412" s="28">
        <v>0.93</v>
      </c>
      <c r="E412" s="30" t="str">
        <f t="shared" si="25"/>
        <v>Risky</v>
      </c>
      <c r="F412" s="28">
        <v>0.1343</v>
      </c>
      <c r="G412" s="28">
        <v>0</v>
      </c>
      <c r="H412" s="28">
        <v>3</v>
      </c>
      <c r="I412" s="33">
        <v>3</v>
      </c>
      <c r="J412" s="20" t="str">
        <f t="shared" si="26"/>
        <v xml:space="preserve"> </v>
      </c>
      <c r="K412" s="20">
        <f t="shared" si="27"/>
        <v>0</v>
      </c>
    </row>
    <row r="413" spans="1:11" ht="15" thickBot="1" x14ac:dyDescent="0.35">
      <c r="A413" s="32">
        <v>412</v>
      </c>
      <c r="B413" s="28">
        <v>0.2273</v>
      </c>
      <c r="C413" s="29">
        <f t="shared" si="24"/>
        <v>0.2273</v>
      </c>
      <c r="D413" s="28">
        <v>0.93</v>
      </c>
      <c r="E413" s="30" t="str">
        <f t="shared" si="25"/>
        <v>Risky</v>
      </c>
      <c r="F413" s="28">
        <v>0.1343</v>
      </c>
      <c r="G413" s="28">
        <v>1</v>
      </c>
      <c r="H413" s="28">
        <v>1</v>
      </c>
      <c r="I413" s="33">
        <v>2</v>
      </c>
      <c r="J413" s="20" t="str">
        <f t="shared" si="26"/>
        <v xml:space="preserve"> </v>
      </c>
      <c r="K413" s="20">
        <f t="shared" si="27"/>
        <v>0</v>
      </c>
    </row>
    <row r="414" spans="1:11" ht="15" thickBot="1" x14ac:dyDescent="0.35">
      <c r="A414" s="32">
        <v>413</v>
      </c>
      <c r="B414" s="28">
        <v>0.2576</v>
      </c>
      <c r="C414" s="29">
        <f t="shared" si="24"/>
        <v>0.2576</v>
      </c>
      <c r="D414" s="28">
        <v>0.93</v>
      </c>
      <c r="E414" s="30" t="str">
        <f t="shared" si="25"/>
        <v>Risky</v>
      </c>
      <c r="F414" s="28">
        <v>8.9599999999999999E-2</v>
      </c>
      <c r="G414" s="28">
        <v>0</v>
      </c>
      <c r="H414" s="28">
        <v>7</v>
      </c>
      <c r="I414" s="33">
        <v>7</v>
      </c>
      <c r="J414" s="20" t="str">
        <f t="shared" si="26"/>
        <v xml:space="preserve"> </v>
      </c>
      <c r="K414" s="20">
        <f t="shared" si="27"/>
        <v>0</v>
      </c>
    </row>
    <row r="415" spans="1:11" ht="15" thickBot="1" x14ac:dyDescent="0.35">
      <c r="A415" s="32">
        <v>414</v>
      </c>
      <c r="B415" s="28">
        <v>0.2576</v>
      </c>
      <c r="C415" s="29">
        <f t="shared" si="24"/>
        <v>0.2576</v>
      </c>
      <c r="D415" s="28">
        <v>0.93</v>
      </c>
      <c r="E415" s="30" t="str">
        <f t="shared" si="25"/>
        <v>Risky</v>
      </c>
      <c r="F415" s="28">
        <v>8.9599999999999999E-2</v>
      </c>
      <c r="G415" s="28">
        <v>0</v>
      </c>
      <c r="H415" s="28">
        <v>32</v>
      </c>
      <c r="I415" s="33">
        <v>32</v>
      </c>
      <c r="J415" s="20" t="str">
        <f t="shared" si="26"/>
        <v xml:space="preserve"> </v>
      </c>
      <c r="K415" s="20">
        <f t="shared" si="27"/>
        <v>0</v>
      </c>
    </row>
    <row r="416" spans="1:11" ht="15" thickBot="1" x14ac:dyDescent="0.35">
      <c r="A416" s="32">
        <v>415</v>
      </c>
      <c r="B416" s="28">
        <v>0.2576</v>
      </c>
      <c r="C416" s="29">
        <f t="shared" si="24"/>
        <v>0.2576</v>
      </c>
      <c r="D416" s="28">
        <v>0.92</v>
      </c>
      <c r="E416" s="30" t="str">
        <f t="shared" si="25"/>
        <v>Risky</v>
      </c>
      <c r="F416" s="28">
        <v>0.1045</v>
      </c>
      <c r="G416" s="28">
        <v>1</v>
      </c>
      <c r="H416" s="28">
        <v>89</v>
      </c>
      <c r="I416" s="33">
        <v>90</v>
      </c>
      <c r="J416" s="20" t="str">
        <f t="shared" si="26"/>
        <v xml:space="preserve"> </v>
      </c>
      <c r="K416" s="20">
        <f t="shared" si="27"/>
        <v>0</v>
      </c>
    </row>
    <row r="417" spans="1:11" ht="15" thickBot="1" x14ac:dyDescent="0.35">
      <c r="A417" s="32">
        <v>416</v>
      </c>
      <c r="B417" s="28">
        <v>0.2576</v>
      </c>
      <c r="C417" s="29">
        <f t="shared" si="24"/>
        <v>0.2576</v>
      </c>
      <c r="D417" s="28">
        <v>0.93</v>
      </c>
      <c r="E417" s="30" t="str">
        <f t="shared" si="25"/>
        <v>Risky</v>
      </c>
      <c r="F417" s="28">
        <v>0.1045</v>
      </c>
      <c r="G417" s="28">
        <v>1</v>
      </c>
      <c r="H417" s="28">
        <v>196</v>
      </c>
      <c r="I417" s="33">
        <v>197</v>
      </c>
      <c r="J417" s="20" t="str">
        <f t="shared" si="26"/>
        <v xml:space="preserve"> </v>
      </c>
      <c r="K417" s="20">
        <f t="shared" si="27"/>
        <v>0</v>
      </c>
    </row>
    <row r="418" spans="1:11" ht="15" thickBot="1" x14ac:dyDescent="0.35">
      <c r="A418" s="32">
        <v>417</v>
      </c>
      <c r="B418" s="28">
        <v>0.2576</v>
      </c>
      <c r="C418" s="29">
        <f t="shared" si="24"/>
        <v>0.2576</v>
      </c>
      <c r="D418" s="28">
        <v>0.93</v>
      </c>
      <c r="E418" s="30" t="str">
        <f t="shared" si="25"/>
        <v>Risky</v>
      </c>
      <c r="F418" s="28">
        <v>0.1045</v>
      </c>
      <c r="G418" s="28">
        <v>2</v>
      </c>
      <c r="H418" s="28">
        <v>107</v>
      </c>
      <c r="I418" s="33">
        <v>109</v>
      </c>
      <c r="J418" s="20" t="str">
        <f t="shared" si="26"/>
        <v xml:space="preserve"> </v>
      </c>
      <c r="K418" s="20">
        <f t="shared" si="27"/>
        <v>0</v>
      </c>
    </row>
    <row r="419" spans="1:11" ht="15" thickBot="1" x14ac:dyDescent="0.35">
      <c r="A419" s="32">
        <v>418</v>
      </c>
      <c r="B419" s="28">
        <v>0.2727</v>
      </c>
      <c r="C419" s="29">
        <f t="shared" si="24"/>
        <v>0.2727</v>
      </c>
      <c r="D419" s="28">
        <v>0.93</v>
      </c>
      <c r="E419" s="30" t="str">
        <f t="shared" si="25"/>
        <v>Risky</v>
      </c>
      <c r="F419" s="28">
        <v>0.1343</v>
      </c>
      <c r="G419" s="28">
        <v>1</v>
      </c>
      <c r="H419" s="28">
        <v>46</v>
      </c>
      <c r="I419" s="33">
        <v>47</v>
      </c>
      <c r="J419" s="20" t="str">
        <f t="shared" si="26"/>
        <v xml:space="preserve"> </v>
      </c>
      <c r="K419" s="20">
        <f t="shared" si="27"/>
        <v>0</v>
      </c>
    </row>
    <row r="420" spans="1:11" ht="15" thickBot="1" x14ac:dyDescent="0.35">
      <c r="A420" s="32">
        <v>419</v>
      </c>
      <c r="B420" s="28">
        <v>0.30299999999999999</v>
      </c>
      <c r="C420" s="29">
        <f t="shared" si="24"/>
        <v>0.30299999999999999</v>
      </c>
      <c r="D420" s="28">
        <v>0.87</v>
      </c>
      <c r="E420" s="30" t="str">
        <f t="shared" si="25"/>
        <v>Risky</v>
      </c>
      <c r="F420" s="28">
        <v>8.9599999999999999E-2</v>
      </c>
      <c r="G420" s="28">
        <v>5</v>
      </c>
      <c r="H420" s="28">
        <v>47</v>
      </c>
      <c r="I420" s="33">
        <v>52</v>
      </c>
      <c r="J420" s="20" t="str">
        <f t="shared" si="26"/>
        <v xml:space="preserve"> </v>
      </c>
      <c r="K420" s="20">
        <f t="shared" si="27"/>
        <v>0</v>
      </c>
    </row>
    <row r="421" spans="1:11" ht="15" thickBot="1" x14ac:dyDescent="0.35">
      <c r="A421" s="32">
        <v>420</v>
      </c>
      <c r="B421" s="28">
        <v>0.31819999999999998</v>
      </c>
      <c r="C421" s="29">
        <f t="shared" si="24"/>
        <v>0.31819999999999998</v>
      </c>
      <c r="D421" s="28">
        <v>0.81</v>
      </c>
      <c r="E421" s="30" t="str">
        <f t="shared" si="25"/>
        <v>Risky</v>
      </c>
      <c r="F421" s="28">
        <v>8.9599999999999999E-2</v>
      </c>
      <c r="G421" s="28">
        <v>5</v>
      </c>
      <c r="H421" s="28">
        <v>65</v>
      </c>
      <c r="I421" s="33">
        <v>70</v>
      </c>
      <c r="J421" s="20" t="str">
        <f t="shared" si="26"/>
        <v xml:space="preserve"> </v>
      </c>
      <c r="K421" s="20">
        <f t="shared" si="27"/>
        <v>0</v>
      </c>
    </row>
    <row r="422" spans="1:11" ht="15" thickBot="1" x14ac:dyDescent="0.35">
      <c r="A422" s="32">
        <v>421</v>
      </c>
      <c r="B422" s="28">
        <v>0.40910000000000002</v>
      </c>
      <c r="C422" s="29">
        <f t="shared" si="24"/>
        <v>0.40910000000000002</v>
      </c>
      <c r="D422" s="28">
        <v>0.62</v>
      </c>
      <c r="E422" s="30" t="str">
        <f t="shared" si="25"/>
        <v>Acceptable</v>
      </c>
      <c r="F422" s="28">
        <v>0.28360000000000002</v>
      </c>
      <c r="G422" s="28">
        <v>11</v>
      </c>
      <c r="H422" s="28">
        <v>67</v>
      </c>
      <c r="I422" s="33">
        <v>78</v>
      </c>
      <c r="J422" s="20" t="str">
        <f t="shared" si="26"/>
        <v xml:space="preserve"> </v>
      </c>
      <c r="K422" s="20">
        <f t="shared" si="27"/>
        <v>0</v>
      </c>
    </row>
    <row r="423" spans="1:11" ht="15" thickBot="1" x14ac:dyDescent="0.35">
      <c r="A423" s="32">
        <v>422</v>
      </c>
      <c r="B423" s="28">
        <v>0.40910000000000002</v>
      </c>
      <c r="C423" s="29">
        <f t="shared" si="24"/>
        <v>0.40910000000000002</v>
      </c>
      <c r="D423" s="28">
        <v>0.57999999999999996</v>
      </c>
      <c r="E423" s="30" t="str">
        <f t="shared" si="25"/>
        <v>Acceptable</v>
      </c>
      <c r="F423" s="28">
        <v>0.25369999999999998</v>
      </c>
      <c r="G423" s="28">
        <v>7</v>
      </c>
      <c r="H423" s="28">
        <v>68</v>
      </c>
      <c r="I423" s="33">
        <v>75</v>
      </c>
      <c r="J423" s="20" t="str">
        <f t="shared" si="26"/>
        <v xml:space="preserve"> </v>
      </c>
      <c r="K423" s="20">
        <f t="shared" si="27"/>
        <v>0</v>
      </c>
    </row>
    <row r="424" spans="1:11" ht="15" thickBot="1" x14ac:dyDescent="0.35">
      <c r="A424" s="32">
        <v>423</v>
      </c>
      <c r="B424" s="28">
        <v>0.40910000000000002</v>
      </c>
      <c r="C424" s="29">
        <f t="shared" si="24"/>
        <v>0.40910000000000002</v>
      </c>
      <c r="D424" s="28">
        <v>0.54</v>
      </c>
      <c r="E424" s="30" t="str">
        <f t="shared" si="25"/>
        <v>Acceptable</v>
      </c>
      <c r="F424" s="28">
        <v>0.28360000000000002</v>
      </c>
      <c r="G424" s="28">
        <v>4</v>
      </c>
      <c r="H424" s="28">
        <v>78</v>
      </c>
      <c r="I424" s="33">
        <v>82</v>
      </c>
      <c r="J424" s="20" t="str">
        <f t="shared" si="26"/>
        <v xml:space="preserve"> </v>
      </c>
      <c r="K424" s="20">
        <f t="shared" si="27"/>
        <v>0</v>
      </c>
    </row>
    <row r="425" spans="1:11" ht="15" thickBot="1" x14ac:dyDescent="0.35">
      <c r="A425" s="32">
        <v>424</v>
      </c>
      <c r="B425" s="28">
        <v>0.39389999999999997</v>
      </c>
      <c r="C425" s="29">
        <f t="shared" si="24"/>
        <v>0.39389999999999997</v>
      </c>
      <c r="D425" s="28">
        <v>0.57999999999999996</v>
      </c>
      <c r="E425" s="30" t="str">
        <f t="shared" si="25"/>
        <v>Acceptable</v>
      </c>
      <c r="F425" s="28">
        <v>0.3881</v>
      </c>
      <c r="G425" s="28">
        <v>10</v>
      </c>
      <c r="H425" s="28">
        <v>94</v>
      </c>
      <c r="I425" s="33">
        <v>104</v>
      </c>
      <c r="J425" s="20" t="str">
        <f t="shared" si="26"/>
        <v xml:space="preserve"> </v>
      </c>
      <c r="K425" s="20">
        <f t="shared" si="27"/>
        <v>0</v>
      </c>
    </row>
    <row r="426" spans="1:11" ht="15" thickBot="1" x14ac:dyDescent="0.35">
      <c r="A426" s="32">
        <v>425</v>
      </c>
      <c r="B426" s="28">
        <v>0.33329999999999999</v>
      </c>
      <c r="C426" s="29">
        <f t="shared" si="24"/>
        <v>0.33329999999999999</v>
      </c>
      <c r="D426" s="28">
        <v>0.56999999999999995</v>
      </c>
      <c r="E426" s="30" t="str">
        <f t="shared" si="25"/>
        <v>Acceptable</v>
      </c>
      <c r="F426" s="28">
        <v>0.32840000000000003</v>
      </c>
      <c r="G426" s="28">
        <v>7</v>
      </c>
      <c r="H426" s="28">
        <v>190</v>
      </c>
      <c r="I426" s="33">
        <v>197</v>
      </c>
      <c r="J426" s="20" t="str">
        <f t="shared" si="26"/>
        <v xml:space="preserve"> </v>
      </c>
      <c r="K426" s="20">
        <f t="shared" si="27"/>
        <v>0</v>
      </c>
    </row>
    <row r="427" spans="1:11" ht="15" thickBot="1" x14ac:dyDescent="0.35">
      <c r="A427" s="32">
        <v>426</v>
      </c>
      <c r="B427" s="28">
        <v>0.31819999999999998</v>
      </c>
      <c r="C427" s="29">
        <f t="shared" si="24"/>
        <v>0.31819999999999998</v>
      </c>
      <c r="D427" s="28">
        <v>0.61</v>
      </c>
      <c r="E427" s="30" t="str">
        <f t="shared" si="25"/>
        <v>Acceptable</v>
      </c>
      <c r="F427" s="28">
        <v>0.28360000000000002</v>
      </c>
      <c r="G427" s="28">
        <v>5</v>
      </c>
      <c r="H427" s="28">
        <v>156</v>
      </c>
      <c r="I427" s="33">
        <v>161</v>
      </c>
      <c r="J427" s="20" t="str">
        <f t="shared" si="26"/>
        <v xml:space="preserve"> </v>
      </c>
      <c r="K427" s="20">
        <f t="shared" si="27"/>
        <v>0</v>
      </c>
    </row>
    <row r="428" spans="1:11" ht="15" thickBot="1" x14ac:dyDescent="0.35">
      <c r="A428" s="32">
        <v>427</v>
      </c>
      <c r="B428" s="28">
        <v>0.28789999999999999</v>
      </c>
      <c r="C428" s="29">
        <f t="shared" si="24"/>
        <v>0.28789999999999999</v>
      </c>
      <c r="D428" s="28">
        <v>0.56999999999999995</v>
      </c>
      <c r="E428" s="30" t="str">
        <f t="shared" si="25"/>
        <v>Acceptable</v>
      </c>
      <c r="F428" s="28">
        <v>0.41789999999999999</v>
      </c>
      <c r="G428" s="28">
        <v>4</v>
      </c>
      <c r="H428" s="28">
        <v>108</v>
      </c>
      <c r="I428" s="33">
        <v>112</v>
      </c>
      <c r="J428" s="20" t="str">
        <f t="shared" si="26"/>
        <v xml:space="preserve"> </v>
      </c>
      <c r="K428" s="20">
        <f t="shared" si="27"/>
        <v>0</v>
      </c>
    </row>
    <row r="429" spans="1:11" ht="15" thickBot="1" x14ac:dyDescent="0.35">
      <c r="A429" s="32">
        <v>428</v>
      </c>
      <c r="B429" s="28">
        <v>0.30299999999999999</v>
      </c>
      <c r="C429" s="29">
        <f t="shared" si="24"/>
        <v>0.30299999999999999</v>
      </c>
      <c r="D429" s="28">
        <v>0.49</v>
      </c>
      <c r="E429" s="30" t="str">
        <f t="shared" si="25"/>
        <v>Acceptable</v>
      </c>
      <c r="F429" s="28">
        <v>0.29849999999999999</v>
      </c>
      <c r="G429" s="28">
        <v>2</v>
      </c>
      <c r="H429" s="28">
        <v>74</v>
      </c>
      <c r="I429" s="33">
        <v>76</v>
      </c>
      <c r="J429" s="20" t="str">
        <f t="shared" si="26"/>
        <v xml:space="preserve"> </v>
      </c>
      <c r="K429" s="20">
        <f t="shared" si="27"/>
        <v>0</v>
      </c>
    </row>
    <row r="430" spans="1:11" ht="15" thickBot="1" x14ac:dyDescent="0.35">
      <c r="A430" s="32">
        <v>429</v>
      </c>
      <c r="B430" s="28">
        <v>0.28789999999999999</v>
      </c>
      <c r="C430" s="29">
        <f t="shared" si="24"/>
        <v>0.28789999999999999</v>
      </c>
      <c r="D430" s="28">
        <v>0.49</v>
      </c>
      <c r="E430" s="30" t="str">
        <f t="shared" si="25"/>
        <v>Acceptable</v>
      </c>
      <c r="F430" s="28">
        <v>0.41789999999999999</v>
      </c>
      <c r="G430" s="28">
        <v>4</v>
      </c>
      <c r="H430" s="28">
        <v>55</v>
      </c>
      <c r="I430" s="33">
        <v>59</v>
      </c>
      <c r="J430" s="20" t="str">
        <f t="shared" si="26"/>
        <v xml:space="preserve"> </v>
      </c>
      <c r="K430" s="20">
        <f t="shared" si="27"/>
        <v>0</v>
      </c>
    </row>
    <row r="431" spans="1:11" ht="15" thickBot="1" x14ac:dyDescent="0.35">
      <c r="A431" s="32">
        <v>430</v>
      </c>
      <c r="B431" s="28">
        <v>0.30299999999999999</v>
      </c>
      <c r="C431" s="29">
        <f t="shared" si="24"/>
        <v>0.30299999999999999</v>
      </c>
      <c r="D431" s="28">
        <v>0.52</v>
      </c>
      <c r="E431" s="30" t="str">
        <f t="shared" si="25"/>
        <v>Acceptable</v>
      </c>
      <c r="F431" s="28">
        <v>0.16420000000000001</v>
      </c>
      <c r="G431" s="28">
        <v>6</v>
      </c>
      <c r="H431" s="28">
        <v>53</v>
      </c>
      <c r="I431" s="33">
        <v>59</v>
      </c>
      <c r="J431" s="20" t="str">
        <f t="shared" si="26"/>
        <v xml:space="preserve"> </v>
      </c>
      <c r="K431" s="20">
        <f t="shared" si="27"/>
        <v>0</v>
      </c>
    </row>
    <row r="432" spans="1:11" ht="15" thickBot="1" x14ac:dyDescent="0.35">
      <c r="A432" s="32">
        <v>431</v>
      </c>
      <c r="B432" s="28">
        <v>0.2727</v>
      </c>
      <c r="C432" s="29">
        <f t="shared" si="24"/>
        <v>0.2727</v>
      </c>
      <c r="D432" s="28">
        <v>0.52</v>
      </c>
      <c r="E432" s="30" t="str">
        <f t="shared" si="25"/>
        <v>Acceptable</v>
      </c>
      <c r="F432" s="28">
        <v>0.4627</v>
      </c>
      <c r="G432" s="28">
        <v>1</v>
      </c>
      <c r="H432" s="28">
        <v>27</v>
      </c>
      <c r="I432" s="33">
        <v>28</v>
      </c>
      <c r="J432" s="20" t="str">
        <f t="shared" si="26"/>
        <v xml:space="preserve"> </v>
      </c>
      <c r="K432" s="20">
        <f t="shared" si="27"/>
        <v>0</v>
      </c>
    </row>
    <row r="433" spans="1:11" ht="15" thickBot="1" x14ac:dyDescent="0.35">
      <c r="A433" s="32">
        <v>432</v>
      </c>
      <c r="B433" s="28">
        <v>0.2273</v>
      </c>
      <c r="C433" s="29">
        <f t="shared" si="24"/>
        <v>0.2273</v>
      </c>
      <c r="D433" s="28">
        <v>0.56000000000000005</v>
      </c>
      <c r="E433" s="30" t="str">
        <f t="shared" si="25"/>
        <v>Acceptable</v>
      </c>
      <c r="F433" s="28">
        <v>0.3881</v>
      </c>
      <c r="G433" s="28">
        <v>5</v>
      </c>
      <c r="H433" s="28">
        <v>8</v>
      </c>
      <c r="I433" s="33">
        <v>13</v>
      </c>
      <c r="J433" s="20" t="str">
        <f t="shared" si="26"/>
        <v xml:space="preserve"> </v>
      </c>
      <c r="K433" s="20">
        <f t="shared" si="27"/>
        <v>0</v>
      </c>
    </row>
    <row r="434" spans="1:11" ht="15" thickBot="1" x14ac:dyDescent="0.35">
      <c r="A434" s="32">
        <v>433</v>
      </c>
      <c r="B434" s="28">
        <v>0.2727</v>
      </c>
      <c r="C434" s="29">
        <f t="shared" si="24"/>
        <v>0.2727</v>
      </c>
      <c r="D434" s="28">
        <v>0.56000000000000005</v>
      </c>
      <c r="E434" s="30" t="str">
        <f t="shared" si="25"/>
        <v>Acceptable</v>
      </c>
      <c r="F434" s="28">
        <v>0</v>
      </c>
      <c r="G434" s="28">
        <v>2</v>
      </c>
      <c r="H434" s="28">
        <v>3</v>
      </c>
      <c r="I434" s="33">
        <v>5</v>
      </c>
      <c r="J434" s="20" t="str">
        <f t="shared" si="26"/>
        <v xml:space="preserve"> </v>
      </c>
      <c r="K434" s="20">
        <f t="shared" si="27"/>
        <v>0</v>
      </c>
    </row>
    <row r="435" spans="1:11" ht="15" thickBot="1" x14ac:dyDescent="0.35">
      <c r="A435" s="32">
        <v>434</v>
      </c>
      <c r="B435" s="28">
        <v>0.2727</v>
      </c>
      <c r="C435" s="29">
        <f t="shared" si="24"/>
        <v>0.2727</v>
      </c>
      <c r="D435" s="28">
        <v>0.56000000000000005</v>
      </c>
      <c r="E435" s="30" t="str">
        <f t="shared" si="25"/>
        <v>Acceptable</v>
      </c>
      <c r="F435" s="28">
        <v>0</v>
      </c>
      <c r="G435" s="28">
        <v>0</v>
      </c>
      <c r="H435" s="28">
        <v>2</v>
      </c>
      <c r="I435" s="33">
        <v>2</v>
      </c>
      <c r="J435" s="20" t="str">
        <f t="shared" si="26"/>
        <v xml:space="preserve"> </v>
      </c>
      <c r="K435" s="20">
        <f t="shared" si="27"/>
        <v>0</v>
      </c>
    </row>
    <row r="436" spans="1:11" ht="15" thickBot="1" x14ac:dyDescent="0.35">
      <c r="A436" s="32">
        <v>435</v>
      </c>
      <c r="B436" s="28">
        <v>0.2576</v>
      </c>
      <c r="C436" s="29">
        <f t="shared" si="24"/>
        <v>0.2576</v>
      </c>
      <c r="D436" s="28">
        <v>0.56000000000000005</v>
      </c>
      <c r="E436" s="30" t="str">
        <f t="shared" si="25"/>
        <v>Acceptable</v>
      </c>
      <c r="F436" s="28">
        <v>0.16420000000000001</v>
      </c>
      <c r="G436" s="28">
        <v>0</v>
      </c>
      <c r="H436" s="28">
        <v>1</v>
      </c>
      <c r="I436" s="33">
        <v>1</v>
      </c>
      <c r="J436" s="20" t="str">
        <f t="shared" si="26"/>
        <v xml:space="preserve"> </v>
      </c>
      <c r="K436" s="20">
        <f t="shared" si="27"/>
        <v>0</v>
      </c>
    </row>
    <row r="437" spans="1:11" ht="15" thickBot="1" x14ac:dyDescent="0.35">
      <c r="A437" s="32">
        <v>436</v>
      </c>
      <c r="B437" s="28">
        <v>0.2576</v>
      </c>
      <c r="C437" s="29">
        <f t="shared" si="24"/>
        <v>0.2576</v>
      </c>
      <c r="D437" s="28">
        <v>0.56000000000000005</v>
      </c>
      <c r="E437" s="30" t="str">
        <f t="shared" si="25"/>
        <v>Acceptable</v>
      </c>
      <c r="F437" s="28">
        <v>0.16420000000000001</v>
      </c>
      <c r="G437" s="28">
        <v>0</v>
      </c>
      <c r="H437" s="28">
        <v>1</v>
      </c>
      <c r="I437" s="33">
        <v>1</v>
      </c>
      <c r="J437" s="20" t="str">
        <f t="shared" si="26"/>
        <v xml:space="preserve"> </v>
      </c>
      <c r="K437" s="20">
        <f t="shared" si="27"/>
        <v>0</v>
      </c>
    </row>
    <row r="438" spans="1:11" ht="15" thickBot="1" x14ac:dyDescent="0.35">
      <c r="A438" s="32">
        <v>437</v>
      </c>
      <c r="B438" s="28">
        <v>0.2273</v>
      </c>
      <c r="C438" s="29">
        <f t="shared" si="24"/>
        <v>0.2273</v>
      </c>
      <c r="D438" s="28">
        <v>0.6</v>
      </c>
      <c r="E438" s="30" t="str">
        <f t="shared" si="25"/>
        <v>Acceptable</v>
      </c>
      <c r="F438" s="28">
        <v>0.22389999999999999</v>
      </c>
      <c r="G438" s="28">
        <v>0</v>
      </c>
      <c r="H438" s="28">
        <v>6</v>
      </c>
      <c r="I438" s="33">
        <v>6</v>
      </c>
      <c r="J438" s="20" t="str">
        <f t="shared" si="26"/>
        <v xml:space="preserve"> </v>
      </c>
      <c r="K438" s="20">
        <f t="shared" si="27"/>
        <v>0</v>
      </c>
    </row>
    <row r="439" spans="1:11" ht="15" thickBot="1" x14ac:dyDescent="0.35">
      <c r="A439" s="32">
        <v>438</v>
      </c>
      <c r="B439" s="28">
        <v>0.21210000000000001</v>
      </c>
      <c r="C439" s="29">
        <f t="shared" si="24"/>
        <v>0.21210000000000001</v>
      </c>
      <c r="D439" s="28">
        <v>0.6</v>
      </c>
      <c r="E439" s="30" t="str">
        <f t="shared" si="25"/>
        <v>Acceptable</v>
      </c>
      <c r="F439" s="28">
        <v>0.22389999999999999</v>
      </c>
      <c r="G439" s="28">
        <v>0</v>
      </c>
      <c r="H439" s="28">
        <v>35</v>
      </c>
      <c r="I439" s="33">
        <v>35</v>
      </c>
      <c r="J439" s="20" t="str">
        <f t="shared" si="26"/>
        <v xml:space="preserve"> </v>
      </c>
      <c r="K439" s="20">
        <f t="shared" si="27"/>
        <v>0</v>
      </c>
    </row>
    <row r="440" spans="1:11" ht="15" thickBot="1" x14ac:dyDescent="0.35">
      <c r="A440" s="32">
        <v>439</v>
      </c>
      <c r="B440" s="28">
        <v>0.21210000000000001</v>
      </c>
      <c r="C440" s="29">
        <f t="shared" si="24"/>
        <v>0.21210000000000001</v>
      </c>
      <c r="D440" s="28">
        <v>0.55000000000000004</v>
      </c>
      <c r="E440" s="30" t="str">
        <f t="shared" si="25"/>
        <v>Acceptable</v>
      </c>
      <c r="F440" s="28">
        <v>0.22389999999999999</v>
      </c>
      <c r="G440" s="28">
        <v>1</v>
      </c>
      <c r="H440" s="28">
        <v>100</v>
      </c>
      <c r="I440" s="33">
        <v>101</v>
      </c>
      <c r="J440" s="20" t="str">
        <f t="shared" si="26"/>
        <v xml:space="preserve"> </v>
      </c>
      <c r="K440" s="20">
        <f t="shared" si="27"/>
        <v>0</v>
      </c>
    </row>
    <row r="441" spans="1:11" ht="15" thickBot="1" x14ac:dyDescent="0.35">
      <c r="A441" s="32">
        <v>440</v>
      </c>
      <c r="B441" s="28">
        <v>0.21210000000000001</v>
      </c>
      <c r="C441" s="29">
        <f t="shared" si="24"/>
        <v>0.21210000000000001</v>
      </c>
      <c r="D441" s="28">
        <v>0.55000000000000004</v>
      </c>
      <c r="E441" s="30" t="str">
        <f t="shared" si="25"/>
        <v>Acceptable</v>
      </c>
      <c r="F441" s="28">
        <v>0.28360000000000002</v>
      </c>
      <c r="G441" s="28">
        <v>2</v>
      </c>
      <c r="H441" s="28">
        <v>247</v>
      </c>
      <c r="I441" s="33">
        <v>249</v>
      </c>
      <c r="J441" s="20" t="str">
        <f t="shared" si="26"/>
        <v xml:space="preserve"> </v>
      </c>
      <c r="K441" s="20">
        <f t="shared" si="27"/>
        <v>0</v>
      </c>
    </row>
    <row r="442" spans="1:11" ht="15" thickBot="1" x14ac:dyDescent="0.35">
      <c r="A442" s="32">
        <v>441</v>
      </c>
      <c r="B442" s="28">
        <v>0.2273</v>
      </c>
      <c r="C442" s="29">
        <f t="shared" si="24"/>
        <v>0.2273</v>
      </c>
      <c r="D442" s="28">
        <v>0.52</v>
      </c>
      <c r="E442" s="30" t="str">
        <f t="shared" si="25"/>
        <v>Acceptable</v>
      </c>
      <c r="F442" s="28">
        <v>0.22389999999999999</v>
      </c>
      <c r="G442" s="28">
        <v>3</v>
      </c>
      <c r="H442" s="28">
        <v>140</v>
      </c>
      <c r="I442" s="33">
        <v>143</v>
      </c>
      <c r="J442" s="20" t="str">
        <f t="shared" si="26"/>
        <v xml:space="preserve"> </v>
      </c>
      <c r="K442" s="20">
        <f t="shared" si="27"/>
        <v>0</v>
      </c>
    </row>
    <row r="443" spans="1:11" ht="15" thickBot="1" x14ac:dyDescent="0.35">
      <c r="A443" s="32">
        <v>442</v>
      </c>
      <c r="B443" s="28">
        <v>0.2273</v>
      </c>
      <c r="C443" s="29">
        <f t="shared" si="24"/>
        <v>0.2273</v>
      </c>
      <c r="D443" s="28">
        <v>0.48</v>
      </c>
      <c r="E443" s="30" t="str">
        <f t="shared" si="25"/>
        <v>Acceptable</v>
      </c>
      <c r="F443" s="28">
        <v>0.29849999999999999</v>
      </c>
      <c r="G443" s="28">
        <v>1</v>
      </c>
      <c r="H443" s="28">
        <v>56</v>
      </c>
      <c r="I443" s="33">
        <v>57</v>
      </c>
      <c r="J443" s="20" t="str">
        <f t="shared" si="26"/>
        <v xml:space="preserve"> </v>
      </c>
      <c r="K443" s="20">
        <f t="shared" si="27"/>
        <v>0</v>
      </c>
    </row>
    <row r="444" spans="1:11" ht="15" thickBot="1" x14ac:dyDescent="0.35">
      <c r="A444" s="32">
        <v>443</v>
      </c>
      <c r="B444" s="28">
        <v>0.2727</v>
      </c>
      <c r="C444" s="29">
        <f t="shared" si="24"/>
        <v>0.2727</v>
      </c>
      <c r="D444" s="28">
        <v>0.45</v>
      </c>
      <c r="E444" s="30" t="str">
        <f t="shared" si="25"/>
        <v>Acceptable</v>
      </c>
      <c r="F444" s="28">
        <v>0.16420000000000001</v>
      </c>
      <c r="G444" s="28">
        <v>5</v>
      </c>
      <c r="H444" s="28">
        <v>63</v>
      </c>
      <c r="I444" s="33">
        <v>68</v>
      </c>
      <c r="J444" s="20" t="str">
        <f t="shared" si="26"/>
        <v xml:space="preserve"> </v>
      </c>
      <c r="K444" s="20">
        <f t="shared" si="27"/>
        <v>0</v>
      </c>
    </row>
    <row r="445" spans="1:11" ht="15" thickBot="1" x14ac:dyDescent="0.35">
      <c r="A445" s="32">
        <v>444</v>
      </c>
      <c r="B445" s="28">
        <v>0.33329999999999999</v>
      </c>
      <c r="C445" s="29">
        <f t="shared" si="24"/>
        <v>0.33329999999999999</v>
      </c>
      <c r="D445" s="28">
        <v>0.42</v>
      </c>
      <c r="E445" s="30" t="str">
        <f t="shared" si="25"/>
        <v>Acceptable</v>
      </c>
      <c r="F445" s="28">
        <v>0</v>
      </c>
      <c r="G445" s="28">
        <v>7</v>
      </c>
      <c r="H445" s="28">
        <v>77</v>
      </c>
      <c r="I445" s="33">
        <v>84</v>
      </c>
      <c r="J445" s="20" t="str">
        <f t="shared" si="26"/>
        <v xml:space="preserve"> </v>
      </c>
      <c r="K445" s="20">
        <f t="shared" si="27"/>
        <v>0</v>
      </c>
    </row>
    <row r="446" spans="1:11" ht="15" thickBot="1" x14ac:dyDescent="0.35">
      <c r="A446" s="32">
        <v>445</v>
      </c>
      <c r="B446" s="28">
        <v>0.28789999999999999</v>
      </c>
      <c r="C446" s="29">
        <f t="shared" si="24"/>
        <v>0.28789999999999999</v>
      </c>
      <c r="D446" s="28">
        <v>0.45</v>
      </c>
      <c r="E446" s="30" t="str">
        <f t="shared" si="25"/>
        <v>Acceptable</v>
      </c>
      <c r="F446" s="28">
        <v>0.1045</v>
      </c>
      <c r="G446" s="28">
        <v>12</v>
      </c>
      <c r="H446" s="28">
        <v>86</v>
      </c>
      <c r="I446" s="33">
        <v>98</v>
      </c>
      <c r="J446" s="20" t="str">
        <f t="shared" si="26"/>
        <v xml:space="preserve"> </v>
      </c>
      <c r="K446" s="20">
        <f t="shared" si="27"/>
        <v>0</v>
      </c>
    </row>
    <row r="447" spans="1:11" ht="15" thickBot="1" x14ac:dyDescent="0.35">
      <c r="A447" s="32">
        <v>446</v>
      </c>
      <c r="B447" s="28">
        <v>0.30299999999999999</v>
      </c>
      <c r="C447" s="29">
        <f t="shared" si="24"/>
        <v>0.30299999999999999</v>
      </c>
      <c r="D447" s="28">
        <v>0.45</v>
      </c>
      <c r="E447" s="30" t="str">
        <f t="shared" si="25"/>
        <v>Acceptable</v>
      </c>
      <c r="F447" s="28">
        <v>0.1343</v>
      </c>
      <c r="G447" s="28">
        <v>6</v>
      </c>
      <c r="H447" s="28">
        <v>75</v>
      </c>
      <c r="I447" s="33">
        <v>81</v>
      </c>
      <c r="J447" s="20" t="str">
        <f t="shared" si="26"/>
        <v xml:space="preserve"> </v>
      </c>
      <c r="K447" s="20">
        <f t="shared" si="27"/>
        <v>0</v>
      </c>
    </row>
    <row r="448" spans="1:11" ht="15" thickBot="1" x14ac:dyDescent="0.35">
      <c r="A448" s="32">
        <v>447</v>
      </c>
      <c r="B448" s="28">
        <v>0.31819999999999998</v>
      </c>
      <c r="C448" s="29">
        <f t="shared" si="24"/>
        <v>0.31819999999999998</v>
      </c>
      <c r="D448" s="28">
        <v>0.45</v>
      </c>
      <c r="E448" s="30" t="str">
        <f t="shared" si="25"/>
        <v>Acceptable</v>
      </c>
      <c r="F448" s="28">
        <v>0.19400000000000001</v>
      </c>
      <c r="G448" s="28">
        <v>8</v>
      </c>
      <c r="H448" s="28">
        <v>62</v>
      </c>
      <c r="I448" s="33">
        <v>70</v>
      </c>
      <c r="J448" s="20" t="str">
        <f t="shared" si="26"/>
        <v xml:space="preserve"> </v>
      </c>
      <c r="K448" s="20">
        <f t="shared" si="27"/>
        <v>0</v>
      </c>
    </row>
    <row r="449" spans="1:11" ht="15" thickBot="1" x14ac:dyDescent="0.35">
      <c r="A449" s="32">
        <v>448</v>
      </c>
      <c r="B449" s="28">
        <v>0.30299999999999999</v>
      </c>
      <c r="C449" s="29">
        <f t="shared" si="24"/>
        <v>0.30299999999999999</v>
      </c>
      <c r="D449" s="28">
        <v>0.49</v>
      </c>
      <c r="E449" s="30" t="str">
        <f t="shared" si="25"/>
        <v>Acceptable</v>
      </c>
      <c r="F449" s="28">
        <v>0.1343</v>
      </c>
      <c r="G449" s="28">
        <v>8</v>
      </c>
      <c r="H449" s="28">
        <v>83</v>
      </c>
      <c r="I449" s="33">
        <v>91</v>
      </c>
      <c r="J449" s="20" t="str">
        <f t="shared" si="26"/>
        <v xml:space="preserve"> </v>
      </c>
      <c r="K449" s="20">
        <f t="shared" si="27"/>
        <v>0</v>
      </c>
    </row>
    <row r="450" spans="1:11" ht="15" thickBot="1" x14ac:dyDescent="0.35">
      <c r="A450" s="32">
        <v>449</v>
      </c>
      <c r="B450" s="28">
        <v>0.31819999999999998</v>
      </c>
      <c r="C450" s="29">
        <f t="shared" si="24"/>
        <v>0.31819999999999998</v>
      </c>
      <c r="D450" s="28">
        <v>0.49</v>
      </c>
      <c r="E450" s="30" t="str">
        <f t="shared" si="25"/>
        <v>Acceptable</v>
      </c>
      <c r="F450" s="28">
        <v>0.1045</v>
      </c>
      <c r="G450" s="28">
        <v>8</v>
      </c>
      <c r="H450" s="28">
        <v>207</v>
      </c>
      <c r="I450" s="33">
        <v>215</v>
      </c>
      <c r="J450" s="20" t="str">
        <f t="shared" si="26"/>
        <v xml:space="preserve"> </v>
      </c>
      <c r="K450" s="20">
        <f t="shared" si="27"/>
        <v>0</v>
      </c>
    </row>
    <row r="451" spans="1:11" ht="15" thickBot="1" x14ac:dyDescent="0.35">
      <c r="A451" s="32">
        <v>450</v>
      </c>
      <c r="B451" s="28">
        <v>0.2576</v>
      </c>
      <c r="C451" s="29">
        <f t="shared" ref="C451:C514" si="28">IF(ISBLANK(B451),AVERAGE(B451:B1060),B451)</f>
        <v>0.2576</v>
      </c>
      <c r="D451" s="28">
        <v>0.56000000000000005</v>
      </c>
      <c r="E451" s="30" t="str">
        <f t="shared" ref="E451:E514" si="29">IF(D451&lt;0.7,"Acceptable","Risky")</f>
        <v>Acceptable</v>
      </c>
      <c r="F451" s="28">
        <v>0.19400000000000001</v>
      </c>
      <c r="G451" s="28">
        <v>1</v>
      </c>
      <c r="H451" s="28">
        <v>184</v>
      </c>
      <c r="I451" s="33">
        <v>185</v>
      </c>
      <c r="J451" s="20" t="str">
        <f t="shared" ref="J451:J514" si="30">IF(G451+H451=I451," ","Not same")</f>
        <v xml:space="preserve"> </v>
      </c>
      <c r="K451" s="20">
        <f t="shared" ref="K451:K514" si="31">COUNTBLANK(A451:J451)</f>
        <v>0</v>
      </c>
    </row>
    <row r="452" spans="1:11" ht="15" thickBot="1" x14ac:dyDescent="0.35">
      <c r="A452" s="32">
        <v>451</v>
      </c>
      <c r="B452" s="28">
        <v>0.2273</v>
      </c>
      <c r="C452" s="29">
        <f t="shared" si="28"/>
        <v>0.2273</v>
      </c>
      <c r="D452" s="28">
        <v>0.56000000000000005</v>
      </c>
      <c r="E452" s="30" t="str">
        <f t="shared" si="29"/>
        <v>Acceptable</v>
      </c>
      <c r="F452" s="28">
        <v>0.32840000000000003</v>
      </c>
      <c r="G452" s="28">
        <v>6</v>
      </c>
      <c r="H452" s="28">
        <v>146</v>
      </c>
      <c r="I452" s="33">
        <v>152</v>
      </c>
      <c r="J452" s="20" t="str">
        <f t="shared" si="30"/>
        <v xml:space="preserve"> </v>
      </c>
      <c r="K452" s="20">
        <f t="shared" si="31"/>
        <v>0</v>
      </c>
    </row>
    <row r="453" spans="1:11" ht="15" thickBot="1" x14ac:dyDescent="0.35">
      <c r="A453" s="32">
        <v>452</v>
      </c>
      <c r="B453" s="28">
        <v>0.2424</v>
      </c>
      <c r="C453" s="29">
        <f t="shared" si="28"/>
        <v>0.2424</v>
      </c>
      <c r="D453" s="28">
        <v>0.6</v>
      </c>
      <c r="E453" s="30" t="str">
        <f t="shared" si="29"/>
        <v>Acceptable</v>
      </c>
      <c r="F453" s="28">
        <v>0.28360000000000002</v>
      </c>
      <c r="G453" s="28">
        <v>2</v>
      </c>
      <c r="H453" s="28">
        <v>124</v>
      </c>
      <c r="I453" s="33">
        <v>126</v>
      </c>
      <c r="J453" s="20" t="str">
        <f t="shared" si="30"/>
        <v xml:space="preserve"> </v>
      </c>
      <c r="K453" s="20">
        <f t="shared" si="31"/>
        <v>0</v>
      </c>
    </row>
    <row r="454" spans="1:11" ht="15" thickBot="1" x14ac:dyDescent="0.35">
      <c r="A454" s="32">
        <v>453</v>
      </c>
      <c r="B454" s="28">
        <v>0.2273</v>
      </c>
      <c r="C454" s="29">
        <f t="shared" si="28"/>
        <v>0.2273</v>
      </c>
      <c r="D454" s="28">
        <v>0.6</v>
      </c>
      <c r="E454" s="30" t="str">
        <f t="shared" si="29"/>
        <v>Acceptable</v>
      </c>
      <c r="F454" s="28">
        <v>0.25369999999999998</v>
      </c>
      <c r="G454" s="28">
        <v>3</v>
      </c>
      <c r="H454" s="28">
        <v>54</v>
      </c>
      <c r="I454" s="33">
        <v>57</v>
      </c>
      <c r="J454" s="20" t="str">
        <f t="shared" si="30"/>
        <v xml:space="preserve"> </v>
      </c>
      <c r="K454" s="20">
        <f t="shared" si="31"/>
        <v>0</v>
      </c>
    </row>
    <row r="455" spans="1:11" ht="15" thickBot="1" x14ac:dyDescent="0.35">
      <c r="A455" s="32">
        <v>454</v>
      </c>
      <c r="B455" s="28">
        <v>0.21210000000000001</v>
      </c>
      <c r="C455" s="29">
        <f t="shared" si="28"/>
        <v>0.21210000000000001</v>
      </c>
      <c r="D455" s="28">
        <v>0.65</v>
      </c>
      <c r="E455" s="30" t="str">
        <f t="shared" si="29"/>
        <v>Acceptable</v>
      </c>
      <c r="F455" s="28">
        <v>0.28360000000000002</v>
      </c>
      <c r="G455" s="28">
        <v>0</v>
      </c>
      <c r="H455" s="28">
        <v>56</v>
      </c>
      <c r="I455" s="33">
        <v>56</v>
      </c>
      <c r="J455" s="20" t="str">
        <f t="shared" si="30"/>
        <v xml:space="preserve"> </v>
      </c>
      <c r="K455" s="20">
        <f t="shared" si="31"/>
        <v>0</v>
      </c>
    </row>
    <row r="456" spans="1:11" ht="15" thickBot="1" x14ac:dyDescent="0.35">
      <c r="A456" s="32">
        <v>455</v>
      </c>
      <c r="B456" s="28">
        <v>0.21210000000000001</v>
      </c>
      <c r="C456" s="29">
        <f t="shared" si="28"/>
        <v>0.21210000000000001</v>
      </c>
      <c r="D456" s="28">
        <v>0.65</v>
      </c>
      <c r="E456" s="30" t="str">
        <f t="shared" si="29"/>
        <v>Acceptable</v>
      </c>
      <c r="F456" s="28">
        <v>0.32840000000000003</v>
      </c>
      <c r="G456" s="28">
        <v>3</v>
      </c>
      <c r="H456" s="28">
        <v>28</v>
      </c>
      <c r="I456" s="33">
        <v>31</v>
      </c>
      <c r="J456" s="20" t="str">
        <f t="shared" si="30"/>
        <v xml:space="preserve"> </v>
      </c>
      <c r="K456" s="20">
        <f t="shared" si="31"/>
        <v>0</v>
      </c>
    </row>
    <row r="457" spans="1:11" ht="15" thickBot="1" x14ac:dyDescent="0.35">
      <c r="A457" s="32">
        <v>456</v>
      </c>
      <c r="B457" s="28">
        <v>0.2273</v>
      </c>
      <c r="C457" s="29">
        <f t="shared" si="28"/>
        <v>0.2273</v>
      </c>
      <c r="D457" s="28">
        <v>0.7</v>
      </c>
      <c r="E457" s="30" t="str">
        <f t="shared" si="29"/>
        <v>Risky</v>
      </c>
      <c r="F457" s="28">
        <v>0.25369999999999998</v>
      </c>
      <c r="G457" s="28">
        <v>1</v>
      </c>
      <c r="H457" s="28">
        <v>20</v>
      </c>
      <c r="I457" s="33">
        <v>21</v>
      </c>
      <c r="J457" s="20" t="str">
        <f t="shared" si="30"/>
        <v xml:space="preserve"> </v>
      </c>
      <c r="K457" s="20">
        <f t="shared" si="31"/>
        <v>0</v>
      </c>
    </row>
    <row r="458" spans="1:11" ht="15" thickBot="1" x14ac:dyDescent="0.35">
      <c r="A458" s="32">
        <v>457</v>
      </c>
      <c r="B458" s="28">
        <v>0.2273</v>
      </c>
      <c r="C458" s="29">
        <f t="shared" si="28"/>
        <v>0.2273</v>
      </c>
      <c r="D458" s="28">
        <v>0.7</v>
      </c>
      <c r="E458" s="30" t="str">
        <f t="shared" si="29"/>
        <v>Risky</v>
      </c>
      <c r="F458" s="28">
        <v>0.25369999999999998</v>
      </c>
      <c r="G458" s="28">
        <v>0</v>
      </c>
      <c r="H458" s="28">
        <v>6</v>
      </c>
      <c r="I458" s="33">
        <v>6</v>
      </c>
      <c r="J458" s="20" t="str">
        <f t="shared" si="30"/>
        <v xml:space="preserve"> </v>
      </c>
      <c r="K458" s="20">
        <f t="shared" si="31"/>
        <v>0</v>
      </c>
    </row>
    <row r="459" spans="1:11" ht="15" thickBot="1" x14ac:dyDescent="0.35">
      <c r="A459" s="32">
        <v>458</v>
      </c>
      <c r="B459" s="28">
        <v>0.2424</v>
      </c>
      <c r="C459" s="29">
        <f t="shared" si="28"/>
        <v>0.2424</v>
      </c>
      <c r="D459" s="28">
        <v>0.75</v>
      </c>
      <c r="E459" s="30" t="str">
        <f t="shared" si="29"/>
        <v>Risky</v>
      </c>
      <c r="F459" s="28">
        <v>0.16420000000000001</v>
      </c>
      <c r="G459" s="28">
        <v>0</v>
      </c>
      <c r="H459" s="28">
        <v>2</v>
      </c>
      <c r="I459" s="33">
        <v>2</v>
      </c>
      <c r="J459" s="20" t="str">
        <f t="shared" si="30"/>
        <v xml:space="preserve"> </v>
      </c>
      <c r="K459" s="20">
        <f t="shared" si="31"/>
        <v>0</v>
      </c>
    </row>
    <row r="460" spans="1:11" ht="15" thickBot="1" x14ac:dyDescent="0.35">
      <c r="A460" s="32">
        <v>459</v>
      </c>
      <c r="B460" s="28">
        <v>0.21210000000000001</v>
      </c>
      <c r="C460" s="29">
        <f t="shared" si="28"/>
        <v>0.21210000000000001</v>
      </c>
      <c r="D460" s="28">
        <v>0.8</v>
      </c>
      <c r="E460" s="30" t="str">
        <f t="shared" si="29"/>
        <v>Risky</v>
      </c>
      <c r="F460" s="28">
        <v>0.29849999999999999</v>
      </c>
      <c r="G460" s="28">
        <v>0</v>
      </c>
      <c r="H460" s="28">
        <v>1</v>
      </c>
      <c r="I460" s="33">
        <v>1</v>
      </c>
      <c r="J460" s="20" t="str">
        <f t="shared" si="30"/>
        <v xml:space="preserve"> </v>
      </c>
      <c r="K460" s="20">
        <f t="shared" si="31"/>
        <v>0</v>
      </c>
    </row>
    <row r="461" spans="1:11" ht="15" thickBot="1" x14ac:dyDescent="0.35">
      <c r="A461" s="32">
        <v>460</v>
      </c>
      <c r="B461" s="28">
        <v>0.2576</v>
      </c>
      <c r="C461" s="29">
        <f t="shared" si="28"/>
        <v>0.2576</v>
      </c>
      <c r="D461" s="28">
        <v>0.87</v>
      </c>
      <c r="E461" s="30" t="str">
        <f t="shared" si="29"/>
        <v>Risky</v>
      </c>
      <c r="F461" s="28">
        <v>8.9599999999999999E-2</v>
      </c>
      <c r="G461" s="28">
        <v>0</v>
      </c>
      <c r="H461" s="28">
        <v>1</v>
      </c>
      <c r="I461" s="33">
        <v>1</v>
      </c>
      <c r="J461" s="20" t="str">
        <f t="shared" si="30"/>
        <v xml:space="preserve"> </v>
      </c>
      <c r="K461" s="20">
        <f t="shared" si="31"/>
        <v>0</v>
      </c>
    </row>
    <row r="462" spans="1:11" ht="15" thickBot="1" x14ac:dyDescent="0.35">
      <c r="A462" s="32">
        <v>461</v>
      </c>
      <c r="B462" s="28">
        <v>0.19700000000000001</v>
      </c>
      <c r="C462" s="29">
        <f t="shared" si="28"/>
        <v>0.19700000000000001</v>
      </c>
      <c r="D462" s="28">
        <v>0.6</v>
      </c>
      <c r="E462" s="30" t="str">
        <f t="shared" si="29"/>
        <v>Acceptable</v>
      </c>
      <c r="F462" s="28">
        <v>0.41789999999999999</v>
      </c>
      <c r="G462" s="28">
        <v>1</v>
      </c>
      <c r="H462" s="28">
        <v>4</v>
      </c>
      <c r="I462" s="33">
        <v>5</v>
      </c>
      <c r="J462" s="20" t="str">
        <f t="shared" si="30"/>
        <v xml:space="preserve"> </v>
      </c>
      <c r="K462" s="20">
        <f t="shared" si="31"/>
        <v>0</v>
      </c>
    </row>
    <row r="463" spans="1:11" ht="15" thickBot="1" x14ac:dyDescent="0.35">
      <c r="A463" s="32">
        <v>462</v>
      </c>
      <c r="B463" s="28">
        <v>0.21210000000000001</v>
      </c>
      <c r="C463" s="29">
        <f t="shared" si="28"/>
        <v>0.21210000000000001</v>
      </c>
      <c r="D463" s="28">
        <v>0.55000000000000004</v>
      </c>
      <c r="E463" s="30" t="str">
        <f t="shared" si="29"/>
        <v>Acceptable</v>
      </c>
      <c r="F463" s="28">
        <v>0.25369999999999998</v>
      </c>
      <c r="G463" s="28">
        <v>0</v>
      </c>
      <c r="H463" s="28">
        <v>27</v>
      </c>
      <c r="I463" s="33">
        <v>27</v>
      </c>
      <c r="J463" s="20" t="str">
        <f t="shared" si="30"/>
        <v xml:space="preserve"> </v>
      </c>
      <c r="K463" s="20">
        <f t="shared" si="31"/>
        <v>0</v>
      </c>
    </row>
    <row r="464" spans="1:11" ht="15" thickBot="1" x14ac:dyDescent="0.35">
      <c r="A464" s="32">
        <v>463</v>
      </c>
      <c r="B464" s="28">
        <v>0.18179999999999999</v>
      </c>
      <c r="C464" s="29">
        <f t="shared" si="28"/>
        <v>0.18179999999999999</v>
      </c>
      <c r="D464" s="28">
        <v>0.51</v>
      </c>
      <c r="E464" s="30" t="str">
        <f t="shared" si="29"/>
        <v>Acceptable</v>
      </c>
      <c r="F464" s="28">
        <v>0.28360000000000002</v>
      </c>
      <c r="G464" s="28">
        <v>2</v>
      </c>
      <c r="H464" s="28">
        <v>66</v>
      </c>
      <c r="I464" s="33">
        <v>68</v>
      </c>
      <c r="J464" s="20" t="str">
        <f t="shared" si="30"/>
        <v xml:space="preserve"> </v>
      </c>
      <c r="K464" s="20">
        <f t="shared" si="31"/>
        <v>0</v>
      </c>
    </row>
    <row r="465" spans="1:11" ht="15" thickBot="1" x14ac:dyDescent="0.35">
      <c r="A465" s="32">
        <v>464</v>
      </c>
      <c r="B465" s="28">
        <v>0.18179999999999999</v>
      </c>
      <c r="C465" s="29">
        <f t="shared" si="28"/>
        <v>0.18179999999999999</v>
      </c>
      <c r="D465" s="28">
        <v>0.47</v>
      </c>
      <c r="E465" s="30" t="str">
        <f t="shared" si="29"/>
        <v>Acceptable</v>
      </c>
      <c r="F465" s="28">
        <v>0.32840000000000003</v>
      </c>
      <c r="G465" s="28">
        <v>7</v>
      </c>
      <c r="H465" s="28">
        <v>210</v>
      </c>
      <c r="I465" s="33">
        <v>217</v>
      </c>
      <c r="J465" s="20" t="str">
        <f t="shared" si="30"/>
        <v xml:space="preserve"> </v>
      </c>
      <c r="K465" s="20">
        <f t="shared" si="31"/>
        <v>0</v>
      </c>
    </row>
    <row r="466" spans="1:11" ht="15" thickBot="1" x14ac:dyDescent="0.35">
      <c r="A466" s="32">
        <v>465</v>
      </c>
      <c r="B466" s="28">
        <v>0.18179999999999999</v>
      </c>
      <c r="C466" s="29">
        <f t="shared" si="28"/>
        <v>0.18179999999999999</v>
      </c>
      <c r="D466" s="28">
        <v>0.51</v>
      </c>
      <c r="E466" s="30" t="str">
        <f t="shared" si="29"/>
        <v>Acceptable</v>
      </c>
      <c r="F466" s="28">
        <v>0.35820000000000002</v>
      </c>
      <c r="G466" s="28">
        <v>7</v>
      </c>
      <c r="H466" s="28">
        <v>159</v>
      </c>
      <c r="I466" s="33">
        <v>166</v>
      </c>
      <c r="J466" s="20" t="str">
        <f t="shared" si="30"/>
        <v xml:space="preserve"> </v>
      </c>
      <c r="K466" s="20">
        <f t="shared" si="31"/>
        <v>0</v>
      </c>
    </row>
    <row r="467" spans="1:11" ht="15" thickBot="1" x14ac:dyDescent="0.35">
      <c r="A467" s="32">
        <v>466</v>
      </c>
      <c r="B467" s="28">
        <v>0.16669999999999999</v>
      </c>
      <c r="C467" s="29">
        <f t="shared" si="28"/>
        <v>0.16669999999999999</v>
      </c>
      <c r="D467" s="28">
        <v>0.47</v>
      </c>
      <c r="E467" s="30" t="str">
        <f t="shared" si="29"/>
        <v>Acceptable</v>
      </c>
      <c r="F467" s="28">
        <v>0.4627</v>
      </c>
      <c r="G467" s="28">
        <v>6</v>
      </c>
      <c r="H467" s="28">
        <v>57</v>
      </c>
      <c r="I467" s="33">
        <v>63</v>
      </c>
      <c r="J467" s="20" t="str">
        <f t="shared" si="30"/>
        <v xml:space="preserve"> </v>
      </c>
      <c r="K467" s="20">
        <f t="shared" si="31"/>
        <v>0</v>
      </c>
    </row>
    <row r="468" spans="1:11" ht="15" thickBot="1" x14ac:dyDescent="0.35">
      <c r="A468" s="32">
        <v>467</v>
      </c>
      <c r="B468" s="28">
        <v>0.18179999999999999</v>
      </c>
      <c r="C468" s="29">
        <f t="shared" si="28"/>
        <v>0.18179999999999999</v>
      </c>
      <c r="D468" s="28">
        <v>0.41</v>
      </c>
      <c r="E468" s="30" t="str">
        <f t="shared" si="29"/>
        <v>Acceptable</v>
      </c>
      <c r="F468" s="28">
        <v>0.4627</v>
      </c>
      <c r="G468" s="28">
        <v>6</v>
      </c>
      <c r="H468" s="28">
        <v>53</v>
      </c>
      <c r="I468" s="33">
        <v>59</v>
      </c>
      <c r="J468" s="20" t="str">
        <f t="shared" si="30"/>
        <v xml:space="preserve"> </v>
      </c>
      <c r="K468" s="20">
        <f t="shared" si="31"/>
        <v>0</v>
      </c>
    </row>
    <row r="469" spans="1:11" ht="15" thickBot="1" x14ac:dyDescent="0.35">
      <c r="A469" s="32">
        <v>468</v>
      </c>
      <c r="B469" s="28">
        <v>0.18179999999999999</v>
      </c>
      <c r="C469" s="29">
        <f t="shared" si="28"/>
        <v>0.18179999999999999</v>
      </c>
      <c r="D469" s="28">
        <v>0.27</v>
      </c>
      <c r="E469" s="30" t="str">
        <f t="shared" si="29"/>
        <v>Acceptable</v>
      </c>
      <c r="F469" s="28">
        <v>0.58209999999999995</v>
      </c>
      <c r="G469" s="28">
        <v>11</v>
      </c>
      <c r="H469" s="28">
        <v>67</v>
      </c>
      <c r="I469" s="33">
        <v>78</v>
      </c>
      <c r="J469" s="20" t="str">
        <f t="shared" si="30"/>
        <v xml:space="preserve"> </v>
      </c>
      <c r="K469" s="20">
        <f t="shared" si="31"/>
        <v>0</v>
      </c>
    </row>
    <row r="470" spans="1:11" ht="15" thickBot="1" x14ac:dyDescent="0.35">
      <c r="A470" s="32">
        <v>469</v>
      </c>
      <c r="B470" s="28">
        <v>0.1515</v>
      </c>
      <c r="C470" s="29">
        <f t="shared" si="28"/>
        <v>0.1515</v>
      </c>
      <c r="D470" s="28">
        <v>0.21</v>
      </c>
      <c r="E470" s="30" t="str">
        <f t="shared" si="29"/>
        <v>Acceptable</v>
      </c>
      <c r="F470" s="28">
        <v>0.58209999999999995</v>
      </c>
      <c r="G470" s="28">
        <v>8</v>
      </c>
      <c r="H470" s="28">
        <v>65</v>
      </c>
      <c r="I470" s="33">
        <v>73</v>
      </c>
      <c r="J470" s="20" t="str">
        <f t="shared" si="30"/>
        <v xml:space="preserve"> </v>
      </c>
      <c r="K470" s="20">
        <f t="shared" si="31"/>
        <v>0</v>
      </c>
    </row>
    <row r="471" spans="1:11" ht="15" thickBot="1" x14ac:dyDescent="0.35">
      <c r="A471" s="32">
        <v>470</v>
      </c>
      <c r="B471" s="28">
        <v>0.1515</v>
      </c>
      <c r="C471" s="29">
        <f t="shared" si="28"/>
        <v>0.1515</v>
      </c>
      <c r="D471" s="28">
        <v>0.25</v>
      </c>
      <c r="E471" s="30" t="str">
        <f t="shared" si="29"/>
        <v>Acceptable</v>
      </c>
      <c r="F471" s="28">
        <v>0.52239999999999998</v>
      </c>
      <c r="G471" s="28">
        <v>6</v>
      </c>
      <c r="H471" s="28">
        <v>56</v>
      </c>
      <c r="I471" s="33">
        <v>62</v>
      </c>
      <c r="J471" s="20" t="str">
        <f t="shared" si="30"/>
        <v xml:space="preserve"> </v>
      </c>
      <c r="K471" s="20">
        <f t="shared" si="31"/>
        <v>0</v>
      </c>
    </row>
    <row r="472" spans="1:11" ht="15" thickBot="1" x14ac:dyDescent="0.35">
      <c r="A472" s="32">
        <v>471</v>
      </c>
      <c r="B472" s="28">
        <v>0.1212</v>
      </c>
      <c r="C472" s="29">
        <f t="shared" si="28"/>
        <v>0.1212</v>
      </c>
      <c r="D472" s="28">
        <v>0.26</v>
      </c>
      <c r="E472" s="30" t="str">
        <f t="shared" si="29"/>
        <v>Acceptable</v>
      </c>
      <c r="F472" s="28">
        <v>0.44779999999999998</v>
      </c>
      <c r="G472" s="28">
        <v>4</v>
      </c>
      <c r="H472" s="28">
        <v>61</v>
      </c>
      <c r="I472" s="33">
        <v>65</v>
      </c>
      <c r="J472" s="20" t="str">
        <f t="shared" si="30"/>
        <v xml:space="preserve"> </v>
      </c>
      <c r="K472" s="20">
        <f t="shared" si="31"/>
        <v>0</v>
      </c>
    </row>
    <row r="473" spans="1:11" ht="15" thickBot="1" x14ac:dyDescent="0.35">
      <c r="A473" s="32">
        <v>472</v>
      </c>
      <c r="B473" s="28">
        <v>0.13639999999999999</v>
      </c>
      <c r="C473" s="29">
        <f t="shared" si="28"/>
        <v>0.13639999999999999</v>
      </c>
      <c r="D473" s="28">
        <v>0.26</v>
      </c>
      <c r="E473" s="30" t="str">
        <f t="shared" si="29"/>
        <v>Acceptable</v>
      </c>
      <c r="F473" s="28">
        <v>0.35820000000000002</v>
      </c>
      <c r="G473" s="28">
        <v>0</v>
      </c>
      <c r="H473" s="28">
        <v>97</v>
      </c>
      <c r="I473" s="33">
        <v>97</v>
      </c>
      <c r="J473" s="20" t="str">
        <f t="shared" si="30"/>
        <v xml:space="preserve"> </v>
      </c>
      <c r="K473" s="20">
        <f t="shared" si="31"/>
        <v>0</v>
      </c>
    </row>
    <row r="474" spans="1:11" ht="15" thickBot="1" x14ac:dyDescent="0.35">
      <c r="A474" s="32">
        <v>473</v>
      </c>
      <c r="B474" s="28">
        <v>0.1212</v>
      </c>
      <c r="C474" s="29">
        <f t="shared" si="28"/>
        <v>0.1212</v>
      </c>
      <c r="D474" s="28">
        <v>0.28000000000000003</v>
      </c>
      <c r="E474" s="30" t="str">
        <f t="shared" si="29"/>
        <v>Acceptable</v>
      </c>
      <c r="F474" s="28">
        <v>0.35820000000000002</v>
      </c>
      <c r="G474" s="28">
        <v>10</v>
      </c>
      <c r="H474" s="28">
        <v>151</v>
      </c>
      <c r="I474" s="33">
        <v>161</v>
      </c>
      <c r="J474" s="20" t="str">
        <f t="shared" si="30"/>
        <v xml:space="preserve"> </v>
      </c>
      <c r="K474" s="20">
        <f t="shared" si="31"/>
        <v>0</v>
      </c>
    </row>
    <row r="475" spans="1:11" ht="15" thickBot="1" x14ac:dyDescent="0.35">
      <c r="A475" s="32">
        <v>474</v>
      </c>
      <c r="B475" s="28">
        <v>0.1212</v>
      </c>
      <c r="C475" s="29">
        <f t="shared" si="28"/>
        <v>0.1212</v>
      </c>
      <c r="D475" s="28">
        <v>0.3</v>
      </c>
      <c r="E475" s="30" t="str">
        <f t="shared" si="29"/>
        <v>Acceptable</v>
      </c>
      <c r="F475" s="28">
        <v>0.25369999999999998</v>
      </c>
      <c r="G475" s="28">
        <v>1</v>
      </c>
      <c r="H475" s="28">
        <v>119</v>
      </c>
      <c r="I475" s="33">
        <v>120</v>
      </c>
      <c r="J475" s="20" t="str">
        <f t="shared" si="30"/>
        <v xml:space="preserve"> </v>
      </c>
      <c r="K475" s="20">
        <f t="shared" si="31"/>
        <v>0</v>
      </c>
    </row>
    <row r="476" spans="1:11" ht="15" thickBot="1" x14ac:dyDescent="0.35">
      <c r="A476" s="32">
        <v>475</v>
      </c>
      <c r="B476" s="28">
        <v>0.1061</v>
      </c>
      <c r="C476" s="29">
        <f t="shared" si="28"/>
        <v>0.1061</v>
      </c>
      <c r="D476" s="28">
        <v>0.3</v>
      </c>
      <c r="E476" s="30" t="str">
        <f t="shared" si="29"/>
        <v>Acceptable</v>
      </c>
      <c r="F476" s="28">
        <v>0.32840000000000003</v>
      </c>
      <c r="G476" s="28">
        <v>3</v>
      </c>
      <c r="H476" s="28">
        <v>93</v>
      </c>
      <c r="I476" s="33">
        <v>96</v>
      </c>
      <c r="J476" s="20" t="str">
        <f t="shared" si="30"/>
        <v xml:space="preserve"> </v>
      </c>
      <c r="K476" s="20">
        <f t="shared" si="31"/>
        <v>0</v>
      </c>
    </row>
    <row r="477" spans="1:11" ht="15" thickBot="1" x14ac:dyDescent="0.35">
      <c r="A477" s="32">
        <v>476</v>
      </c>
      <c r="B477" s="28">
        <v>7.5800000000000006E-2</v>
      </c>
      <c r="C477" s="29">
        <f t="shared" si="28"/>
        <v>7.5800000000000006E-2</v>
      </c>
      <c r="D477" s="28">
        <v>0.33</v>
      </c>
      <c r="E477" s="30" t="str">
        <f t="shared" si="29"/>
        <v>Acceptable</v>
      </c>
      <c r="F477" s="28">
        <v>0.41789999999999999</v>
      </c>
      <c r="G477" s="28">
        <v>1</v>
      </c>
      <c r="H477" s="28">
        <v>52</v>
      </c>
      <c r="I477" s="33">
        <v>53</v>
      </c>
      <c r="J477" s="20" t="str">
        <f t="shared" si="30"/>
        <v xml:space="preserve"> </v>
      </c>
      <c r="K477" s="20">
        <f t="shared" si="31"/>
        <v>0</v>
      </c>
    </row>
    <row r="478" spans="1:11" ht="15" thickBot="1" x14ac:dyDescent="0.35">
      <c r="A478" s="32">
        <v>477</v>
      </c>
      <c r="B478" s="28">
        <v>7.5800000000000006E-2</v>
      </c>
      <c r="C478" s="29">
        <f t="shared" si="28"/>
        <v>7.5800000000000006E-2</v>
      </c>
      <c r="D478" s="28">
        <v>0.38</v>
      </c>
      <c r="E478" s="30" t="str">
        <f t="shared" si="29"/>
        <v>Acceptable</v>
      </c>
      <c r="F478" s="28">
        <v>0.28360000000000002</v>
      </c>
      <c r="G478" s="28">
        <v>0</v>
      </c>
      <c r="H478" s="28">
        <v>41</v>
      </c>
      <c r="I478" s="33">
        <v>41</v>
      </c>
      <c r="J478" s="20" t="str">
        <f t="shared" si="30"/>
        <v xml:space="preserve"> </v>
      </c>
      <c r="K478" s="20">
        <f t="shared" si="31"/>
        <v>0</v>
      </c>
    </row>
    <row r="479" spans="1:11" ht="15" thickBot="1" x14ac:dyDescent="0.35">
      <c r="A479" s="32">
        <v>478</v>
      </c>
      <c r="B479" s="28">
        <v>3.0300000000000001E-2</v>
      </c>
      <c r="C479" s="29">
        <f t="shared" si="28"/>
        <v>3.0300000000000001E-2</v>
      </c>
      <c r="D479" s="28">
        <v>0.41</v>
      </c>
      <c r="E479" s="30" t="str">
        <f t="shared" si="29"/>
        <v>Acceptable</v>
      </c>
      <c r="F479" s="28">
        <v>0.3881</v>
      </c>
      <c r="G479" s="28">
        <v>1</v>
      </c>
      <c r="H479" s="28">
        <v>33</v>
      </c>
      <c r="I479" s="33">
        <v>34</v>
      </c>
      <c r="J479" s="20" t="str">
        <f t="shared" si="30"/>
        <v xml:space="preserve"> </v>
      </c>
      <c r="K479" s="20">
        <f t="shared" si="31"/>
        <v>0</v>
      </c>
    </row>
    <row r="480" spans="1:11" ht="15" thickBot="1" x14ac:dyDescent="0.35">
      <c r="A480" s="32">
        <v>479</v>
      </c>
      <c r="B480" s="28">
        <v>4.5499999999999999E-2</v>
      </c>
      <c r="C480" s="29">
        <f t="shared" si="28"/>
        <v>4.5499999999999999E-2</v>
      </c>
      <c r="D480" s="28">
        <v>0.38</v>
      </c>
      <c r="E480" s="30" t="str">
        <f t="shared" si="29"/>
        <v>Acceptable</v>
      </c>
      <c r="F480" s="28">
        <v>0.32840000000000003</v>
      </c>
      <c r="G480" s="28">
        <v>0</v>
      </c>
      <c r="H480" s="28">
        <v>27</v>
      </c>
      <c r="I480" s="33">
        <v>27</v>
      </c>
      <c r="J480" s="20" t="str">
        <f t="shared" si="30"/>
        <v xml:space="preserve"> </v>
      </c>
      <c r="K480" s="20">
        <f t="shared" si="31"/>
        <v>0</v>
      </c>
    </row>
    <row r="481" spans="1:11" ht="15" thickBot="1" x14ac:dyDescent="0.35">
      <c r="A481" s="32">
        <v>480</v>
      </c>
      <c r="B481" s="28">
        <v>3.0300000000000001E-2</v>
      </c>
      <c r="C481" s="29">
        <f t="shared" si="28"/>
        <v>3.0300000000000001E-2</v>
      </c>
      <c r="D481" s="28">
        <v>0.45</v>
      </c>
      <c r="E481" s="30" t="str">
        <f t="shared" si="29"/>
        <v>Acceptable</v>
      </c>
      <c r="F481" s="28">
        <v>0.25369999999999998</v>
      </c>
      <c r="G481" s="28">
        <v>0</v>
      </c>
      <c r="H481" s="28">
        <v>13</v>
      </c>
      <c r="I481" s="33">
        <v>13</v>
      </c>
      <c r="J481" s="20" t="str">
        <f t="shared" si="30"/>
        <v xml:space="preserve"> </v>
      </c>
      <c r="K481" s="20">
        <f t="shared" si="31"/>
        <v>0</v>
      </c>
    </row>
    <row r="482" spans="1:11" ht="15" thickBot="1" x14ac:dyDescent="0.35">
      <c r="A482" s="32">
        <v>481</v>
      </c>
      <c r="B482" s="28">
        <v>0</v>
      </c>
      <c r="C482" s="29">
        <f t="shared" si="28"/>
        <v>0</v>
      </c>
      <c r="D482" s="28">
        <v>0.41</v>
      </c>
      <c r="E482" s="30" t="str">
        <f t="shared" si="29"/>
        <v>Acceptable</v>
      </c>
      <c r="F482" s="28">
        <v>0.3881</v>
      </c>
      <c r="G482" s="28">
        <v>3</v>
      </c>
      <c r="H482" s="28">
        <v>9</v>
      </c>
      <c r="I482" s="33">
        <v>12</v>
      </c>
      <c r="J482" s="20" t="str">
        <f t="shared" si="30"/>
        <v xml:space="preserve"> </v>
      </c>
      <c r="K482" s="20">
        <f t="shared" si="31"/>
        <v>0</v>
      </c>
    </row>
    <row r="483" spans="1:11" ht="15" thickBot="1" x14ac:dyDescent="0.35">
      <c r="A483" s="32">
        <v>482</v>
      </c>
      <c r="B483" s="28">
        <v>3.0300000000000001E-2</v>
      </c>
      <c r="C483" s="29">
        <f t="shared" si="28"/>
        <v>3.0300000000000001E-2</v>
      </c>
      <c r="D483" s="28">
        <v>0.41</v>
      </c>
      <c r="E483" s="30" t="str">
        <f t="shared" si="29"/>
        <v>Acceptable</v>
      </c>
      <c r="F483" s="28">
        <v>0.25369999999999998</v>
      </c>
      <c r="G483" s="28">
        <v>0</v>
      </c>
      <c r="H483" s="28">
        <v>11</v>
      </c>
      <c r="I483" s="33">
        <v>11</v>
      </c>
      <c r="J483" s="20" t="str">
        <f t="shared" si="30"/>
        <v xml:space="preserve"> </v>
      </c>
      <c r="K483" s="20">
        <f t="shared" si="31"/>
        <v>0</v>
      </c>
    </row>
    <row r="484" spans="1:11" ht="15" thickBot="1" x14ac:dyDescent="0.35">
      <c r="A484" s="32">
        <v>483</v>
      </c>
      <c r="B484" s="28">
        <v>3.0300000000000001E-2</v>
      </c>
      <c r="C484" s="29">
        <f t="shared" si="28"/>
        <v>3.0300000000000001E-2</v>
      </c>
      <c r="D484" s="28">
        <v>0.41</v>
      </c>
      <c r="E484" s="30" t="str">
        <f t="shared" si="29"/>
        <v>Acceptable</v>
      </c>
      <c r="F484" s="28">
        <v>0.28360000000000002</v>
      </c>
      <c r="G484" s="28">
        <v>1</v>
      </c>
      <c r="H484" s="28">
        <v>6</v>
      </c>
      <c r="I484" s="33">
        <v>7</v>
      </c>
      <c r="J484" s="20" t="str">
        <f t="shared" si="30"/>
        <v xml:space="preserve"> </v>
      </c>
      <c r="K484" s="20">
        <f t="shared" si="31"/>
        <v>0</v>
      </c>
    </row>
    <row r="485" spans="1:11" ht="15" thickBot="1" x14ac:dyDescent="0.35">
      <c r="A485" s="32">
        <v>484</v>
      </c>
      <c r="B485" s="28">
        <v>1.52E-2</v>
      </c>
      <c r="C485" s="29">
        <f t="shared" si="28"/>
        <v>1.52E-2</v>
      </c>
      <c r="D485" s="28">
        <v>0.48</v>
      </c>
      <c r="E485" s="30" t="str">
        <f t="shared" si="29"/>
        <v>Acceptable</v>
      </c>
      <c r="F485" s="28">
        <v>0.29849999999999999</v>
      </c>
      <c r="G485" s="28">
        <v>0</v>
      </c>
      <c r="H485" s="28">
        <v>3</v>
      </c>
      <c r="I485" s="33">
        <v>3</v>
      </c>
      <c r="J485" s="20" t="str">
        <f t="shared" si="30"/>
        <v xml:space="preserve"> </v>
      </c>
      <c r="K485" s="20">
        <f t="shared" si="31"/>
        <v>0</v>
      </c>
    </row>
    <row r="486" spans="1:11" ht="15" thickBot="1" x14ac:dyDescent="0.35">
      <c r="A486" s="32">
        <v>485</v>
      </c>
      <c r="B486" s="28">
        <v>3.0300000000000001E-2</v>
      </c>
      <c r="C486" s="29">
        <f t="shared" si="28"/>
        <v>3.0300000000000001E-2</v>
      </c>
      <c r="D486" s="28">
        <v>0.44</v>
      </c>
      <c r="E486" s="30" t="str">
        <f t="shared" si="29"/>
        <v>Acceptable</v>
      </c>
      <c r="F486" s="28">
        <v>0.22389999999999999</v>
      </c>
      <c r="G486" s="28">
        <v>0</v>
      </c>
      <c r="H486" s="28">
        <v>2</v>
      </c>
      <c r="I486" s="33">
        <v>2</v>
      </c>
      <c r="J486" s="20" t="str">
        <f t="shared" si="30"/>
        <v xml:space="preserve"> </v>
      </c>
      <c r="K486" s="20">
        <f t="shared" si="31"/>
        <v>0</v>
      </c>
    </row>
    <row r="487" spans="1:11" ht="15" thickBot="1" x14ac:dyDescent="0.35">
      <c r="A487" s="32">
        <v>486</v>
      </c>
      <c r="B487" s="28">
        <v>1.52E-2</v>
      </c>
      <c r="C487" s="29">
        <f t="shared" si="28"/>
        <v>1.52E-2</v>
      </c>
      <c r="D487" s="28">
        <v>0.44</v>
      </c>
      <c r="E487" s="30" t="str">
        <f t="shared" si="29"/>
        <v>Acceptable</v>
      </c>
      <c r="F487" s="28">
        <v>0.28360000000000002</v>
      </c>
      <c r="G487" s="28">
        <v>0</v>
      </c>
      <c r="H487" s="28">
        <v>8</v>
      </c>
      <c r="I487" s="33">
        <v>8</v>
      </c>
      <c r="J487" s="20" t="str">
        <f t="shared" si="30"/>
        <v xml:space="preserve"> </v>
      </c>
      <c r="K487" s="20">
        <f t="shared" si="31"/>
        <v>0</v>
      </c>
    </row>
    <row r="488" spans="1:11" ht="15" thickBot="1" x14ac:dyDescent="0.35">
      <c r="A488" s="32">
        <v>487</v>
      </c>
      <c r="B488" s="28">
        <v>0</v>
      </c>
      <c r="C488" s="29">
        <f t="shared" si="28"/>
        <v>0</v>
      </c>
      <c r="D488" s="28">
        <v>0.44</v>
      </c>
      <c r="E488" s="30" t="str">
        <f t="shared" si="29"/>
        <v>Acceptable</v>
      </c>
      <c r="F488" s="28">
        <v>0.32840000000000003</v>
      </c>
      <c r="G488" s="28">
        <v>1</v>
      </c>
      <c r="H488" s="28">
        <v>26</v>
      </c>
      <c r="I488" s="33">
        <v>27</v>
      </c>
      <c r="J488" s="20" t="str">
        <f t="shared" si="30"/>
        <v xml:space="preserve"> </v>
      </c>
      <c r="K488" s="20">
        <f t="shared" si="31"/>
        <v>0</v>
      </c>
    </row>
    <row r="489" spans="1:11" ht="15" thickBot="1" x14ac:dyDescent="0.35">
      <c r="A489" s="32">
        <v>488</v>
      </c>
      <c r="B489" s="28">
        <v>3.0300000000000001E-2</v>
      </c>
      <c r="C489" s="29">
        <f t="shared" si="28"/>
        <v>3.0300000000000001E-2</v>
      </c>
      <c r="D489" s="28">
        <v>0.41</v>
      </c>
      <c r="E489" s="30" t="str">
        <f t="shared" si="29"/>
        <v>Acceptable</v>
      </c>
      <c r="F489" s="28">
        <v>0.25369999999999998</v>
      </c>
      <c r="G489" s="28">
        <v>3</v>
      </c>
      <c r="H489" s="28">
        <v>37</v>
      </c>
      <c r="I489" s="33">
        <v>40</v>
      </c>
      <c r="J489" s="20" t="str">
        <f t="shared" si="30"/>
        <v xml:space="preserve"> </v>
      </c>
      <c r="K489" s="20">
        <f t="shared" si="31"/>
        <v>0</v>
      </c>
    </row>
    <row r="490" spans="1:11" ht="15" thickBot="1" x14ac:dyDescent="0.35">
      <c r="A490" s="32">
        <v>489</v>
      </c>
      <c r="B490" s="28">
        <v>6.0600000000000001E-2</v>
      </c>
      <c r="C490" s="29">
        <f t="shared" si="28"/>
        <v>6.0600000000000001E-2</v>
      </c>
      <c r="D490" s="28">
        <v>0.41</v>
      </c>
      <c r="E490" s="30" t="str">
        <f t="shared" si="29"/>
        <v>Acceptable</v>
      </c>
      <c r="F490" s="28">
        <v>0.16420000000000001</v>
      </c>
      <c r="G490" s="28">
        <v>3</v>
      </c>
      <c r="H490" s="28">
        <v>50</v>
      </c>
      <c r="I490" s="33">
        <v>53</v>
      </c>
      <c r="J490" s="20" t="str">
        <f t="shared" si="30"/>
        <v xml:space="preserve"> </v>
      </c>
      <c r="K490" s="20">
        <f t="shared" si="31"/>
        <v>0</v>
      </c>
    </row>
    <row r="491" spans="1:11" ht="15" thickBot="1" x14ac:dyDescent="0.35">
      <c r="A491" s="32">
        <v>490</v>
      </c>
      <c r="B491" s="28">
        <v>7.5800000000000006E-2</v>
      </c>
      <c r="C491" s="29">
        <f t="shared" si="28"/>
        <v>7.5800000000000006E-2</v>
      </c>
      <c r="D491" s="28">
        <v>0.38</v>
      </c>
      <c r="E491" s="30" t="str">
        <f t="shared" si="29"/>
        <v>Acceptable</v>
      </c>
      <c r="F491" s="28">
        <v>0.1343</v>
      </c>
      <c r="G491" s="28">
        <v>4</v>
      </c>
      <c r="H491" s="28">
        <v>59</v>
      </c>
      <c r="I491" s="33">
        <v>63</v>
      </c>
      <c r="J491" s="20" t="str">
        <f t="shared" si="30"/>
        <v xml:space="preserve"> </v>
      </c>
      <c r="K491" s="20">
        <f t="shared" si="31"/>
        <v>0</v>
      </c>
    </row>
    <row r="492" spans="1:11" ht="15" thickBot="1" x14ac:dyDescent="0.35">
      <c r="A492" s="32">
        <v>491</v>
      </c>
      <c r="B492" s="28">
        <v>0.1061</v>
      </c>
      <c r="C492" s="29">
        <f t="shared" si="28"/>
        <v>0.1061</v>
      </c>
      <c r="D492" s="28">
        <v>0.38</v>
      </c>
      <c r="E492" s="30" t="str">
        <f t="shared" si="29"/>
        <v>Acceptable</v>
      </c>
      <c r="F492" s="28">
        <v>0.1045</v>
      </c>
      <c r="G492" s="28">
        <v>10</v>
      </c>
      <c r="H492" s="28">
        <v>60</v>
      </c>
      <c r="I492" s="33">
        <v>70</v>
      </c>
      <c r="J492" s="20" t="str">
        <f t="shared" si="30"/>
        <v xml:space="preserve"> </v>
      </c>
      <c r="K492" s="20">
        <f t="shared" si="31"/>
        <v>0</v>
      </c>
    </row>
    <row r="493" spans="1:11" ht="15" thickBot="1" x14ac:dyDescent="0.35">
      <c r="A493" s="32">
        <v>492</v>
      </c>
      <c r="B493" s="28">
        <v>0.16669999999999999</v>
      </c>
      <c r="C493" s="29">
        <f t="shared" si="28"/>
        <v>0.16669999999999999</v>
      </c>
      <c r="D493" s="28">
        <v>0.35</v>
      </c>
      <c r="E493" s="30" t="str">
        <f t="shared" si="29"/>
        <v>Acceptable</v>
      </c>
      <c r="F493" s="28">
        <v>0</v>
      </c>
      <c r="G493" s="28">
        <v>12</v>
      </c>
      <c r="H493" s="28">
        <v>72</v>
      </c>
      <c r="I493" s="33">
        <v>84</v>
      </c>
      <c r="J493" s="20" t="str">
        <f t="shared" si="30"/>
        <v xml:space="preserve"> </v>
      </c>
      <c r="K493" s="20">
        <f t="shared" si="31"/>
        <v>0</v>
      </c>
    </row>
    <row r="494" spans="1:11" ht="15" thickBot="1" x14ac:dyDescent="0.35">
      <c r="A494" s="32">
        <v>493</v>
      </c>
      <c r="B494" s="28">
        <v>0.13639999999999999</v>
      </c>
      <c r="C494" s="29">
        <f t="shared" si="28"/>
        <v>0.13639999999999999</v>
      </c>
      <c r="D494" s="28">
        <v>0.33</v>
      </c>
      <c r="E494" s="30" t="str">
        <f t="shared" si="29"/>
        <v>Acceptable</v>
      </c>
      <c r="F494" s="28">
        <v>0.1045</v>
      </c>
      <c r="G494" s="28">
        <v>11</v>
      </c>
      <c r="H494" s="28">
        <v>64</v>
      </c>
      <c r="I494" s="33">
        <v>75</v>
      </c>
      <c r="J494" s="20" t="str">
        <f t="shared" si="30"/>
        <v xml:space="preserve"> </v>
      </c>
      <c r="K494" s="20">
        <f t="shared" si="31"/>
        <v>0</v>
      </c>
    </row>
    <row r="495" spans="1:11" ht="15" thickBot="1" x14ac:dyDescent="0.35">
      <c r="A495" s="32">
        <v>494</v>
      </c>
      <c r="B495" s="28">
        <v>0.1515</v>
      </c>
      <c r="C495" s="29">
        <f t="shared" si="28"/>
        <v>0.1515</v>
      </c>
      <c r="D495" s="28">
        <v>0.28000000000000003</v>
      </c>
      <c r="E495" s="30" t="str">
        <f t="shared" si="29"/>
        <v>Acceptable</v>
      </c>
      <c r="F495" s="28">
        <v>0</v>
      </c>
      <c r="G495" s="28">
        <v>10</v>
      </c>
      <c r="H495" s="28">
        <v>93</v>
      </c>
      <c r="I495" s="33">
        <v>103</v>
      </c>
      <c r="J495" s="20" t="str">
        <f t="shared" si="30"/>
        <v xml:space="preserve"> </v>
      </c>
      <c r="K495" s="20">
        <f t="shared" si="31"/>
        <v>0</v>
      </c>
    </row>
    <row r="496" spans="1:11" ht="15" thickBot="1" x14ac:dyDescent="0.35">
      <c r="A496" s="32">
        <v>495</v>
      </c>
      <c r="B496" s="28">
        <v>0.13639999999999999</v>
      </c>
      <c r="C496" s="29">
        <f t="shared" si="28"/>
        <v>0.13639999999999999</v>
      </c>
      <c r="D496" s="28">
        <v>0.28000000000000003</v>
      </c>
      <c r="E496" s="30" t="str">
        <f t="shared" si="29"/>
        <v>Acceptable</v>
      </c>
      <c r="F496" s="28">
        <v>0.19400000000000001</v>
      </c>
      <c r="G496" s="28">
        <v>11</v>
      </c>
      <c r="H496" s="28">
        <v>72</v>
      </c>
      <c r="I496" s="33">
        <v>83</v>
      </c>
      <c r="J496" s="20" t="str">
        <f t="shared" si="30"/>
        <v xml:space="preserve"> </v>
      </c>
      <c r="K496" s="20">
        <f t="shared" si="31"/>
        <v>0</v>
      </c>
    </row>
    <row r="497" spans="1:11" ht="15" thickBot="1" x14ac:dyDescent="0.35">
      <c r="A497" s="32">
        <v>496</v>
      </c>
      <c r="B497" s="28">
        <v>0.19700000000000001</v>
      </c>
      <c r="C497" s="29">
        <f t="shared" si="28"/>
        <v>0.19700000000000001</v>
      </c>
      <c r="D497" s="28">
        <v>0.28000000000000003</v>
      </c>
      <c r="E497" s="30" t="str">
        <f t="shared" si="29"/>
        <v>Acceptable</v>
      </c>
      <c r="F497" s="28">
        <v>0</v>
      </c>
      <c r="G497" s="28">
        <v>8</v>
      </c>
      <c r="H497" s="28">
        <v>59</v>
      </c>
      <c r="I497" s="33">
        <v>67</v>
      </c>
      <c r="J497" s="20" t="str">
        <f t="shared" si="30"/>
        <v xml:space="preserve"> </v>
      </c>
      <c r="K497" s="20">
        <f t="shared" si="31"/>
        <v>0</v>
      </c>
    </row>
    <row r="498" spans="1:11" ht="15" thickBot="1" x14ac:dyDescent="0.35">
      <c r="A498" s="32">
        <v>497</v>
      </c>
      <c r="B498" s="28">
        <v>9.0899999999999995E-2</v>
      </c>
      <c r="C498" s="29">
        <f t="shared" si="28"/>
        <v>9.0899999999999995E-2</v>
      </c>
      <c r="D498" s="28">
        <v>0.35</v>
      </c>
      <c r="E498" s="30" t="str">
        <f t="shared" si="29"/>
        <v>Acceptable</v>
      </c>
      <c r="F498" s="28">
        <v>0.19400000000000001</v>
      </c>
      <c r="G498" s="28">
        <v>0</v>
      </c>
      <c r="H498" s="28">
        <v>54</v>
      </c>
      <c r="I498" s="33">
        <v>54</v>
      </c>
      <c r="J498" s="20" t="str">
        <f t="shared" si="30"/>
        <v xml:space="preserve"> </v>
      </c>
      <c r="K498" s="20">
        <f t="shared" si="31"/>
        <v>0</v>
      </c>
    </row>
    <row r="499" spans="1:11" ht="15" thickBot="1" x14ac:dyDescent="0.35">
      <c r="A499" s="32">
        <v>498</v>
      </c>
      <c r="B499" s="28">
        <v>0.1061</v>
      </c>
      <c r="C499" s="29">
        <f t="shared" si="28"/>
        <v>0.1061</v>
      </c>
      <c r="D499" s="28">
        <v>0.35</v>
      </c>
      <c r="E499" s="30" t="str">
        <f t="shared" si="29"/>
        <v>Acceptable</v>
      </c>
      <c r="F499" s="28">
        <v>0.1343</v>
      </c>
      <c r="G499" s="28">
        <v>6</v>
      </c>
      <c r="H499" s="28">
        <v>53</v>
      </c>
      <c r="I499" s="33">
        <v>59</v>
      </c>
      <c r="J499" s="20" t="str">
        <f t="shared" si="30"/>
        <v xml:space="preserve"> </v>
      </c>
      <c r="K499" s="20">
        <f t="shared" si="31"/>
        <v>0</v>
      </c>
    </row>
    <row r="500" spans="1:11" ht="15" thickBot="1" x14ac:dyDescent="0.35">
      <c r="A500" s="32">
        <v>499</v>
      </c>
      <c r="B500" s="28">
        <v>7.5800000000000006E-2</v>
      </c>
      <c r="C500" s="29">
        <f t="shared" si="28"/>
        <v>7.5800000000000006E-2</v>
      </c>
      <c r="D500" s="28">
        <v>0.45</v>
      </c>
      <c r="E500" s="30" t="str">
        <f t="shared" si="29"/>
        <v>Acceptable</v>
      </c>
      <c r="F500" s="28">
        <v>0.16420000000000001</v>
      </c>
      <c r="G500" s="28">
        <v>1</v>
      </c>
      <c r="H500" s="28">
        <v>44</v>
      </c>
      <c r="I500" s="33">
        <v>45</v>
      </c>
      <c r="J500" s="20" t="str">
        <f t="shared" si="30"/>
        <v xml:space="preserve"> </v>
      </c>
      <c r="K500" s="20">
        <f t="shared" si="31"/>
        <v>0</v>
      </c>
    </row>
    <row r="501" spans="1:11" ht="15" thickBot="1" x14ac:dyDescent="0.35">
      <c r="A501" s="32">
        <v>500</v>
      </c>
      <c r="B501" s="28">
        <v>0.1061</v>
      </c>
      <c r="C501" s="29">
        <f t="shared" si="28"/>
        <v>0.1061</v>
      </c>
      <c r="D501" s="28">
        <v>0.41</v>
      </c>
      <c r="E501" s="30" t="str">
        <f t="shared" si="29"/>
        <v>Acceptable</v>
      </c>
      <c r="F501" s="28">
        <v>8.9599999999999999E-2</v>
      </c>
      <c r="G501" s="28">
        <v>0</v>
      </c>
      <c r="H501" s="28">
        <v>39</v>
      </c>
      <c r="I501" s="33">
        <v>39</v>
      </c>
      <c r="J501" s="20" t="str">
        <f t="shared" si="30"/>
        <v xml:space="preserve"> </v>
      </c>
      <c r="K501" s="20">
        <f t="shared" si="31"/>
        <v>0</v>
      </c>
    </row>
    <row r="502" spans="1:11" ht="15" thickBot="1" x14ac:dyDescent="0.35">
      <c r="A502" s="32">
        <v>501</v>
      </c>
      <c r="B502" s="28">
        <v>0.1515</v>
      </c>
      <c r="C502" s="29">
        <f t="shared" si="28"/>
        <v>0.1515</v>
      </c>
      <c r="D502" s="28">
        <v>0.49</v>
      </c>
      <c r="E502" s="30" t="str">
        <f t="shared" si="29"/>
        <v>Acceptable</v>
      </c>
      <c r="F502" s="28">
        <v>0</v>
      </c>
      <c r="G502" s="28">
        <v>7</v>
      </c>
      <c r="H502" s="28">
        <v>23</v>
      </c>
      <c r="I502" s="33">
        <v>30</v>
      </c>
      <c r="J502" s="20" t="str">
        <f t="shared" si="30"/>
        <v xml:space="preserve"> </v>
      </c>
      <c r="K502" s="20">
        <f t="shared" si="31"/>
        <v>0</v>
      </c>
    </row>
    <row r="503" spans="1:11" ht="15" thickBot="1" x14ac:dyDescent="0.35">
      <c r="A503" s="32">
        <v>502</v>
      </c>
      <c r="B503" s="28">
        <v>7.5800000000000006E-2</v>
      </c>
      <c r="C503" s="29">
        <f t="shared" si="28"/>
        <v>7.5800000000000006E-2</v>
      </c>
      <c r="D503" s="28">
        <v>0.56999999999999995</v>
      </c>
      <c r="E503" s="30" t="str">
        <f t="shared" si="29"/>
        <v>Acceptable</v>
      </c>
      <c r="F503" s="28">
        <v>0.1045</v>
      </c>
      <c r="G503" s="28">
        <v>2</v>
      </c>
      <c r="H503" s="28">
        <v>31</v>
      </c>
      <c r="I503" s="33">
        <v>33</v>
      </c>
      <c r="J503" s="20" t="str">
        <f t="shared" si="30"/>
        <v xml:space="preserve"> </v>
      </c>
      <c r="K503" s="20">
        <f t="shared" si="31"/>
        <v>0</v>
      </c>
    </row>
    <row r="504" spans="1:11" ht="15" thickBot="1" x14ac:dyDescent="0.35">
      <c r="A504" s="32">
        <v>503</v>
      </c>
      <c r="B504" s="28">
        <v>7.5800000000000006E-2</v>
      </c>
      <c r="C504" s="29">
        <f t="shared" si="28"/>
        <v>7.5800000000000006E-2</v>
      </c>
      <c r="D504" s="28">
        <v>0.56999999999999995</v>
      </c>
      <c r="E504" s="30" t="str">
        <f t="shared" si="29"/>
        <v>Acceptable</v>
      </c>
      <c r="F504" s="28">
        <v>0.1045</v>
      </c>
      <c r="G504" s="28">
        <v>2</v>
      </c>
      <c r="H504" s="28">
        <v>20</v>
      </c>
      <c r="I504" s="33">
        <v>22</v>
      </c>
      <c r="J504" s="20" t="str">
        <f t="shared" si="30"/>
        <v xml:space="preserve"> </v>
      </c>
      <c r="K504" s="20">
        <f t="shared" si="31"/>
        <v>0</v>
      </c>
    </row>
    <row r="505" spans="1:11" ht="15" thickBot="1" x14ac:dyDescent="0.35">
      <c r="A505" s="32">
        <v>504</v>
      </c>
      <c r="B505" s="28">
        <v>7.5800000000000006E-2</v>
      </c>
      <c r="C505" s="29">
        <f t="shared" si="28"/>
        <v>7.5800000000000006E-2</v>
      </c>
      <c r="D505" s="28">
        <v>0.56999999999999995</v>
      </c>
      <c r="E505" s="30" t="str">
        <f t="shared" si="29"/>
        <v>Acceptable</v>
      </c>
      <c r="F505" s="28">
        <v>0.1045</v>
      </c>
      <c r="G505" s="28">
        <v>1</v>
      </c>
      <c r="H505" s="28">
        <v>12</v>
      </c>
      <c r="I505" s="33">
        <v>13</v>
      </c>
      <c r="J505" s="20" t="str">
        <f t="shared" si="30"/>
        <v xml:space="preserve"> </v>
      </c>
      <c r="K505" s="20">
        <f t="shared" si="31"/>
        <v>0</v>
      </c>
    </row>
    <row r="506" spans="1:11" ht="15" thickBot="1" x14ac:dyDescent="0.35">
      <c r="A506" s="32">
        <v>505</v>
      </c>
      <c r="B506" s="28">
        <v>6.0600000000000001E-2</v>
      </c>
      <c r="C506" s="29">
        <f t="shared" si="28"/>
        <v>6.0600000000000001E-2</v>
      </c>
      <c r="D506" s="28">
        <v>0.62</v>
      </c>
      <c r="E506" s="30" t="str">
        <f t="shared" si="29"/>
        <v>Acceptable</v>
      </c>
      <c r="F506" s="28">
        <v>0.1343</v>
      </c>
      <c r="G506" s="28">
        <v>3</v>
      </c>
      <c r="H506" s="28">
        <v>15</v>
      </c>
      <c r="I506" s="33">
        <v>18</v>
      </c>
      <c r="J506" s="20" t="str">
        <f t="shared" si="30"/>
        <v xml:space="preserve"> </v>
      </c>
      <c r="K506" s="20">
        <f t="shared" si="31"/>
        <v>0</v>
      </c>
    </row>
    <row r="507" spans="1:11" ht="15" thickBot="1" x14ac:dyDescent="0.35">
      <c r="A507" s="32">
        <v>506</v>
      </c>
      <c r="B507" s="28">
        <v>6.0600000000000001E-2</v>
      </c>
      <c r="C507" s="29">
        <f t="shared" si="28"/>
        <v>6.0600000000000001E-2</v>
      </c>
      <c r="D507" s="28">
        <v>0.62</v>
      </c>
      <c r="E507" s="30" t="str">
        <f t="shared" si="29"/>
        <v>Acceptable</v>
      </c>
      <c r="F507" s="28">
        <v>0.1343</v>
      </c>
      <c r="G507" s="28">
        <v>1</v>
      </c>
      <c r="H507" s="28">
        <v>4</v>
      </c>
      <c r="I507" s="33">
        <v>5</v>
      </c>
      <c r="J507" s="20" t="str">
        <f t="shared" si="30"/>
        <v xml:space="preserve"> </v>
      </c>
      <c r="K507" s="20">
        <f t="shared" si="31"/>
        <v>0</v>
      </c>
    </row>
    <row r="508" spans="1:11" ht="15" thickBot="1" x14ac:dyDescent="0.35">
      <c r="A508" s="32">
        <v>507</v>
      </c>
      <c r="B508" s="28">
        <v>7.5800000000000006E-2</v>
      </c>
      <c r="C508" s="29">
        <f t="shared" si="28"/>
        <v>7.5800000000000006E-2</v>
      </c>
      <c r="D508" s="28">
        <v>0.56999999999999995</v>
      </c>
      <c r="E508" s="30" t="str">
        <f t="shared" si="29"/>
        <v>Acceptable</v>
      </c>
      <c r="F508" s="28">
        <v>0.1045</v>
      </c>
      <c r="G508" s="28">
        <v>0</v>
      </c>
      <c r="H508" s="28">
        <v>3</v>
      </c>
      <c r="I508" s="33">
        <v>3</v>
      </c>
      <c r="J508" s="20" t="str">
        <f t="shared" si="30"/>
        <v xml:space="preserve"> </v>
      </c>
      <c r="K508" s="20">
        <f t="shared" si="31"/>
        <v>0</v>
      </c>
    </row>
    <row r="509" spans="1:11" ht="15" thickBot="1" x14ac:dyDescent="0.35">
      <c r="A509" s="32">
        <v>508</v>
      </c>
      <c r="B509" s="28">
        <v>7.5800000000000006E-2</v>
      </c>
      <c r="C509" s="29">
        <f t="shared" si="28"/>
        <v>7.5800000000000006E-2</v>
      </c>
      <c r="D509" s="28">
        <v>0.56999999999999995</v>
      </c>
      <c r="E509" s="30" t="str">
        <f t="shared" si="29"/>
        <v>Acceptable</v>
      </c>
      <c r="F509" s="28">
        <v>0.1045</v>
      </c>
      <c r="G509" s="28">
        <v>0</v>
      </c>
      <c r="H509" s="28">
        <v>1</v>
      </c>
      <c r="I509" s="33">
        <v>1</v>
      </c>
      <c r="J509" s="20" t="str">
        <f t="shared" si="30"/>
        <v xml:space="preserve"> </v>
      </c>
      <c r="K509" s="20">
        <f t="shared" si="31"/>
        <v>0</v>
      </c>
    </row>
    <row r="510" spans="1:11" ht="15" thickBot="1" x14ac:dyDescent="0.35">
      <c r="A510" s="32">
        <v>509</v>
      </c>
      <c r="B510" s="28">
        <v>0.1061</v>
      </c>
      <c r="C510" s="29">
        <f t="shared" si="28"/>
        <v>0.1061</v>
      </c>
      <c r="D510" s="28">
        <v>0.57999999999999996</v>
      </c>
      <c r="E510" s="30" t="str">
        <f t="shared" si="29"/>
        <v>Acceptable</v>
      </c>
      <c r="F510" s="28">
        <v>0.16420000000000001</v>
      </c>
      <c r="G510" s="28">
        <v>1</v>
      </c>
      <c r="H510" s="28">
        <v>1</v>
      </c>
      <c r="I510" s="33">
        <v>2</v>
      </c>
      <c r="J510" s="20" t="str">
        <f t="shared" si="30"/>
        <v xml:space="preserve"> </v>
      </c>
      <c r="K510" s="20">
        <f t="shared" si="31"/>
        <v>0</v>
      </c>
    </row>
    <row r="511" spans="1:11" ht="15" thickBot="1" x14ac:dyDescent="0.35">
      <c r="A511" s="32">
        <v>510</v>
      </c>
      <c r="B511" s="28">
        <v>7.5800000000000006E-2</v>
      </c>
      <c r="C511" s="29">
        <f t="shared" si="28"/>
        <v>7.5800000000000006E-2</v>
      </c>
      <c r="D511" s="28">
        <v>0.62</v>
      </c>
      <c r="E511" s="30" t="str">
        <f t="shared" si="29"/>
        <v>Acceptable</v>
      </c>
      <c r="F511" s="28">
        <v>0.16420000000000001</v>
      </c>
      <c r="G511" s="28">
        <v>2</v>
      </c>
      <c r="H511" s="28">
        <v>17</v>
      </c>
      <c r="I511" s="33">
        <v>19</v>
      </c>
      <c r="J511" s="20" t="str">
        <f t="shared" si="30"/>
        <v xml:space="preserve"> </v>
      </c>
      <c r="K511" s="20">
        <f t="shared" si="31"/>
        <v>0</v>
      </c>
    </row>
    <row r="512" spans="1:11" ht="15" thickBot="1" x14ac:dyDescent="0.35">
      <c r="A512" s="32">
        <v>511</v>
      </c>
      <c r="B512" s="28">
        <v>7.5800000000000006E-2</v>
      </c>
      <c r="C512" s="29">
        <f t="shared" si="28"/>
        <v>7.5800000000000006E-2</v>
      </c>
      <c r="D512" s="28">
        <v>0.54</v>
      </c>
      <c r="E512" s="30" t="str">
        <f t="shared" si="29"/>
        <v>Acceptable</v>
      </c>
      <c r="F512" s="28">
        <v>0.35820000000000002</v>
      </c>
      <c r="G512" s="28">
        <v>3</v>
      </c>
      <c r="H512" s="28">
        <v>25</v>
      </c>
      <c r="I512" s="33">
        <v>28</v>
      </c>
      <c r="J512" s="20" t="str">
        <f t="shared" si="30"/>
        <v xml:space="preserve"> </v>
      </c>
      <c r="K512" s="20">
        <f t="shared" si="31"/>
        <v>0</v>
      </c>
    </row>
    <row r="513" spans="1:11" ht="15" thickBot="1" x14ac:dyDescent="0.35">
      <c r="A513" s="32">
        <v>512</v>
      </c>
      <c r="B513" s="28">
        <v>0.1061</v>
      </c>
      <c r="C513" s="29">
        <f t="shared" si="28"/>
        <v>0.1061</v>
      </c>
      <c r="D513" s="28">
        <v>0.46</v>
      </c>
      <c r="E513" s="30" t="str">
        <f t="shared" si="29"/>
        <v>Acceptable</v>
      </c>
      <c r="F513" s="28">
        <v>0.3881</v>
      </c>
      <c r="G513" s="28">
        <v>7</v>
      </c>
      <c r="H513" s="28">
        <v>51</v>
      </c>
      <c r="I513" s="33">
        <v>58</v>
      </c>
      <c r="J513" s="20" t="str">
        <f t="shared" si="30"/>
        <v xml:space="preserve"> </v>
      </c>
      <c r="K513" s="20">
        <f t="shared" si="31"/>
        <v>0</v>
      </c>
    </row>
    <row r="514" spans="1:11" ht="15" thickBot="1" x14ac:dyDescent="0.35">
      <c r="A514" s="32">
        <v>513</v>
      </c>
      <c r="B514" s="28">
        <v>0.13639999999999999</v>
      </c>
      <c r="C514" s="29">
        <f t="shared" si="28"/>
        <v>0.13639999999999999</v>
      </c>
      <c r="D514" s="28">
        <v>0.43</v>
      </c>
      <c r="E514" s="30" t="str">
        <f t="shared" si="29"/>
        <v>Acceptable</v>
      </c>
      <c r="F514" s="28">
        <v>0.22389999999999999</v>
      </c>
      <c r="G514" s="28">
        <v>22</v>
      </c>
      <c r="H514" s="28">
        <v>77</v>
      </c>
      <c r="I514" s="33">
        <v>99</v>
      </c>
      <c r="J514" s="20" t="str">
        <f t="shared" si="30"/>
        <v xml:space="preserve"> </v>
      </c>
      <c r="K514" s="20">
        <f t="shared" si="31"/>
        <v>0</v>
      </c>
    </row>
    <row r="515" spans="1:11" ht="15" thickBot="1" x14ac:dyDescent="0.35">
      <c r="A515" s="32">
        <v>514</v>
      </c>
      <c r="B515" s="28">
        <v>0.1212</v>
      </c>
      <c r="C515" s="29">
        <f t="shared" ref="C515:C578" si="32">IF(ISBLANK(B515),AVERAGE(B515:B1124),B515)</f>
        <v>0.1212</v>
      </c>
      <c r="D515" s="28">
        <v>0.37</v>
      </c>
      <c r="E515" s="30" t="str">
        <f t="shared" ref="E515:E578" si="33">IF(D515&lt;0.7,"Acceptable","Risky")</f>
        <v>Acceptable</v>
      </c>
      <c r="F515" s="28">
        <v>0.4627</v>
      </c>
      <c r="G515" s="28">
        <v>24</v>
      </c>
      <c r="H515" s="28">
        <v>92</v>
      </c>
      <c r="I515" s="33">
        <v>116</v>
      </c>
      <c r="J515" s="20" t="str">
        <f t="shared" ref="J515:J578" si="34">IF(G515+H515=I515," ","Not same")</f>
        <v xml:space="preserve"> </v>
      </c>
      <c r="K515" s="20">
        <f t="shared" ref="K515:K578" si="35">COUNTBLANK(A515:J515)</f>
        <v>0</v>
      </c>
    </row>
    <row r="516" spans="1:11" ht="15" thickBot="1" x14ac:dyDescent="0.35">
      <c r="A516" s="32">
        <v>515</v>
      </c>
      <c r="B516" s="28">
        <v>0.1061</v>
      </c>
      <c r="C516" s="29">
        <f t="shared" si="32"/>
        <v>0.1061</v>
      </c>
      <c r="D516" s="28">
        <v>0.33</v>
      </c>
      <c r="E516" s="30" t="str">
        <f t="shared" si="33"/>
        <v>Acceptable</v>
      </c>
      <c r="F516" s="28">
        <v>0.3881</v>
      </c>
      <c r="G516" s="28">
        <v>12</v>
      </c>
      <c r="H516" s="28">
        <v>75</v>
      </c>
      <c r="I516" s="33">
        <v>87</v>
      </c>
      <c r="J516" s="20" t="str">
        <f t="shared" si="34"/>
        <v xml:space="preserve"> </v>
      </c>
      <c r="K516" s="20">
        <f t="shared" si="35"/>
        <v>0</v>
      </c>
    </row>
    <row r="517" spans="1:11" ht="15" thickBot="1" x14ac:dyDescent="0.35">
      <c r="A517" s="32">
        <v>516</v>
      </c>
      <c r="B517" s="28">
        <v>0.13639999999999999</v>
      </c>
      <c r="C517" s="29">
        <f t="shared" si="32"/>
        <v>0.13639999999999999</v>
      </c>
      <c r="D517" s="28">
        <v>0.28000000000000003</v>
      </c>
      <c r="E517" s="30" t="str">
        <f t="shared" si="33"/>
        <v>Acceptable</v>
      </c>
      <c r="F517" s="28">
        <v>0.35820000000000002</v>
      </c>
      <c r="G517" s="28">
        <v>17</v>
      </c>
      <c r="H517" s="28">
        <v>93</v>
      </c>
      <c r="I517" s="33">
        <v>110</v>
      </c>
      <c r="J517" s="20" t="str">
        <f t="shared" si="34"/>
        <v xml:space="preserve"> </v>
      </c>
      <c r="K517" s="20">
        <f t="shared" si="35"/>
        <v>0</v>
      </c>
    </row>
    <row r="518" spans="1:11" ht="15" thickBot="1" x14ac:dyDescent="0.35">
      <c r="A518" s="32">
        <v>517</v>
      </c>
      <c r="B518" s="28">
        <v>0.13639999999999999</v>
      </c>
      <c r="C518" s="29">
        <f t="shared" si="32"/>
        <v>0.13639999999999999</v>
      </c>
      <c r="D518" s="28">
        <v>0.28000000000000003</v>
      </c>
      <c r="E518" s="30" t="str">
        <f t="shared" si="33"/>
        <v>Acceptable</v>
      </c>
      <c r="F518" s="28">
        <v>0.35820000000000002</v>
      </c>
      <c r="G518" s="28">
        <v>13</v>
      </c>
      <c r="H518" s="28">
        <v>64</v>
      </c>
      <c r="I518" s="33">
        <v>77</v>
      </c>
      <c r="J518" s="20" t="str">
        <f t="shared" si="34"/>
        <v xml:space="preserve"> </v>
      </c>
      <c r="K518" s="20">
        <f t="shared" si="35"/>
        <v>0</v>
      </c>
    </row>
    <row r="519" spans="1:11" ht="15" thickBot="1" x14ac:dyDescent="0.35">
      <c r="A519" s="32">
        <v>518</v>
      </c>
      <c r="B519" s="28">
        <v>0.13639999999999999</v>
      </c>
      <c r="C519" s="29">
        <f t="shared" si="32"/>
        <v>0.13639999999999999</v>
      </c>
      <c r="D519" s="28">
        <v>0.26</v>
      </c>
      <c r="E519" s="30" t="str">
        <f t="shared" si="33"/>
        <v>Acceptable</v>
      </c>
      <c r="F519" s="28">
        <v>0.32840000000000003</v>
      </c>
      <c r="G519" s="28">
        <v>9</v>
      </c>
      <c r="H519" s="28">
        <v>56</v>
      </c>
      <c r="I519" s="33">
        <v>65</v>
      </c>
      <c r="J519" s="20" t="str">
        <f t="shared" si="34"/>
        <v xml:space="preserve"> </v>
      </c>
      <c r="K519" s="20">
        <f t="shared" si="35"/>
        <v>0</v>
      </c>
    </row>
    <row r="520" spans="1:11" ht="15" thickBot="1" x14ac:dyDescent="0.35">
      <c r="A520" s="32">
        <v>519</v>
      </c>
      <c r="B520" s="28">
        <v>0.1061</v>
      </c>
      <c r="C520" s="29">
        <f t="shared" si="32"/>
        <v>0.1061</v>
      </c>
      <c r="D520" s="28">
        <v>0.26</v>
      </c>
      <c r="E520" s="30" t="str">
        <f t="shared" si="33"/>
        <v>Acceptable</v>
      </c>
      <c r="F520" s="28">
        <v>0.3881</v>
      </c>
      <c r="G520" s="28">
        <v>5</v>
      </c>
      <c r="H520" s="28">
        <v>50</v>
      </c>
      <c r="I520" s="33">
        <v>55</v>
      </c>
      <c r="J520" s="20" t="str">
        <f t="shared" si="34"/>
        <v xml:space="preserve"> </v>
      </c>
      <c r="K520" s="20">
        <f t="shared" si="35"/>
        <v>0</v>
      </c>
    </row>
    <row r="521" spans="1:11" ht="15" thickBot="1" x14ac:dyDescent="0.35">
      <c r="A521" s="32">
        <v>520</v>
      </c>
      <c r="B521" s="28">
        <v>0.1212</v>
      </c>
      <c r="C521" s="29">
        <f t="shared" si="32"/>
        <v>0.1212</v>
      </c>
      <c r="D521" s="28">
        <v>0.3</v>
      </c>
      <c r="E521" s="30" t="str">
        <f t="shared" si="33"/>
        <v>Acceptable</v>
      </c>
      <c r="F521" s="28">
        <v>0.25369999999999998</v>
      </c>
      <c r="G521" s="28">
        <v>5</v>
      </c>
      <c r="H521" s="28">
        <v>44</v>
      </c>
      <c r="I521" s="33">
        <v>49</v>
      </c>
      <c r="J521" s="20" t="str">
        <f t="shared" si="34"/>
        <v xml:space="preserve"> </v>
      </c>
      <c r="K521" s="20">
        <f t="shared" si="35"/>
        <v>0</v>
      </c>
    </row>
    <row r="522" spans="1:11" ht="15" thickBot="1" x14ac:dyDescent="0.35">
      <c r="A522" s="32">
        <v>521</v>
      </c>
      <c r="B522" s="28">
        <v>0.1212</v>
      </c>
      <c r="C522" s="29">
        <f t="shared" si="32"/>
        <v>0.1212</v>
      </c>
      <c r="D522" s="28">
        <v>0.3</v>
      </c>
      <c r="E522" s="30" t="str">
        <f t="shared" si="33"/>
        <v>Acceptable</v>
      </c>
      <c r="F522" s="28">
        <v>0.28360000000000002</v>
      </c>
      <c r="G522" s="28">
        <v>5</v>
      </c>
      <c r="H522" s="28">
        <v>45</v>
      </c>
      <c r="I522" s="33">
        <v>50</v>
      </c>
      <c r="J522" s="20" t="str">
        <f t="shared" si="34"/>
        <v xml:space="preserve"> </v>
      </c>
      <c r="K522" s="20">
        <f t="shared" si="35"/>
        <v>0</v>
      </c>
    </row>
    <row r="523" spans="1:11" ht="15" thickBot="1" x14ac:dyDescent="0.35">
      <c r="A523" s="32">
        <v>522</v>
      </c>
      <c r="B523" s="28">
        <v>0.1061</v>
      </c>
      <c r="C523" s="29">
        <f t="shared" si="32"/>
        <v>0.1061</v>
      </c>
      <c r="D523" s="28">
        <v>0.36</v>
      </c>
      <c r="E523" s="30" t="str">
        <f t="shared" si="33"/>
        <v>Acceptable</v>
      </c>
      <c r="F523" s="28">
        <v>0.25369999999999998</v>
      </c>
      <c r="G523" s="28">
        <v>4</v>
      </c>
      <c r="H523" s="28">
        <v>31</v>
      </c>
      <c r="I523" s="33">
        <v>35</v>
      </c>
      <c r="J523" s="20" t="str">
        <f t="shared" si="34"/>
        <v xml:space="preserve"> </v>
      </c>
      <c r="K523" s="20">
        <f t="shared" si="35"/>
        <v>0</v>
      </c>
    </row>
    <row r="524" spans="1:11" ht="15" thickBot="1" x14ac:dyDescent="0.35">
      <c r="A524" s="32">
        <v>523</v>
      </c>
      <c r="B524" s="28">
        <v>0.1061</v>
      </c>
      <c r="C524" s="29">
        <f t="shared" si="32"/>
        <v>0.1061</v>
      </c>
      <c r="D524" s="28">
        <v>0.36</v>
      </c>
      <c r="E524" s="30" t="str">
        <f t="shared" si="33"/>
        <v>Acceptable</v>
      </c>
      <c r="F524" s="28">
        <v>0.19400000000000001</v>
      </c>
      <c r="G524" s="28">
        <v>5</v>
      </c>
      <c r="H524" s="28">
        <v>20</v>
      </c>
      <c r="I524" s="33">
        <v>25</v>
      </c>
      <c r="J524" s="20" t="str">
        <f t="shared" si="34"/>
        <v xml:space="preserve"> </v>
      </c>
      <c r="K524" s="20">
        <f t="shared" si="35"/>
        <v>0</v>
      </c>
    </row>
    <row r="525" spans="1:11" ht="15" thickBot="1" x14ac:dyDescent="0.35">
      <c r="A525" s="32">
        <v>524</v>
      </c>
      <c r="B525" s="28">
        <v>9.0899999999999995E-2</v>
      </c>
      <c r="C525" s="29">
        <f t="shared" si="32"/>
        <v>9.0899999999999995E-2</v>
      </c>
      <c r="D525" s="28">
        <v>0.38</v>
      </c>
      <c r="E525" s="30" t="str">
        <f t="shared" si="33"/>
        <v>Acceptable</v>
      </c>
      <c r="F525" s="28">
        <v>0.19400000000000001</v>
      </c>
      <c r="G525" s="28">
        <v>5</v>
      </c>
      <c r="H525" s="28">
        <v>23</v>
      </c>
      <c r="I525" s="33">
        <v>28</v>
      </c>
      <c r="J525" s="20" t="str">
        <f t="shared" si="34"/>
        <v xml:space="preserve"> </v>
      </c>
      <c r="K525" s="20">
        <f t="shared" si="35"/>
        <v>0</v>
      </c>
    </row>
    <row r="526" spans="1:11" ht="15" thickBot="1" x14ac:dyDescent="0.35">
      <c r="A526" s="32">
        <v>525</v>
      </c>
      <c r="B526" s="28">
        <v>6.0600000000000001E-2</v>
      </c>
      <c r="C526" s="29">
        <f t="shared" si="32"/>
        <v>6.0600000000000001E-2</v>
      </c>
      <c r="D526" s="28">
        <v>0.41</v>
      </c>
      <c r="E526" s="30" t="str">
        <f t="shared" si="33"/>
        <v>Acceptable</v>
      </c>
      <c r="F526" s="28">
        <v>0.22389999999999999</v>
      </c>
      <c r="G526" s="28">
        <v>4</v>
      </c>
      <c r="H526" s="28">
        <v>17</v>
      </c>
      <c r="I526" s="33">
        <v>21</v>
      </c>
      <c r="J526" s="20" t="str">
        <f t="shared" si="34"/>
        <v xml:space="preserve"> </v>
      </c>
      <c r="K526" s="20">
        <f t="shared" si="35"/>
        <v>0</v>
      </c>
    </row>
    <row r="527" spans="1:11" ht="15" thickBot="1" x14ac:dyDescent="0.35">
      <c r="A527" s="32">
        <v>526</v>
      </c>
      <c r="B527" s="28">
        <v>6.0600000000000001E-2</v>
      </c>
      <c r="C527" s="29">
        <f t="shared" si="32"/>
        <v>6.0600000000000001E-2</v>
      </c>
      <c r="D527" s="28">
        <v>0.41</v>
      </c>
      <c r="E527" s="30" t="str">
        <f t="shared" si="33"/>
        <v>Acceptable</v>
      </c>
      <c r="F527" s="28">
        <v>0.19400000000000001</v>
      </c>
      <c r="G527" s="28">
        <v>0</v>
      </c>
      <c r="H527" s="28">
        <v>7</v>
      </c>
      <c r="I527" s="33">
        <v>7</v>
      </c>
      <c r="J527" s="20" t="str">
        <f t="shared" si="34"/>
        <v xml:space="preserve"> </v>
      </c>
      <c r="K527" s="20">
        <f t="shared" si="35"/>
        <v>0</v>
      </c>
    </row>
    <row r="528" spans="1:11" ht="15" thickBot="1" x14ac:dyDescent="0.35">
      <c r="A528" s="32">
        <v>527</v>
      </c>
      <c r="B528" s="28">
        <v>4.5499999999999999E-2</v>
      </c>
      <c r="C528" s="29">
        <f t="shared" si="32"/>
        <v>4.5499999999999999E-2</v>
      </c>
      <c r="D528" s="28">
        <v>0.45</v>
      </c>
      <c r="E528" s="30" t="str">
        <f t="shared" si="33"/>
        <v>Acceptable</v>
      </c>
      <c r="F528" s="28">
        <v>0.19400000000000001</v>
      </c>
      <c r="G528" s="28">
        <v>0</v>
      </c>
      <c r="H528" s="28">
        <v>1</v>
      </c>
      <c r="I528" s="33">
        <v>1</v>
      </c>
      <c r="J528" s="20" t="str">
        <f t="shared" si="34"/>
        <v xml:space="preserve"> </v>
      </c>
      <c r="K528" s="20">
        <f t="shared" si="35"/>
        <v>0</v>
      </c>
    </row>
    <row r="529" spans="1:11" ht="15" thickBot="1" x14ac:dyDescent="0.35">
      <c r="A529" s="32">
        <v>528</v>
      </c>
      <c r="B529" s="28">
        <v>3.0300000000000001E-2</v>
      </c>
      <c r="C529" s="29">
        <f t="shared" si="32"/>
        <v>3.0300000000000001E-2</v>
      </c>
      <c r="D529" s="28">
        <v>0.45</v>
      </c>
      <c r="E529" s="30" t="str">
        <f t="shared" si="33"/>
        <v>Acceptable</v>
      </c>
      <c r="F529" s="28">
        <v>0.25369999999999998</v>
      </c>
      <c r="G529" s="28">
        <v>0</v>
      </c>
      <c r="H529" s="28">
        <v>1</v>
      </c>
      <c r="I529" s="33">
        <v>1</v>
      </c>
      <c r="J529" s="20" t="str">
        <f t="shared" si="34"/>
        <v xml:space="preserve"> </v>
      </c>
      <c r="K529" s="20">
        <f t="shared" si="35"/>
        <v>0</v>
      </c>
    </row>
    <row r="530" spans="1:11" ht="15" thickBot="1" x14ac:dyDescent="0.35">
      <c r="A530" s="32">
        <v>529</v>
      </c>
      <c r="B530" s="28">
        <v>6.0600000000000001E-2</v>
      </c>
      <c r="C530" s="29">
        <f t="shared" si="32"/>
        <v>6.0600000000000001E-2</v>
      </c>
      <c r="D530" s="28">
        <v>0.48</v>
      </c>
      <c r="E530" s="30" t="str">
        <f t="shared" si="33"/>
        <v>Acceptable</v>
      </c>
      <c r="F530" s="28">
        <v>0.1343</v>
      </c>
      <c r="G530" s="28">
        <v>0</v>
      </c>
      <c r="H530" s="28">
        <v>1</v>
      </c>
      <c r="I530" s="33">
        <v>1</v>
      </c>
      <c r="J530" s="20" t="str">
        <f t="shared" si="34"/>
        <v xml:space="preserve"> </v>
      </c>
      <c r="K530" s="20">
        <f t="shared" si="35"/>
        <v>0</v>
      </c>
    </row>
    <row r="531" spans="1:11" ht="15" thickBot="1" x14ac:dyDescent="0.35">
      <c r="A531" s="32">
        <v>530</v>
      </c>
      <c r="B531" s="28">
        <v>6.0600000000000001E-2</v>
      </c>
      <c r="C531" s="29">
        <f t="shared" si="32"/>
        <v>6.0600000000000001E-2</v>
      </c>
      <c r="D531" s="28">
        <v>0.48</v>
      </c>
      <c r="E531" s="30" t="str">
        <f t="shared" si="33"/>
        <v>Acceptable</v>
      </c>
      <c r="F531" s="28">
        <v>0.1343</v>
      </c>
      <c r="G531" s="28">
        <v>0</v>
      </c>
      <c r="H531" s="28">
        <v>5</v>
      </c>
      <c r="I531" s="33">
        <v>5</v>
      </c>
      <c r="J531" s="20" t="str">
        <f t="shared" si="34"/>
        <v xml:space="preserve"> </v>
      </c>
      <c r="K531" s="20">
        <f t="shared" si="35"/>
        <v>0</v>
      </c>
    </row>
    <row r="532" spans="1:11" ht="15" thickBot="1" x14ac:dyDescent="0.35">
      <c r="A532" s="32">
        <v>531</v>
      </c>
      <c r="B532" s="28">
        <v>7.5800000000000006E-2</v>
      </c>
      <c r="C532" s="29">
        <f t="shared" si="32"/>
        <v>7.5800000000000006E-2</v>
      </c>
      <c r="D532" s="28">
        <v>0.48</v>
      </c>
      <c r="E532" s="30" t="str">
        <f t="shared" si="33"/>
        <v>Acceptable</v>
      </c>
      <c r="F532" s="28">
        <v>8.9599999999999999E-2</v>
      </c>
      <c r="G532" s="28">
        <v>0</v>
      </c>
      <c r="H532" s="28">
        <v>15</v>
      </c>
      <c r="I532" s="33">
        <v>15</v>
      </c>
      <c r="J532" s="20" t="str">
        <f t="shared" si="34"/>
        <v xml:space="preserve"> </v>
      </c>
      <c r="K532" s="20">
        <f t="shared" si="35"/>
        <v>0</v>
      </c>
    </row>
    <row r="533" spans="1:11" ht="15" thickBot="1" x14ac:dyDescent="0.35">
      <c r="A533" s="32">
        <v>532</v>
      </c>
      <c r="B533" s="28">
        <v>0.1212</v>
      </c>
      <c r="C533" s="29">
        <f t="shared" si="32"/>
        <v>0.1212</v>
      </c>
      <c r="D533" s="28">
        <v>0.48</v>
      </c>
      <c r="E533" s="30" t="str">
        <f t="shared" si="33"/>
        <v>Acceptable</v>
      </c>
      <c r="F533" s="28">
        <v>0</v>
      </c>
      <c r="G533" s="28">
        <v>5</v>
      </c>
      <c r="H533" s="28">
        <v>79</v>
      </c>
      <c r="I533" s="33">
        <v>84</v>
      </c>
      <c r="J533" s="20" t="str">
        <f t="shared" si="34"/>
        <v xml:space="preserve"> </v>
      </c>
      <c r="K533" s="20">
        <f t="shared" si="35"/>
        <v>0</v>
      </c>
    </row>
    <row r="534" spans="1:11" ht="15" thickBot="1" x14ac:dyDescent="0.35">
      <c r="A534" s="32">
        <v>533</v>
      </c>
      <c r="B534" s="28">
        <v>0.13639999999999999</v>
      </c>
      <c r="C534" s="29">
        <f t="shared" si="32"/>
        <v>0.13639999999999999</v>
      </c>
      <c r="D534" s="28">
        <v>0.49</v>
      </c>
      <c r="E534" s="30" t="str">
        <f t="shared" si="33"/>
        <v>Acceptable</v>
      </c>
      <c r="F534" s="28">
        <v>0</v>
      </c>
      <c r="G534" s="28">
        <v>6</v>
      </c>
      <c r="H534" s="28">
        <v>171</v>
      </c>
      <c r="I534" s="33">
        <v>177</v>
      </c>
      <c r="J534" s="20" t="str">
        <f t="shared" si="34"/>
        <v xml:space="preserve"> </v>
      </c>
      <c r="K534" s="20">
        <f t="shared" si="35"/>
        <v>0</v>
      </c>
    </row>
    <row r="535" spans="1:11" ht="15" thickBot="1" x14ac:dyDescent="0.35">
      <c r="A535" s="32">
        <v>534</v>
      </c>
      <c r="B535" s="28">
        <v>0.1515</v>
      </c>
      <c r="C535" s="29">
        <f t="shared" si="32"/>
        <v>0.1515</v>
      </c>
      <c r="D535" s="28">
        <v>0.41</v>
      </c>
      <c r="E535" s="30" t="str">
        <f t="shared" si="33"/>
        <v>Acceptable</v>
      </c>
      <c r="F535" s="28">
        <v>0</v>
      </c>
      <c r="G535" s="28">
        <v>4</v>
      </c>
      <c r="H535" s="28">
        <v>98</v>
      </c>
      <c r="I535" s="33">
        <v>102</v>
      </c>
      <c r="J535" s="20" t="str">
        <f t="shared" si="34"/>
        <v xml:space="preserve"> </v>
      </c>
      <c r="K535" s="20">
        <f t="shared" si="35"/>
        <v>0</v>
      </c>
    </row>
    <row r="536" spans="1:11" ht="15" thickBot="1" x14ac:dyDescent="0.35">
      <c r="A536" s="32">
        <v>535</v>
      </c>
      <c r="B536" s="28">
        <v>0.13639999999999999</v>
      </c>
      <c r="C536" s="29">
        <f t="shared" si="32"/>
        <v>0.13639999999999999</v>
      </c>
      <c r="D536" s="28">
        <v>0.42</v>
      </c>
      <c r="E536" s="30" t="str">
        <f t="shared" si="33"/>
        <v>Acceptable</v>
      </c>
      <c r="F536" s="28">
        <v>0</v>
      </c>
      <c r="G536" s="28">
        <v>6</v>
      </c>
      <c r="H536" s="28">
        <v>34</v>
      </c>
      <c r="I536" s="33">
        <v>40</v>
      </c>
      <c r="J536" s="20" t="str">
        <f t="shared" si="34"/>
        <v xml:space="preserve"> </v>
      </c>
      <c r="K536" s="20">
        <f t="shared" si="35"/>
        <v>0</v>
      </c>
    </row>
    <row r="537" spans="1:11" ht="15" thickBot="1" x14ac:dyDescent="0.35">
      <c r="A537" s="32">
        <v>536</v>
      </c>
      <c r="B537" s="28">
        <v>0.1212</v>
      </c>
      <c r="C537" s="29">
        <f t="shared" si="32"/>
        <v>0.1212</v>
      </c>
      <c r="D537" s="28">
        <v>0.46</v>
      </c>
      <c r="E537" s="30" t="str">
        <f t="shared" si="33"/>
        <v>Acceptable</v>
      </c>
      <c r="F537" s="28">
        <v>0.1343</v>
      </c>
      <c r="G537" s="28">
        <v>3</v>
      </c>
      <c r="H537" s="28">
        <v>43</v>
      </c>
      <c r="I537" s="33">
        <v>46</v>
      </c>
      <c r="J537" s="20" t="str">
        <f t="shared" si="34"/>
        <v xml:space="preserve"> </v>
      </c>
      <c r="K537" s="20">
        <f t="shared" si="35"/>
        <v>0</v>
      </c>
    </row>
    <row r="538" spans="1:11" ht="15" thickBot="1" x14ac:dyDescent="0.35">
      <c r="A538" s="32">
        <v>537</v>
      </c>
      <c r="B538" s="28">
        <v>0.13639999999999999</v>
      </c>
      <c r="C538" s="29">
        <f t="shared" si="32"/>
        <v>0.13639999999999999</v>
      </c>
      <c r="D538" s="28">
        <v>0.42</v>
      </c>
      <c r="E538" s="30" t="str">
        <f t="shared" si="33"/>
        <v>Acceptable</v>
      </c>
      <c r="F538" s="28">
        <v>0.19400000000000001</v>
      </c>
      <c r="G538" s="28">
        <v>11</v>
      </c>
      <c r="H538" s="28">
        <v>52</v>
      </c>
      <c r="I538" s="33">
        <v>63</v>
      </c>
      <c r="J538" s="20" t="str">
        <f t="shared" si="34"/>
        <v xml:space="preserve"> </v>
      </c>
      <c r="K538" s="20">
        <f t="shared" si="35"/>
        <v>0</v>
      </c>
    </row>
    <row r="539" spans="1:11" ht="15" thickBot="1" x14ac:dyDescent="0.35">
      <c r="A539" s="32">
        <v>538</v>
      </c>
      <c r="B539" s="28">
        <v>0.13639999999999999</v>
      </c>
      <c r="C539" s="29">
        <f t="shared" si="32"/>
        <v>0.13639999999999999</v>
      </c>
      <c r="D539" s="28">
        <v>0.43</v>
      </c>
      <c r="E539" s="30" t="str">
        <f t="shared" si="33"/>
        <v>Acceptable</v>
      </c>
      <c r="F539" s="28">
        <v>0.22389999999999999</v>
      </c>
      <c r="G539" s="28">
        <v>6</v>
      </c>
      <c r="H539" s="28">
        <v>54</v>
      </c>
      <c r="I539" s="33">
        <v>60</v>
      </c>
      <c r="J539" s="20" t="str">
        <f t="shared" si="34"/>
        <v xml:space="preserve"> </v>
      </c>
      <c r="K539" s="20">
        <f t="shared" si="35"/>
        <v>0</v>
      </c>
    </row>
    <row r="540" spans="1:11" ht="15" thickBot="1" x14ac:dyDescent="0.35">
      <c r="A540" s="32">
        <v>539</v>
      </c>
      <c r="B540" s="28">
        <v>0.13639999999999999</v>
      </c>
      <c r="C540" s="29">
        <f t="shared" si="32"/>
        <v>0.13639999999999999</v>
      </c>
      <c r="D540" s="28">
        <v>0.46</v>
      </c>
      <c r="E540" s="30" t="str">
        <f t="shared" si="33"/>
        <v>Acceptable</v>
      </c>
      <c r="F540" s="28">
        <v>0.22389999999999999</v>
      </c>
      <c r="G540" s="28">
        <v>2</v>
      </c>
      <c r="H540" s="28">
        <v>43</v>
      </c>
      <c r="I540" s="33">
        <v>45</v>
      </c>
      <c r="J540" s="20" t="str">
        <f t="shared" si="34"/>
        <v xml:space="preserve"> </v>
      </c>
      <c r="K540" s="20">
        <f t="shared" si="35"/>
        <v>0</v>
      </c>
    </row>
    <row r="541" spans="1:11" ht="15" thickBot="1" x14ac:dyDescent="0.35">
      <c r="A541" s="32">
        <v>540</v>
      </c>
      <c r="B541" s="28">
        <v>0.16669999999999999</v>
      </c>
      <c r="C541" s="29">
        <f t="shared" si="32"/>
        <v>0.16669999999999999</v>
      </c>
      <c r="D541" s="28">
        <v>0.4</v>
      </c>
      <c r="E541" s="30" t="str">
        <f t="shared" si="33"/>
        <v>Acceptable</v>
      </c>
      <c r="F541" s="28">
        <v>0.16420000000000001</v>
      </c>
      <c r="G541" s="28">
        <v>7</v>
      </c>
      <c r="H541" s="28">
        <v>50</v>
      </c>
      <c r="I541" s="33">
        <v>57</v>
      </c>
      <c r="J541" s="20" t="str">
        <f t="shared" si="34"/>
        <v xml:space="preserve"> </v>
      </c>
      <c r="K541" s="20">
        <f t="shared" si="35"/>
        <v>0</v>
      </c>
    </row>
    <row r="542" spans="1:11" ht="15" thickBot="1" x14ac:dyDescent="0.35">
      <c r="A542" s="32">
        <v>541</v>
      </c>
      <c r="B542" s="28">
        <v>0.1515</v>
      </c>
      <c r="C542" s="29">
        <f t="shared" si="32"/>
        <v>0.1515</v>
      </c>
      <c r="D542" s="28">
        <v>0.47</v>
      </c>
      <c r="E542" s="30" t="str">
        <f t="shared" si="33"/>
        <v>Acceptable</v>
      </c>
      <c r="F542" s="28">
        <v>0.25369999999999998</v>
      </c>
      <c r="G542" s="28">
        <v>4</v>
      </c>
      <c r="H542" s="28">
        <v>66</v>
      </c>
      <c r="I542" s="33">
        <v>70</v>
      </c>
      <c r="J542" s="20" t="str">
        <f t="shared" si="34"/>
        <v xml:space="preserve"> </v>
      </c>
      <c r="K542" s="20">
        <f t="shared" si="35"/>
        <v>0</v>
      </c>
    </row>
    <row r="543" spans="1:11" ht="15" thickBot="1" x14ac:dyDescent="0.35">
      <c r="A543" s="32">
        <v>542</v>
      </c>
      <c r="B543" s="28">
        <v>0.1212</v>
      </c>
      <c r="C543" s="29">
        <f t="shared" si="32"/>
        <v>0.1212</v>
      </c>
      <c r="D543" s="28">
        <v>0.5</v>
      </c>
      <c r="E543" s="30" t="str">
        <f t="shared" si="33"/>
        <v>Acceptable</v>
      </c>
      <c r="F543" s="28">
        <v>0.25369999999999998</v>
      </c>
      <c r="G543" s="28">
        <v>6</v>
      </c>
      <c r="H543" s="28">
        <v>178</v>
      </c>
      <c r="I543" s="33">
        <v>184</v>
      </c>
      <c r="J543" s="20" t="str">
        <f t="shared" si="34"/>
        <v xml:space="preserve"> </v>
      </c>
      <c r="K543" s="20">
        <f t="shared" si="35"/>
        <v>0</v>
      </c>
    </row>
    <row r="544" spans="1:11" ht="15" thickBot="1" x14ac:dyDescent="0.35">
      <c r="A544" s="32">
        <v>543</v>
      </c>
      <c r="B544" s="28">
        <v>0.13639999999999999</v>
      </c>
      <c r="C544" s="29">
        <f t="shared" si="32"/>
        <v>0.13639999999999999</v>
      </c>
      <c r="D544" s="28">
        <v>0.59</v>
      </c>
      <c r="E544" s="30" t="str">
        <f t="shared" si="33"/>
        <v>Acceptable</v>
      </c>
      <c r="F544" s="28">
        <v>0.19400000000000001</v>
      </c>
      <c r="G544" s="28">
        <v>8</v>
      </c>
      <c r="H544" s="28">
        <v>145</v>
      </c>
      <c r="I544" s="33">
        <v>153</v>
      </c>
      <c r="J544" s="20" t="str">
        <f t="shared" si="34"/>
        <v xml:space="preserve"> </v>
      </c>
      <c r="K544" s="20">
        <f t="shared" si="35"/>
        <v>0</v>
      </c>
    </row>
    <row r="545" spans="1:11" ht="15" thickBot="1" x14ac:dyDescent="0.35">
      <c r="A545" s="32">
        <v>544</v>
      </c>
      <c r="B545" s="28">
        <v>0.1515</v>
      </c>
      <c r="C545" s="29">
        <f t="shared" si="32"/>
        <v>0.1515</v>
      </c>
      <c r="D545" s="28">
        <v>0.54</v>
      </c>
      <c r="E545" s="30" t="str">
        <f t="shared" si="33"/>
        <v>Acceptable</v>
      </c>
      <c r="F545" s="28">
        <v>0.16420000000000001</v>
      </c>
      <c r="G545" s="28">
        <v>5</v>
      </c>
      <c r="H545" s="28">
        <v>101</v>
      </c>
      <c r="I545" s="33">
        <v>106</v>
      </c>
      <c r="J545" s="20" t="str">
        <f t="shared" si="34"/>
        <v xml:space="preserve"> </v>
      </c>
      <c r="K545" s="20">
        <f t="shared" si="35"/>
        <v>0</v>
      </c>
    </row>
    <row r="546" spans="1:11" ht="15" thickBot="1" x14ac:dyDescent="0.35">
      <c r="A546" s="32">
        <v>545</v>
      </c>
      <c r="B546" s="28">
        <v>0.13639999999999999</v>
      </c>
      <c r="C546" s="29">
        <f t="shared" si="32"/>
        <v>0.13639999999999999</v>
      </c>
      <c r="D546" s="28">
        <v>0.59</v>
      </c>
      <c r="E546" s="30" t="str">
        <f t="shared" si="33"/>
        <v>Acceptable</v>
      </c>
      <c r="F546" s="28">
        <v>0.19400000000000001</v>
      </c>
      <c r="G546" s="28">
        <v>1</v>
      </c>
      <c r="H546" s="28">
        <v>80</v>
      </c>
      <c r="I546" s="33">
        <v>81</v>
      </c>
      <c r="J546" s="20" t="str">
        <f t="shared" si="34"/>
        <v xml:space="preserve"> </v>
      </c>
      <c r="K546" s="20">
        <f t="shared" si="35"/>
        <v>0</v>
      </c>
    </row>
    <row r="547" spans="1:11" ht="15" thickBot="1" x14ac:dyDescent="0.35">
      <c r="A547" s="32">
        <v>546</v>
      </c>
      <c r="B547" s="28">
        <v>0.1515</v>
      </c>
      <c r="C547" s="29">
        <f t="shared" si="32"/>
        <v>0.1515</v>
      </c>
      <c r="D547" s="28">
        <v>0.63</v>
      </c>
      <c r="E547" s="30" t="str">
        <f t="shared" si="33"/>
        <v>Acceptable</v>
      </c>
      <c r="F547" s="28">
        <v>0.16420000000000001</v>
      </c>
      <c r="G547" s="28">
        <v>6</v>
      </c>
      <c r="H547" s="28">
        <v>53</v>
      </c>
      <c r="I547" s="33">
        <v>59</v>
      </c>
      <c r="J547" s="20" t="str">
        <f t="shared" si="34"/>
        <v xml:space="preserve"> </v>
      </c>
      <c r="K547" s="20">
        <f t="shared" si="35"/>
        <v>0</v>
      </c>
    </row>
    <row r="548" spans="1:11" ht="15" thickBot="1" x14ac:dyDescent="0.35">
      <c r="A548" s="32">
        <v>547</v>
      </c>
      <c r="B548" s="28">
        <v>0.13639999999999999</v>
      </c>
      <c r="C548" s="29">
        <f t="shared" si="32"/>
        <v>0.13639999999999999</v>
      </c>
      <c r="D548" s="28">
        <v>0.63</v>
      </c>
      <c r="E548" s="30" t="str">
        <f t="shared" si="33"/>
        <v>Acceptable</v>
      </c>
      <c r="F548" s="28">
        <v>0.22389999999999999</v>
      </c>
      <c r="G548" s="28">
        <v>3</v>
      </c>
      <c r="H548" s="28">
        <v>32</v>
      </c>
      <c r="I548" s="33">
        <v>35</v>
      </c>
      <c r="J548" s="20" t="str">
        <f t="shared" si="34"/>
        <v xml:space="preserve"> </v>
      </c>
      <c r="K548" s="20">
        <f t="shared" si="35"/>
        <v>0</v>
      </c>
    </row>
    <row r="549" spans="1:11" ht="15" thickBot="1" x14ac:dyDescent="0.35">
      <c r="A549" s="32">
        <v>548</v>
      </c>
      <c r="B549" s="28">
        <v>0.1515</v>
      </c>
      <c r="C549" s="29">
        <f t="shared" si="32"/>
        <v>0.1515</v>
      </c>
      <c r="D549" s="28">
        <v>0.64</v>
      </c>
      <c r="E549" s="30" t="str">
        <f t="shared" si="33"/>
        <v>Acceptable</v>
      </c>
      <c r="F549" s="28">
        <v>0.25369999999999998</v>
      </c>
      <c r="G549" s="28">
        <v>3</v>
      </c>
      <c r="H549" s="28">
        <v>21</v>
      </c>
      <c r="I549" s="33">
        <v>24</v>
      </c>
      <c r="J549" s="20" t="str">
        <f t="shared" si="34"/>
        <v xml:space="preserve"> </v>
      </c>
      <c r="K549" s="20">
        <f t="shared" si="35"/>
        <v>0</v>
      </c>
    </row>
    <row r="550" spans="1:11" ht="15" thickBot="1" x14ac:dyDescent="0.35">
      <c r="A550" s="32">
        <v>549</v>
      </c>
      <c r="B550" s="28">
        <v>0.13639999999999999</v>
      </c>
      <c r="C550" s="29">
        <f t="shared" si="32"/>
        <v>0.13639999999999999</v>
      </c>
      <c r="D550" s="28">
        <v>0.69</v>
      </c>
      <c r="E550" s="30" t="str">
        <f t="shared" si="33"/>
        <v>Acceptable</v>
      </c>
      <c r="F550" s="28">
        <v>0.28360000000000002</v>
      </c>
      <c r="G550" s="28">
        <v>3</v>
      </c>
      <c r="H550" s="28">
        <v>6</v>
      </c>
      <c r="I550" s="33">
        <v>9</v>
      </c>
      <c r="J550" s="20" t="str">
        <f t="shared" si="34"/>
        <v xml:space="preserve"> </v>
      </c>
      <c r="K550" s="20">
        <f t="shared" si="35"/>
        <v>0</v>
      </c>
    </row>
    <row r="551" spans="1:11" ht="15" thickBot="1" x14ac:dyDescent="0.35">
      <c r="A551" s="32">
        <v>550</v>
      </c>
      <c r="B551" s="28">
        <v>0.16669999999999999</v>
      </c>
      <c r="C551" s="29">
        <f t="shared" si="32"/>
        <v>0.16669999999999999</v>
      </c>
      <c r="D551" s="28">
        <v>0.69</v>
      </c>
      <c r="E551" s="30" t="str">
        <f t="shared" si="33"/>
        <v>Acceptable</v>
      </c>
      <c r="F551" s="28">
        <v>0.16420000000000001</v>
      </c>
      <c r="G551" s="28">
        <v>0</v>
      </c>
      <c r="H551" s="28">
        <v>5</v>
      </c>
      <c r="I551" s="33">
        <v>5</v>
      </c>
      <c r="J551" s="20" t="str">
        <f t="shared" si="34"/>
        <v xml:space="preserve"> </v>
      </c>
      <c r="K551" s="20">
        <f t="shared" si="35"/>
        <v>0</v>
      </c>
    </row>
    <row r="552" spans="1:11" ht="15" thickBot="1" x14ac:dyDescent="0.35">
      <c r="A552" s="32">
        <v>551</v>
      </c>
      <c r="B552" s="28">
        <v>0.1515</v>
      </c>
      <c r="C552" s="29">
        <f t="shared" si="32"/>
        <v>0.1515</v>
      </c>
      <c r="D552" s="28">
        <v>0.69</v>
      </c>
      <c r="E552" s="30" t="str">
        <f t="shared" si="33"/>
        <v>Acceptable</v>
      </c>
      <c r="F552" s="28">
        <v>0.22389999999999999</v>
      </c>
      <c r="G552" s="28">
        <v>0</v>
      </c>
      <c r="H552" s="28">
        <v>2</v>
      </c>
      <c r="I552" s="33">
        <v>2</v>
      </c>
      <c r="J552" s="20" t="str">
        <f t="shared" si="34"/>
        <v xml:space="preserve"> </v>
      </c>
      <c r="K552" s="20">
        <f t="shared" si="35"/>
        <v>0</v>
      </c>
    </row>
    <row r="553" spans="1:11" ht="15" thickBot="1" x14ac:dyDescent="0.35">
      <c r="A553" s="32">
        <v>552</v>
      </c>
      <c r="B553" s="28">
        <v>0.16669999999999999</v>
      </c>
      <c r="C553" s="29">
        <f t="shared" si="32"/>
        <v>0.16669999999999999</v>
      </c>
      <c r="D553" s="28">
        <v>0.74</v>
      </c>
      <c r="E553" s="30" t="str">
        <f t="shared" si="33"/>
        <v>Risky</v>
      </c>
      <c r="F553" s="28">
        <v>0.1045</v>
      </c>
      <c r="G553" s="28">
        <v>0</v>
      </c>
      <c r="H553" s="28">
        <v>1</v>
      </c>
      <c r="I553" s="33">
        <v>1</v>
      </c>
      <c r="J553" s="20" t="str">
        <f t="shared" si="34"/>
        <v xml:space="preserve"> </v>
      </c>
      <c r="K553" s="20">
        <f t="shared" si="35"/>
        <v>0</v>
      </c>
    </row>
    <row r="554" spans="1:11" ht="15" thickBot="1" x14ac:dyDescent="0.35">
      <c r="A554" s="32">
        <v>553</v>
      </c>
      <c r="B554" s="28">
        <v>0.13639999999999999</v>
      </c>
      <c r="C554" s="29">
        <f t="shared" si="32"/>
        <v>0.13639999999999999</v>
      </c>
      <c r="D554" s="28">
        <v>0.74</v>
      </c>
      <c r="E554" s="30" t="str">
        <f t="shared" si="33"/>
        <v>Risky</v>
      </c>
      <c r="F554" s="28">
        <v>0.22389999999999999</v>
      </c>
      <c r="G554" s="28">
        <v>0</v>
      </c>
      <c r="H554" s="28">
        <v>9</v>
      </c>
      <c r="I554" s="33">
        <v>9</v>
      </c>
      <c r="J554" s="20" t="str">
        <f t="shared" si="34"/>
        <v xml:space="preserve"> </v>
      </c>
      <c r="K554" s="20">
        <f t="shared" si="35"/>
        <v>0</v>
      </c>
    </row>
    <row r="555" spans="1:11" ht="15" thickBot="1" x14ac:dyDescent="0.35">
      <c r="A555" s="32">
        <v>554</v>
      </c>
      <c r="B555" s="28">
        <v>0.18179999999999999</v>
      </c>
      <c r="C555" s="29">
        <f t="shared" si="32"/>
        <v>0.18179999999999999</v>
      </c>
      <c r="D555" s="28">
        <v>0.74</v>
      </c>
      <c r="E555" s="30" t="str">
        <f t="shared" si="33"/>
        <v>Risky</v>
      </c>
      <c r="F555" s="28">
        <v>0.1045</v>
      </c>
      <c r="G555" s="28">
        <v>1</v>
      </c>
      <c r="H555" s="28">
        <v>35</v>
      </c>
      <c r="I555" s="33">
        <v>36</v>
      </c>
      <c r="J555" s="20" t="str">
        <f t="shared" si="34"/>
        <v xml:space="preserve"> </v>
      </c>
      <c r="K555" s="20">
        <f t="shared" si="35"/>
        <v>0</v>
      </c>
    </row>
    <row r="556" spans="1:11" ht="15" thickBot="1" x14ac:dyDescent="0.35">
      <c r="A556" s="32">
        <v>555</v>
      </c>
      <c r="B556" s="28">
        <v>0.1515</v>
      </c>
      <c r="C556" s="29">
        <f t="shared" si="32"/>
        <v>0.1515</v>
      </c>
      <c r="D556" s="28">
        <v>0.74</v>
      </c>
      <c r="E556" s="30" t="str">
        <f t="shared" si="33"/>
        <v>Risky</v>
      </c>
      <c r="F556" s="28">
        <v>0.22389999999999999</v>
      </c>
      <c r="G556" s="28">
        <v>5</v>
      </c>
      <c r="H556" s="28">
        <v>103</v>
      </c>
      <c r="I556" s="33">
        <v>108</v>
      </c>
      <c r="J556" s="20" t="str">
        <f t="shared" si="34"/>
        <v xml:space="preserve"> </v>
      </c>
      <c r="K556" s="20">
        <f t="shared" si="35"/>
        <v>0</v>
      </c>
    </row>
    <row r="557" spans="1:11" ht="15" thickBot="1" x14ac:dyDescent="0.35">
      <c r="A557" s="32">
        <v>556</v>
      </c>
      <c r="B557" s="28">
        <v>0.18179999999999999</v>
      </c>
      <c r="C557" s="29">
        <f t="shared" si="32"/>
        <v>0.18179999999999999</v>
      </c>
      <c r="D557" s="28">
        <v>0.74</v>
      </c>
      <c r="E557" s="30" t="str">
        <f t="shared" si="33"/>
        <v>Risky</v>
      </c>
      <c r="F557" s="28">
        <v>0.1343</v>
      </c>
      <c r="G557" s="28">
        <v>5</v>
      </c>
      <c r="H557" s="28">
        <v>233</v>
      </c>
      <c r="I557" s="33">
        <v>238</v>
      </c>
      <c r="J557" s="20" t="str">
        <f t="shared" si="34"/>
        <v xml:space="preserve"> </v>
      </c>
      <c r="K557" s="20">
        <f t="shared" si="35"/>
        <v>0</v>
      </c>
    </row>
    <row r="558" spans="1:11" ht="15" thickBot="1" x14ac:dyDescent="0.35">
      <c r="A558" s="32">
        <v>557</v>
      </c>
      <c r="B558" s="28">
        <v>0.2273</v>
      </c>
      <c r="C558" s="29">
        <f t="shared" si="32"/>
        <v>0.2273</v>
      </c>
      <c r="D558" s="28">
        <v>0.64</v>
      </c>
      <c r="E558" s="30" t="str">
        <f t="shared" si="33"/>
        <v>Acceptable</v>
      </c>
      <c r="F558" s="28">
        <v>8.9599999999999999E-2</v>
      </c>
      <c r="G558" s="28">
        <v>10</v>
      </c>
      <c r="H558" s="28">
        <v>134</v>
      </c>
      <c r="I558" s="33">
        <v>144</v>
      </c>
      <c r="J558" s="20" t="str">
        <f t="shared" si="34"/>
        <v xml:space="preserve"> </v>
      </c>
      <c r="K558" s="20">
        <f t="shared" si="35"/>
        <v>0</v>
      </c>
    </row>
    <row r="559" spans="1:11" ht="15" thickBot="1" x14ac:dyDescent="0.35">
      <c r="A559" s="32">
        <v>558</v>
      </c>
      <c r="B559" s="28">
        <v>0.2424</v>
      </c>
      <c r="C559" s="29">
        <f t="shared" si="32"/>
        <v>0.2424</v>
      </c>
      <c r="D559" s="28">
        <v>0.6</v>
      </c>
      <c r="E559" s="30" t="str">
        <f t="shared" si="33"/>
        <v>Acceptable</v>
      </c>
      <c r="F559" s="28">
        <v>0.1045</v>
      </c>
      <c r="G559" s="28">
        <v>6</v>
      </c>
      <c r="H559" s="28">
        <v>49</v>
      </c>
      <c r="I559" s="33">
        <v>55</v>
      </c>
      <c r="J559" s="20" t="str">
        <f t="shared" si="34"/>
        <v xml:space="preserve"> </v>
      </c>
      <c r="K559" s="20">
        <f t="shared" si="35"/>
        <v>0</v>
      </c>
    </row>
    <row r="560" spans="1:11" ht="15" thickBot="1" x14ac:dyDescent="0.35">
      <c r="A560" s="32">
        <v>559</v>
      </c>
      <c r="B560" s="28">
        <v>0.2424</v>
      </c>
      <c r="C560" s="29">
        <f t="shared" si="32"/>
        <v>0.2424</v>
      </c>
      <c r="D560" s="28">
        <v>0.6</v>
      </c>
      <c r="E560" s="30" t="str">
        <f t="shared" si="33"/>
        <v>Acceptable</v>
      </c>
      <c r="F560" s="28">
        <v>0.1343</v>
      </c>
      <c r="G560" s="28">
        <v>6</v>
      </c>
      <c r="H560" s="28">
        <v>55</v>
      </c>
      <c r="I560" s="33">
        <v>61</v>
      </c>
      <c r="J560" s="20" t="str">
        <f t="shared" si="34"/>
        <v xml:space="preserve"> </v>
      </c>
      <c r="K560" s="20">
        <f t="shared" si="35"/>
        <v>0</v>
      </c>
    </row>
    <row r="561" spans="1:11" ht="15" thickBot="1" x14ac:dyDescent="0.35">
      <c r="A561" s="32">
        <v>560</v>
      </c>
      <c r="B561" s="28">
        <v>0.28789999999999999</v>
      </c>
      <c r="C561" s="29">
        <f t="shared" si="32"/>
        <v>0.28789999999999999</v>
      </c>
      <c r="D561" s="28">
        <v>0.56000000000000005</v>
      </c>
      <c r="E561" s="30" t="str">
        <f t="shared" si="33"/>
        <v>Acceptable</v>
      </c>
      <c r="F561" s="28">
        <v>8.9599999999999999E-2</v>
      </c>
      <c r="G561" s="28">
        <v>21</v>
      </c>
      <c r="H561" s="28">
        <v>85</v>
      </c>
      <c r="I561" s="33">
        <v>106</v>
      </c>
      <c r="J561" s="20" t="str">
        <f t="shared" si="34"/>
        <v xml:space="preserve"> </v>
      </c>
      <c r="K561" s="20">
        <f t="shared" si="35"/>
        <v>0</v>
      </c>
    </row>
    <row r="562" spans="1:11" ht="15" thickBot="1" x14ac:dyDescent="0.35">
      <c r="A562" s="32">
        <v>561</v>
      </c>
      <c r="B562" s="28">
        <v>0.2727</v>
      </c>
      <c r="C562" s="29">
        <f t="shared" si="32"/>
        <v>0.2727</v>
      </c>
      <c r="D562" s="28">
        <v>0.56000000000000005</v>
      </c>
      <c r="E562" s="30" t="str">
        <f t="shared" si="33"/>
        <v>Acceptable</v>
      </c>
      <c r="F562" s="28">
        <v>0.1343</v>
      </c>
      <c r="G562" s="28">
        <v>21</v>
      </c>
      <c r="H562" s="28">
        <v>72</v>
      </c>
      <c r="I562" s="33">
        <v>93</v>
      </c>
      <c r="J562" s="20" t="str">
        <f t="shared" si="34"/>
        <v xml:space="preserve"> </v>
      </c>
      <c r="K562" s="20">
        <f t="shared" si="35"/>
        <v>0</v>
      </c>
    </row>
    <row r="563" spans="1:11" ht="15" thickBot="1" x14ac:dyDescent="0.35">
      <c r="A563" s="32">
        <v>562</v>
      </c>
      <c r="B563" s="28">
        <v>0.33329999999999999</v>
      </c>
      <c r="C563" s="29">
        <f t="shared" si="32"/>
        <v>0.33329999999999999</v>
      </c>
      <c r="D563" s="28">
        <v>0.45</v>
      </c>
      <c r="E563" s="30" t="str">
        <f t="shared" si="33"/>
        <v>Acceptable</v>
      </c>
      <c r="F563" s="28">
        <v>0</v>
      </c>
      <c r="G563" s="28">
        <v>11</v>
      </c>
      <c r="H563" s="28">
        <v>57</v>
      </c>
      <c r="I563" s="33">
        <v>68</v>
      </c>
      <c r="J563" s="20" t="str">
        <f t="shared" si="34"/>
        <v xml:space="preserve"> </v>
      </c>
      <c r="K563" s="20">
        <f t="shared" si="35"/>
        <v>0</v>
      </c>
    </row>
    <row r="564" spans="1:11" ht="15" thickBot="1" x14ac:dyDescent="0.35">
      <c r="A564" s="32">
        <v>563</v>
      </c>
      <c r="B564" s="28">
        <v>0.34849999999999998</v>
      </c>
      <c r="C564" s="29">
        <f t="shared" si="32"/>
        <v>0.34849999999999998</v>
      </c>
      <c r="D564" s="28">
        <v>0.42</v>
      </c>
      <c r="E564" s="30" t="str">
        <f t="shared" si="33"/>
        <v>Acceptable</v>
      </c>
      <c r="F564" s="28">
        <v>0</v>
      </c>
      <c r="G564" s="28">
        <v>21</v>
      </c>
      <c r="H564" s="28">
        <v>63</v>
      </c>
      <c r="I564" s="33">
        <v>84</v>
      </c>
      <c r="J564" s="20" t="str">
        <f t="shared" si="34"/>
        <v xml:space="preserve"> </v>
      </c>
      <c r="K564" s="20">
        <f t="shared" si="35"/>
        <v>0</v>
      </c>
    </row>
    <row r="565" spans="1:11" ht="15" thickBot="1" x14ac:dyDescent="0.35">
      <c r="A565" s="32">
        <v>564</v>
      </c>
      <c r="B565" s="28">
        <v>0.34849999999999998</v>
      </c>
      <c r="C565" s="29">
        <f t="shared" si="32"/>
        <v>0.34849999999999998</v>
      </c>
      <c r="D565" s="28">
        <v>0.42</v>
      </c>
      <c r="E565" s="30" t="str">
        <f t="shared" si="33"/>
        <v>Acceptable</v>
      </c>
      <c r="F565" s="28">
        <v>0</v>
      </c>
      <c r="G565" s="28">
        <v>14</v>
      </c>
      <c r="H565" s="28">
        <v>102</v>
      </c>
      <c r="I565" s="33">
        <v>116</v>
      </c>
      <c r="J565" s="20" t="str">
        <f t="shared" si="34"/>
        <v xml:space="preserve"> </v>
      </c>
      <c r="K565" s="20">
        <f t="shared" si="35"/>
        <v>0</v>
      </c>
    </row>
    <row r="566" spans="1:11" ht="15" thickBot="1" x14ac:dyDescent="0.35">
      <c r="A566" s="32">
        <v>565</v>
      </c>
      <c r="B566" s="28">
        <v>0.33329999999999999</v>
      </c>
      <c r="C566" s="29">
        <f t="shared" si="32"/>
        <v>0.33329999999999999</v>
      </c>
      <c r="D566" s="28">
        <v>0.45</v>
      </c>
      <c r="E566" s="30" t="str">
        <f t="shared" si="33"/>
        <v>Acceptable</v>
      </c>
      <c r="F566" s="28">
        <v>0</v>
      </c>
      <c r="G566" s="28">
        <v>14</v>
      </c>
      <c r="H566" s="28">
        <v>208</v>
      </c>
      <c r="I566" s="33">
        <v>222</v>
      </c>
      <c r="J566" s="20" t="str">
        <f t="shared" si="34"/>
        <v xml:space="preserve"> </v>
      </c>
      <c r="K566" s="20">
        <f t="shared" si="35"/>
        <v>0</v>
      </c>
    </row>
    <row r="567" spans="1:11" ht="15" thickBot="1" x14ac:dyDescent="0.35">
      <c r="A567" s="32">
        <v>566</v>
      </c>
      <c r="B567" s="28">
        <v>0.31819999999999998</v>
      </c>
      <c r="C567" s="29">
        <f t="shared" si="32"/>
        <v>0.31819999999999998</v>
      </c>
      <c r="D567" s="28">
        <v>0.49</v>
      </c>
      <c r="E567" s="30" t="str">
        <f t="shared" si="33"/>
        <v>Acceptable</v>
      </c>
      <c r="F567" s="28">
        <v>8.9599999999999999E-2</v>
      </c>
      <c r="G567" s="28">
        <v>7</v>
      </c>
      <c r="H567" s="28">
        <v>218</v>
      </c>
      <c r="I567" s="33">
        <v>225</v>
      </c>
      <c r="J567" s="20" t="str">
        <f t="shared" si="34"/>
        <v xml:space="preserve"> </v>
      </c>
      <c r="K567" s="20">
        <f t="shared" si="35"/>
        <v>0</v>
      </c>
    </row>
    <row r="568" spans="1:11" ht="15" thickBot="1" x14ac:dyDescent="0.35">
      <c r="A568" s="32">
        <v>567</v>
      </c>
      <c r="B568" s="28">
        <v>0.2576</v>
      </c>
      <c r="C568" s="29">
        <f t="shared" si="32"/>
        <v>0.2576</v>
      </c>
      <c r="D568" s="28">
        <v>0.65</v>
      </c>
      <c r="E568" s="30" t="str">
        <f t="shared" si="33"/>
        <v>Acceptable</v>
      </c>
      <c r="F568" s="28">
        <v>0.16420000000000001</v>
      </c>
      <c r="G568" s="28">
        <v>13</v>
      </c>
      <c r="H568" s="28">
        <v>133</v>
      </c>
      <c r="I568" s="33">
        <v>146</v>
      </c>
      <c r="J568" s="20" t="str">
        <f t="shared" si="34"/>
        <v xml:space="preserve"> </v>
      </c>
      <c r="K568" s="20">
        <f t="shared" si="35"/>
        <v>0</v>
      </c>
    </row>
    <row r="569" spans="1:11" ht="15" thickBot="1" x14ac:dyDescent="0.35">
      <c r="A569" s="32">
        <v>568</v>
      </c>
      <c r="B569" s="28">
        <v>0.2273</v>
      </c>
      <c r="C569" s="29">
        <f t="shared" si="32"/>
        <v>0.2273</v>
      </c>
      <c r="D569" s="28">
        <v>0.65</v>
      </c>
      <c r="E569" s="30" t="str">
        <f t="shared" si="33"/>
        <v>Acceptable</v>
      </c>
      <c r="F569" s="28">
        <v>0.19400000000000001</v>
      </c>
      <c r="G569" s="28">
        <v>16</v>
      </c>
      <c r="H569" s="28">
        <v>103</v>
      </c>
      <c r="I569" s="33">
        <v>119</v>
      </c>
      <c r="J569" s="20" t="str">
        <f t="shared" si="34"/>
        <v xml:space="preserve"> </v>
      </c>
      <c r="K569" s="20">
        <f t="shared" si="35"/>
        <v>0</v>
      </c>
    </row>
    <row r="570" spans="1:11" ht="15" thickBot="1" x14ac:dyDescent="0.35">
      <c r="A570" s="32">
        <v>569</v>
      </c>
      <c r="B570" s="28">
        <v>0.2273</v>
      </c>
      <c r="C570" s="29">
        <f t="shared" si="32"/>
        <v>0.2273</v>
      </c>
      <c r="D570" s="28">
        <v>0.65</v>
      </c>
      <c r="E570" s="30" t="str">
        <f t="shared" si="33"/>
        <v>Acceptable</v>
      </c>
      <c r="F570" s="28">
        <v>0.19400000000000001</v>
      </c>
      <c r="G570" s="28">
        <v>5</v>
      </c>
      <c r="H570" s="28">
        <v>40</v>
      </c>
      <c r="I570" s="33">
        <v>45</v>
      </c>
      <c r="J570" s="20" t="str">
        <f t="shared" si="34"/>
        <v xml:space="preserve"> </v>
      </c>
      <c r="K570" s="20">
        <f t="shared" si="35"/>
        <v>0</v>
      </c>
    </row>
    <row r="571" spans="1:11" ht="15" thickBot="1" x14ac:dyDescent="0.35">
      <c r="A571" s="32">
        <v>570</v>
      </c>
      <c r="B571" s="28">
        <v>0.2273</v>
      </c>
      <c r="C571" s="29">
        <f t="shared" si="32"/>
        <v>0.2273</v>
      </c>
      <c r="D571" s="28">
        <v>0.64</v>
      </c>
      <c r="E571" s="30" t="str">
        <f t="shared" si="33"/>
        <v>Acceptable</v>
      </c>
      <c r="F571" s="28">
        <v>0.16420000000000001</v>
      </c>
      <c r="G571" s="28">
        <v>4</v>
      </c>
      <c r="H571" s="28">
        <v>49</v>
      </c>
      <c r="I571" s="33">
        <v>53</v>
      </c>
      <c r="J571" s="20" t="str">
        <f t="shared" si="34"/>
        <v xml:space="preserve"> </v>
      </c>
      <c r="K571" s="20">
        <f t="shared" si="35"/>
        <v>0</v>
      </c>
    </row>
    <row r="572" spans="1:11" ht="15" thickBot="1" x14ac:dyDescent="0.35">
      <c r="A572" s="32">
        <v>571</v>
      </c>
      <c r="B572" s="28">
        <v>0.2273</v>
      </c>
      <c r="C572" s="29">
        <f t="shared" si="32"/>
        <v>0.2273</v>
      </c>
      <c r="D572" s="28">
        <v>0.64</v>
      </c>
      <c r="E572" s="30" t="str">
        <f t="shared" si="33"/>
        <v>Acceptable</v>
      </c>
      <c r="F572" s="28">
        <v>0.16420000000000001</v>
      </c>
      <c r="G572" s="28">
        <v>3</v>
      </c>
      <c r="H572" s="28">
        <v>37</v>
      </c>
      <c r="I572" s="33">
        <v>40</v>
      </c>
      <c r="J572" s="20" t="str">
        <f t="shared" si="34"/>
        <v xml:space="preserve"> </v>
      </c>
      <c r="K572" s="20">
        <f t="shared" si="35"/>
        <v>0</v>
      </c>
    </row>
    <row r="573" spans="1:11" ht="15" thickBot="1" x14ac:dyDescent="0.35">
      <c r="A573" s="32">
        <v>572</v>
      </c>
      <c r="B573" s="28">
        <v>0.2273</v>
      </c>
      <c r="C573" s="29">
        <f t="shared" si="32"/>
        <v>0.2273</v>
      </c>
      <c r="D573" s="28">
        <v>0.69</v>
      </c>
      <c r="E573" s="30" t="str">
        <f t="shared" si="33"/>
        <v>Acceptable</v>
      </c>
      <c r="F573" s="28">
        <v>0.1343</v>
      </c>
      <c r="G573" s="28">
        <v>3</v>
      </c>
      <c r="H573" s="28">
        <v>14</v>
      </c>
      <c r="I573" s="33">
        <v>17</v>
      </c>
      <c r="J573" s="20" t="str">
        <f t="shared" si="34"/>
        <v xml:space="preserve"> </v>
      </c>
      <c r="K573" s="20">
        <f t="shared" si="35"/>
        <v>0</v>
      </c>
    </row>
    <row r="574" spans="1:11" ht="15" thickBot="1" x14ac:dyDescent="0.35">
      <c r="A574" s="32">
        <v>573</v>
      </c>
      <c r="B574" s="28">
        <v>0.2424</v>
      </c>
      <c r="C574" s="29">
        <f t="shared" si="32"/>
        <v>0.2424</v>
      </c>
      <c r="D574" s="28">
        <v>0.65</v>
      </c>
      <c r="E574" s="30" t="str">
        <f t="shared" si="33"/>
        <v>Acceptable</v>
      </c>
      <c r="F574" s="28">
        <v>0.1343</v>
      </c>
      <c r="G574" s="28">
        <v>0</v>
      </c>
      <c r="H574" s="28">
        <v>5</v>
      </c>
      <c r="I574" s="33">
        <v>5</v>
      </c>
      <c r="J574" s="20" t="str">
        <f t="shared" si="34"/>
        <v xml:space="preserve"> </v>
      </c>
      <c r="K574" s="20">
        <f t="shared" si="35"/>
        <v>0</v>
      </c>
    </row>
    <row r="575" spans="1:11" ht="15" thickBot="1" x14ac:dyDescent="0.35">
      <c r="A575" s="32">
        <v>574</v>
      </c>
      <c r="B575" s="28">
        <v>0.2273</v>
      </c>
      <c r="C575" s="29">
        <f t="shared" si="32"/>
        <v>0.2273</v>
      </c>
      <c r="D575" s="28">
        <v>0.69</v>
      </c>
      <c r="E575" s="30" t="str">
        <f t="shared" si="33"/>
        <v>Acceptable</v>
      </c>
      <c r="F575" s="28">
        <v>0.19400000000000001</v>
      </c>
      <c r="G575" s="28">
        <v>3</v>
      </c>
      <c r="H575" s="28">
        <v>7</v>
      </c>
      <c r="I575" s="33">
        <v>10</v>
      </c>
      <c r="J575" s="20" t="str">
        <f t="shared" si="34"/>
        <v xml:space="preserve"> </v>
      </c>
      <c r="K575" s="20">
        <f t="shared" si="35"/>
        <v>0</v>
      </c>
    </row>
    <row r="576" spans="1:11" ht="15" thickBot="1" x14ac:dyDescent="0.35">
      <c r="A576" s="32">
        <v>575</v>
      </c>
      <c r="B576" s="28">
        <v>0.18179999999999999</v>
      </c>
      <c r="C576" s="29">
        <f t="shared" si="32"/>
        <v>0.18179999999999999</v>
      </c>
      <c r="D576" s="28">
        <v>0.86</v>
      </c>
      <c r="E576" s="30" t="str">
        <f t="shared" si="33"/>
        <v>Risky</v>
      </c>
      <c r="F576" s="28">
        <v>0.28360000000000002</v>
      </c>
      <c r="G576" s="28">
        <v>0</v>
      </c>
      <c r="H576" s="28">
        <v>1</v>
      </c>
      <c r="I576" s="33">
        <v>1</v>
      </c>
      <c r="J576" s="20" t="str">
        <f t="shared" si="34"/>
        <v xml:space="preserve"> </v>
      </c>
      <c r="K576" s="20">
        <f t="shared" si="35"/>
        <v>0</v>
      </c>
    </row>
    <row r="577" spans="1:11" ht="15" thickBot="1" x14ac:dyDescent="0.35">
      <c r="A577" s="32">
        <v>576</v>
      </c>
      <c r="B577" s="28">
        <v>0.18179999999999999</v>
      </c>
      <c r="C577" s="29">
        <f t="shared" si="32"/>
        <v>0.18179999999999999</v>
      </c>
      <c r="D577" s="28">
        <v>0.86</v>
      </c>
      <c r="E577" s="30" t="str">
        <f t="shared" si="33"/>
        <v>Risky</v>
      </c>
      <c r="F577" s="28">
        <v>0.28360000000000002</v>
      </c>
      <c r="G577" s="28">
        <v>0</v>
      </c>
      <c r="H577" s="28">
        <v>8</v>
      </c>
      <c r="I577" s="33">
        <v>8</v>
      </c>
      <c r="J577" s="20" t="str">
        <f t="shared" si="34"/>
        <v xml:space="preserve"> </v>
      </c>
      <c r="K577" s="20">
        <f t="shared" si="35"/>
        <v>0</v>
      </c>
    </row>
    <row r="578" spans="1:11" ht="15" thickBot="1" x14ac:dyDescent="0.35">
      <c r="A578" s="32">
        <v>577</v>
      </c>
      <c r="B578" s="28">
        <v>0.21210000000000001</v>
      </c>
      <c r="C578" s="29">
        <f t="shared" si="32"/>
        <v>0.21210000000000001</v>
      </c>
      <c r="D578" s="28">
        <v>0.87</v>
      </c>
      <c r="E578" s="30" t="str">
        <f t="shared" si="33"/>
        <v>Risky</v>
      </c>
      <c r="F578" s="28">
        <v>0.29849999999999999</v>
      </c>
      <c r="G578" s="28">
        <v>1</v>
      </c>
      <c r="H578" s="28">
        <v>29</v>
      </c>
      <c r="I578" s="33">
        <v>30</v>
      </c>
      <c r="J578" s="20" t="str">
        <f t="shared" si="34"/>
        <v xml:space="preserve"> </v>
      </c>
      <c r="K578" s="20">
        <f t="shared" si="35"/>
        <v>0</v>
      </c>
    </row>
    <row r="579" spans="1:11" ht="15" thickBot="1" x14ac:dyDescent="0.35">
      <c r="A579" s="32">
        <v>578</v>
      </c>
      <c r="B579" s="28">
        <v>0.21210000000000001</v>
      </c>
      <c r="C579" s="29">
        <f t="shared" ref="C579:C611" si="36">IF(ISBLANK(B579),AVERAGE(B579:B1188),B579)</f>
        <v>0.21210000000000001</v>
      </c>
      <c r="D579" s="28">
        <v>0.87</v>
      </c>
      <c r="E579" s="30" t="str">
        <f t="shared" ref="E579:E611" si="37">IF(D579&lt;0.7,"Acceptable","Risky")</f>
        <v>Risky</v>
      </c>
      <c r="F579" s="28">
        <v>0.29849999999999999</v>
      </c>
      <c r="G579" s="28">
        <v>3</v>
      </c>
      <c r="H579" s="28">
        <v>69</v>
      </c>
      <c r="I579" s="33">
        <v>72</v>
      </c>
      <c r="J579" s="20" t="str">
        <f t="shared" ref="J579:J611" si="38">IF(G579+H579=I579," ","Not same")</f>
        <v xml:space="preserve"> </v>
      </c>
      <c r="K579" s="20">
        <f t="shared" ref="K579:K611" si="39">COUNTBLANK(A579:J579)</f>
        <v>0</v>
      </c>
    </row>
    <row r="580" spans="1:11" ht="15" thickBot="1" x14ac:dyDescent="0.35">
      <c r="A580" s="32">
        <v>579</v>
      </c>
      <c r="B580" s="28">
        <v>0.21210000000000001</v>
      </c>
      <c r="C580" s="29">
        <f t="shared" si="36"/>
        <v>0.21210000000000001</v>
      </c>
      <c r="D580" s="28">
        <v>0.87</v>
      </c>
      <c r="E580" s="30" t="str">
        <f t="shared" si="37"/>
        <v>Risky</v>
      </c>
      <c r="F580" s="28">
        <v>0.29849999999999999</v>
      </c>
      <c r="G580" s="28">
        <v>3</v>
      </c>
      <c r="H580" s="28">
        <v>55</v>
      </c>
      <c r="I580" s="33">
        <v>58</v>
      </c>
      <c r="J580" s="20" t="str">
        <f t="shared" si="38"/>
        <v xml:space="preserve"> </v>
      </c>
      <c r="K580" s="20">
        <f t="shared" si="39"/>
        <v>0</v>
      </c>
    </row>
    <row r="581" spans="1:11" ht="15" thickBot="1" x14ac:dyDescent="0.35">
      <c r="A581" s="32">
        <v>580</v>
      </c>
      <c r="B581" s="28">
        <v>0.21210000000000001</v>
      </c>
      <c r="C581" s="29">
        <f t="shared" si="36"/>
        <v>0.21210000000000001</v>
      </c>
      <c r="D581" s="28">
        <v>0.93</v>
      </c>
      <c r="E581" s="30" t="str">
        <f t="shared" si="37"/>
        <v>Risky</v>
      </c>
      <c r="F581" s="28">
        <v>0.28360000000000002</v>
      </c>
      <c r="G581" s="28">
        <v>2</v>
      </c>
      <c r="H581" s="28">
        <v>26</v>
      </c>
      <c r="I581" s="33">
        <v>28</v>
      </c>
      <c r="J581" s="20" t="str">
        <f t="shared" si="38"/>
        <v xml:space="preserve"> </v>
      </c>
      <c r="K581" s="20">
        <f t="shared" si="39"/>
        <v>0</v>
      </c>
    </row>
    <row r="582" spans="1:11" ht="15" thickBot="1" x14ac:dyDescent="0.35">
      <c r="A582" s="32">
        <v>581</v>
      </c>
      <c r="B582" s="28">
        <v>0.19700000000000001</v>
      </c>
      <c r="C582" s="29">
        <f t="shared" si="36"/>
        <v>0.19700000000000001</v>
      </c>
      <c r="D582" s="28">
        <v>0.93</v>
      </c>
      <c r="E582" s="30" t="str">
        <f t="shared" si="37"/>
        <v>Risky</v>
      </c>
      <c r="F582" s="28">
        <v>0.32840000000000003</v>
      </c>
      <c r="G582" s="28">
        <v>6</v>
      </c>
      <c r="H582" s="28">
        <v>35</v>
      </c>
      <c r="I582" s="33">
        <v>41</v>
      </c>
      <c r="J582" s="20" t="str">
        <f t="shared" si="38"/>
        <v xml:space="preserve"> </v>
      </c>
      <c r="K582" s="20">
        <f t="shared" si="39"/>
        <v>0</v>
      </c>
    </row>
    <row r="583" spans="1:11" ht="15" thickBot="1" x14ac:dyDescent="0.35">
      <c r="A583" s="32">
        <v>582</v>
      </c>
      <c r="B583" s="28">
        <v>0.19700000000000001</v>
      </c>
      <c r="C583" s="29">
        <f t="shared" si="36"/>
        <v>0.19700000000000001</v>
      </c>
      <c r="D583" s="28">
        <v>0.93</v>
      </c>
      <c r="E583" s="30" t="str">
        <f t="shared" si="37"/>
        <v>Risky</v>
      </c>
      <c r="F583" s="28">
        <v>0.32840000000000003</v>
      </c>
      <c r="G583" s="28">
        <v>7</v>
      </c>
      <c r="H583" s="28">
        <v>41</v>
      </c>
      <c r="I583" s="33">
        <v>48</v>
      </c>
      <c r="J583" s="20" t="str">
        <f t="shared" si="38"/>
        <v xml:space="preserve"> </v>
      </c>
      <c r="K583" s="20">
        <f t="shared" si="39"/>
        <v>0</v>
      </c>
    </row>
    <row r="584" spans="1:11" ht="15" thickBot="1" x14ac:dyDescent="0.35">
      <c r="A584" s="32">
        <v>583</v>
      </c>
      <c r="B584" s="28">
        <v>0.19700000000000001</v>
      </c>
      <c r="C584" s="29">
        <f t="shared" si="36"/>
        <v>0.19700000000000001</v>
      </c>
      <c r="D584" s="28">
        <v>0.93</v>
      </c>
      <c r="E584" s="30" t="str">
        <f t="shared" si="37"/>
        <v>Risky</v>
      </c>
      <c r="F584" s="28">
        <v>0.32840000000000003</v>
      </c>
      <c r="G584" s="28">
        <v>4</v>
      </c>
      <c r="H584" s="28">
        <v>43</v>
      </c>
      <c r="I584" s="33">
        <v>47</v>
      </c>
      <c r="J584" s="20" t="str">
        <f t="shared" si="38"/>
        <v xml:space="preserve"> </v>
      </c>
      <c r="K584" s="20">
        <f t="shared" si="39"/>
        <v>0</v>
      </c>
    </row>
    <row r="585" spans="1:11" ht="15" thickBot="1" x14ac:dyDescent="0.35">
      <c r="A585" s="32">
        <v>584</v>
      </c>
      <c r="B585" s="28">
        <v>0.19700000000000001</v>
      </c>
      <c r="C585" s="29">
        <f t="shared" si="36"/>
        <v>0.19700000000000001</v>
      </c>
      <c r="D585" s="28">
        <v>0.93</v>
      </c>
      <c r="E585" s="30" t="str">
        <f t="shared" si="37"/>
        <v>Risky</v>
      </c>
      <c r="F585" s="28">
        <v>0.35820000000000002</v>
      </c>
      <c r="G585" s="28">
        <v>0</v>
      </c>
      <c r="H585" s="28">
        <v>36</v>
      </c>
      <c r="I585" s="33">
        <v>36</v>
      </c>
      <c r="J585" s="20" t="str">
        <f t="shared" si="38"/>
        <v xml:space="preserve"> </v>
      </c>
      <c r="K585" s="20">
        <f t="shared" si="39"/>
        <v>0</v>
      </c>
    </row>
    <row r="586" spans="1:11" ht="15" thickBot="1" x14ac:dyDescent="0.35">
      <c r="A586" s="32">
        <v>585</v>
      </c>
      <c r="B586" s="28">
        <v>0.18179999999999999</v>
      </c>
      <c r="C586" s="29">
        <f t="shared" si="36"/>
        <v>0.18179999999999999</v>
      </c>
      <c r="D586" s="28">
        <v>0.93</v>
      </c>
      <c r="E586" s="30" t="str">
        <f t="shared" si="37"/>
        <v>Risky</v>
      </c>
      <c r="F586" s="28">
        <v>0.4627</v>
      </c>
      <c r="G586" s="28">
        <v>1</v>
      </c>
      <c r="H586" s="28">
        <v>42</v>
      </c>
      <c r="I586" s="33">
        <v>43</v>
      </c>
      <c r="J586" s="20" t="str">
        <f t="shared" si="38"/>
        <v xml:space="preserve"> </v>
      </c>
      <c r="K586" s="20">
        <f t="shared" si="39"/>
        <v>0</v>
      </c>
    </row>
    <row r="587" spans="1:11" ht="15" thickBot="1" x14ac:dyDescent="0.35">
      <c r="A587" s="32">
        <v>586</v>
      </c>
      <c r="B587" s="28">
        <v>0.19700000000000001</v>
      </c>
      <c r="C587" s="29">
        <f t="shared" si="36"/>
        <v>0.19700000000000001</v>
      </c>
      <c r="D587" s="28">
        <v>0.93</v>
      </c>
      <c r="E587" s="30" t="str">
        <f t="shared" si="37"/>
        <v>Risky</v>
      </c>
      <c r="F587" s="28">
        <v>0.32840000000000003</v>
      </c>
      <c r="G587" s="28">
        <v>1</v>
      </c>
      <c r="H587" s="28">
        <v>35</v>
      </c>
      <c r="I587" s="33">
        <v>36</v>
      </c>
      <c r="J587" s="20" t="str">
        <f t="shared" si="38"/>
        <v xml:space="preserve"> </v>
      </c>
      <c r="K587" s="20">
        <f t="shared" si="39"/>
        <v>0</v>
      </c>
    </row>
    <row r="588" spans="1:11" ht="15" thickBot="1" x14ac:dyDescent="0.35">
      <c r="A588" s="32">
        <v>587</v>
      </c>
      <c r="B588" s="28">
        <v>0.18179999999999999</v>
      </c>
      <c r="C588" s="29">
        <f t="shared" si="36"/>
        <v>0.18179999999999999</v>
      </c>
      <c r="D588" s="28">
        <v>0.93</v>
      </c>
      <c r="E588" s="30" t="str">
        <f t="shared" si="37"/>
        <v>Risky</v>
      </c>
      <c r="F588" s="28">
        <v>0.35820000000000002</v>
      </c>
      <c r="G588" s="28">
        <v>0</v>
      </c>
      <c r="H588" s="28">
        <v>26</v>
      </c>
      <c r="I588" s="33">
        <v>26</v>
      </c>
      <c r="J588" s="20" t="str">
        <f t="shared" si="38"/>
        <v xml:space="preserve"> </v>
      </c>
      <c r="K588" s="20">
        <f t="shared" si="39"/>
        <v>0</v>
      </c>
    </row>
    <row r="589" spans="1:11" ht="15" thickBot="1" x14ac:dyDescent="0.35">
      <c r="A589" s="32">
        <v>588</v>
      </c>
      <c r="B589" s="28">
        <v>0.2273</v>
      </c>
      <c r="C589" s="29">
        <f t="shared" si="36"/>
        <v>0.2273</v>
      </c>
      <c r="D589" s="28">
        <v>0.55000000000000004</v>
      </c>
      <c r="E589" s="30" t="str">
        <f t="shared" si="37"/>
        <v>Acceptable</v>
      </c>
      <c r="F589" s="28">
        <v>0.19400000000000001</v>
      </c>
      <c r="G589" s="28">
        <v>1</v>
      </c>
      <c r="H589" s="28">
        <v>23</v>
      </c>
      <c r="I589" s="33">
        <v>24</v>
      </c>
      <c r="J589" s="20" t="str">
        <f t="shared" si="38"/>
        <v xml:space="preserve"> </v>
      </c>
      <c r="K589" s="20">
        <f t="shared" si="39"/>
        <v>0</v>
      </c>
    </row>
    <row r="590" spans="1:11" ht="15" thickBot="1" x14ac:dyDescent="0.35">
      <c r="A590" s="32">
        <v>589</v>
      </c>
      <c r="B590" s="28">
        <v>0.2424</v>
      </c>
      <c r="C590" s="29">
        <f t="shared" si="36"/>
        <v>0.2424</v>
      </c>
      <c r="D590" s="28">
        <v>0.55000000000000004</v>
      </c>
      <c r="E590" s="30" t="str">
        <f t="shared" si="37"/>
        <v>Acceptable</v>
      </c>
      <c r="F590" s="28">
        <v>0.1045</v>
      </c>
      <c r="G590" s="28">
        <v>2</v>
      </c>
      <c r="H590" s="28">
        <v>82</v>
      </c>
      <c r="I590" s="33">
        <v>84</v>
      </c>
      <c r="J590" s="20" t="str">
        <f t="shared" si="38"/>
        <v xml:space="preserve"> </v>
      </c>
      <c r="K590" s="20">
        <f t="shared" si="39"/>
        <v>0</v>
      </c>
    </row>
    <row r="591" spans="1:11" ht="15" thickBot="1" x14ac:dyDescent="0.35">
      <c r="A591" s="32">
        <v>590</v>
      </c>
      <c r="B591" s="28">
        <v>0.2273</v>
      </c>
      <c r="C591" s="29">
        <f t="shared" si="36"/>
        <v>0.2273</v>
      </c>
      <c r="D591" s="28">
        <v>0.69</v>
      </c>
      <c r="E591" s="30" t="str">
        <f t="shared" si="37"/>
        <v>Acceptable</v>
      </c>
      <c r="F591" s="28">
        <v>8.9599999999999999E-2</v>
      </c>
      <c r="G591" s="28">
        <v>3</v>
      </c>
      <c r="H591" s="28">
        <v>101</v>
      </c>
      <c r="I591" s="33">
        <v>104</v>
      </c>
      <c r="J591" s="20" t="str">
        <f t="shared" si="38"/>
        <v xml:space="preserve"> </v>
      </c>
      <c r="K591" s="20">
        <f t="shared" si="39"/>
        <v>0</v>
      </c>
    </row>
    <row r="592" spans="1:11" ht="15" thickBot="1" x14ac:dyDescent="0.35">
      <c r="A592" s="32">
        <v>591</v>
      </c>
      <c r="B592" s="28">
        <v>0.2273</v>
      </c>
      <c r="C592" s="29">
        <f t="shared" si="36"/>
        <v>0.2273</v>
      </c>
      <c r="D592" s="28">
        <v>0.69</v>
      </c>
      <c r="E592" s="30" t="str">
        <f t="shared" si="37"/>
        <v>Acceptable</v>
      </c>
      <c r="F592" s="28">
        <v>8.9599999999999999E-2</v>
      </c>
      <c r="G592" s="28">
        <v>3</v>
      </c>
      <c r="H592" s="28">
        <v>76</v>
      </c>
      <c r="I592" s="33">
        <v>79</v>
      </c>
      <c r="J592" s="20" t="str">
        <f t="shared" si="38"/>
        <v xml:space="preserve"> </v>
      </c>
      <c r="K592" s="20">
        <f t="shared" si="39"/>
        <v>0</v>
      </c>
    </row>
    <row r="593" spans="1:11" ht="15" thickBot="1" x14ac:dyDescent="0.35">
      <c r="A593" s="32">
        <v>592</v>
      </c>
      <c r="B593" s="28">
        <v>0.21210000000000001</v>
      </c>
      <c r="C593" s="29">
        <f t="shared" si="36"/>
        <v>0.21210000000000001</v>
      </c>
      <c r="D593" s="28">
        <v>0.74</v>
      </c>
      <c r="E593" s="30" t="str">
        <f t="shared" si="37"/>
        <v>Risky</v>
      </c>
      <c r="F593" s="28">
        <v>8.9599999999999999E-2</v>
      </c>
      <c r="G593" s="28">
        <v>4</v>
      </c>
      <c r="H593" s="28">
        <v>55</v>
      </c>
      <c r="I593" s="33">
        <v>59</v>
      </c>
      <c r="J593" s="20" t="str">
        <f t="shared" si="38"/>
        <v xml:space="preserve"> </v>
      </c>
      <c r="K593" s="20">
        <f t="shared" si="39"/>
        <v>0</v>
      </c>
    </row>
    <row r="594" spans="1:11" ht="15" thickBot="1" x14ac:dyDescent="0.35">
      <c r="A594" s="32">
        <v>593</v>
      </c>
      <c r="B594" s="28">
        <v>0.21210000000000001</v>
      </c>
      <c r="C594" s="29">
        <f t="shared" si="36"/>
        <v>0.21210000000000001</v>
      </c>
      <c r="D594" s="28">
        <v>0.74</v>
      </c>
      <c r="E594" s="30" t="str">
        <f t="shared" si="37"/>
        <v>Risky</v>
      </c>
      <c r="F594" s="28">
        <v>8.9599999999999999E-2</v>
      </c>
      <c r="G594" s="28">
        <v>2</v>
      </c>
      <c r="H594" s="28">
        <v>36</v>
      </c>
      <c r="I594" s="33">
        <v>38</v>
      </c>
      <c r="J594" s="20" t="str">
        <f t="shared" si="38"/>
        <v xml:space="preserve"> </v>
      </c>
      <c r="K594" s="20">
        <f t="shared" si="39"/>
        <v>0</v>
      </c>
    </row>
    <row r="595" spans="1:11" ht="15" thickBot="1" x14ac:dyDescent="0.35">
      <c r="A595" s="32">
        <v>594</v>
      </c>
      <c r="B595" s="28">
        <v>0.21210000000000001</v>
      </c>
      <c r="C595" s="29">
        <f t="shared" si="36"/>
        <v>0.21210000000000001</v>
      </c>
      <c r="D595" s="28">
        <v>0.74</v>
      </c>
      <c r="E595" s="30" t="str">
        <f t="shared" si="37"/>
        <v>Risky</v>
      </c>
      <c r="F595" s="28">
        <v>8.9599999999999999E-2</v>
      </c>
      <c r="G595" s="28">
        <v>0</v>
      </c>
      <c r="H595" s="28">
        <v>27</v>
      </c>
      <c r="I595" s="33">
        <v>27</v>
      </c>
      <c r="J595" s="20" t="str">
        <f t="shared" si="38"/>
        <v xml:space="preserve"> </v>
      </c>
      <c r="K595" s="20">
        <f t="shared" si="39"/>
        <v>0</v>
      </c>
    </row>
    <row r="596" spans="1:11" ht="15" thickBot="1" x14ac:dyDescent="0.35">
      <c r="A596" s="32">
        <v>595</v>
      </c>
      <c r="B596" s="28">
        <v>0.19700000000000001</v>
      </c>
      <c r="C596" s="29">
        <f t="shared" si="36"/>
        <v>0.19700000000000001</v>
      </c>
      <c r="D596" s="28">
        <v>0.8</v>
      </c>
      <c r="E596" s="30" t="str">
        <f t="shared" si="37"/>
        <v>Risky</v>
      </c>
      <c r="F596" s="28">
        <v>0.16420000000000001</v>
      </c>
      <c r="G596" s="28">
        <v>0</v>
      </c>
      <c r="H596" s="28">
        <v>16</v>
      </c>
      <c r="I596" s="33">
        <v>16</v>
      </c>
      <c r="J596" s="20" t="str">
        <f t="shared" si="38"/>
        <v xml:space="preserve"> </v>
      </c>
      <c r="K596" s="20">
        <f t="shared" si="39"/>
        <v>0</v>
      </c>
    </row>
    <row r="597" spans="1:11" ht="15" thickBot="1" x14ac:dyDescent="0.35">
      <c r="A597" s="32">
        <v>596</v>
      </c>
      <c r="B597" s="28">
        <v>0.21210000000000001</v>
      </c>
      <c r="C597" s="29">
        <f t="shared" si="36"/>
        <v>0.21210000000000001</v>
      </c>
      <c r="D597" s="28">
        <v>0.75</v>
      </c>
      <c r="E597" s="30" t="str">
        <f t="shared" si="37"/>
        <v>Risky</v>
      </c>
      <c r="F597" s="28">
        <v>0.1343</v>
      </c>
      <c r="G597" s="28">
        <v>0</v>
      </c>
      <c r="H597" s="28">
        <v>9</v>
      </c>
      <c r="I597" s="33">
        <v>9</v>
      </c>
      <c r="J597" s="20" t="str">
        <f t="shared" si="38"/>
        <v xml:space="preserve"> </v>
      </c>
      <c r="K597" s="20">
        <f t="shared" si="39"/>
        <v>0</v>
      </c>
    </row>
    <row r="598" spans="1:11" ht="15" thickBot="1" x14ac:dyDescent="0.35">
      <c r="A598" s="32">
        <v>597</v>
      </c>
      <c r="B598" s="28">
        <v>0.21210000000000001</v>
      </c>
      <c r="C598" s="29">
        <f t="shared" si="36"/>
        <v>0.21210000000000001</v>
      </c>
      <c r="D598" s="28">
        <v>0.75</v>
      </c>
      <c r="E598" s="30" t="str">
        <f t="shared" si="37"/>
        <v>Risky</v>
      </c>
      <c r="F598" s="28">
        <v>0.1343</v>
      </c>
      <c r="G598" s="28">
        <v>1</v>
      </c>
      <c r="H598" s="28">
        <v>2</v>
      </c>
      <c r="I598" s="33">
        <v>3</v>
      </c>
      <c r="J598" s="20" t="str">
        <f t="shared" si="38"/>
        <v xml:space="preserve"> </v>
      </c>
      <c r="K598" s="20">
        <f t="shared" si="39"/>
        <v>0</v>
      </c>
    </row>
    <row r="599" spans="1:11" ht="15" thickBot="1" x14ac:dyDescent="0.35">
      <c r="A599" s="32">
        <v>598</v>
      </c>
      <c r="B599" s="28">
        <v>0.21210000000000001</v>
      </c>
      <c r="C599" s="29">
        <f t="shared" si="36"/>
        <v>0.21210000000000001</v>
      </c>
      <c r="D599" s="28">
        <v>0.75</v>
      </c>
      <c r="E599" s="30" t="str">
        <f t="shared" si="37"/>
        <v>Risky</v>
      </c>
      <c r="F599" s="28">
        <v>0.16420000000000001</v>
      </c>
      <c r="G599" s="28">
        <v>0</v>
      </c>
      <c r="H599" s="28">
        <v>2</v>
      </c>
      <c r="I599" s="33">
        <v>2</v>
      </c>
      <c r="J599" s="20" t="str">
        <f t="shared" si="38"/>
        <v xml:space="preserve"> </v>
      </c>
      <c r="K599" s="20">
        <f t="shared" si="39"/>
        <v>0</v>
      </c>
    </row>
    <row r="600" spans="1:11" ht="15" thickBot="1" x14ac:dyDescent="0.35">
      <c r="A600" s="32">
        <v>599</v>
      </c>
      <c r="B600" s="28">
        <v>0.2273</v>
      </c>
      <c r="C600" s="29">
        <f t="shared" si="36"/>
        <v>0.2273</v>
      </c>
      <c r="D600" s="28">
        <v>0.75</v>
      </c>
      <c r="E600" s="30" t="str">
        <f t="shared" si="37"/>
        <v>Risky</v>
      </c>
      <c r="F600" s="28">
        <v>0.1045</v>
      </c>
      <c r="G600" s="28">
        <v>1</v>
      </c>
      <c r="H600" s="28">
        <v>0</v>
      </c>
      <c r="I600" s="33">
        <v>1</v>
      </c>
      <c r="J600" s="20" t="str">
        <f t="shared" si="38"/>
        <v xml:space="preserve"> </v>
      </c>
      <c r="K600" s="20">
        <f t="shared" si="39"/>
        <v>0</v>
      </c>
    </row>
    <row r="601" spans="1:11" ht="15" thickBot="1" x14ac:dyDescent="0.35">
      <c r="A601" s="32">
        <v>600</v>
      </c>
      <c r="B601" s="28">
        <v>0.21210000000000001</v>
      </c>
      <c r="C601" s="29">
        <f t="shared" si="36"/>
        <v>0.21210000000000001</v>
      </c>
      <c r="D601" s="28">
        <v>0.8</v>
      </c>
      <c r="E601" s="30" t="str">
        <f t="shared" si="37"/>
        <v>Risky</v>
      </c>
      <c r="F601" s="28">
        <v>0.1045</v>
      </c>
      <c r="G601" s="28">
        <v>0</v>
      </c>
      <c r="H601" s="28">
        <v>4</v>
      </c>
      <c r="I601" s="33">
        <v>4</v>
      </c>
      <c r="J601" s="20" t="str">
        <f t="shared" si="38"/>
        <v xml:space="preserve"> </v>
      </c>
      <c r="K601" s="20">
        <f t="shared" si="39"/>
        <v>0</v>
      </c>
    </row>
    <row r="602" spans="1:11" ht="15" thickBot="1" x14ac:dyDescent="0.35">
      <c r="A602" s="32">
        <v>601</v>
      </c>
      <c r="B602" s="28">
        <v>0.19700000000000001</v>
      </c>
      <c r="C602" s="29">
        <f t="shared" si="36"/>
        <v>0.19700000000000001</v>
      </c>
      <c r="D602" s="28">
        <v>0.8</v>
      </c>
      <c r="E602" s="30" t="str">
        <f t="shared" si="37"/>
        <v>Risky</v>
      </c>
      <c r="F602" s="28">
        <v>0.1343</v>
      </c>
      <c r="G602" s="28">
        <v>0</v>
      </c>
      <c r="H602" s="28">
        <v>16</v>
      </c>
      <c r="I602" s="33">
        <v>16</v>
      </c>
      <c r="J602" s="20" t="str">
        <f t="shared" si="38"/>
        <v xml:space="preserve"> </v>
      </c>
      <c r="K602" s="20">
        <f t="shared" si="39"/>
        <v>0</v>
      </c>
    </row>
    <row r="603" spans="1:11" ht="15" thickBot="1" x14ac:dyDescent="0.35">
      <c r="A603" s="32">
        <v>602</v>
      </c>
      <c r="B603" s="28">
        <v>0.19700000000000001</v>
      </c>
      <c r="C603" s="29">
        <f t="shared" si="36"/>
        <v>0.19700000000000001</v>
      </c>
      <c r="D603" s="28">
        <v>0.86</v>
      </c>
      <c r="E603" s="30" t="str">
        <f t="shared" si="37"/>
        <v>Risky</v>
      </c>
      <c r="F603" s="28">
        <v>8.9599999999999999E-2</v>
      </c>
      <c r="G603" s="28">
        <v>2</v>
      </c>
      <c r="H603" s="28">
        <v>58</v>
      </c>
      <c r="I603" s="33">
        <v>60</v>
      </c>
      <c r="J603" s="20" t="str">
        <f t="shared" si="38"/>
        <v xml:space="preserve"> </v>
      </c>
      <c r="K603" s="20">
        <f t="shared" si="39"/>
        <v>0</v>
      </c>
    </row>
    <row r="604" spans="1:11" ht="15" thickBot="1" x14ac:dyDescent="0.35">
      <c r="A604" s="32">
        <v>603</v>
      </c>
      <c r="B604" s="28">
        <v>0.19700000000000001</v>
      </c>
      <c r="C604" s="29">
        <f t="shared" si="36"/>
        <v>0.19700000000000001</v>
      </c>
      <c r="D604" s="28">
        <v>0.86</v>
      </c>
      <c r="E604" s="30" t="str">
        <f t="shared" si="37"/>
        <v>Risky</v>
      </c>
      <c r="F604" s="28">
        <v>8.9599999999999999E-2</v>
      </c>
      <c r="G604" s="28">
        <v>2</v>
      </c>
      <c r="H604" s="28">
        <v>155</v>
      </c>
      <c r="I604" s="33">
        <v>157</v>
      </c>
      <c r="J604" s="20" t="str">
        <f t="shared" si="38"/>
        <v xml:space="preserve"> </v>
      </c>
      <c r="K604" s="20">
        <f t="shared" si="39"/>
        <v>0</v>
      </c>
    </row>
    <row r="605" spans="1:11" ht="15" thickBot="1" x14ac:dyDescent="0.35">
      <c r="A605" s="32">
        <v>604</v>
      </c>
      <c r="B605" s="28">
        <v>0.21210000000000001</v>
      </c>
      <c r="C605" s="29">
        <f t="shared" si="36"/>
        <v>0.21210000000000001</v>
      </c>
      <c r="D605" s="28">
        <v>0.86</v>
      </c>
      <c r="E605" s="30" t="str">
        <f t="shared" si="37"/>
        <v>Risky</v>
      </c>
      <c r="F605" s="28">
        <v>8.9599999999999999E-2</v>
      </c>
      <c r="G605" s="28">
        <v>6</v>
      </c>
      <c r="H605" s="28">
        <v>95</v>
      </c>
      <c r="I605" s="33">
        <v>101</v>
      </c>
      <c r="J605" s="20" t="str">
        <f t="shared" si="38"/>
        <v xml:space="preserve"> </v>
      </c>
      <c r="K605" s="20">
        <f t="shared" si="39"/>
        <v>0</v>
      </c>
    </row>
    <row r="606" spans="1:11" ht="15" thickBot="1" x14ac:dyDescent="0.35">
      <c r="A606" s="32">
        <v>605</v>
      </c>
      <c r="B606" s="28">
        <v>0.21210000000000001</v>
      </c>
      <c r="C606" s="29">
        <f t="shared" si="36"/>
        <v>0.21210000000000001</v>
      </c>
      <c r="D606" s="28">
        <v>0.86</v>
      </c>
      <c r="E606" s="30" t="str">
        <f t="shared" si="37"/>
        <v>Risky</v>
      </c>
      <c r="F606" s="28">
        <v>0.1045</v>
      </c>
      <c r="G606" s="28">
        <v>0</v>
      </c>
      <c r="H606" s="28">
        <v>49</v>
      </c>
      <c r="I606" s="33">
        <v>49</v>
      </c>
      <c r="J606" s="20" t="str">
        <f t="shared" si="38"/>
        <v xml:space="preserve"> </v>
      </c>
      <c r="K606" s="20">
        <f t="shared" si="39"/>
        <v>0</v>
      </c>
    </row>
    <row r="607" spans="1:11" ht="15" thickBot="1" x14ac:dyDescent="0.35">
      <c r="A607" s="32">
        <v>606</v>
      </c>
      <c r="B607" s="28">
        <v>0.21210000000000001</v>
      </c>
      <c r="C607" s="29">
        <f t="shared" si="36"/>
        <v>0.21210000000000001</v>
      </c>
      <c r="D607" s="28">
        <v>0.93</v>
      </c>
      <c r="E607" s="30" t="str">
        <f t="shared" si="37"/>
        <v>Risky</v>
      </c>
      <c r="F607" s="28">
        <v>0.1045</v>
      </c>
      <c r="G607" s="28">
        <v>0</v>
      </c>
      <c r="H607" s="28">
        <v>30</v>
      </c>
      <c r="I607" s="33">
        <v>30</v>
      </c>
      <c r="J607" s="20" t="str">
        <f t="shared" si="38"/>
        <v xml:space="preserve"> </v>
      </c>
      <c r="K607" s="20">
        <f t="shared" si="39"/>
        <v>0</v>
      </c>
    </row>
    <row r="608" spans="1:11" ht="15" thickBot="1" x14ac:dyDescent="0.35">
      <c r="A608" s="32">
        <v>607</v>
      </c>
      <c r="B608" s="28">
        <v>0.21210000000000001</v>
      </c>
      <c r="C608" s="29">
        <f t="shared" si="36"/>
        <v>0.21210000000000001</v>
      </c>
      <c r="D608" s="28">
        <v>0.93</v>
      </c>
      <c r="E608" s="30" t="str">
        <f t="shared" si="37"/>
        <v>Risky</v>
      </c>
      <c r="F608" s="28">
        <v>0.1045</v>
      </c>
      <c r="G608" s="28">
        <v>1</v>
      </c>
      <c r="H608" s="28">
        <v>28</v>
      </c>
      <c r="I608" s="33">
        <v>29</v>
      </c>
      <c r="J608" s="20" t="str">
        <f t="shared" si="38"/>
        <v xml:space="preserve"> </v>
      </c>
      <c r="K608" s="20">
        <f t="shared" si="39"/>
        <v>0</v>
      </c>
    </row>
    <row r="609" spans="1:11" ht="15" thickBot="1" x14ac:dyDescent="0.35">
      <c r="A609" s="32">
        <v>608</v>
      </c>
      <c r="B609" s="28">
        <v>0.21210000000000001</v>
      </c>
      <c r="C609" s="29">
        <f t="shared" si="36"/>
        <v>0.21210000000000001</v>
      </c>
      <c r="D609" s="28">
        <v>0.93</v>
      </c>
      <c r="E609" s="30" t="str">
        <f t="shared" si="37"/>
        <v>Risky</v>
      </c>
      <c r="F609" s="28">
        <v>0.1045</v>
      </c>
      <c r="G609" s="28">
        <v>0</v>
      </c>
      <c r="H609" s="28">
        <v>31</v>
      </c>
      <c r="I609" s="33">
        <v>31</v>
      </c>
      <c r="J609" s="20" t="str">
        <f t="shared" si="38"/>
        <v xml:space="preserve"> </v>
      </c>
      <c r="K609" s="20">
        <f t="shared" si="39"/>
        <v>0</v>
      </c>
    </row>
    <row r="610" spans="1:11" ht="15" thickBot="1" x14ac:dyDescent="0.35">
      <c r="A610" s="32">
        <v>609</v>
      </c>
      <c r="B610" s="28">
        <v>0.2727</v>
      </c>
      <c r="C610" s="29">
        <f t="shared" si="36"/>
        <v>0.2727</v>
      </c>
      <c r="D610" s="28">
        <v>0.8</v>
      </c>
      <c r="E610" s="30" t="str">
        <f t="shared" si="37"/>
        <v>Risky</v>
      </c>
      <c r="F610" s="28">
        <v>0</v>
      </c>
      <c r="G610" s="28">
        <v>2</v>
      </c>
      <c r="H610" s="28">
        <v>36</v>
      </c>
      <c r="I610" s="33">
        <v>38</v>
      </c>
      <c r="J610" s="20" t="str">
        <f t="shared" si="38"/>
        <v xml:space="preserve"> </v>
      </c>
      <c r="K610" s="20">
        <f t="shared" si="39"/>
        <v>0</v>
      </c>
    </row>
    <row r="611" spans="1:11" x14ac:dyDescent="0.3">
      <c r="A611" s="38">
        <v>610</v>
      </c>
      <c r="B611" s="39">
        <v>0.2576</v>
      </c>
      <c r="C611" s="40">
        <f t="shared" si="36"/>
        <v>0.2576</v>
      </c>
      <c r="D611" s="39">
        <v>0.86</v>
      </c>
      <c r="E611" s="41" t="str">
        <f t="shared" si="37"/>
        <v>Risky</v>
      </c>
      <c r="F611" s="39">
        <v>0</v>
      </c>
      <c r="G611" s="39">
        <v>1</v>
      </c>
      <c r="H611" s="39">
        <v>40</v>
      </c>
      <c r="I611" s="42">
        <v>41</v>
      </c>
      <c r="J611" s="20" t="str">
        <f t="shared" si="38"/>
        <v xml:space="preserve"> </v>
      </c>
      <c r="K611" s="20">
        <f t="shared" si="39"/>
        <v>0</v>
      </c>
    </row>
  </sheetData>
  <conditionalFormatting sqref="K2:K611">
    <cfRule type="cellIs" dxfId="49" priority="3" operator="equal">
      <formula>1</formula>
    </cfRule>
  </conditionalFormatting>
  <conditionalFormatting sqref="K10">
    <cfRule type="cellIs" dxfId="48" priority="2" operator="equal">
      <formula>1</formula>
    </cfRule>
  </conditionalFormatting>
  <conditionalFormatting sqref="K1:K611">
    <cfRule type="cellIs" dxfId="47" priority="1" operator="equal">
      <formula>1</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5EB27-3344-4768-A8AB-64FB5DD9494C}">
  <sheetPr codeName="Sheet3"/>
  <dimension ref="A1:S611"/>
  <sheetViews>
    <sheetView workbookViewId="0">
      <selection activeCell="E20" sqref="E20"/>
    </sheetView>
  </sheetViews>
  <sheetFormatPr defaultRowHeight="14.4" x14ac:dyDescent="0.3"/>
  <cols>
    <col min="2" max="2" width="14.44140625" customWidth="1"/>
    <col min="10" max="10" width="12.44140625" customWidth="1"/>
    <col min="11" max="11" width="14.5546875" customWidth="1"/>
    <col min="15" max="15" width="12.109375" customWidth="1"/>
    <col min="16" max="16" width="11.44140625" customWidth="1"/>
    <col min="18" max="18" width="10.6640625" customWidth="1"/>
  </cols>
  <sheetData>
    <row r="1" spans="1:19" ht="29.4" thickBot="1" x14ac:dyDescent="0.35">
      <c r="A1" s="12" t="s">
        <v>11</v>
      </c>
      <c r="B1" s="12" t="s">
        <v>10</v>
      </c>
      <c r="C1" s="12" t="s">
        <v>21</v>
      </c>
      <c r="D1" s="12" t="s">
        <v>9</v>
      </c>
      <c r="E1" s="12" t="s">
        <v>5</v>
      </c>
      <c r="F1" s="13" t="s">
        <v>4</v>
      </c>
      <c r="G1" s="17" t="s">
        <v>2</v>
      </c>
      <c r="H1" s="12" t="s">
        <v>3</v>
      </c>
      <c r="I1" s="17" t="s">
        <v>6</v>
      </c>
      <c r="J1" s="12" t="s">
        <v>8</v>
      </c>
      <c r="K1" s="22" t="s">
        <v>19</v>
      </c>
      <c r="L1" s="15" t="s">
        <v>12</v>
      </c>
      <c r="M1" s="24" t="s">
        <v>20</v>
      </c>
      <c r="N1" s="15" t="s">
        <v>17</v>
      </c>
      <c r="O1" s="24" t="s">
        <v>18</v>
      </c>
      <c r="P1" s="15" t="s">
        <v>16</v>
      </c>
      <c r="Q1" s="15" t="s">
        <v>15</v>
      </c>
      <c r="R1" s="15" t="s">
        <v>14</v>
      </c>
      <c r="S1" s="15" t="s">
        <v>13</v>
      </c>
    </row>
    <row r="2" spans="1:19" ht="15" thickBot="1" x14ac:dyDescent="0.35">
      <c r="A2" s="1">
        <v>1</v>
      </c>
      <c r="B2" s="2">
        <v>40544</v>
      </c>
      <c r="C2" s="1">
        <v>1</v>
      </c>
      <c r="D2" s="1">
        <v>0</v>
      </c>
      <c r="E2" s="3" t="b">
        <v>0</v>
      </c>
      <c r="F2" s="8">
        <v>6</v>
      </c>
      <c r="G2" s="18" t="str">
        <f>_xlfn.IFS(F2=0,"Yes",F2=6,"Yes",F2&gt;0,"No")</f>
        <v>Yes</v>
      </c>
      <c r="H2" s="1">
        <v>1</v>
      </c>
      <c r="I2" s="21" t="str">
        <f>_xlfn.IFS(H2=1,"Clean",H2=2,"Misty",H2=3,"Light Rain",H2=4,"Heavy Rain")</f>
        <v>Clean</v>
      </c>
      <c r="J2" s="1">
        <v>0.24</v>
      </c>
      <c r="K2" s="23" t="str">
        <f>_xlfn.IFS(J2&lt;0.1,"Risky",J2&lt;0.35,"Safe",J2&gt;0.35,"Risky")</f>
        <v>Safe</v>
      </c>
      <c r="L2">
        <f t="shared" ref="L2:L65" si="0">VLOOKUP($A2,list2,2,FALSE)</f>
        <v>0.28789999999999999</v>
      </c>
      <c r="M2" s="20">
        <f t="shared" ref="M2:M65" si="1">VLOOKUP($A2,list2,3,FALSE)</f>
        <v>0.28789999999999999</v>
      </c>
      <c r="N2">
        <f t="shared" ref="N2:N65" si="2">VLOOKUP($A2,list2,4,FALSE)</f>
        <v>0.81</v>
      </c>
      <c r="O2" s="20" t="str">
        <f t="shared" ref="O2:O65" si="3">VLOOKUP($A2,list2,5,FALSE)</f>
        <v>Risky</v>
      </c>
      <c r="P2">
        <f t="shared" ref="P2:P65" si="4">VLOOKUP($A2,list2,6,FALSE)</f>
        <v>0</v>
      </c>
      <c r="Q2">
        <f t="shared" ref="Q2:Q65" si="5">VLOOKUP($A2,list2,7,FALSE)</f>
        <v>3</v>
      </c>
      <c r="R2">
        <f t="shared" ref="R2:R65" si="6">VLOOKUP($A2,list2,8,FALSE)</f>
        <v>13</v>
      </c>
      <c r="S2">
        <f t="shared" ref="S2:S65" si="7">VLOOKUP($A2,list2,9,FALSE)</f>
        <v>16</v>
      </c>
    </row>
    <row r="3" spans="1:19" ht="15" thickBot="1" x14ac:dyDescent="0.35">
      <c r="A3" s="1">
        <v>2</v>
      </c>
      <c r="B3" s="2">
        <v>40544</v>
      </c>
      <c r="C3" s="1">
        <v>1</v>
      </c>
      <c r="D3" s="1">
        <v>1</v>
      </c>
      <c r="E3" s="3" t="b">
        <v>0</v>
      </c>
      <c r="F3" s="9">
        <v>6</v>
      </c>
      <c r="G3" s="18" t="str">
        <f t="shared" ref="G3:G66" si="8">_xlfn.IFS(F3=0,"Yes",F3=6,"Yes",F3&gt;0,"No")</f>
        <v>Yes</v>
      </c>
      <c r="H3" s="1">
        <v>1</v>
      </c>
      <c r="I3" s="21" t="str">
        <f t="shared" ref="I3:I66" si="9">_xlfn.IFS(H3=1,"Clean",H3=2,"Misty",H3=3,"Light Rain",H3=4,"Heavy Rain")</f>
        <v>Clean</v>
      </c>
      <c r="J3" s="1">
        <v>0.22</v>
      </c>
      <c r="K3" s="23" t="str">
        <f t="shared" ref="K3:K66" si="10">_xlfn.IFS(J3&lt;0.1,"Risky",J3&lt;0.35,"Safe",J3&gt;0.35,"Risky")</f>
        <v>Safe</v>
      </c>
      <c r="L3">
        <f t="shared" si="0"/>
        <v>0.2727</v>
      </c>
      <c r="M3" s="20">
        <f t="shared" si="1"/>
        <v>0.2727</v>
      </c>
      <c r="N3">
        <f t="shared" si="2"/>
        <v>0.8</v>
      </c>
      <c r="O3" s="20" t="str">
        <f t="shared" si="3"/>
        <v>Risky</v>
      </c>
      <c r="P3">
        <f t="shared" si="4"/>
        <v>0</v>
      </c>
      <c r="Q3">
        <f t="shared" si="5"/>
        <v>8</v>
      </c>
      <c r="R3">
        <f t="shared" si="6"/>
        <v>32</v>
      </c>
      <c r="S3">
        <f t="shared" si="7"/>
        <v>40</v>
      </c>
    </row>
    <row r="4" spans="1:19" ht="15" thickBot="1" x14ac:dyDescent="0.35">
      <c r="A4" s="1">
        <v>3</v>
      </c>
      <c r="B4" s="2">
        <v>40544</v>
      </c>
      <c r="C4" s="1">
        <v>1</v>
      </c>
      <c r="D4" s="1">
        <v>2</v>
      </c>
      <c r="E4" s="3" t="b">
        <v>0</v>
      </c>
      <c r="F4" s="7">
        <v>6</v>
      </c>
      <c r="G4" s="18" t="str">
        <f t="shared" si="8"/>
        <v>Yes</v>
      </c>
      <c r="H4" s="1">
        <v>1</v>
      </c>
      <c r="I4" s="21" t="str">
        <f t="shared" si="9"/>
        <v>Clean</v>
      </c>
      <c r="J4" s="1">
        <v>0.22</v>
      </c>
      <c r="K4" s="23" t="str">
        <f t="shared" si="10"/>
        <v>Safe</v>
      </c>
      <c r="L4">
        <f t="shared" si="0"/>
        <v>0.2727</v>
      </c>
      <c r="M4" s="20">
        <f t="shared" si="1"/>
        <v>0.2727</v>
      </c>
      <c r="N4">
        <f t="shared" si="2"/>
        <v>0.8</v>
      </c>
      <c r="O4" s="20" t="str">
        <f t="shared" si="3"/>
        <v>Risky</v>
      </c>
      <c r="P4">
        <f t="shared" si="4"/>
        <v>0</v>
      </c>
      <c r="Q4">
        <f t="shared" si="5"/>
        <v>5</v>
      </c>
      <c r="R4">
        <f t="shared" si="6"/>
        <v>27</v>
      </c>
      <c r="S4">
        <f t="shared" si="7"/>
        <v>32</v>
      </c>
    </row>
    <row r="5" spans="1:19" ht="15" thickBot="1" x14ac:dyDescent="0.35">
      <c r="A5" s="1">
        <v>4</v>
      </c>
      <c r="B5" s="2">
        <v>40544</v>
      </c>
      <c r="C5" s="1">
        <v>1</v>
      </c>
      <c r="D5" s="1">
        <v>3</v>
      </c>
      <c r="E5" s="3" t="b">
        <v>0</v>
      </c>
      <c r="F5" s="5">
        <v>6</v>
      </c>
      <c r="G5" s="19" t="str">
        <f t="shared" si="8"/>
        <v>Yes</v>
      </c>
      <c r="H5" s="4">
        <v>1</v>
      </c>
      <c r="I5" s="21" t="str">
        <f t="shared" si="9"/>
        <v>Clean</v>
      </c>
      <c r="J5" s="1">
        <v>0.24</v>
      </c>
      <c r="K5" s="23" t="str">
        <f t="shared" si="10"/>
        <v>Safe</v>
      </c>
      <c r="L5">
        <f t="shared" si="0"/>
        <v>0.28789999999999999</v>
      </c>
      <c r="M5" s="20">
        <f t="shared" si="1"/>
        <v>0.28789999999999999</v>
      </c>
      <c r="N5">
        <f t="shared" si="2"/>
        <v>0.75</v>
      </c>
      <c r="O5" s="20" t="str">
        <f t="shared" si="3"/>
        <v>Risky</v>
      </c>
      <c r="P5">
        <f t="shared" si="4"/>
        <v>0</v>
      </c>
      <c r="Q5">
        <f t="shared" si="5"/>
        <v>3</v>
      </c>
      <c r="R5">
        <f t="shared" si="6"/>
        <v>10</v>
      </c>
      <c r="S5">
        <f t="shared" si="7"/>
        <v>13</v>
      </c>
    </row>
    <row r="6" spans="1:19" ht="15" thickBot="1" x14ac:dyDescent="0.35">
      <c r="A6" s="1">
        <v>5</v>
      </c>
      <c r="B6" s="2">
        <v>40544</v>
      </c>
      <c r="C6" s="1">
        <v>1</v>
      </c>
      <c r="D6" s="1">
        <v>4</v>
      </c>
      <c r="E6" s="3" t="b">
        <v>0</v>
      </c>
      <c r="F6" s="5">
        <v>6</v>
      </c>
      <c r="G6" s="18" t="str">
        <f t="shared" si="8"/>
        <v>Yes</v>
      </c>
      <c r="H6" s="1">
        <v>1</v>
      </c>
      <c r="I6" s="21" t="str">
        <f t="shared" si="9"/>
        <v>Clean</v>
      </c>
      <c r="J6" s="1">
        <v>0.24</v>
      </c>
      <c r="K6" s="23" t="str">
        <f t="shared" si="10"/>
        <v>Safe</v>
      </c>
      <c r="L6">
        <f t="shared" si="0"/>
        <v>0.28789999999999999</v>
      </c>
      <c r="M6" s="20">
        <f t="shared" si="1"/>
        <v>0.28789999999999999</v>
      </c>
      <c r="N6">
        <f t="shared" si="2"/>
        <v>0.75</v>
      </c>
      <c r="O6" s="20" t="str">
        <f t="shared" si="3"/>
        <v>Risky</v>
      </c>
      <c r="P6">
        <f t="shared" si="4"/>
        <v>0</v>
      </c>
      <c r="Q6">
        <f t="shared" si="5"/>
        <v>0</v>
      </c>
      <c r="R6">
        <f t="shared" si="6"/>
        <v>1</v>
      </c>
      <c r="S6">
        <f t="shared" si="7"/>
        <v>1</v>
      </c>
    </row>
    <row r="7" spans="1:19" ht="15" thickBot="1" x14ac:dyDescent="0.35">
      <c r="A7" s="1">
        <v>6</v>
      </c>
      <c r="B7" s="2">
        <v>40544</v>
      </c>
      <c r="C7" s="1">
        <v>1</v>
      </c>
      <c r="D7" s="1">
        <v>5</v>
      </c>
      <c r="E7" s="3" t="b">
        <v>0</v>
      </c>
      <c r="F7" s="5">
        <v>6</v>
      </c>
      <c r="G7" s="18" t="str">
        <f t="shared" si="8"/>
        <v>Yes</v>
      </c>
      <c r="H7" s="1">
        <v>2</v>
      </c>
      <c r="I7" s="21" t="str">
        <f t="shared" si="9"/>
        <v>Misty</v>
      </c>
      <c r="J7" s="1">
        <v>0.24</v>
      </c>
      <c r="K7" s="23" t="str">
        <f t="shared" si="10"/>
        <v>Safe</v>
      </c>
      <c r="L7">
        <f t="shared" si="0"/>
        <v>0.2576</v>
      </c>
      <c r="M7" s="20">
        <f t="shared" si="1"/>
        <v>0.2576</v>
      </c>
      <c r="N7">
        <f t="shared" si="2"/>
        <v>0.75</v>
      </c>
      <c r="O7" s="20" t="str">
        <f t="shared" si="3"/>
        <v>Risky</v>
      </c>
      <c r="P7">
        <f t="shared" si="4"/>
        <v>8.9599999999999999E-2</v>
      </c>
      <c r="Q7">
        <f t="shared" si="5"/>
        <v>0</v>
      </c>
      <c r="R7">
        <f t="shared" si="6"/>
        <v>1</v>
      </c>
      <c r="S7">
        <f t="shared" si="7"/>
        <v>1</v>
      </c>
    </row>
    <row r="8" spans="1:19" ht="15" thickBot="1" x14ac:dyDescent="0.35">
      <c r="A8" s="1">
        <v>7</v>
      </c>
      <c r="B8" s="2">
        <v>40544</v>
      </c>
      <c r="C8" s="1">
        <v>1</v>
      </c>
      <c r="D8" s="1">
        <v>6</v>
      </c>
      <c r="E8" s="3" t="b">
        <v>0</v>
      </c>
      <c r="F8" s="5">
        <v>6</v>
      </c>
      <c r="G8" s="18" t="str">
        <f t="shared" si="8"/>
        <v>Yes</v>
      </c>
      <c r="H8" s="1">
        <v>1</v>
      </c>
      <c r="I8" s="21" t="str">
        <f t="shared" si="9"/>
        <v>Clean</v>
      </c>
      <c r="J8" s="1">
        <v>0.22</v>
      </c>
      <c r="K8" s="23" t="str">
        <f t="shared" si="10"/>
        <v>Safe</v>
      </c>
      <c r="L8">
        <f t="shared" si="0"/>
        <v>0.2727</v>
      </c>
      <c r="M8" s="20">
        <f t="shared" si="1"/>
        <v>0.2727</v>
      </c>
      <c r="N8">
        <f t="shared" si="2"/>
        <v>0.8</v>
      </c>
      <c r="O8" s="20" t="str">
        <f t="shared" si="3"/>
        <v>Risky</v>
      </c>
      <c r="P8">
        <f t="shared" si="4"/>
        <v>0</v>
      </c>
      <c r="Q8">
        <f t="shared" si="5"/>
        <v>2</v>
      </c>
      <c r="R8">
        <f t="shared" si="6"/>
        <v>0</v>
      </c>
      <c r="S8">
        <f t="shared" si="7"/>
        <v>2</v>
      </c>
    </row>
    <row r="9" spans="1:19" ht="15" thickBot="1" x14ac:dyDescent="0.35">
      <c r="A9" s="1">
        <v>8</v>
      </c>
      <c r="B9" s="2">
        <v>40544</v>
      </c>
      <c r="C9" s="1">
        <v>1</v>
      </c>
      <c r="D9" s="1">
        <v>7</v>
      </c>
      <c r="E9" s="3" t="b">
        <v>0</v>
      </c>
      <c r="F9" s="5">
        <v>6</v>
      </c>
      <c r="G9" s="18" t="str">
        <f t="shared" si="8"/>
        <v>Yes</v>
      </c>
      <c r="H9" s="1">
        <v>1</v>
      </c>
      <c r="I9" s="21" t="str">
        <f t="shared" si="9"/>
        <v>Clean</v>
      </c>
      <c r="J9" s="1">
        <v>0.2</v>
      </c>
      <c r="K9" s="23" t="str">
        <f t="shared" si="10"/>
        <v>Safe</v>
      </c>
      <c r="L9">
        <f t="shared" si="0"/>
        <v>0.2576</v>
      </c>
      <c r="M9" s="20">
        <f t="shared" si="1"/>
        <v>0.2576</v>
      </c>
      <c r="N9">
        <f t="shared" si="2"/>
        <v>0.86</v>
      </c>
      <c r="O9" s="20" t="str">
        <f t="shared" si="3"/>
        <v>Risky</v>
      </c>
      <c r="P9">
        <f t="shared" si="4"/>
        <v>0</v>
      </c>
      <c r="Q9">
        <f t="shared" si="5"/>
        <v>1</v>
      </c>
      <c r="R9">
        <f t="shared" si="6"/>
        <v>2</v>
      </c>
      <c r="S9">
        <f t="shared" si="7"/>
        <v>3</v>
      </c>
    </row>
    <row r="10" spans="1:19" ht="15" thickBot="1" x14ac:dyDescent="0.35">
      <c r="A10" s="1">
        <v>9</v>
      </c>
      <c r="B10" s="2">
        <v>40544</v>
      </c>
      <c r="C10" s="1">
        <v>1</v>
      </c>
      <c r="D10" s="1">
        <v>8</v>
      </c>
      <c r="E10" s="3" t="b">
        <v>0</v>
      </c>
      <c r="F10" s="10">
        <v>6</v>
      </c>
      <c r="G10" s="18" t="str">
        <f t="shared" si="8"/>
        <v>Yes</v>
      </c>
      <c r="H10" s="1">
        <v>1</v>
      </c>
      <c r="I10" s="21" t="str">
        <f t="shared" si="9"/>
        <v>Clean</v>
      </c>
      <c r="J10" s="1">
        <v>0.24</v>
      </c>
      <c r="K10" s="23" t="str">
        <f t="shared" si="10"/>
        <v>Safe</v>
      </c>
      <c r="L10">
        <f t="shared" si="0"/>
        <v>0</v>
      </c>
      <c r="M10" s="20">
        <f t="shared" si="1"/>
        <v>0.19892385786802047</v>
      </c>
      <c r="N10">
        <f t="shared" si="2"/>
        <v>0.75</v>
      </c>
      <c r="O10" s="20" t="str">
        <f t="shared" si="3"/>
        <v>Risky</v>
      </c>
      <c r="P10">
        <f t="shared" si="4"/>
        <v>0</v>
      </c>
      <c r="Q10">
        <f t="shared" si="5"/>
        <v>1</v>
      </c>
      <c r="R10">
        <f t="shared" si="6"/>
        <v>7</v>
      </c>
      <c r="S10">
        <f t="shared" si="7"/>
        <v>8</v>
      </c>
    </row>
    <row r="11" spans="1:19" ht="15" thickBot="1" x14ac:dyDescent="0.35">
      <c r="A11" s="1">
        <v>10</v>
      </c>
      <c r="B11" s="2">
        <v>40544</v>
      </c>
      <c r="C11" s="1">
        <v>1</v>
      </c>
      <c r="D11" s="1">
        <v>9</v>
      </c>
      <c r="E11" s="3" t="b">
        <v>0</v>
      </c>
      <c r="F11" s="5">
        <v>6</v>
      </c>
      <c r="G11" s="18" t="str">
        <f t="shared" si="8"/>
        <v>Yes</v>
      </c>
      <c r="H11" s="1">
        <v>1</v>
      </c>
      <c r="I11" s="21" t="str">
        <f t="shared" si="9"/>
        <v>Clean</v>
      </c>
      <c r="J11" s="1">
        <v>0.32</v>
      </c>
      <c r="K11" s="23" t="str">
        <f t="shared" si="10"/>
        <v>Safe</v>
      </c>
      <c r="L11">
        <f t="shared" si="0"/>
        <v>0.34849999999999998</v>
      </c>
      <c r="M11" s="20">
        <f t="shared" si="1"/>
        <v>0.34849999999999998</v>
      </c>
      <c r="N11">
        <f t="shared" si="2"/>
        <v>0.76</v>
      </c>
      <c r="O11" s="20" t="str">
        <f t="shared" si="3"/>
        <v>Risky</v>
      </c>
      <c r="P11">
        <f t="shared" si="4"/>
        <v>0</v>
      </c>
      <c r="Q11">
        <f t="shared" si="5"/>
        <v>8</v>
      </c>
      <c r="R11">
        <f t="shared" si="6"/>
        <v>6</v>
      </c>
      <c r="S11">
        <f t="shared" si="7"/>
        <v>14</v>
      </c>
    </row>
    <row r="12" spans="1:19" ht="15" thickBot="1" x14ac:dyDescent="0.35">
      <c r="A12" s="1">
        <v>11</v>
      </c>
      <c r="B12" s="2">
        <v>40544</v>
      </c>
      <c r="C12" s="1">
        <v>1</v>
      </c>
      <c r="D12" s="1">
        <v>10</v>
      </c>
      <c r="E12" s="3" t="b">
        <v>0</v>
      </c>
      <c r="F12" s="5">
        <v>6</v>
      </c>
      <c r="G12" s="18" t="str">
        <f t="shared" si="8"/>
        <v>Yes</v>
      </c>
      <c r="H12" s="1">
        <v>1</v>
      </c>
      <c r="I12" s="21" t="str">
        <f t="shared" si="9"/>
        <v>Clean</v>
      </c>
      <c r="J12" s="1">
        <v>0.38</v>
      </c>
      <c r="K12" s="23" t="str">
        <f t="shared" si="10"/>
        <v>Risky</v>
      </c>
      <c r="L12">
        <f t="shared" si="0"/>
        <v>0.39389999999999997</v>
      </c>
      <c r="M12" s="20">
        <f t="shared" si="1"/>
        <v>0.39389999999999997</v>
      </c>
      <c r="N12">
        <f t="shared" si="2"/>
        <v>0.76</v>
      </c>
      <c r="O12" s="20" t="str">
        <f t="shared" si="3"/>
        <v>Risky</v>
      </c>
      <c r="P12">
        <f t="shared" si="4"/>
        <v>0.25369999999999998</v>
      </c>
      <c r="Q12">
        <f t="shared" si="5"/>
        <v>12</v>
      </c>
      <c r="R12">
        <f t="shared" si="6"/>
        <v>24</v>
      </c>
      <c r="S12">
        <f t="shared" si="7"/>
        <v>36</v>
      </c>
    </row>
    <row r="13" spans="1:19" ht="15" thickBot="1" x14ac:dyDescent="0.35">
      <c r="A13" s="1">
        <v>12</v>
      </c>
      <c r="B13" s="2">
        <v>40544</v>
      </c>
      <c r="C13" s="1">
        <v>1</v>
      </c>
      <c r="D13" s="1">
        <v>11</v>
      </c>
      <c r="E13" s="3" t="b">
        <v>0</v>
      </c>
      <c r="F13" s="5">
        <v>6</v>
      </c>
      <c r="G13" s="18" t="str">
        <f t="shared" si="8"/>
        <v>Yes</v>
      </c>
      <c r="H13" s="1">
        <v>1</v>
      </c>
      <c r="I13" s="21" t="str">
        <f t="shared" si="9"/>
        <v>Clean</v>
      </c>
      <c r="J13" s="1">
        <v>0.36</v>
      </c>
      <c r="K13" s="23" t="str">
        <f t="shared" si="10"/>
        <v>Risky</v>
      </c>
      <c r="L13">
        <f t="shared" si="0"/>
        <v>0.33329999999999999</v>
      </c>
      <c r="M13" s="20">
        <f t="shared" si="1"/>
        <v>0.33329999999999999</v>
      </c>
      <c r="N13">
        <f t="shared" si="2"/>
        <v>0.81</v>
      </c>
      <c r="O13" s="20" t="str">
        <f t="shared" si="3"/>
        <v>Risky</v>
      </c>
      <c r="P13">
        <f t="shared" si="4"/>
        <v>0.28360000000000002</v>
      </c>
      <c r="Q13">
        <f t="shared" si="5"/>
        <v>26</v>
      </c>
      <c r="R13">
        <f t="shared" si="6"/>
        <v>30</v>
      </c>
      <c r="S13">
        <f t="shared" si="7"/>
        <v>56</v>
      </c>
    </row>
    <row r="14" spans="1:19" ht="15" thickBot="1" x14ac:dyDescent="0.35">
      <c r="A14" s="1">
        <v>13</v>
      </c>
      <c r="B14" s="2">
        <v>40544</v>
      </c>
      <c r="C14" s="1">
        <v>1</v>
      </c>
      <c r="D14" s="1">
        <v>12</v>
      </c>
      <c r="E14" s="3" t="b">
        <v>0</v>
      </c>
      <c r="F14" s="8">
        <v>6</v>
      </c>
      <c r="G14" s="18" t="str">
        <f t="shared" si="8"/>
        <v>Yes</v>
      </c>
      <c r="H14" s="1">
        <v>1</v>
      </c>
      <c r="I14" s="21" t="str">
        <f t="shared" si="9"/>
        <v>Clean</v>
      </c>
      <c r="J14" s="1">
        <v>0.42</v>
      </c>
      <c r="K14" s="23" t="str">
        <f t="shared" si="10"/>
        <v>Risky</v>
      </c>
      <c r="L14">
        <f t="shared" si="0"/>
        <v>0.42420000000000002</v>
      </c>
      <c r="M14" s="20">
        <f t="shared" si="1"/>
        <v>0.42420000000000002</v>
      </c>
      <c r="N14">
        <f t="shared" si="2"/>
        <v>0.77</v>
      </c>
      <c r="O14" s="20" t="str">
        <f t="shared" si="3"/>
        <v>Risky</v>
      </c>
      <c r="P14">
        <f t="shared" si="4"/>
        <v>0.28360000000000002</v>
      </c>
      <c r="Q14">
        <f t="shared" si="5"/>
        <v>29</v>
      </c>
      <c r="R14">
        <f t="shared" si="6"/>
        <v>55</v>
      </c>
      <c r="S14">
        <f t="shared" si="7"/>
        <v>84</v>
      </c>
    </row>
    <row r="15" spans="1:19" ht="15" thickBot="1" x14ac:dyDescent="0.35">
      <c r="A15" s="1">
        <v>14</v>
      </c>
      <c r="B15" s="2">
        <v>40544</v>
      </c>
      <c r="C15" s="1">
        <v>1</v>
      </c>
      <c r="D15" s="1">
        <v>13</v>
      </c>
      <c r="E15" s="3" t="b">
        <v>0</v>
      </c>
      <c r="F15" s="9">
        <v>6</v>
      </c>
      <c r="G15" s="18" t="str">
        <f t="shared" si="8"/>
        <v>Yes</v>
      </c>
      <c r="H15" s="1">
        <v>2</v>
      </c>
      <c r="I15" s="21" t="str">
        <f t="shared" si="9"/>
        <v>Misty</v>
      </c>
      <c r="J15" s="1">
        <v>0.46</v>
      </c>
      <c r="K15" s="23" t="str">
        <f t="shared" si="10"/>
        <v>Risky</v>
      </c>
      <c r="L15">
        <f t="shared" si="0"/>
        <v>0.45450000000000002</v>
      </c>
      <c r="M15" s="20">
        <f t="shared" si="1"/>
        <v>0.45450000000000002</v>
      </c>
      <c r="N15">
        <f t="shared" si="2"/>
        <v>0.72</v>
      </c>
      <c r="O15" s="20" t="str">
        <f t="shared" si="3"/>
        <v>Risky</v>
      </c>
      <c r="P15">
        <f t="shared" si="4"/>
        <v>0.29849999999999999</v>
      </c>
      <c r="Q15">
        <f t="shared" si="5"/>
        <v>47</v>
      </c>
      <c r="R15">
        <f t="shared" si="6"/>
        <v>47</v>
      </c>
      <c r="S15">
        <f t="shared" si="7"/>
        <v>94</v>
      </c>
    </row>
    <row r="16" spans="1:19" ht="15" thickBot="1" x14ac:dyDescent="0.35">
      <c r="A16" s="1">
        <v>15</v>
      </c>
      <c r="B16" s="2">
        <v>40544</v>
      </c>
      <c r="C16" s="1">
        <v>1</v>
      </c>
      <c r="D16" s="1">
        <v>14</v>
      </c>
      <c r="E16" s="3" t="b">
        <v>0</v>
      </c>
      <c r="F16" s="7">
        <v>6</v>
      </c>
      <c r="G16" s="18" t="str">
        <f t="shared" si="8"/>
        <v>Yes</v>
      </c>
      <c r="H16" s="1">
        <v>2</v>
      </c>
      <c r="I16" s="21" t="str">
        <f t="shared" si="9"/>
        <v>Misty</v>
      </c>
      <c r="J16" s="1">
        <v>0.46</v>
      </c>
      <c r="K16" s="23" t="str">
        <f t="shared" si="10"/>
        <v>Risky</v>
      </c>
      <c r="L16">
        <f t="shared" si="0"/>
        <v>0.45450000000000002</v>
      </c>
      <c r="M16" s="20">
        <f t="shared" si="1"/>
        <v>0.45450000000000002</v>
      </c>
      <c r="N16">
        <f t="shared" si="2"/>
        <v>0.72</v>
      </c>
      <c r="O16" s="20" t="str">
        <f t="shared" si="3"/>
        <v>Risky</v>
      </c>
      <c r="P16">
        <f t="shared" si="4"/>
        <v>0.28360000000000002</v>
      </c>
      <c r="Q16">
        <f t="shared" si="5"/>
        <v>35</v>
      </c>
      <c r="R16">
        <f t="shared" si="6"/>
        <v>71</v>
      </c>
      <c r="S16">
        <f t="shared" si="7"/>
        <v>106</v>
      </c>
    </row>
    <row r="17" spans="1:19" ht="15" thickBot="1" x14ac:dyDescent="0.35">
      <c r="A17" s="1">
        <v>16</v>
      </c>
      <c r="B17" s="2">
        <v>40544</v>
      </c>
      <c r="C17" s="1">
        <v>1</v>
      </c>
      <c r="D17" s="1">
        <v>15</v>
      </c>
      <c r="E17" s="3" t="b">
        <v>0</v>
      </c>
      <c r="F17" s="5">
        <v>6</v>
      </c>
      <c r="G17" s="18" t="str">
        <f t="shared" si="8"/>
        <v>Yes</v>
      </c>
      <c r="H17" s="1">
        <v>2</v>
      </c>
      <c r="I17" s="21" t="str">
        <f t="shared" si="9"/>
        <v>Misty</v>
      </c>
      <c r="J17" s="1">
        <v>0.44</v>
      </c>
      <c r="K17" s="23" t="str">
        <f t="shared" si="10"/>
        <v>Risky</v>
      </c>
      <c r="L17">
        <f t="shared" si="0"/>
        <v>0.43940000000000001</v>
      </c>
      <c r="M17" s="20">
        <f t="shared" si="1"/>
        <v>0.43940000000000001</v>
      </c>
      <c r="N17">
        <f t="shared" si="2"/>
        <v>0.77</v>
      </c>
      <c r="O17" s="20" t="str">
        <f t="shared" si="3"/>
        <v>Risky</v>
      </c>
      <c r="P17">
        <f t="shared" si="4"/>
        <v>0.29849999999999999</v>
      </c>
      <c r="Q17">
        <f t="shared" si="5"/>
        <v>40</v>
      </c>
      <c r="R17">
        <f t="shared" si="6"/>
        <v>70</v>
      </c>
      <c r="S17">
        <f t="shared" si="7"/>
        <v>110</v>
      </c>
    </row>
    <row r="18" spans="1:19" ht="15" thickBot="1" x14ac:dyDescent="0.35">
      <c r="A18" s="1">
        <v>17</v>
      </c>
      <c r="B18" s="2">
        <v>40544</v>
      </c>
      <c r="C18" s="1">
        <v>1</v>
      </c>
      <c r="D18" s="1">
        <v>16</v>
      </c>
      <c r="E18" s="3" t="b">
        <v>0</v>
      </c>
      <c r="F18" s="5">
        <v>6</v>
      </c>
      <c r="G18" s="18" t="str">
        <f t="shared" si="8"/>
        <v>Yes</v>
      </c>
      <c r="H18" s="1">
        <v>2</v>
      </c>
      <c r="I18" s="21" t="str">
        <f t="shared" si="9"/>
        <v>Misty</v>
      </c>
      <c r="J18" s="1">
        <v>0.42</v>
      </c>
      <c r="K18" s="23" t="str">
        <f t="shared" si="10"/>
        <v>Risky</v>
      </c>
      <c r="L18">
        <f t="shared" si="0"/>
        <v>0.42420000000000002</v>
      </c>
      <c r="M18" s="20">
        <f t="shared" si="1"/>
        <v>0.42420000000000002</v>
      </c>
      <c r="N18">
        <f t="shared" si="2"/>
        <v>0.82</v>
      </c>
      <c r="O18" s="20" t="str">
        <f t="shared" si="3"/>
        <v>Risky</v>
      </c>
      <c r="P18">
        <f t="shared" si="4"/>
        <v>0.29849999999999999</v>
      </c>
      <c r="Q18">
        <f t="shared" si="5"/>
        <v>41</v>
      </c>
      <c r="R18">
        <f t="shared" si="6"/>
        <v>52</v>
      </c>
      <c r="S18">
        <f t="shared" si="7"/>
        <v>93</v>
      </c>
    </row>
    <row r="19" spans="1:19" ht="15" thickBot="1" x14ac:dyDescent="0.35">
      <c r="A19" s="1">
        <v>18</v>
      </c>
      <c r="B19" s="2">
        <v>40544</v>
      </c>
      <c r="C19" s="1">
        <v>1</v>
      </c>
      <c r="D19" s="1">
        <v>17</v>
      </c>
      <c r="E19" s="3" t="b">
        <v>0</v>
      </c>
      <c r="F19" s="5">
        <v>6</v>
      </c>
      <c r="G19" s="18" t="str">
        <f t="shared" si="8"/>
        <v>Yes</v>
      </c>
      <c r="H19" s="1">
        <v>2</v>
      </c>
      <c r="I19" s="21" t="str">
        <f t="shared" si="9"/>
        <v>Misty</v>
      </c>
      <c r="J19" s="1">
        <v>0.44</v>
      </c>
      <c r="K19" s="23" t="str">
        <f t="shared" si="10"/>
        <v>Risky</v>
      </c>
      <c r="L19">
        <f t="shared" si="0"/>
        <v>0</v>
      </c>
      <c r="M19" s="20">
        <f t="shared" si="1"/>
        <v>0.19604030874785608</v>
      </c>
      <c r="N19">
        <f t="shared" si="2"/>
        <v>0.82</v>
      </c>
      <c r="O19" s="20" t="str">
        <f t="shared" si="3"/>
        <v>Risky</v>
      </c>
      <c r="P19">
        <f t="shared" si="4"/>
        <v>0.28360000000000002</v>
      </c>
      <c r="Q19">
        <f t="shared" si="5"/>
        <v>15</v>
      </c>
      <c r="R19">
        <f t="shared" si="6"/>
        <v>52</v>
      </c>
      <c r="S19">
        <f t="shared" si="7"/>
        <v>67</v>
      </c>
    </row>
    <row r="20" spans="1:19" ht="27.6" thickBot="1" x14ac:dyDescent="0.35">
      <c r="A20" s="1">
        <v>19</v>
      </c>
      <c r="B20" s="2">
        <v>40544</v>
      </c>
      <c r="C20" s="1">
        <v>1</v>
      </c>
      <c r="D20" s="1">
        <v>18</v>
      </c>
      <c r="E20" s="3" t="b">
        <v>0</v>
      </c>
      <c r="F20" s="5">
        <v>6</v>
      </c>
      <c r="G20" s="18" t="str">
        <f t="shared" si="8"/>
        <v>Yes</v>
      </c>
      <c r="H20" s="1">
        <v>3</v>
      </c>
      <c r="I20" s="21" t="str">
        <f t="shared" si="9"/>
        <v>Light Rain</v>
      </c>
      <c r="J20" s="1">
        <v>0.42</v>
      </c>
      <c r="K20" s="23" t="str">
        <f t="shared" si="10"/>
        <v>Risky</v>
      </c>
      <c r="L20">
        <f t="shared" si="0"/>
        <v>0.42420000000000002</v>
      </c>
      <c r="M20" s="20">
        <f t="shared" si="1"/>
        <v>0.42420000000000002</v>
      </c>
      <c r="N20">
        <f t="shared" si="2"/>
        <v>0.88</v>
      </c>
      <c r="O20" s="20" t="str">
        <f t="shared" si="3"/>
        <v>Risky</v>
      </c>
      <c r="P20">
        <f t="shared" si="4"/>
        <v>0.25369999999999998</v>
      </c>
      <c r="Q20">
        <f t="shared" si="5"/>
        <v>9</v>
      </c>
      <c r="R20">
        <f t="shared" si="6"/>
        <v>26</v>
      </c>
      <c r="S20">
        <f t="shared" si="7"/>
        <v>35</v>
      </c>
    </row>
    <row r="21" spans="1:19" ht="27.6" thickBot="1" x14ac:dyDescent="0.35">
      <c r="A21" s="1">
        <v>20</v>
      </c>
      <c r="B21" s="2">
        <v>40544</v>
      </c>
      <c r="C21" s="1">
        <v>1</v>
      </c>
      <c r="D21" s="1">
        <v>19</v>
      </c>
      <c r="E21" s="3" t="b">
        <v>0</v>
      </c>
      <c r="F21" s="5">
        <v>6</v>
      </c>
      <c r="G21" s="18" t="str">
        <f t="shared" si="8"/>
        <v>Yes</v>
      </c>
      <c r="H21" s="1">
        <v>3</v>
      </c>
      <c r="I21" s="21" t="str">
        <f t="shared" si="9"/>
        <v>Light Rain</v>
      </c>
      <c r="J21" s="1">
        <v>0.42</v>
      </c>
      <c r="K21" s="23" t="str">
        <f t="shared" si="10"/>
        <v>Risky</v>
      </c>
      <c r="L21">
        <f t="shared" si="0"/>
        <v>0.42420000000000002</v>
      </c>
      <c r="M21" s="20">
        <f t="shared" si="1"/>
        <v>0.42420000000000002</v>
      </c>
      <c r="N21">
        <f t="shared" si="2"/>
        <v>0.88</v>
      </c>
      <c r="O21" s="20" t="str">
        <f t="shared" si="3"/>
        <v>Risky</v>
      </c>
      <c r="P21">
        <f t="shared" si="4"/>
        <v>0.25369999999999998</v>
      </c>
      <c r="Q21">
        <f t="shared" si="5"/>
        <v>6</v>
      </c>
      <c r="R21">
        <f t="shared" si="6"/>
        <v>31</v>
      </c>
      <c r="S21">
        <f t="shared" si="7"/>
        <v>37</v>
      </c>
    </row>
    <row r="22" spans="1:19" ht="15" thickBot="1" x14ac:dyDescent="0.35">
      <c r="A22" s="1">
        <v>21</v>
      </c>
      <c r="B22" s="2">
        <v>40544</v>
      </c>
      <c r="C22" s="1">
        <v>1</v>
      </c>
      <c r="D22" s="1">
        <v>20</v>
      </c>
      <c r="E22" s="3" t="b">
        <v>0</v>
      </c>
      <c r="F22" s="5">
        <v>6</v>
      </c>
      <c r="G22" s="18" t="str">
        <f t="shared" si="8"/>
        <v>Yes</v>
      </c>
      <c r="H22" s="1">
        <v>2</v>
      </c>
      <c r="I22" s="21" t="str">
        <f t="shared" si="9"/>
        <v>Misty</v>
      </c>
      <c r="J22" s="1">
        <v>0.4</v>
      </c>
      <c r="K22" s="23" t="str">
        <f t="shared" si="10"/>
        <v>Risky</v>
      </c>
      <c r="L22">
        <f t="shared" si="0"/>
        <v>0.40910000000000002</v>
      </c>
      <c r="M22" s="20">
        <f t="shared" si="1"/>
        <v>0.40910000000000002</v>
      </c>
      <c r="N22">
        <f t="shared" si="2"/>
        <v>0.87</v>
      </c>
      <c r="O22" s="20" t="str">
        <f t="shared" si="3"/>
        <v>Risky</v>
      </c>
      <c r="P22">
        <f t="shared" si="4"/>
        <v>0.25369999999999998</v>
      </c>
      <c r="Q22">
        <f t="shared" si="5"/>
        <v>11</v>
      </c>
      <c r="R22">
        <f t="shared" si="6"/>
        <v>25</v>
      </c>
      <c r="S22">
        <f t="shared" si="7"/>
        <v>36</v>
      </c>
    </row>
    <row r="23" spans="1:19" ht="15" thickBot="1" x14ac:dyDescent="0.35">
      <c r="A23" s="1">
        <v>22</v>
      </c>
      <c r="B23" s="2">
        <v>40544</v>
      </c>
      <c r="C23" s="1">
        <v>1</v>
      </c>
      <c r="D23" s="1">
        <v>21</v>
      </c>
      <c r="E23" s="3" t="b">
        <v>0</v>
      </c>
      <c r="F23" s="5">
        <v>6</v>
      </c>
      <c r="G23" s="18" t="str">
        <f t="shared" si="8"/>
        <v>Yes</v>
      </c>
      <c r="H23" s="1">
        <v>2</v>
      </c>
      <c r="I23" s="21" t="str">
        <f t="shared" si="9"/>
        <v>Misty</v>
      </c>
      <c r="J23" s="1">
        <v>0.4</v>
      </c>
      <c r="K23" s="23" t="str">
        <f t="shared" si="10"/>
        <v>Risky</v>
      </c>
      <c r="L23">
        <f t="shared" si="0"/>
        <v>0.40910000000000002</v>
      </c>
      <c r="M23" s="20">
        <f t="shared" si="1"/>
        <v>0.40910000000000002</v>
      </c>
      <c r="N23">
        <f t="shared" si="2"/>
        <v>0.87</v>
      </c>
      <c r="O23" s="20" t="str">
        <f t="shared" si="3"/>
        <v>Risky</v>
      </c>
      <c r="P23">
        <f t="shared" si="4"/>
        <v>0.19400000000000001</v>
      </c>
      <c r="Q23">
        <f t="shared" si="5"/>
        <v>3</v>
      </c>
      <c r="R23">
        <f t="shared" si="6"/>
        <v>31</v>
      </c>
      <c r="S23">
        <f t="shared" si="7"/>
        <v>34</v>
      </c>
    </row>
    <row r="24" spans="1:19" ht="15" thickBot="1" x14ac:dyDescent="0.35">
      <c r="A24" s="1">
        <v>23</v>
      </c>
      <c r="B24" s="2">
        <v>40544</v>
      </c>
      <c r="C24" s="1">
        <v>1</v>
      </c>
      <c r="D24" s="1">
        <v>22</v>
      </c>
      <c r="E24" s="3" t="b">
        <v>0</v>
      </c>
      <c r="F24" s="5">
        <v>6</v>
      </c>
      <c r="G24" s="18" t="str">
        <f t="shared" si="8"/>
        <v>Yes</v>
      </c>
      <c r="H24" s="1">
        <v>2</v>
      </c>
      <c r="I24" s="21" t="str">
        <f t="shared" si="9"/>
        <v>Misty</v>
      </c>
      <c r="J24" s="1">
        <v>0.4</v>
      </c>
      <c r="K24" s="23" t="str">
        <f t="shared" si="10"/>
        <v>Risky</v>
      </c>
      <c r="L24">
        <f t="shared" si="0"/>
        <v>0.40910000000000002</v>
      </c>
      <c r="M24" s="20">
        <f t="shared" si="1"/>
        <v>0.40910000000000002</v>
      </c>
      <c r="N24">
        <f t="shared" si="2"/>
        <v>0.94</v>
      </c>
      <c r="O24" s="20" t="str">
        <f t="shared" si="3"/>
        <v>Risky</v>
      </c>
      <c r="P24">
        <f t="shared" si="4"/>
        <v>0.22389999999999999</v>
      </c>
      <c r="Q24">
        <f t="shared" si="5"/>
        <v>11</v>
      </c>
      <c r="R24">
        <f t="shared" si="6"/>
        <v>17</v>
      </c>
      <c r="S24">
        <f t="shared" si="7"/>
        <v>28</v>
      </c>
    </row>
    <row r="25" spans="1:19" ht="15" thickBot="1" x14ac:dyDescent="0.35">
      <c r="A25" s="1">
        <v>24</v>
      </c>
      <c r="B25" s="2">
        <v>40544</v>
      </c>
      <c r="C25" s="1">
        <v>1</v>
      </c>
      <c r="D25" s="1">
        <v>23</v>
      </c>
      <c r="E25" s="3" t="b">
        <v>0</v>
      </c>
      <c r="F25" s="5">
        <v>6</v>
      </c>
      <c r="G25" s="18" t="str">
        <f t="shared" si="8"/>
        <v>Yes</v>
      </c>
      <c r="H25" s="1">
        <v>2</v>
      </c>
      <c r="I25" s="21" t="str">
        <f t="shared" si="9"/>
        <v>Misty</v>
      </c>
      <c r="J25" s="1">
        <v>0.46</v>
      </c>
      <c r="K25" s="23" t="str">
        <f t="shared" si="10"/>
        <v>Risky</v>
      </c>
      <c r="L25">
        <f t="shared" si="0"/>
        <v>0</v>
      </c>
      <c r="M25" s="20">
        <f t="shared" si="1"/>
        <v>0.19414498269896208</v>
      </c>
      <c r="N25">
        <f t="shared" si="2"/>
        <v>0.88</v>
      </c>
      <c r="O25" s="20" t="str">
        <f t="shared" si="3"/>
        <v>Risky</v>
      </c>
      <c r="P25">
        <f t="shared" si="4"/>
        <v>0.29849999999999999</v>
      </c>
      <c r="Q25">
        <f t="shared" si="5"/>
        <v>15</v>
      </c>
      <c r="R25">
        <f t="shared" si="6"/>
        <v>24</v>
      </c>
      <c r="S25">
        <f t="shared" si="7"/>
        <v>39</v>
      </c>
    </row>
    <row r="26" spans="1:19" ht="15" thickBot="1" x14ac:dyDescent="0.35">
      <c r="A26" s="1">
        <v>25</v>
      </c>
      <c r="B26" s="2">
        <v>40545</v>
      </c>
      <c r="C26" s="1">
        <v>1</v>
      </c>
      <c r="D26" s="1">
        <v>0</v>
      </c>
      <c r="E26" s="3" t="b">
        <v>0</v>
      </c>
      <c r="F26" s="5">
        <v>0</v>
      </c>
      <c r="G26" s="18" t="str">
        <f t="shared" si="8"/>
        <v>Yes</v>
      </c>
      <c r="H26" s="1">
        <v>2</v>
      </c>
      <c r="I26" s="21" t="str">
        <f t="shared" si="9"/>
        <v>Misty</v>
      </c>
      <c r="J26" s="1">
        <v>0.46</v>
      </c>
      <c r="K26" s="23" t="str">
        <f t="shared" si="10"/>
        <v>Risky</v>
      </c>
      <c r="L26">
        <f t="shared" si="0"/>
        <v>0.45450000000000002</v>
      </c>
      <c r="M26" s="20">
        <f t="shared" si="1"/>
        <v>0.45450000000000002</v>
      </c>
      <c r="N26">
        <f t="shared" si="2"/>
        <v>0.88</v>
      </c>
      <c r="O26" s="20" t="str">
        <f t="shared" si="3"/>
        <v>Risky</v>
      </c>
      <c r="P26">
        <f t="shared" si="4"/>
        <v>0.29849999999999999</v>
      </c>
      <c r="Q26">
        <f t="shared" si="5"/>
        <v>4</v>
      </c>
      <c r="R26">
        <f t="shared" si="6"/>
        <v>13</v>
      </c>
      <c r="S26">
        <f t="shared" si="7"/>
        <v>17</v>
      </c>
    </row>
    <row r="27" spans="1:19" ht="15" thickBot="1" x14ac:dyDescent="0.35">
      <c r="A27" s="1">
        <v>26</v>
      </c>
      <c r="B27" s="2">
        <v>40545</v>
      </c>
      <c r="C27" s="1">
        <v>1</v>
      </c>
      <c r="D27" s="1">
        <v>1</v>
      </c>
      <c r="E27" s="3" t="b">
        <v>0</v>
      </c>
      <c r="F27" s="5">
        <v>0</v>
      </c>
      <c r="G27" s="18" t="str">
        <f t="shared" si="8"/>
        <v>Yes</v>
      </c>
      <c r="H27" s="1">
        <v>2</v>
      </c>
      <c r="I27" s="21" t="str">
        <f t="shared" si="9"/>
        <v>Misty</v>
      </c>
      <c r="J27" s="1">
        <v>0.44</v>
      </c>
      <c r="K27" s="23" t="str">
        <f t="shared" si="10"/>
        <v>Risky</v>
      </c>
      <c r="L27">
        <f t="shared" si="0"/>
        <v>0.43940000000000001</v>
      </c>
      <c r="M27" s="20">
        <f t="shared" si="1"/>
        <v>0.43940000000000001</v>
      </c>
      <c r="N27">
        <f t="shared" si="2"/>
        <v>0.94</v>
      </c>
      <c r="O27" s="20" t="str">
        <f t="shared" si="3"/>
        <v>Risky</v>
      </c>
      <c r="P27">
        <f t="shared" si="4"/>
        <v>0.25369999999999998</v>
      </c>
      <c r="Q27">
        <f t="shared" si="5"/>
        <v>1</v>
      </c>
      <c r="R27">
        <f t="shared" si="6"/>
        <v>16</v>
      </c>
      <c r="S27">
        <f t="shared" si="7"/>
        <v>17</v>
      </c>
    </row>
    <row r="28" spans="1:19" ht="15" thickBot="1" x14ac:dyDescent="0.35">
      <c r="A28" s="1">
        <v>27</v>
      </c>
      <c r="B28" s="2">
        <v>40545</v>
      </c>
      <c r="C28" s="1">
        <v>1</v>
      </c>
      <c r="D28" s="1">
        <v>2</v>
      </c>
      <c r="E28" s="3" t="b">
        <v>0</v>
      </c>
      <c r="F28" s="5">
        <v>0</v>
      </c>
      <c r="G28" s="18" t="str">
        <f t="shared" si="8"/>
        <v>Yes</v>
      </c>
      <c r="H28" s="1">
        <v>2</v>
      </c>
      <c r="I28" s="21" t="str">
        <f t="shared" si="9"/>
        <v>Misty</v>
      </c>
      <c r="J28" s="1">
        <v>0.42</v>
      </c>
      <c r="K28" s="23" t="str">
        <f t="shared" si="10"/>
        <v>Risky</v>
      </c>
      <c r="L28">
        <f t="shared" si="0"/>
        <v>0.42420000000000002</v>
      </c>
      <c r="M28" s="20">
        <f t="shared" si="1"/>
        <v>0.42420000000000002</v>
      </c>
      <c r="N28">
        <f t="shared" si="2"/>
        <v>1</v>
      </c>
      <c r="O28" s="20" t="str">
        <f t="shared" si="3"/>
        <v>Risky</v>
      </c>
      <c r="P28">
        <f t="shared" si="4"/>
        <v>0.28360000000000002</v>
      </c>
      <c r="Q28">
        <f t="shared" si="5"/>
        <v>1</v>
      </c>
      <c r="R28">
        <f t="shared" si="6"/>
        <v>8</v>
      </c>
      <c r="S28">
        <f t="shared" si="7"/>
        <v>9</v>
      </c>
    </row>
    <row r="29" spans="1:19" ht="15" thickBot="1" x14ac:dyDescent="0.35">
      <c r="A29" s="1">
        <v>28</v>
      </c>
      <c r="B29" s="2">
        <v>40545</v>
      </c>
      <c r="C29" s="1">
        <v>1</v>
      </c>
      <c r="D29" s="1">
        <v>3</v>
      </c>
      <c r="E29" s="3" t="b">
        <v>0</v>
      </c>
      <c r="F29" s="5">
        <v>0</v>
      </c>
      <c r="G29" s="18" t="str">
        <f t="shared" si="8"/>
        <v>Yes</v>
      </c>
      <c r="H29" s="1">
        <v>2</v>
      </c>
      <c r="I29" s="21" t="str">
        <f t="shared" si="9"/>
        <v>Misty</v>
      </c>
      <c r="J29" s="1">
        <v>0.46</v>
      </c>
      <c r="K29" s="23" t="str">
        <f t="shared" si="10"/>
        <v>Risky</v>
      </c>
      <c r="L29">
        <f t="shared" si="0"/>
        <v>0.45450000000000002</v>
      </c>
      <c r="M29" s="20">
        <f t="shared" si="1"/>
        <v>0.45450000000000002</v>
      </c>
      <c r="N29">
        <f t="shared" si="2"/>
        <v>0.94</v>
      </c>
      <c r="O29" s="20" t="str">
        <f t="shared" si="3"/>
        <v>Risky</v>
      </c>
      <c r="P29">
        <f t="shared" si="4"/>
        <v>0.19400000000000001</v>
      </c>
      <c r="Q29">
        <f t="shared" si="5"/>
        <v>2</v>
      </c>
      <c r="R29">
        <f t="shared" si="6"/>
        <v>4</v>
      </c>
      <c r="S29">
        <f t="shared" si="7"/>
        <v>6</v>
      </c>
    </row>
    <row r="30" spans="1:19" ht="15" thickBot="1" x14ac:dyDescent="0.35">
      <c r="A30" s="1">
        <v>29</v>
      </c>
      <c r="B30" s="2">
        <v>40545</v>
      </c>
      <c r="C30" s="1">
        <v>1</v>
      </c>
      <c r="D30" s="1">
        <v>4</v>
      </c>
      <c r="E30" s="3" t="b">
        <v>0</v>
      </c>
      <c r="F30" s="5">
        <v>0</v>
      </c>
      <c r="G30" s="18" t="str">
        <f t="shared" si="8"/>
        <v>Yes</v>
      </c>
      <c r="H30" s="1">
        <v>2</v>
      </c>
      <c r="I30" s="21" t="str">
        <f t="shared" si="9"/>
        <v>Misty</v>
      </c>
      <c r="J30" s="1">
        <v>0.46</v>
      </c>
      <c r="K30" s="23" t="str">
        <f t="shared" si="10"/>
        <v>Risky</v>
      </c>
      <c r="L30">
        <f t="shared" si="0"/>
        <v>0</v>
      </c>
      <c r="M30" s="20">
        <f t="shared" si="1"/>
        <v>0.192409756097561</v>
      </c>
      <c r="N30">
        <f t="shared" si="2"/>
        <v>0.94</v>
      </c>
      <c r="O30" s="20" t="str">
        <f t="shared" si="3"/>
        <v>Risky</v>
      </c>
      <c r="P30">
        <f t="shared" si="4"/>
        <v>0.19400000000000001</v>
      </c>
      <c r="Q30">
        <f t="shared" si="5"/>
        <v>2</v>
      </c>
      <c r="R30">
        <f t="shared" si="6"/>
        <v>1</v>
      </c>
      <c r="S30">
        <f t="shared" si="7"/>
        <v>3</v>
      </c>
    </row>
    <row r="31" spans="1:19" ht="27.6" thickBot="1" x14ac:dyDescent="0.35">
      <c r="A31" s="1">
        <v>30</v>
      </c>
      <c r="B31" s="2">
        <v>40545</v>
      </c>
      <c r="C31" s="1">
        <v>1</v>
      </c>
      <c r="D31" s="1">
        <v>6</v>
      </c>
      <c r="E31" s="3" t="b">
        <v>0</v>
      </c>
      <c r="F31" s="5">
        <v>0</v>
      </c>
      <c r="G31" s="18" t="str">
        <f t="shared" si="8"/>
        <v>Yes</v>
      </c>
      <c r="H31" s="1">
        <v>3</v>
      </c>
      <c r="I31" s="21" t="str">
        <f t="shared" si="9"/>
        <v>Light Rain</v>
      </c>
      <c r="J31" s="1">
        <v>0.42</v>
      </c>
      <c r="K31" s="23" t="str">
        <f t="shared" si="10"/>
        <v>Risky</v>
      </c>
      <c r="L31">
        <f t="shared" si="0"/>
        <v>0.42420000000000002</v>
      </c>
      <c r="M31" s="20">
        <f t="shared" si="1"/>
        <v>0.42420000000000002</v>
      </c>
      <c r="N31">
        <f t="shared" si="2"/>
        <v>0.77</v>
      </c>
      <c r="O31" s="20" t="str">
        <f t="shared" si="3"/>
        <v>Risky</v>
      </c>
      <c r="P31">
        <f t="shared" si="4"/>
        <v>0.29849999999999999</v>
      </c>
      <c r="Q31">
        <f t="shared" si="5"/>
        <v>0</v>
      </c>
      <c r="R31">
        <f t="shared" si="6"/>
        <v>2</v>
      </c>
      <c r="S31">
        <f t="shared" si="7"/>
        <v>2</v>
      </c>
    </row>
    <row r="32" spans="1:19" ht="15" thickBot="1" x14ac:dyDescent="0.35">
      <c r="A32" s="1">
        <v>31</v>
      </c>
      <c r="B32" s="2">
        <v>40545</v>
      </c>
      <c r="C32" s="1">
        <v>1</v>
      </c>
      <c r="D32" s="1">
        <v>7</v>
      </c>
      <c r="E32" s="3" t="b">
        <v>0</v>
      </c>
      <c r="F32" s="5">
        <v>0</v>
      </c>
      <c r="G32" s="18" t="str">
        <f t="shared" si="8"/>
        <v>Yes</v>
      </c>
      <c r="H32" s="1">
        <v>2</v>
      </c>
      <c r="I32" s="21" t="str">
        <f t="shared" si="9"/>
        <v>Misty</v>
      </c>
      <c r="J32" s="1">
        <v>0.4</v>
      </c>
      <c r="K32" s="23" t="str">
        <f t="shared" si="10"/>
        <v>Risky</v>
      </c>
      <c r="L32">
        <f t="shared" si="0"/>
        <v>0.40910000000000002</v>
      </c>
      <c r="M32" s="20">
        <f t="shared" si="1"/>
        <v>0.40910000000000002</v>
      </c>
      <c r="N32">
        <f t="shared" si="2"/>
        <v>0.76</v>
      </c>
      <c r="O32" s="20" t="str">
        <f t="shared" si="3"/>
        <v>Risky</v>
      </c>
      <c r="P32">
        <f t="shared" si="4"/>
        <v>0.19400000000000001</v>
      </c>
      <c r="Q32">
        <f t="shared" si="5"/>
        <v>0</v>
      </c>
      <c r="R32">
        <f t="shared" si="6"/>
        <v>1</v>
      </c>
      <c r="S32">
        <f t="shared" si="7"/>
        <v>1</v>
      </c>
    </row>
    <row r="33" spans="1:19" ht="27.6" thickBot="1" x14ac:dyDescent="0.35">
      <c r="A33" s="1">
        <v>32</v>
      </c>
      <c r="B33" s="2">
        <v>40545</v>
      </c>
      <c r="C33" s="1">
        <v>1</v>
      </c>
      <c r="D33" s="1">
        <v>8</v>
      </c>
      <c r="E33" s="3" t="b">
        <v>0</v>
      </c>
      <c r="F33" s="5">
        <v>0</v>
      </c>
      <c r="G33" s="18" t="str">
        <f t="shared" si="8"/>
        <v>Yes</v>
      </c>
      <c r="H33" s="1">
        <v>3</v>
      </c>
      <c r="I33" s="21" t="str">
        <f t="shared" si="9"/>
        <v>Light Rain</v>
      </c>
      <c r="J33" s="1">
        <v>0.4</v>
      </c>
      <c r="K33" s="23" t="str">
        <f t="shared" si="10"/>
        <v>Risky</v>
      </c>
      <c r="L33">
        <f t="shared" si="0"/>
        <v>0.40910000000000002</v>
      </c>
      <c r="M33" s="20">
        <f t="shared" si="1"/>
        <v>0.40910000000000002</v>
      </c>
      <c r="N33">
        <f t="shared" si="2"/>
        <v>0.71</v>
      </c>
      <c r="O33" s="20" t="str">
        <f t="shared" si="3"/>
        <v>Risky</v>
      </c>
      <c r="P33">
        <f t="shared" si="4"/>
        <v>0.22389999999999999</v>
      </c>
      <c r="Q33">
        <f t="shared" si="5"/>
        <v>0</v>
      </c>
      <c r="R33">
        <f t="shared" si="6"/>
        <v>8</v>
      </c>
      <c r="S33">
        <f t="shared" si="7"/>
        <v>8</v>
      </c>
    </row>
    <row r="34" spans="1:19" ht="15" thickBot="1" x14ac:dyDescent="0.35">
      <c r="A34" s="1">
        <v>33</v>
      </c>
      <c r="B34" s="2">
        <v>40545</v>
      </c>
      <c r="C34" s="1">
        <v>1</v>
      </c>
      <c r="D34" s="1">
        <v>9</v>
      </c>
      <c r="E34" s="3" t="b">
        <v>0</v>
      </c>
      <c r="F34" s="5">
        <v>0</v>
      </c>
      <c r="G34" s="18" t="str">
        <f t="shared" si="8"/>
        <v>Yes</v>
      </c>
      <c r="H34" s="1">
        <v>2</v>
      </c>
      <c r="I34" s="21" t="str">
        <f t="shared" si="9"/>
        <v>Misty</v>
      </c>
      <c r="J34" s="1">
        <v>0.38</v>
      </c>
      <c r="K34" s="23" t="str">
        <f t="shared" si="10"/>
        <v>Risky</v>
      </c>
      <c r="L34">
        <f t="shared" si="0"/>
        <v>0</v>
      </c>
      <c r="M34" s="20">
        <f t="shared" si="1"/>
        <v>0.19124483362521896</v>
      </c>
      <c r="N34">
        <f t="shared" si="2"/>
        <v>0.76</v>
      </c>
      <c r="O34" s="20" t="str">
        <f t="shared" si="3"/>
        <v>Risky</v>
      </c>
      <c r="P34">
        <f t="shared" si="4"/>
        <v>0.22389999999999999</v>
      </c>
      <c r="Q34">
        <f t="shared" si="5"/>
        <v>1</v>
      </c>
      <c r="R34">
        <f t="shared" si="6"/>
        <v>19</v>
      </c>
      <c r="S34">
        <f t="shared" si="7"/>
        <v>20</v>
      </c>
    </row>
    <row r="35" spans="1:19" ht="15" thickBot="1" x14ac:dyDescent="0.35">
      <c r="A35" s="1">
        <v>34</v>
      </c>
      <c r="B35" s="2">
        <v>40545</v>
      </c>
      <c r="C35" s="1">
        <v>1</v>
      </c>
      <c r="D35" s="1">
        <v>10</v>
      </c>
      <c r="E35" s="3" t="b">
        <v>0</v>
      </c>
      <c r="F35" s="5">
        <v>0</v>
      </c>
      <c r="G35" s="18" t="str">
        <f t="shared" si="8"/>
        <v>Yes</v>
      </c>
      <c r="H35" s="1">
        <v>2</v>
      </c>
      <c r="I35" s="21" t="str">
        <f t="shared" si="9"/>
        <v>Misty</v>
      </c>
      <c r="J35" s="1">
        <v>0.36</v>
      </c>
      <c r="K35" s="23" t="str">
        <f t="shared" si="10"/>
        <v>Risky</v>
      </c>
      <c r="L35">
        <f t="shared" si="0"/>
        <v>0.34849999999999998</v>
      </c>
      <c r="M35" s="20">
        <f t="shared" si="1"/>
        <v>0.34849999999999998</v>
      </c>
      <c r="N35">
        <f t="shared" si="2"/>
        <v>0.81</v>
      </c>
      <c r="O35" s="20" t="str">
        <f t="shared" si="3"/>
        <v>Risky</v>
      </c>
      <c r="P35">
        <f t="shared" si="4"/>
        <v>0.22389999999999999</v>
      </c>
      <c r="Q35">
        <f t="shared" si="5"/>
        <v>7</v>
      </c>
      <c r="R35">
        <f t="shared" si="6"/>
        <v>46</v>
      </c>
      <c r="S35">
        <f t="shared" si="7"/>
        <v>53</v>
      </c>
    </row>
    <row r="36" spans="1:19" ht="15" thickBot="1" x14ac:dyDescent="0.35">
      <c r="A36" s="1">
        <v>35</v>
      </c>
      <c r="B36" s="2">
        <v>40545</v>
      </c>
      <c r="C36" s="1">
        <v>1</v>
      </c>
      <c r="D36" s="1">
        <v>11</v>
      </c>
      <c r="E36" s="3" t="b">
        <v>0</v>
      </c>
      <c r="F36" s="5">
        <v>0</v>
      </c>
      <c r="G36" s="18" t="str">
        <f t="shared" si="8"/>
        <v>Yes</v>
      </c>
      <c r="H36" s="1">
        <v>2</v>
      </c>
      <c r="I36" s="21" t="str">
        <f t="shared" si="9"/>
        <v>Misty</v>
      </c>
      <c r="J36" s="1">
        <v>0.36</v>
      </c>
      <c r="K36" s="23" t="str">
        <f t="shared" si="10"/>
        <v>Risky</v>
      </c>
      <c r="L36">
        <f t="shared" si="0"/>
        <v>0.33329999999999999</v>
      </c>
      <c r="M36" s="20">
        <f t="shared" si="1"/>
        <v>0.33329999999999999</v>
      </c>
      <c r="N36">
        <f t="shared" si="2"/>
        <v>0.71</v>
      </c>
      <c r="O36" s="20" t="str">
        <f t="shared" si="3"/>
        <v>Risky</v>
      </c>
      <c r="P36">
        <f t="shared" si="4"/>
        <v>0.25369999999999998</v>
      </c>
      <c r="Q36">
        <f t="shared" si="5"/>
        <v>16</v>
      </c>
      <c r="R36">
        <f t="shared" si="6"/>
        <v>54</v>
      </c>
      <c r="S36">
        <f t="shared" si="7"/>
        <v>70</v>
      </c>
    </row>
    <row r="37" spans="1:19" ht="15" thickBot="1" x14ac:dyDescent="0.35">
      <c r="A37" s="1">
        <v>36</v>
      </c>
      <c r="B37" s="2">
        <v>40545</v>
      </c>
      <c r="C37" s="1">
        <v>1</v>
      </c>
      <c r="D37" s="1">
        <v>12</v>
      </c>
      <c r="E37" s="3" t="b">
        <v>0</v>
      </c>
      <c r="F37" s="5">
        <v>0</v>
      </c>
      <c r="G37" s="18" t="str">
        <f t="shared" si="8"/>
        <v>Yes</v>
      </c>
      <c r="H37" s="1">
        <v>2</v>
      </c>
      <c r="I37" s="21" t="str">
        <f t="shared" si="9"/>
        <v>Misty</v>
      </c>
      <c r="J37" s="1">
        <v>0.36</v>
      </c>
      <c r="K37" s="23" t="str">
        <f t="shared" si="10"/>
        <v>Risky</v>
      </c>
      <c r="L37">
        <f t="shared" si="0"/>
        <v>0.33329999999999999</v>
      </c>
      <c r="M37" s="20">
        <f t="shared" si="1"/>
        <v>0.33329999999999999</v>
      </c>
      <c r="N37">
        <f t="shared" si="2"/>
        <v>0.66</v>
      </c>
      <c r="O37" s="20" t="str">
        <f t="shared" si="3"/>
        <v>Acceptable</v>
      </c>
      <c r="P37">
        <f t="shared" si="4"/>
        <v>0.29849999999999999</v>
      </c>
      <c r="Q37">
        <f t="shared" si="5"/>
        <v>20</v>
      </c>
      <c r="R37">
        <f t="shared" si="6"/>
        <v>73</v>
      </c>
      <c r="S37">
        <f t="shared" si="7"/>
        <v>93</v>
      </c>
    </row>
    <row r="38" spans="1:19" ht="15" thickBot="1" x14ac:dyDescent="0.35">
      <c r="A38" s="1">
        <v>37</v>
      </c>
      <c r="B38" s="2">
        <v>40545</v>
      </c>
      <c r="C38" s="1">
        <v>1</v>
      </c>
      <c r="D38" s="1">
        <v>13</v>
      </c>
      <c r="E38" s="3" t="b">
        <v>0</v>
      </c>
      <c r="F38" s="5">
        <v>0</v>
      </c>
      <c r="G38" s="18" t="str">
        <f t="shared" si="8"/>
        <v>Yes</v>
      </c>
      <c r="H38" s="1">
        <v>2</v>
      </c>
      <c r="I38" s="21" t="str">
        <f t="shared" si="9"/>
        <v>Misty</v>
      </c>
      <c r="J38" s="1">
        <v>0.36</v>
      </c>
      <c r="K38" s="23" t="str">
        <f t="shared" si="10"/>
        <v>Risky</v>
      </c>
      <c r="L38">
        <f t="shared" si="0"/>
        <v>0.34849999999999998</v>
      </c>
      <c r="M38" s="20">
        <f t="shared" si="1"/>
        <v>0.34849999999999998</v>
      </c>
      <c r="N38">
        <f t="shared" si="2"/>
        <v>0.66</v>
      </c>
      <c r="O38" s="20" t="str">
        <f t="shared" si="3"/>
        <v>Acceptable</v>
      </c>
      <c r="P38">
        <f t="shared" si="4"/>
        <v>0.1343</v>
      </c>
      <c r="Q38">
        <f t="shared" si="5"/>
        <v>11</v>
      </c>
      <c r="R38">
        <f t="shared" si="6"/>
        <v>64</v>
      </c>
      <c r="S38">
        <f t="shared" si="7"/>
        <v>75</v>
      </c>
    </row>
    <row r="39" spans="1:19" ht="27.6" thickBot="1" x14ac:dyDescent="0.35">
      <c r="A39" s="1">
        <v>38</v>
      </c>
      <c r="B39" s="2">
        <v>40545</v>
      </c>
      <c r="C39" s="1">
        <v>1</v>
      </c>
      <c r="D39" s="1">
        <v>14</v>
      </c>
      <c r="E39" s="3" t="b">
        <v>0</v>
      </c>
      <c r="F39" s="5">
        <v>0</v>
      </c>
      <c r="G39" s="18" t="str">
        <f t="shared" si="8"/>
        <v>Yes</v>
      </c>
      <c r="H39" s="1">
        <v>3</v>
      </c>
      <c r="I39" s="21" t="str">
        <f t="shared" si="9"/>
        <v>Light Rain</v>
      </c>
      <c r="J39" s="1">
        <v>0.36</v>
      </c>
      <c r="K39" s="23" t="str">
        <f t="shared" si="10"/>
        <v>Risky</v>
      </c>
      <c r="L39">
        <f t="shared" si="0"/>
        <v>0</v>
      </c>
      <c r="M39" s="20">
        <f t="shared" si="1"/>
        <v>0.19018906525573195</v>
      </c>
      <c r="N39">
        <f t="shared" si="2"/>
        <v>0.76</v>
      </c>
      <c r="O39" s="20" t="str">
        <f t="shared" si="3"/>
        <v>Risky</v>
      </c>
      <c r="P39">
        <f t="shared" si="4"/>
        <v>0.19400000000000001</v>
      </c>
      <c r="Q39">
        <f t="shared" si="5"/>
        <v>4</v>
      </c>
      <c r="R39">
        <f t="shared" si="6"/>
        <v>55</v>
      </c>
      <c r="S39">
        <f t="shared" si="7"/>
        <v>59</v>
      </c>
    </row>
    <row r="40" spans="1:19" ht="27.6" thickBot="1" x14ac:dyDescent="0.35">
      <c r="A40" s="1">
        <v>39</v>
      </c>
      <c r="B40" s="2">
        <v>40545</v>
      </c>
      <c r="C40" s="1">
        <v>1</v>
      </c>
      <c r="D40" s="1">
        <v>15</v>
      </c>
      <c r="E40" s="3" t="b">
        <v>0</v>
      </c>
      <c r="F40" s="5">
        <v>0</v>
      </c>
      <c r="G40" s="18" t="str">
        <f t="shared" si="8"/>
        <v>Yes</v>
      </c>
      <c r="H40" s="1">
        <v>3</v>
      </c>
      <c r="I40" s="21" t="str">
        <f t="shared" si="9"/>
        <v>Light Rain</v>
      </c>
      <c r="J40" s="1">
        <v>0.34</v>
      </c>
      <c r="K40" s="23" t="str">
        <f t="shared" si="10"/>
        <v>Safe</v>
      </c>
      <c r="L40">
        <f t="shared" si="0"/>
        <v>0.33329999999999999</v>
      </c>
      <c r="M40" s="20">
        <f t="shared" si="1"/>
        <v>0.33329999999999999</v>
      </c>
      <c r="N40">
        <f t="shared" si="2"/>
        <v>0.81</v>
      </c>
      <c r="O40" s="20" t="str">
        <f t="shared" si="3"/>
        <v>Risky</v>
      </c>
      <c r="P40">
        <f t="shared" si="4"/>
        <v>0.16420000000000001</v>
      </c>
      <c r="Q40">
        <f t="shared" si="5"/>
        <v>19</v>
      </c>
      <c r="R40">
        <f t="shared" si="6"/>
        <v>55</v>
      </c>
      <c r="S40">
        <f t="shared" si="7"/>
        <v>74</v>
      </c>
    </row>
    <row r="41" spans="1:19" ht="27.6" thickBot="1" x14ac:dyDescent="0.35">
      <c r="A41" s="1">
        <v>40</v>
      </c>
      <c r="B41" s="2">
        <v>40545</v>
      </c>
      <c r="C41" s="1">
        <v>1</v>
      </c>
      <c r="D41" s="1">
        <v>16</v>
      </c>
      <c r="E41" s="3" t="b">
        <v>0</v>
      </c>
      <c r="F41" s="5">
        <v>0</v>
      </c>
      <c r="G41" s="18" t="str">
        <f t="shared" si="8"/>
        <v>Yes</v>
      </c>
      <c r="H41" s="1">
        <v>3</v>
      </c>
      <c r="I41" s="21" t="str">
        <f t="shared" si="9"/>
        <v>Light Rain</v>
      </c>
      <c r="J41" s="1">
        <v>0.34</v>
      </c>
      <c r="K41" s="23" t="str">
        <f t="shared" si="10"/>
        <v>Safe</v>
      </c>
      <c r="L41">
        <f t="shared" si="0"/>
        <v>0.33329999999999999</v>
      </c>
      <c r="M41" s="20">
        <f t="shared" si="1"/>
        <v>0.33329999999999999</v>
      </c>
      <c r="N41">
        <f t="shared" si="2"/>
        <v>0.71</v>
      </c>
      <c r="O41" s="20" t="str">
        <f t="shared" si="3"/>
        <v>Risky</v>
      </c>
      <c r="P41">
        <f t="shared" si="4"/>
        <v>0.16420000000000001</v>
      </c>
      <c r="Q41">
        <f t="shared" si="5"/>
        <v>9</v>
      </c>
      <c r="R41">
        <f t="shared" si="6"/>
        <v>67</v>
      </c>
      <c r="S41">
        <f t="shared" si="7"/>
        <v>76</v>
      </c>
    </row>
    <row r="42" spans="1:19" ht="15" thickBot="1" x14ac:dyDescent="0.35">
      <c r="A42" s="1">
        <v>41</v>
      </c>
      <c r="B42" s="2">
        <v>40545</v>
      </c>
      <c r="C42" s="1">
        <v>1</v>
      </c>
      <c r="D42" s="1">
        <v>17</v>
      </c>
      <c r="E42" s="3" t="b">
        <v>0</v>
      </c>
      <c r="F42" s="5">
        <v>0</v>
      </c>
      <c r="G42" s="18" t="str">
        <f t="shared" si="8"/>
        <v>Yes</v>
      </c>
      <c r="H42" s="1">
        <v>1</v>
      </c>
      <c r="I42" s="21" t="str">
        <f t="shared" si="9"/>
        <v>Clean</v>
      </c>
      <c r="J42" s="1">
        <v>0.34</v>
      </c>
      <c r="K42" s="23" t="str">
        <f t="shared" si="10"/>
        <v>Safe</v>
      </c>
      <c r="L42">
        <f t="shared" si="0"/>
        <v>0.33329999999999999</v>
      </c>
      <c r="M42" s="20">
        <f t="shared" si="1"/>
        <v>0.33329999999999999</v>
      </c>
      <c r="N42">
        <f t="shared" si="2"/>
        <v>0.56999999999999995</v>
      </c>
      <c r="O42" s="20" t="str">
        <f t="shared" si="3"/>
        <v>Acceptable</v>
      </c>
      <c r="P42">
        <f t="shared" si="4"/>
        <v>0.19400000000000001</v>
      </c>
      <c r="Q42">
        <f t="shared" si="5"/>
        <v>7</v>
      </c>
      <c r="R42">
        <f t="shared" si="6"/>
        <v>58</v>
      </c>
      <c r="S42">
        <f t="shared" si="7"/>
        <v>65</v>
      </c>
    </row>
    <row r="43" spans="1:19" ht="15" thickBot="1" x14ac:dyDescent="0.35">
      <c r="A43" s="1">
        <v>42</v>
      </c>
      <c r="B43" s="2">
        <v>40545</v>
      </c>
      <c r="C43" s="1">
        <v>1</v>
      </c>
      <c r="D43" s="1">
        <v>18</v>
      </c>
      <c r="E43" s="3" t="b">
        <v>0</v>
      </c>
      <c r="F43" s="5">
        <v>0</v>
      </c>
      <c r="G43" s="18" t="str">
        <f t="shared" si="8"/>
        <v>Yes</v>
      </c>
      <c r="H43" s="1">
        <v>2</v>
      </c>
      <c r="I43" s="21" t="str">
        <f t="shared" si="9"/>
        <v>Misty</v>
      </c>
      <c r="J43" s="1">
        <v>0.36</v>
      </c>
      <c r="K43" s="23" t="str">
        <f t="shared" si="10"/>
        <v>Risky</v>
      </c>
      <c r="L43">
        <f t="shared" si="0"/>
        <v>0.33329999999999999</v>
      </c>
      <c r="M43" s="20">
        <f t="shared" si="1"/>
        <v>0.33329999999999999</v>
      </c>
      <c r="N43">
        <f t="shared" si="2"/>
        <v>0.46</v>
      </c>
      <c r="O43" s="20" t="str">
        <f t="shared" si="3"/>
        <v>Acceptable</v>
      </c>
      <c r="P43">
        <f t="shared" si="4"/>
        <v>0.32840000000000003</v>
      </c>
      <c r="Q43">
        <f t="shared" si="5"/>
        <v>10</v>
      </c>
      <c r="R43">
        <f t="shared" si="6"/>
        <v>43</v>
      </c>
      <c r="S43">
        <f t="shared" si="7"/>
        <v>53</v>
      </c>
    </row>
    <row r="44" spans="1:19" ht="15" thickBot="1" x14ac:dyDescent="0.35">
      <c r="A44" s="1">
        <v>43</v>
      </c>
      <c r="B44" s="2">
        <v>40545</v>
      </c>
      <c r="C44" s="1">
        <v>1</v>
      </c>
      <c r="D44" s="1">
        <v>19</v>
      </c>
      <c r="E44" s="3" t="b">
        <v>0</v>
      </c>
      <c r="F44" s="5">
        <v>0</v>
      </c>
      <c r="G44" s="18" t="str">
        <f t="shared" si="8"/>
        <v>Yes</v>
      </c>
      <c r="H44" s="1">
        <v>1</v>
      </c>
      <c r="I44" s="21" t="str">
        <f t="shared" si="9"/>
        <v>Clean</v>
      </c>
      <c r="J44" s="1">
        <v>0.32</v>
      </c>
      <c r="K44" s="23" t="str">
        <f t="shared" si="10"/>
        <v>Safe</v>
      </c>
      <c r="L44">
        <f t="shared" si="0"/>
        <v>0.28789999999999999</v>
      </c>
      <c r="M44" s="20">
        <f t="shared" si="1"/>
        <v>0.28789999999999999</v>
      </c>
      <c r="N44">
        <f t="shared" si="2"/>
        <v>0.42</v>
      </c>
      <c r="O44" s="20" t="str">
        <f t="shared" si="3"/>
        <v>Acceptable</v>
      </c>
      <c r="P44">
        <f t="shared" si="4"/>
        <v>0.44779999999999998</v>
      </c>
      <c r="Q44">
        <f t="shared" si="5"/>
        <v>1</v>
      </c>
      <c r="R44">
        <f t="shared" si="6"/>
        <v>29</v>
      </c>
      <c r="S44">
        <f t="shared" si="7"/>
        <v>30</v>
      </c>
    </row>
    <row r="45" spans="1:19" ht="15" thickBot="1" x14ac:dyDescent="0.35">
      <c r="A45" s="1">
        <v>44</v>
      </c>
      <c r="B45" s="2">
        <v>40545</v>
      </c>
      <c r="C45" s="1">
        <v>1</v>
      </c>
      <c r="D45" s="1">
        <v>20</v>
      </c>
      <c r="E45" s="3" t="b">
        <v>0</v>
      </c>
      <c r="F45" s="5">
        <v>0</v>
      </c>
      <c r="G45" s="18" t="str">
        <f t="shared" si="8"/>
        <v>Yes</v>
      </c>
      <c r="H45" s="1">
        <v>1</v>
      </c>
      <c r="I45" s="21" t="str">
        <f t="shared" si="9"/>
        <v>Clean</v>
      </c>
      <c r="J45" s="1">
        <v>0.3</v>
      </c>
      <c r="K45" s="23" t="str">
        <f t="shared" si="10"/>
        <v>Safe</v>
      </c>
      <c r="L45">
        <f t="shared" si="0"/>
        <v>0</v>
      </c>
      <c r="M45" s="20">
        <f t="shared" si="1"/>
        <v>0.18899661921708191</v>
      </c>
      <c r="N45">
        <f t="shared" si="2"/>
        <v>0.39</v>
      </c>
      <c r="O45" s="20" t="str">
        <f t="shared" si="3"/>
        <v>Acceptable</v>
      </c>
      <c r="P45">
        <f t="shared" si="4"/>
        <v>0.35820000000000002</v>
      </c>
      <c r="Q45">
        <f t="shared" si="5"/>
        <v>5</v>
      </c>
      <c r="R45">
        <f t="shared" si="6"/>
        <v>17</v>
      </c>
      <c r="S45">
        <f t="shared" si="7"/>
        <v>22</v>
      </c>
    </row>
    <row r="46" spans="1:19" ht="15" thickBot="1" x14ac:dyDescent="0.35">
      <c r="A46" s="1">
        <v>45</v>
      </c>
      <c r="B46" s="2">
        <v>40545</v>
      </c>
      <c r="C46" s="1">
        <v>1</v>
      </c>
      <c r="D46" s="1">
        <v>21</v>
      </c>
      <c r="E46" s="3" t="b">
        <v>0</v>
      </c>
      <c r="F46" s="5">
        <v>0</v>
      </c>
      <c r="G46" s="18" t="str">
        <f t="shared" si="8"/>
        <v>Yes</v>
      </c>
      <c r="H46" s="1">
        <v>1</v>
      </c>
      <c r="I46" s="21" t="str">
        <f t="shared" si="9"/>
        <v>Clean</v>
      </c>
      <c r="J46" s="1">
        <v>0.26</v>
      </c>
      <c r="K46" s="23" t="str">
        <f t="shared" si="10"/>
        <v>Safe</v>
      </c>
      <c r="L46">
        <f t="shared" si="0"/>
        <v>0.2273</v>
      </c>
      <c r="M46" s="20">
        <f t="shared" si="1"/>
        <v>0.2273</v>
      </c>
      <c r="N46">
        <f t="shared" si="2"/>
        <v>0.44</v>
      </c>
      <c r="O46" s="20" t="str">
        <f t="shared" si="3"/>
        <v>Acceptable</v>
      </c>
      <c r="P46">
        <f t="shared" si="4"/>
        <v>0.32840000000000003</v>
      </c>
      <c r="Q46">
        <f t="shared" si="5"/>
        <v>11</v>
      </c>
      <c r="R46">
        <f t="shared" si="6"/>
        <v>20</v>
      </c>
      <c r="S46">
        <f t="shared" si="7"/>
        <v>31</v>
      </c>
    </row>
    <row r="47" spans="1:19" ht="15" thickBot="1" x14ac:dyDescent="0.35">
      <c r="A47" s="1">
        <v>46</v>
      </c>
      <c r="B47" s="2">
        <v>40545</v>
      </c>
      <c r="C47" s="1">
        <v>1</v>
      </c>
      <c r="D47" s="1">
        <v>22</v>
      </c>
      <c r="E47" s="3" t="b">
        <v>0</v>
      </c>
      <c r="F47" s="5">
        <v>0</v>
      </c>
      <c r="G47" s="18" t="str">
        <f t="shared" si="8"/>
        <v>Yes</v>
      </c>
      <c r="H47" s="1">
        <v>1</v>
      </c>
      <c r="I47" s="21" t="str">
        <f t="shared" si="9"/>
        <v>Clean</v>
      </c>
      <c r="J47" s="1">
        <v>0.24</v>
      </c>
      <c r="K47" s="23" t="str">
        <f t="shared" si="10"/>
        <v>Safe</v>
      </c>
      <c r="L47">
        <f t="shared" si="0"/>
        <v>0.21210000000000001</v>
      </c>
      <c r="M47" s="20">
        <f t="shared" si="1"/>
        <v>0.21210000000000001</v>
      </c>
      <c r="N47">
        <f t="shared" si="2"/>
        <v>0.44</v>
      </c>
      <c r="O47" s="20" t="str">
        <f t="shared" si="3"/>
        <v>Acceptable</v>
      </c>
      <c r="P47">
        <f t="shared" si="4"/>
        <v>0.29849999999999999</v>
      </c>
      <c r="Q47">
        <f t="shared" si="5"/>
        <v>0</v>
      </c>
      <c r="R47">
        <f t="shared" si="6"/>
        <v>9</v>
      </c>
      <c r="S47">
        <f t="shared" si="7"/>
        <v>9</v>
      </c>
    </row>
    <row r="48" spans="1:19" ht="15" thickBot="1" x14ac:dyDescent="0.35">
      <c r="A48" s="1">
        <v>47</v>
      </c>
      <c r="B48" s="2">
        <v>40545</v>
      </c>
      <c r="C48" s="1">
        <v>1</v>
      </c>
      <c r="D48" s="1">
        <v>23</v>
      </c>
      <c r="E48" s="3" t="b">
        <v>0</v>
      </c>
      <c r="F48" s="5">
        <v>0</v>
      </c>
      <c r="G48" s="18" t="str">
        <f t="shared" si="8"/>
        <v>Yes</v>
      </c>
      <c r="H48" s="1">
        <v>1</v>
      </c>
      <c r="I48" s="21" t="str">
        <f t="shared" si="9"/>
        <v>Clean</v>
      </c>
      <c r="J48" s="1">
        <v>0.22</v>
      </c>
      <c r="K48" s="23" t="str">
        <f t="shared" si="10"/>
        <v>Safe</v>
      </c>
      <c r="L48">
        <f t="shared" si="0"/>
        <v>0.2273</v>
      </c>
      <c r="M48" s="20">
        <f t="shared" si="1"/>
        <v>0.2273</v>
      </c>
      <c r="N48">
        <f t="shared" si="2"/>
        <v>0.47</v>
      </c>
      <c r="O48" s="20" t="str">
        <f t="shared" si="3"/>
        <v>Acceptable</v>
      </c>
      <c r="P48">
        <f t="shared" si="4"/>
        <v>0.16420000000000001</v>
      </c>
      <c r="Q48">
        <f t="shared" si="5"/>
        <v>0</v>
      </c>
      <c r="R48">
        <f t="shared" si="6"/>
        <v>8</v>
      </c>
      <c r="S48">
        <f t="shared" si="7"/>
        <v>8</v>
      </c>
    </row>
    <row r="49" spans="1:19" ht="15" thickBot="1" x14ac:dyDescent="0.35">
      <c r="A49" s="1">
        <v>48</v>
      </c>
      <c r="B49" s="2">
        <v>40546</v>
      </c>
      <c r="C49" s="1">
        <v>1</v>
      </c>
      <c r="D49" s="1">
        <v>0</v>
      </c>
      <c r="E49" s="3" t="b">
        <v>0</v>
      </c>
      <c r="F49" s="5">
        <v>1</v>
      </c>
      <c r="G49" s="18" t="str">
        <f t="shared" si="8"/>
        <v>No</v>
      </c>
      <c r="H49" s="1">
        <v>1</v>
      </c>
      <c r="I49" s="21" t="str">
        <f t="shared" si="9"/>
        <v>Clean</v>
      </c>
      <c r="J49" s="1">
        <v>0.22</v>
      </c>
      <c r="K49" s="23" t="str">
        <f t="shared" si="10"/>
        <v>Safe</v>
      </c>
      <c r="L49">
        <f t="shared" si="0"/>
        <v>0.19700000000000001</v>
      </c>
      <c r="M49" s="20">
        <f t="shared" si="1"/>
        <v>0.19700000000000001</v>
      </c>
      <c r="N49">
        <f t="shared" si="2"/>
        <v>0.44</v>
      </c>
      <c r="O49" s="20" t="str">
        <f t="shared" si="3"/>
        <v>Acceptable</v>
      </c>
      <c r="P49">
        <f t="shared" si="4"/>
        <v>0.35820000000000002</v>
      </c>
      <c r="Q49">
        <f t="shared" si="5"/>
        <v>0</v>
      </c>
      <c r="R49">
        <f t="shared" si="6"/>
        <v>5</v>
      </c>
      <c r="S49">
        <f t="shared" si="7"/>
        <v>5</v>
      </c>
    </row>
    <row r="50" spans="1:19" ht="15" thickBot="1" x14ac:dyDescent="0.35">
      <c r="A50" s="1">
        <v>49</v>
      </c>
      <c r="B50" s="2">
        <v>40546</v>
      </c>
      <c r="C50" s="1">
        <v>1</v>
      </c>
      <c r="D50" s="1">
        <v>1</v>
      </c>
      <c r="E50" s="3" t="b">
        <v>0</v>
      </c>
      <c r="F50" s="5">
        <v>1</v>
      </c>
      <c r="G50" s="18" t="str">
        <f t="shared" si="8"/>
        <v>No</v>
      </c>
      <c r="H50" s="1">
        <v>1</v>
      </c>
      <c r="I50" s="21" t="str">
        <f t="shared" si="9"/>
        <v>Clean</v>
      </c>
      <c r="J50" s="1">
        <v>0.2</v>
      </c>
      <c r="K50" s="23" t="str">
        <f t="shared" si="10"/>
        <v>Safe</v>
      </c>
      <c r="L50">
        <f t="shared" si="0"/>
        <v>0</v>
      </c>
      <c r="M50" s="20">
        <f t="shared" si="1"/>
        <v>0.18880358422939073</v>
      </c>
      <c r="N50">
        <f t="shared" si="2"/>
        <v>0.44</v>
      </c>
      <c r="O50" s="20" t="str">
        <f t="shared" si="3"/>
        <v>Acceptable</v>
      </c>
      <c r="P50">
        <f t="shared" si="4"/>
        <v>0.41789999999999999</v>
      </c>
      <c r="Q50">
        <f t="shared" si="5"/>
        <v>0</v>
      </c>
      <c r="R50">
        <f t="shared" si="6"/>
        <v>2</v>
      </c>
      <c r="S50">
        <f t="shared" si="7"/>
        <v>2</v>
      </c>
    </row>
    <row r="51" spans="1:19" ht="15" thickBot="1" x14ac:dyDescent="0.35">
      <c r="A51" s="1">
        <v>50</v>
      </c>
      <c r="B51" s="2">
        <v>40546</v>
      </c>
      <c r="C51" s="1">
        <v>1</v>
      </c>
      <c r="D51" s="1">
        <v>4</v>
      </c>
      <c r="E51" s="3" t="b">
        <v>0</v>
      </c>
      <c r="F51" s="5">
        <v>1</v>
      </c>
      <c r="G51" s="18" t="str">
        <f t="shared" si="8"/>
        <v>No</v>
      </c>
      <c r="H51" s="1">
        <v>1</v>
      </c>
      <c r="I51" s="21" t="str">
        <f t="shared" si="9"/>
        <v>Clean</v>
      </c>
      <c r="J51" s="1">
        <v>0.16</v>
      </c>
      <c r="K51" s="23" t="str">
        <f t="shared" si="10"/>
        <v>Safe</v>
      </c>
      <c r="L51">
        <f t="shared" si="0"/>
        <v>0.13639999999999999</v>
      </c>
      <c r="M51" s="20">
        <f t="shared" si="1"/>
        <v>0.13639999999999999</v>
      </c>
      <c r="N51">
        <f t="shared" si="2"/>
        <v>0.47</v>
      </c>
      <c r="O51" s="20" t="str">
        <f t="shared" si="3"/>
        <v>Acceptable</v>
      </c>
      <c r="P51">
        <f t="shared" si="4"/>
        <v>0.3881</v>
      </c>
      <c r="Q51">
        <f t="shared" si="5"/>
        <v>0</v>
      </c>
      <c r="R51">
        <f t="shared" si="6"/>
        <v>1</v>
      </c>
      <c r="S51">
        <f t="shared" si="7"/>
        <v>1</v>
      </c>
    </row>
    <row r="52" spans="1:19" ht="15" thickBot="1" x14ac:dyDescent="0.35">
      <c r="A52" s="1">
        <v>51</v>
      </c>
      <c r="B52" s="2">
        <v>40546</v>
      </c>
      <c r="C52" s="1">
        <v>1</v>
      </c>
      <c r="D52" s="1">
        <v>5</v>
      </c>
      <c r="E52" s="3" t="b">
        <v>0</v>
      </c>
      <c r="F52" s="5">
        <v>1</v>
      </c>
      <c r="G52" s="18" t="str">
        <f t="shared" si="8"/>
        <v>No</v>
      </c>
      <c r="H52" s="1">
        <v>1</v>
      </c>
      <c r="I52" s="21" t="str">
        <f t="shared" si="9"/>
        <v>Clean</v>
      </c>
      <c r="J52" s="1">
        <v>0.16</v>
      </c>
      <c r="K52" s="23" t="str">
        <f t="shared" si="10"/>
        <v>Safe</v>
      </c>
      <c r="L52">
        <f t="shared" si="0"/>
        <v>0.13639999999999999</v>
      </c>
      <c r="M52" s="20">
        <f t="shared" si="1"/>
        <v>0.13639999999999999</v>
      </c>
      <c r="N52">
        <f t="shared" si="2"/>
        <v>0.47</v>
      </c>
      <c r="O52" s="20" t="str">
        <f t="shared" si="3"/>
        <v>Acceptable</v>
      </c>
      <c r="P52">
        <f t="shared" si="4"/>
        <v>0.28360000000000002</v>
      </c>
      <c r="Q52">
        <f t="shared" si="5"/>
        <v>0</v>
      </c>
      <c r="R52">
        <f t="shared" si="6"/>
        <v>3</v>
      </c>
      <c r="S52">
        <f t="shared" si="7"/>
        <v>3</v>
      </c>
    </row>
    <row r="53" spans="1:19" ht="15" thickBot="1" x14ac:dyDescent="0.35">
      <c r="A53" s="1">
        <v>52</v>
      </c>
      <c r="B53" s="2">
        <v>40546</v>
      </c>
      <c r="C53" s="1">
        <v>1</v>
      </c>
      <c r="D53" s="1">
        <v>6</v>
      </c>
      <c r="E53" s="3" t="b">
        <v>0</v>
      </c>
      <c r="F53" s="5">
        <v>1</v>
      </c>
      <c r="G53" s="18" t="str">
        <f t="shared" si="8"/>
        <v>No</v>
      </c>
      <c r="H53" s="1">
        <v>1</v>
      </c>
      <c r="I53" s="21" t="str">
        <f t="shared" si="9"/>
        <v>Clean</v>
      </c>
      <c r="J53" s="1">
        <v>0.14000000000000001</v>
      </c>
      <c r="K53" s="23" t="str">
        <f t="shared" si="10"/>
        <v>Safe</v>
      </c>
      <c r="L53">
        <f t="shared" si="0"/>
        <v>0.1061</v>
      </c>
      <c r="M53" s="20">
        <f t="shared" si="1"/>
        <v>0.1061</v>
      </c>
      <c r="N53">
        <f t="shared" si="2"/>
        <v>0.5</v>
      </c>
      <c r="O53" s="20" t="str">
        <f t="shared" si="3"/>
        <v>Acceptable</v>
      </c>
      <c r="P53">
        <f t="shared" si="4"/>
        <v>0.3881</v>
      </c>
      <c r="Q53">
        <f t="shared" si="5"/>
        <v>0</v>
      </c>
      <c r="R53">
        <f t="shared" si="6"/>
        <v>30</v>
      </c>
      <c r="S53">
        <f t="shared" si="7"/>
        <v>30</v>
      </c>
    </row>
    <row r="54" spans="1:19" ht="15" thickBot="1" x14ac:dyDescent="0.35">
      <c r="A54" s="1">
        <v>53</v>
      </c>
      <c r="B54" s="2">
        <v>40546</v>
      </c>
      <c r="C54" s="1">
        <v>1</v>
      </c>
      <c r="D54" s="1">
        <v>7</v>
      </c>
      <c r="E54" s="3" t="b">
        <v>0</v>
      </c>
      <c r="F54" s="5">
        <v>1</v>
      </c>
      <c r="G54" s="18" t="str">
        <f t="shared" si="8"/>
        <v>No</v>
      </c>
      <c r="H54" s="1">
        <v>1</v>
      </c>
      <c r="I54" s="21" t="str">
        <f t="shared" si="9"/>
        <v>Clean</v>
      </c>
      <c r="J54" s="1">
        <v>0.14000000000000001</v>
      </c>
      <c r="K54" s="23" t="str">
        <f t="shared" si="10"/>
        <v>Safe</v>
      </c>
      <c r="L54">
        <f t="shared" si="0"/>
        <v>0.13639999999999999</v>
      </c>
      <c r="M54" s="20">
        <f t="shared" si="1"/>
        <v>0.13639999999999999</v>
      </c>
      <c r="N54">
        <f t="shared" si="2"/>
        <v>0.5</v>
      </c>
      <c r="O54" s="20" t="str">
        <f t="shared" si="3"/>
        <v>Acceptable</v>
      </c>
      <c r="P54">
        <f t="shared" si="4"/>
        <v>0.19400000000000001</v>
      </c>
      <c r="Q54">
        <f t="shared" si="5"/>
        <v>1</v>
      </c>
      <c r="R54">
        <f t="shared" si="6"/>
        <v>63</v>
      </c>
      <c r="S54">
        <f t="shared" si="7"/>
        <v>64</v>
      </c>
    </row>
    <row r="55" spans="1:19" ht="15" thickBot="1" x14ac:dyDescent="0.35">
      <c r="A55" s="1">
        <v>54</v>
      </c>
      <c r="B55" s="2">
        <v>40546</v>
      </c>
      <c r="C55" s="1">
        <v>1</v>
      </c>
      <c r="D55" s="1">
        <v>8</v>
      </c>
      <c r="E55" s="3" t="b">
        <v>0</v>
      </c>
      <c r="F55" s="5">
        <v>1</v>
      </c>
      <c r="G55" s="18" t="str">
        <f t="shared" si="8"/>
        <v>No</v>
      </c>
      <c r="H55" s="1">
        <v>1</v>
      </c>
      <c r="I55" s="21" t="str">
        <f t="shared" si="9"/>
        <v>Clean</v>
      </c>
      <c r="J55" s="1">
        <v>0.14000000000000001</v>
      </c>
      <c r="K55" s="23" t="str">
        <f t="shared" si="10"/>
        <v>Safe</v>
      </c>
      <c r="L55">
        <f t="shared" si="0"/>
        <v>0.1212</v>
      </c>
      <c r="M55" s="20">
        <f t="shared" si="1"/>
        <v>0.1212</v>
      </c>
      <c r="N55">
        <f t="shared" si="2"/>
        <v>0.5</v>
      </c>
      <c r="O55" s="20" t="str">
        <f t="shared" si="3"/>
        <v>Acceptable</v>
      </c>
      <c r="P55">
        <f t="shared" si="4"/>
        <v>0.28360000000000002</v>
      </c>
      <c r="Q55">
        <f t="shared" si="5"/>
        <v>1</v>
      </c>
      <c r="R55">
        <f t="shared" si="6"/>
        <v>153</v>
      </c>
      <c r="S55">
        <f t="shared" si="7"/>
        <v>154</v>
      </c>
    </row>
    <row r="56" spans="1:19" ht="15" thickBot="1" x14ac:dyDescent="0.35">
      <c r="A56" s="1">
        <v>55</v>
      </c>
      <c r="B56" s="2">
        <v>40546</v>
      </c>
      <c r="C56" s="1">
        <v>1</v>
      </c>
      <c r="D56" s="1">
        <v>9</v>
      </c>
      <c r="E56" s="3" t="b">
        <v>0</v>
      </c>
      <c r="F56" s="5">
        <v>1</v>
      </c>
      <c r="G56" s="18" t="str">
        <f t="shared" si="8"/>
        <v>No</v>
      </c>
      <c r="H56" s="1">
        <v>1</v>
      </c>
      <c r="I56" s="21" t="str">
        <f t="shared" si="9"/>
        <v>Clean</v>
      </c>
      <c r="J56" s="1">
        <v>0.16</v>
      </c>
      <c r="K56" s="23" t="str">
        <f t="shared" si="10"/>
        <v>Safe</v>
      </c>
      <c r="L56">
        <f t="shared" si="0"/>
        <v>0.13639999999999999</v>
      </c>
      <c r="M56" s="20">
        <f t="shared" si="1"/>
        <v>0.13639999999999999</v>
      </c>
      <c r="N56">
        <f t="shared" si="2"/>
        <v>0.43</v>
      </c>
      <c r="O56" s="20" t="str">
        <f t="shared" si="3"/>
        <v>Acceptable</v>
      </c>
      <c r="P56">
        <f t="shared" si="4"/>
        <v>0.3881</v>
      </c>
      <c r="Q56">
        <f t="shared" si="5"/>
        <v>7</v>
      </c>
      <c r="R56">
        <f t="shared" si="6"/>
        <v>81</v>
      </c>
      <c r="S56">
        <f t="shared" si="7"/>
        <v>88</v>
      </c>
    </row>
    <row r="57" spans="1:19" ht="15" thickBot="1" x14ac:dyDescent="0.35">
      <c r="A57" s="1">
        <v>56</v>
      </c>
      <c r="B57" s="2">
        <v>40546</v>
      </c>
      <c r="C57" s="1">
        <v>1</v>
      </c>
      <c r="D57" s="1">
        <v>10</v>
      </c>
      <c r="E57" s="3" t="b">
        <v>0</v>
      </c>
      <c r="F57" s="5">
        <v>1</v>
      </c>
      <c r="G57" s="18" t="str">
        <f t="shared" si="8"/>
        <v>No</v>
      </c>
      <c r="H57" s="1">
        <v>1</v>
      </c>
      <c r="I57" s="21" t="str">
        <f t="shared" si="9"/>
        <v>Clean</v>
      </c>
      <c r="J57" s="1">
        <v>0.18</v>
      </c>
      <c r="K57" s="23" t="str">
        <f t="shared" si="10"/>
        <v>Safe</v>
      </c>
      <c r="L57">
        <f t="shared" si="0"/>
        <v>0.16669999999999999</v>
      </c>
      <c r="M57" s="20">
        <f t="shared" si="1"/>
        <v>0.16669999999999999</v>
      </c>
      <c r="N57">
        <f t="shared" si="2"/>
        <v>0.43</v>
      </c>
      <c r="O57" s="20" t="str">
        <f t="shared" si="3"/>
        <v>Acceptable</v>
      </c>
      <c r="P57">
        <f t="shared" si="4"/>
        <v>0.25369999999999998</v>
      </c>
      <c r="Q57">
        <f t="shared" si="5"/>
        <v>11</v>
      </c>
      <c r="R57">
        <f t="shared" si="6"/>
        <v>33</v>
      </c>
      <c r="S57">
        <f t="shared" si="7"/>
        <v>44</v>
      </c>
    </row>
    <row r="58" spans="1:19" ht="15" thickBot="1" x14ac:dyDescent="0.35">
      <c r="A58" s="1">
        <v>57</v>
      </c>
      <c r="B58" s="2">
        <v>40546</v>
      </c>
      <c r="C58" s="1">
        <v>1</v>
      </c>
      <c r="D58" s="1">
        <v>11</v>
      </c>
      <c r="E58" s="3" t="b">
        <v>0</v>
      </c>
      <c r="F58" s="5">
        <v>1</v>
      </c>
      <c r="G58" s="18" t="str">
        <f t="shared" si="8"/>
        <v>No</v>
      </c>
      <c r="H58" s="1">
        <v>1</v>
      </c>
      <c r="I58" s="21" t="str">
        <f t="shared" si="9"/>
        <v>Clean</v>
      </c>
      <c r="J58" s="1">
        <v>0.2</v>
      </c>
      <c r="K58" s="23" t="str">
        <f t="shared" si="10"/>
        <v>Safe</v>
      </c>
      <c r="L58">
        <f t="shared" si="0"/>
        <v>0.18179999999999999</v>
      </c>
      <c r="M58" s="20">
        <f t="shared" si="1"/>
        <v>0.18179999999999999</v>
      </c>
      <c r="N58">
        <f t="shared" si="2"/>
        <v>0.4</v>
      </c>
      <c r="O58" s="20" t="str">
        <f t="shared" si="3"/>
        <v>Acceptable</v>
      </c>
      <c r="P58">
        <f t="shared" si="4"/>
        <v>0.32840000000000003</v>
      </c>
      <c r="Q58">
        <f t="shared" si="5"/>
        <v>10</v>
      </c>
      <c r="R58">
        <f t="shared" si="6"/>
        <v>41</v>
      </c>
      <c r="S58">
        <f t="shared" si="7"/>
        <v>51</v>
      </c>
    </row>
    <row r="59" spans="1:19" ht="15" thickBot="1" x14ac:dyDescent="0.35">
      <c r="A59" s="1">
        <v>58</v>
      </c>
      <c r="B59" s="2">
        <v>40546</v>
      </c>
      <c r="C59" s="1">
        <v>1</v>
      </c>
      <c r="D59" s="1">
        <v>12</v>
      </c>
      <c r="E59" s="3" t="b">
        <v>0</v>
      </c>
      <c r="F59" s="5">
        <v>1</v>
      </c>
      <c r="G59" s="18" t="str">
        <f t="shared" si="8"/>
        <v>No</v>
      </c>
      <c r="H59" s="1">
        <v>1</v>
      </c>
      <c r="I59" s="21" t="str">
        <f t="shared" si="9"/>
        <v>Clean</v>
      </c>
      <c r="J59" s="1">
        <v>0.22</v>
      </c>
      <c r="K59" s="23" t="str">
        <f t="shared" si="10"/>
        <v>Safe</v>
      </c>
      <c r="L59">
        <f t="shared" si="0"/>
        <v>0.21210000000000001</v>
      </c>
      <c r="M59" s="20">
        <f t="shared" si="1"/>
        <v>0.21210000000000001</v>
      </c>
      <c r="N59">
        <f t="shared" si="2"/>
        <v>0.35</v>
      </c>
      <c r="O59" s="20" t="str">
        <f t="shared" si="3"/>
        <v>Acceptable</v>
      </c>
      <c r="P59">
        <f t="shared" si="4"/>
        <v>0.29849999999999999</v>
      </c>
      <c r="Q59">
        <f t="shared" si="5"/>
        <v>13</v>
      </c>
      <c r="R59">
        <f t="shared" si="6"/>
        <v>48</v>
      </c>
      <c r="S59">
        <f t="shared" si="7"/>
        <v>61</v>
      </c>
    </row>
    <row r="60" spans="1:19" ht="15" thickBot="1" x14ac:dyDescent="0.35">
      <c r="A60" s="1">
        <v>59</v>
      </c>
      <c r="B60" s="2">
        <v>40546</v>
      </c>
      <c r="C60" s="1">
        <v>1</v>
      </c>
      <c r="D60" s="1">
        <v>13</v>
      </c>
      <c r="E60" s="3" t="b">
        <v>0</v>
      </c>
      <c r="F60" s="5">
        <v>1</v>
      </c>
      <c r="G60" s="18" t="str">
        <f t="shared" si="8"/>
        <v>No</v>
      </c>
      <c r="H60" s="1">
        <v>1</v>
      </c>
      <c r="I60" s="21" t="str">
        <f t="shared" si="9"/>
        <v>Clean</v>
      </c>
      <c r="J60" s="1">
        <v>0.24</v>
      </c>
      <c r="K60" s="23" t="str">
        <f t="shared" si="10"/>
        <v>Safe</v>
      </c>
      <c r="L60">
        <f t="shared" si="0"/>
        <v>0</v>
      </c>
      <c r="M60" s="20">
        <f t="shared" si="1"/>
        <v>0.18946976320582881</v>
      </c>
      <c r="N60">
        <f t="shared" si="2"/>
        <v>0.35</v>
      </c>
      <c r="O60" s="20" t="str">
        <f t="shared" si="3"/>
        <v>Acceptable</v>
      </c>
      <c r="P60">
        <f t="shared" si="4"/>
        <v>0.28360000000000002</v>
      </c>
      <c r="Q60">
        <f t="shared" si="5"/>
        <v>8</v>
      </c>
      <c r="R60">
        <f t="shared" si="6"/>
        <v>53</v>
      </c>
      <c r="S60">
        <f t="shared" si="7"/>
        <v>61</v>
      </c>
    </row>
    <row r="61" spans="1:19" ht="15" thickBot="1" x14ac:dyDescent="0.35">
      <c r="A61" s="1">
        <v>60</v>
      </c>
      <c r="B61" s="2">
        <v>40546</v>
      </c>
      <c r="C61" s="1">
        <v>1</v>
      </c>
      <c r="D61" s="1">
        <v>14</v>
      </c>
      <c r="E61" s="3" t="b">
        <v>0</v>
      </c>
      <c r="F61" s="5">
        <v>1</v>
      </c>
      <c r="G61" s="18" t="str">
        <f t="shared" si="8"/>
        <v>No</v>
      </c>
      <c r="H61" s="1">
        <v>1</v>
      </c>
      <c r="I61" s="21" t="str">
        <f t="shared" si="9"/>
        <v>Clean</v>
      </c>
      <c r="J61" s="1">
        <v>0.26</v>
      </c>
      <c r="K61" s="23" t="str">
        <f t="shared" si="10"/>
        <v>Safe</v>
      </c>
      <c r="L61">
        <f t="shared" si="0"/>
        <v>0.2424</v>
      </c>
      <c r="M61" s="20">
        <f t="shared" si="1"/>
        <v>0.2424</v>
      </c>
      <c r="N61">
        <f t="shared" si="2"/>
        <v>0.3</v>
      </c>
      <c r="O61" s="20" t="str">
        <f t="shared" si="3"/>
        <v>Acceptable</v>
      </c>
      <c r="P61">
        <f t="shared" si="4"/>
        <v>0.28360000000000002</v>
      </c>
      <c r="Q61">
        <f t="shared" si="5"/>
        <v>11</v>
      </c>
      <c r="R61">
        <f t="shared" si="6"/>
        <v>66</v>
      </c>
      <c r="S61">
        <f t="shared" si="7"/>
        <v>77</v>
      </c>
    </row>
    <row r="62" spans="1:19" ht="15" thickBot="1" x14ac:dyDescent="0.35">
      <c r="A62" s="1">
        <v>61</v>
      </c>
      <c r="B62" s="2">
        <v>40546</v>
      </c>
      <c r="C62" s="1">
        <v>1</v>
      </c>
      <c r="D62" s="1">
        <v>15</v>
      </c>
      <c r="E62" s="3" t="b">
        <v>0</v>
      </c>
      <c r="F62" s="5">
        <v>1</v>
      </c>
      <c r="G62" s="18" t="str">
        <f t="shared" si="8"/>
        <v>No</v>
      </c>
      <c r="H62" s="1">
        <v>1</v>
      </c>
      <c r="I62" s="21" t="str">
        <f t="shared" si="9"/>
        <v>Clean</v>
      </c>
      <c r="J62" s="1">
        <v>0.26</v>
      </c>
      <c r="K62" s="23" t="str">
        <f t="shared" si="10"/>
        <v>Safe</v>
      </c>
      <c r="L62">
        <f t="shared" si="0"/>
        <v>0.2424</v>
      </c>
      <c r="M62" s="20">
        <f t="shared" si="1"/>
        <v>0.2424</v>
      </c>
      <c r="N62">
        <f t="shared" si="2"/>
        <v>0.3</v>
      </c>
      <c r="O62" s="20" t="str">
        <f t="shared" si="3"/>
        <v>Acceptable</v>
      </c>
      <c r="P62">
        <f t="shared" si="4"/>
        <v>0.25369999999999998</v>
      </c>
      <c r="Q62">
        <f t="shared" si="5"/>
        <v>14</v>
      </c>
      <c r="R62">
        <f t="shared" si="6"/>
        <v>58</v>
      </c>
      <c r="S62">
        <f t="shared" si="7"/>
        <v>72</v>
      </c>
    </row>
    <row r="63" spans="1:19" ht="15" thickBot="1" x14ac:dyDescent="0.35">
      <c r="A63" s="1">
        <v>62</v>
      </c>
      <c r="B63" s="2">
        <v>40546</v>
      </c>
      <c r="C63" s="1">
        <v>1</v>
      </c>
      <c r="D63" s="1">
        <v>16</v>
      </c>
      <c r="E63" s="3" t="b">
        <v>0</v>
      </c>
      <c r="F63" s="5">
        <v>1</v>
      </c>
      <c r="G63" s="18" t="str">
        <f t="shared" si="8"/>
        <v>No</v>
      </c>
      <c r="H63" s="1">
        <v>1</v>
      </c>
      <c r="I63" s="21" t="str">
        <f t="shared" si="9"/>
        <v>Clean</v>
      </c>
      <c r="J63" s="1">
        <v>0.26</v>
      </c>
      <c r="K63" s="23" t="str">
        <f t="shared" si="10"/>
        <v>Safe</v>
      </c>
      <c r="L63">
        <f t="shared" si="0"/>
        <v>0.2424</v>
      </c>
      <c r="M63" s="20">
        <f t="shared" si="1"/>
        <v>0.2424</v>
      </c>
      <c r="N63">
        <f t="shared" si="2"/>
        <v>0.3</v>
      </c>
      <c r="O63" s="20" t="str">
        <f t="shared" si="3"/>
        <v>Acceptable</v>
      </c>
      <c r="P63">
        <f t="shared" si="4"/>
        <v>0.25369999999999998</v>
      </c>
      <c r="Q63">
        <f t="shared" si="5"/>
        <v>9</v>
      </c>
      <c r="R63">
        <f t="shared" si="6"/>
        <v>67</v>
      </c>
      <c r="S63">
        <f t="shared" si="7"/>
        <v>76</v>
      </c>
    </row>
    <row r="64" spans="1:19" ht="15" thickBot="1" x14ac:dyDescent="0.35">
      <c r="A64" s="1">
        <v>63</v>
      </c>
      <c r="B64" s="2">
        <v>40546</v>
      </c>
      <c r="C64" s="1">
        <v>1</v>
      </c>
      <c r="D64" s="1">
        <v>17</v>
      </c>
      <c r="E64" s="3" t="b">
        <v>0</v>
      </c>
      <c r="F64" s="5">
        <v>1</v>
      </c>
      <c r="G64" s="18" t="str">
        <f t="shared" si="8"/>
        <v>No</v>
      </c>
      <c r="H64" s="1">
        <v>1</v>
      </c>
      <c r="I64" s="21" t="str">
        <f t="shared" si="9"/>
        <v>Clean</v>
      </c>
      <c r="J64" s="1">
        <v>0.24</v>
      </c>
      <c r="K64" s="23" t="str">
        <f t="shared" si="10"/>
        <v>Safe</v>
      </c>
      <c r="L64">
        <f t="shared" si="0"/>
        <v>0.2273</v>
      </c>
      <c r="M64" s="20">
        <f t="shared" si="1"/>
        <v>0.2273</v>
      </c>
      <c r="N64">
        <f t="shared" si="2"/>
        <v>0.3</v>
      </c>
      <c r="O64" s="20" t="str">
        <f t="shared" si="3"/>
        <v>Acceptable</v>
      </c>
      <c r="P64">
        <f t="shared" si="4"/>
        <v>0.22389999999999999</v>
      </c>
      <c r="Q64">
        <f t="shared" si="5"/>
        <v>11</v>
      </c>
      <c r="R64">
        <f t="shared" si="6"/>
        <v>146</v>
      </c>
      <c r="S64">
        <f t="shared" si="7"/>
        <v>157</v>
      </c>
    </row>
    <row r="65" spans="1:19" ht="15" thickBot="1" x14ac:dyDescent="0.35">
      <c r="A65" s="1">
        <v>64</v>
      </c>
      <c r="B65" s="2">
        <v>40546</v>
      </c>
      <c r="C65" s="1">
        <v>1</v>
      </c>
      <c r="D65" s="1">
        <v>18</v>
      </c>
      <c r="E65" s="3" t="b">
        <v>0</v>
      </c>
      <c r="F65" s="5">
        <v>1</v>
      </c>
      <c r="G65" s="18" t="str">
        <f t="shared" si="8"/>
        <v>No</v>
      </c>
      <c r="H65" s="1">
        <v>1</v>
      </c>
      <c r="I65" s="21" t="str">
        <f t="shared" si="9"/>
        <v>Clean</v>
      </c>
      <c r="J65" s="1">
        <v>0.24</v>
      </c>
      <c r="K65" s="23" t="str">
        <f t="shared" si="10"/>
        <v>Safe</v>
      </c>
      <c r="L65">
        <f t="shared" si="0"/>
        <v>0.2576</v>
      </c>
      <c r="M65" s="20">
        <f t="shared" si="1"/>
        <v>0.2576</v>
      </c>
      <c r="N65">
        <f t="shared" si="2"/>
        <v>0.32</v>
      </c>
      <c r="O65" s="20" t="str">
        <f t="shared" si="3"/>
        <v>Acceptable</v>
      </c>
      <c r="P65">
        <f t="shared" si="4"/>
        <v>0.1045</v>
      </c>
      <c r="Q65">
        <f t="shared" si="5"/>
        <v>9</v>
      </c>
      <c r="R65">
        <f t="shared" si="6"/>
        <v>148</v>
      </c>
      <c r="S65">
        <f t="shared" si="7"/>
        <v>157</v>
      </c>
    </row>
    <row r="66" spans="1:19" ht="15" thickBot="1" x14ac:dyDescent="0.35">
      <c r="A66" s="1">
        <v>65</v>
      </c>
      <c r="B66" s="2">
        <v>40546</v>
      </c>
      <c r="C66" s="1">
        <v>1</v>
      </c>
      <c r="D66" s="1">
        <v>19</v>
      </c>
      <c r="E66" s="3" t="b">
        <v>0</v>
      </c>
      <c r="F66" s="5">
        <v>1</v>
      </c>
      <c r="G66" s="18" t="str">
        <f t="shared" si="8"/>
        <v>No</v>
      </c>
      <c r="H66" s="1">
        <v>1</v>
      </c>
      <c r="I66" s="21" t="str">
        <f t="shared" si="9"/>
        <v>Clean</v>
      </c>
      <c r="J66" s="1">
        <v>0.2</v>
      </c>
      <c r="K66" s="23" t="str">
        <f t="shared" si="10"/>
        <v>Safe</v>
      </c>
      <c r="L66">
        <f t="shared" ref="L66:L129" si="11">VLOOKUP($A66,list2,2,FALSE)</f>
        <v>0.2576</v>
      </c>
      <c r="M66" s="20">
        <f t="shared" ref="M66:M129" si="12">VLOOKUP($A66,list2,3,FALSE)</f>
        <v>0.2576</v>
      </c>
      <c r="N66">
        <f t="shared" ref="N66:N129" si="13">VLOOKUP($A66,list2,4,FALSE)</f>
        <v>0.47</v>
      </c>
      <c r="O66" s="20" t="str">
        <f t="shared" ref="O66:O129" si="14">VLOOKUP($A66,list2,5,FALSE)</f>
        <v>Acceptable</v>
      </c>
      <c r="P66">
        <f t="shared" ref="P66:P129" si="15">VLOOKUP($A66,list2,6,FALSE)</f>
        <v>0</v>
      </c>
      <c r="Q66">
        <f t="shared" ref="Q66:Q129" si="16">VLOOKUP($A66,list2,7,FALSE)</f>
        <v>8</v>
      </c>
      <c r="R66">
        <f t="shared" ref="R66:R129" si="17">VLOOKUP($A66,list2,8,FALSE)</f>
        <v>102</v>
      </c>
      <c r="S66">
        <f t="shared" ref="S66:S129" si="18">VLOOKUP($A66,list2,9,FALSE)</f>
        <v>110</v>
      </c>
    </row>
    <row r="67" spans="1:19" ht="15" thickBot="1" x14ac:dyDescent="0.35">
      <c r="A67" s="1">
        <v>66</v>
      </c>
      <c r="B67" s="2">
        <v>40546</v>
      </c>
      <c r="C67" s="1">
        <v>1</v>
      </c>
      <c r="D67" s="1">
        <v>20</v>
      </c>
      <c r="E67" s="3" t="b">
        <v>0</v>
      </c>
      <c r="F67" s="5">
        <v>1</v>
      </c>
      <c r="G67" s="18" t="str">
        <f t="shared" ref="G67:G130" si="19">_xlfn.IFS(F67=0,"Yes",F67=6,"Yes",F67&gt;0,"No")</f>
        <v>No</v>
      </c>
      <c r="H67" s="1">
        <v>1</v>
      </c>
      <c r="I67" s="21" t="str">
        <f t="shared" ref="I67:I130" si="20">_xlfn.IFS(H67=1,"Clean",H67=2,"Misty",H67=3,"Light Rain",H67=4,"Heavy Rain")</f>
        <v>Clean</v>
      </c>
      <c r="J67" s="1">
        <v>0.2</v>
      </c>
      <c r="K67" s="23" t="str">
        <f t="shared" ref="K67:K130" si="21">_xlfn.IFS(J67&lt;0.1,"Risky",J67&lt;0.35,"Safe",J67&gt;0.35,"Risky")</f>
        <v>Safe</v>
      </c>
      <c r="L67">
        <f t="shared" si="11"/>
        <v>0</v>
      </c>
      <c r="M67" s="20">
        <f t="shared" si="12"/>
        <v>0.18885672191528544</v>
      </c>
      <c r="N67">
        <f t="shared" si="13"/>
        <v>0.47</v>
      </c>
      <c r="O67" s="20" t="str">
        <f t="shared" si="14"/>
        <v>Acceptable</v>
      </c>
      <c r="P67">
        <f t="shared" si="15"/>
        <v>0.1045</v>
      </c>
      <c r="Q67">
        <f t="shared" si="16"/>
        <v>3</v>
      </c>
      <c r="R67">
        <f t="shared" si="17"/>
        <v>49</v>
      </c>
      <c r="S67">
        <f t="shared" si="18"/>
        <v>52</v>
      </c>
    </row>
    <row r="68" spans="1:19" ht="15" thickBot="1" x14ac:dyDescent="0.35">
      <c r="A68" s="1">
        <v>67</v>
      </c>
      <c r="B68" s="2">
        <v>40546</v>
      </c>
      <c r="C68" s="1">
        <v>1</v>
      </c>
      <c r="D68" s="1">
        <v>21</v>
      </c>
      <c r="E68" s="3" t="b">
        <v>0</v>
      </c>
      <c r="F68" s="5">
        <v>1</v>
      </c>
      <c r="G68" s="18" t="str">
        <f t="shared" si="19"/>
        <v>No</v>
      </c>
      <c r="H68" s="1">
        <v>1</v>
      </c>
      <c r="I68" s="21" t="str">
        <f t="shared" si="20"/>
        <v>Clean</v>
      </c>
      <c r="J68" s="1">
        <v>0.18</v>
      </c>
      <c r="K68" s="23" t="str">
        <f t="shared" si="21"/>
        <v>Safe</v>
      </c>
      <c r="L68">
        <f t="shared" si="11"/>
        <v>0.19700000000000001</v>
      </c>
      <c r="M68" s="20">
        <f t="shared" si="12"/>
        <v>0.19700000000000001</v>
      </c>
      <c r="N68">
        <f t="shared" si="13"/>
        <v>0.64</v>
      </c>
      <c r="O68" s="20" t="str">
        <f t="shared" si="14"/>
        <v>Acceptable</v>
      </c>
      <c r="P68">
        <f t="shared" si="15"/>
        <v>0.1343</v>
      </c>
      <c r="Q68">
        <f t="shared" si="16"/>
        <v>3</v>
      </c>
      <c r="R68">
        <f t="shared" si="17"/>
        <v>49</v>
      </c>
      <c r="S68">
        <f t="shared" si="18"/>
        <v>52</v>
      </c>
    </row>
    <row r="69" spans="1:19" ht="15" thickBot="1" x14ac:dyDescent="0.35">
      <c r="A69" s="1">
        <v>68</v>
      </c>
      <c r="B69" s="2">
        <v>40546</v>
      </c>
      <c r="C69" s="1">
        <v>1</v>
      </c>
      <c r="D69" s="1">
        <v>22</v>
      </c>
      <c r="E69" s="3" t="b">
        <v>0</v>
      </c>
      <c r="F69" s="5">
        <v>1</v>
      </c>
      <c r="G69" s="18" t="str">
        <f t="shared" si="19"/>
        <v>No</v>
      </c>
      <c r="H69" s="1">
        <v>1</v>
      </c>
      <c r="I69" s="21" t="str">
        <f t="shared" si="20"/>
        <v>Clean</v>
      </c>
      <c r="J69" s="1">
        <v>0.14000000000000001</v>
      </c>
      <c r="K69" s="23" t="str">
        <f t="shared" si="21"/>
        <v>Safe</v>
      </c>
      <c r="L69">
        <f t="shared" si="11"/>
        <v>0.1515</v>
      </c>
      <c r="M69" s="20">
        <f t="shared" si="12"/>
        <v>0.1515</v>
      </c>
      <c r="N69">
        <f t="shared" si="13"/>
        <v>0.69</v>
      </c>
      <c r="O69" s="20" t="str">
        <f t="shared" si="14"/>
        <v>Acceptable</v>
      </c>
      <c r="P69">
        <f t="shared" si="15"/>
        <v>0.1343</v>
      </c>
      <c r="Q69">
        <f t="shared" si="16"/>
        <v>0</v>
      </c>
      <c r="R69">
        <f t="shared" si="17"/>
        <v>20</v>
      </c>
      <c r="S69">
        <f t="shared" si="18"/>
        <v>20</v>
      </c>
    </row>
    <row r="70" spans="1:19" ht="15" thickBot="1" x14ac:dyDescent="0.35">
      <c r="A70" s="1">
        <v>69</v>
      </c>
      <c r="B70" s="2">
        <v>40546</v>
      </c>
      <c r="C70" s="1">
        <v>1</v>
      </c>
      <c r="D70" s="1">
        <v>23</v>
      </c>
      <c r="E70" s="3" t="b">
        <v>0</v>
      </c>
      <c r="F70" s="5">
        <v>1</v>
      </c>
      <c r="G70" s="18" t="str">
        <f t="shared" si="19"/>
        <v>No</v>
      </c>
      <c r="H70" s="1">
        <v>1</v>
      </c>
      <c r="I70" s="21" t="str">
        <f t="shared" si="20"/>
        <v>Clean</v>
      </c>
      <c r="J70" s="1">
        <v>0.18</v>
      </c>
      <c r="K70" s="23" t="str">
        <f t="shared" si="21"/>
        <v>Safe</v>
      </c>
      <c r="L70">
        <f t="shared" si="11"/>
        <v>0.21210000000000001</v>
      </c>
      <c r="M70" s="20">
        <f t="shared" si="12"/>
        <v>0.21210000000000001</v>
      </c>
      <c r="N70">
        <f t="shared" si="13"/>
        <v>0.55000000000000004</v>
      </c>
      <c r="O70" s="20" t="str">
        <f t="shared" si="14"/>
        <v>Acceptable</v>
      </c>
      <c r="P70">
        <f t="shared" si="15"/>
        <v>0.1045</v>
      </c>
      <c r="Q70">
        <f t="shared" si="16"/>
        <v>1</v>
      </c>
      <c r="R70">
        <f t="shared" si="17"/>
        <v>11</v>
      </c>
      <c r="S70">
        <f t="shared" si="18"/>
        <v>12</v>
      </c>
    </row>
    <row r="71" spans="1:19" ht="15" thickBot="1" x14ac:dyDescent="0.35">
      <c r="A71" s="1">
        <v>70</v>
      </c>
      <c r="B71" s="2">
        <v>40547</v>
      </c>
      <c r="C71" s="1">
        <v>1</v>
      </c>
      <c r="D71" s="1">
        <v>0</v>
      </c>
      <c r="E71" s="3" t="b">
        <v>0</v>
      </c>
      <c r="F71" s="5">
        <v>2</v>
      </c>
      <c r="G71" s="18" t="str">
        <f t="shared" si="19"/>
        <v>No</v>
      </c>
      <c r="H71" s="1">
        <v>1</v>
      </c>
      <c r="I71" s="21" t="str">
        <f t="shared" si="20"/>
        <v>Clean</v>
      </c>
      <c r="J71" s="1">
        <v>0.16</v>
      </c>
      <c r="K71" s="23" t="str">
        <f t="shared" si="21"/>
        <v>Safe</v>
      </c>
      <c r="L71">
        <f t="shared" si="11"/>
        <v>0</v>
      </c>
      <c r="M71" s="20">
        <f t="shared" si="12"/>
        <v>0.18886777777777777</v>
      </c>
      <c r="N71">
        <f t="shared" si="13"/>
        <v>0.55000000000000004</v>
      </c>
      <c r="O71" s="20" t="str">
        <f t="shared" si="14"/>
        <v>Acceptable</v>
      </c>
      <c r="P71">
        <f t="shared" si="15"/>
        <v>0.1045</v>
      </c>
      <c r="Q71">
        <f t="shared" si="16"/>
        <v>0</v>
      </c>
      <c r="R71">
        <f t="shared" si="17"/>
        <v>5</v>
      </c>
      <c r="S71">
        <f t="shared" si="18"/>
        <v>5</v>
      </c>
    </row>
    <row r="72" spans="1:19" ht="15" thickBot="1" x14ac:dyDescent="0.35">
      <c r="A72" s="1">
        <v>71</v>
      </c>
      <c r="B72" s="2">
        <v>40547</v>
      </c>
      <c r="C72" s="1">
        <v>1</v>
      </c>
      <c r="D72" s="1">
        <v>1</v>
      </c>
      <c r="E72" s="3" t="b">
        <v>0</v>
      </c>
      <c r="F72" s="5">
        <v>2</v>
      </c>
      <c r="G72" s="18" t="str">
        <f t="shared" si="19"/>
        <v>No</v>
      </c>
      <c r="H72" s="1">
        <v>1</v>
      </c>
      <c r="I72" s="21" t="str">
        <f t="shared" si="20"/>
        <v>Clean</v>
      </c>
      <c r="J72" s="1">
        <v>0.16</v>
      </c>
      <c r="K72" s="23" t="str">
        <f t="shared" si="21"/>
        <v>Safe</v>
      </c>
      <c r="L72">
        <f t="shared" si="11"/>
        <v>0.18179999999999999</v>
      </c>
      <c r="M72" s="20">
        <f t="shared" si="12"/>
        <v>0.18179999999999999</v>
      </c>
      <c r="N72">
        <f t="shared" si="13"/>
        <v>0.59</v>
      </c>
      <c r="O72" s="20" t="str">
        <f t="shared" si="14"/>
        <v>Acceptable</v>
      </c>
      <c r="P72">
        <f t="shared" si="15"/>
        <v>0.1045</v>
      </c>
      <c r="Q72">
        <f t="shared" si="16"/>
        <v>0</v>
      </c>
      <c r="R72">
        <f t="shared" si="17"/>
        <v>2</v>
      </c>
      <c r="S72">
        <f t="shared" si="18"/>
        <v>2</v>
      </c>
    </row>
    <row r="73" spans="1:19" ht="15" thickBot="1" x14ac:dyDescent="0.35">
      <c r="A73" s="1">
        <v>72</v>
      </c>
      <c r="B73" s="2">
        <v>40547</v>
      </c>
      <c r="C73" s="1">
        <v>1</v>
      </c>
      <c r="D73" s="1">
        <v>2</v>
      </c>
      <c r="E73" s="3" t="b">
        <v>0</v>
      </c>
      <c r="F73" s="5">
        <v>2</v>
      </c>
      <c r="G73" s="18" t="str">
        <f t="shared" si="19"/>
        <v>No</v>
      </c>
      <c r="H73" s="1">
        <v>1</v>
      </c>
      <c r="I73" s="21" t="str">
        <f t="shared" si="20"/>
        <v>Clean</v>
      </c>
      <c r="J73" s="1">
        <v>0.14000000000000001</v>
      </c>
      <c r="K73" s="23" t="str">
        <f t="shared" si="21"/>
        <v>Safe</v>
      </c>
      <c r="L73">
        <f t="shared" si="11"/>
        <v>0.1515</v>
      </c>
      <c r="M73" s="20">
        <f t="shared" si="12"/>
        <v>0.1515</v>
      </c>
      <c r="N73">
        <f t="shared" si="13"/>
        <v>0.63</v>
      </c>
      <c r="O73" s="20" t="str">
        <f t="shared" si="14"/>
        <v>Acceptable</v>
      </c>
      <c r="P73">
        <f t="shared" si="15"/>
        <v>0.1343</v>
      </c>
      <c r="Q73">
        <f t="shared" si="16"/>
        <v>0</v>
      </c>
      <c r="R73">
        <f t="shared" si="17"/>
        <v>1</v>
      </c>
      <c r="S73">
        <f t="shared" si="18"/>
        <v>1</v>
      </c>
    </row>
    <row r="74" spans="1:19" ht="15" thickBot="1" x14ac:dyDescent="0.35">
      <c r="A74" s="1">
        <v>73</v>
      </c>
      <c r="B74" s="2">
        <v>40547</v>
      </c>
      <c r="C74" s="1">
        <v>1</v>
      </c>
      <c r="D74" s="1">
        <v>4</v>
      </c>
      <c r="E74" s="3" t="b">
        <v>0</v>
      </c>
      <c r="F74" s="5">
        <v>2</v>
      </c>
      <c r="G74" s="18" t="str">
        <f t="shared" si="19"/>
        <v>No</v>
      </c>
      <c r="H74" s="1">
        <v>1</v>
      </c>
      <c r="I74" s="21" t="str">
        <f t="shared" si="20"/>
        <v>Clean</v>
      </c>
      <c r="J74" s="1">
        <v>0.14000000000000001</v>
      </c>
      <c r="K74" s="23" t="str">
        <f t="shared" si="21"/>
        <v>Safe</v>
      </c>
      <c r="L74">
        <f t="shared" si="11"/>
        <v>0.18179999999999999</v>
      </c>
      <c r="M74" s="20">
        <f t="shared" si="12"/>
        <v>0.18179999999999999</v>
      </c>
      <c r="N74">
        <f t="shared" si="13"/>
        <v>0.63</v>
      </c>
      <c r="O74" s="20" t="str">
        <f t="shared" si="14"/>
        <v>Acceptable</v>
      </c>
      <c r="P74">
        <f t="shared" si="15"/>
        <v>8.9599999999999999E-2</v>
      </c>
      <c r="Q74">
        <f t="shared" si="16"/>
        <v>0</v>
      </c>
      <c r="R74">
        <f t="shared" si="17"/>
        <v>2</v>
      </c>
      <c r="S74">
        <f t="shared" si="18"/>
        <v>2</v>
      </c>
    </row>
    <row r="75" spans="1:19" ht="15" thickBot="1" x14ac:dyDescent="0.35">
      <c r="A75" s="1">
        <v>74</v>
      </c>
      <c r="B75" s="2">
        <v>40547</v>
      </c>
      <c r="C75" s="1">
        <v>1</v>
      </c>
      <c r="D75" s="1">
        <v>5</v>
      </c>
      <c r="E75" s="3" t="b">
        <v>0</v>
      </c>
      <c r="F75" s="5">
        <v>2</v>
      </c>
      <c r="G75" s="18" t="str">
        <f t="shared" si="19"/>
        <v>No</v>
      </c>
      <c r="H75" s="1">
        <v>1</v>
      </c>
      <c r="I75" s="21" t="str">
        <f t="shared" si="20"/>
        <v>Clean</v>
      </c>
      <c r="J75" s="1">
        <v>0.12</v>
      </c>
      <c r="K75" s="23" t="str">
        <f t="shared" si="21"/>
        <v>Safe</v>
      </c>
      <c r="L75">
        <f t="shared" si="11"/>
        <v>0.1515</v>
      </c>
      <c r="M75" s="20">
        <f t="shared" si="12"/>
        <v>0.1515</v>
      </c>
      <c r="N75">
        <f t="shared" si="13"/>
        <v>0.68</v>
      </c>
      <c r="O75" s="20" t="str">
        <f t="shared" si="14"/>
        <v>Acceptable</v>
      </c>
      <c r="P75">
        <f t="shared" si="15"/>
        <v>0.1045</v>
      </c>
      <c r="Q75">
        <f t="shared" si="16"/>
        <v>0</v>
      </c>
      <c r="R75">
        <f t="shared" si="17"/>
        <v>4</v>
      </c>
      <c r="S75">
        <f t="shared" si="18"/>
        <v>4</v>
      </c>
    </row>
    <row r="76" spans="1:19" ht="15" thickBot="1" x14ac:dyDescent="0.35">
      <c r="A76" s="1">
        <v>75</v>
      </c>
      <c r="B76" s="2">
        <v>40547</v>
      </c>
      <c r="C76" s="1">
        <v>1</v>
      </c>
      <c r="D76" s="1">
        <v>6</v>
      </c>
      <c r="E76" s="3" t="b">
        <v>0</v>
      </c>
      <c r="F76" s="5">
        <v>2</v>
      </c>
      <c r="G76" s="18" t="str">
        <f t="shared" si="19"/>
        <v>No</v>
      </c>
      <c r="H76" s="1">
        <v>1</v>
      </c>
      <c r="I76" s="21" t="str">
        <f t="shared" si="20"/>
        <v>Clean</v>
      </c>
      <c r="J76" s="1">
        <v>0.12</v>
      </c>
      <c r="K76" s="23" t="str">
        <f t="shared" si="21"/>
        <v>Safe</v>
      </c>
      <c r="L76">
        <f t="shared" si="11"/>
        <v>0.1515</v>
      </c>
      <c r="M76" s="20">
        <f t="shared" si="12"/>
        <v>0.1515</v>
      </c>
      <c r="N76">
        <f t="shared" si="13"/>
        <v>0.74</v>
      </c>
      <c r="O76" s="20" t="str">
        <f t="shared" si="14"/>
        <v>Risky</v>
      </c>
      <c r="P76">
        <f t="shared" si="15"/>
        <v>0.1045</v>
      </c>
      <c r="Q76">
        <f t="shared" si="16"/>
        <v>0</v>
      </c>
      <c r="R76">
        <f t="shared" si="17"/>
        <v>36</v>
      </c>
      <c r="S76">
        <f t="shared" si="18"/>
        <v>36</v>
      </c>
    </row>
    <row r="77" spans="1:19" ht="15" thickBot="1" x14ac:dyDescent="0.35">
      <c r="A77" s="1">
        <v>76</v>
      </c>
      <c r="B77" s="2">
        <v>40547</v>
      </c>
      <c r="C77" s="1">
        <v>1</v>
      </c>
      <c r="D77" s="1">
        <v>7</v>
      </c>
      <c r="E77" s="3" t="b">
        <v>0</v>
      </c>
      <c r="F77" s="5">
        <v>2</v>
      </c>
      <c r="G77" s="18" t="str">
        <f t="shared" si="19"/>
        <v>No</v>
      </c>
      <c r="H77" s="1">
        <v>1</v>
      </c>
      <c r="I77" s="21" t="str">
        <f t="shared" si="20"/>
        <v>Clean</v>
      </c>
      <c r="J77" s="1">
        <v>0.12</v>
      </c>
      <c r="K77" s="23" t="str">
        <f t="shared" si="21"/>
        <v>Safe</v>
      </c>
      <c r="L77">
        <f t="shared" si="11"/>
        <v>0.1515</v>
      </c>
      <c r="M77" s="20">
        <f t="shared" si="12"/>
        <v>0.1515</v>
      </c>
      <c r="N77">
        <f t="shared" si="13"/>
        <v>0.74</v>
      </c>
      <c r="O77" s="20" t="str">
        <f t="shared" si="14"/>
        <v>Risky</v>
      </c>
      <c r="P77">
        <f t="shared" si="15"/>
        <v>0.1343</v>
      </c>
      <c r="Q77">
        <f t="shared" si="16"/>
        <v>2</v>
      </c>
      <c r="R77">
        <f t="shared" si="17"/>
        <v>92</v>
      </c>
      <c r="S77">
        <f t="shared" si="18"/>
        <v>94</v>
      </c>
    </row>
    <row r="78" spans="1:19" ht="15" thickBot="1" x14ac:dyDescent="0.35">
      <c r="A78" s="1">
        <v>77</v>
      </c>
      <c r="B78" s="2">
        <v>40547</v>
      </c>
      <c r="C78" s="1">
        <v>1</v>
      </c>
      <c r="D78" s="1">
        <v>8</v>
      </c>
      <c r="E78" s="3" t="b">
        <v>0</v>
      </c>
      <c r="F78" s="5">
        <v>2</v>
      </c>
      <c r="G78" s="18" t="str">
        <f t="shared" si="19"/>
        <v>No</v>
      </c>
      <c r="H78" s="1">
        <v>1</v>
      </c>
      <c r="I78" s="21" t="str">
        <f t="shared" si="20"/>
        <v>Clean</v>
      </c>
      <c r="J78" s="1">
        <v>0.14000000000000001</v>
      </c>
      <c r="K78" s="23" t="str">
        <f t="shared" si="21"/>
        <v>Safe</v>
      </c>
      <c r="L78">
        <f t="shared" si="11"/>
        <v>0.1515</v>
      </c>
      <c r="M78" s="20">
        <f t="shared" si="12"/>
        <v>0.1515</v>
      </c>
      <c r="N78">
        <f t="shared" si="13"/>
        <v>0.69</v>
      </c>
      <c r="O78" s="20" t="str">
        <f t="shared" si="14"/>
        <v>Acceptable</v>
      </c>
      <c r="P78">
        <f t="shared" si="15"/>
        <v>0.16420000000000001</v>
      </c>
      <c r="Q78">
        <f t="shared" si="16"/>
        <v>2</v>
      </c>
      <c r="R78">
        <f t="shared" si="17"/>
        <v>177</v>
      </c>
      <c r="S78">
        <f t="shared" si="18"/>
        <v>179</v>
      </c>
    </row>
    <row r="79" spans="1:19" ht="15" thickBot="1" x14ac:dyDescent="0.35">
      <c r="A79" s="1">
        <v>78</v>
      </c>
      <c r="B79" s="2">
        <v>40547</v>
      </c>
      <c r="C79" s="1">
        <v>1</v>
      </c>
      <c r="D79" s="1">
        <v>9</v>
      </c>
      <c r="E79" s="3" t="b">
        <v>0</v>
      </c>
      <c r="F79" s="5">
        <v>2</v>
      </c>
      <c r="G79" s="18" t="str">
        <f t="shared" si="19"/>
        <v>No</v>
      </c>
      <c r="H79" s="1">
        <v>1</v>
      </c>
      <c r="I79" s="21" t="str">
        <f t="shared" si="20"/>
        <v>Clean</v>
      </c>
      <c r="J79" s="1">
        <v>0.16</v>
      </c>
      <c r="K79" s="23" t="str">
        <f t="shared" si="21"/>
        <v>Safe</v>
      </c>
      <c r="L79">
        <f t="shared" si="11"/>
        <v>0.1515</v>
      </c>
      <c r="M79" s="20">
        <f t="shared" si="12"/>
        <v>0.1515</v>
      </c>
      <c r="N79">
        <f t="shared" si="13"/>
        <v>0.64</v>
      </c>
      <c r="O79" s="20" t="str">
        <f t="shared" si="14"/>
        <v>Acceptable</v>
      </c>
      <c r="P79">
        <f t="shared" si="15"/>
        <v>0.22389999999999999</v>
      </c>
      <c r="Q79">
        <f t="shared" si="16"/>
        <v>2</v>
      </c>
      <c r="R79">
        <f t="shared" si="17"/>
        <v>98</v>
      </c>
      <c r="S79">
        <f t="shared" si="18"/>
        <v>100</v>
      </c>
    </row>
    <row r="80" spans="1:19" ht="15" thickBot="1" x14ac:dyDescent="0.35">
      <c r="A80" s="1">
        <v>79</v>
      </c>
      <c r="B80" s="2">
        <v>40547</v>
      </c>
      <c r="C80" s="1">
        <v>1</v>
      </c>
      <c r="D80" s="1">
        <v>10</v>
      </c>
      <c r="E80" s="3" t="b">
        <v>0</v>
      </c>
      <c r="F80" s="5">
        <v>2</v>
      </c>
      <c r="G80" s="18" t="str">
        <f t="shared" si="19"/>
        <v>No</v>
      </c>
      <c r="H80" s="1">
        <v>2</v>
      </c>
      <c r="I80" s="21" t="str">
        <f t="shared" si="20"/>
        <v>Misty</v>
      </c>
      <c r="J80" s="1">
        <v>0.16</v>
      </c>
      <c r="K80" s="23" t="str">
        <f t="shared" si="21"/>
        <v>Safe</v>
      </c>
      <c r="L80">
        <f t="shared" si="11"/>
        <v>0.13639999999999999</v>
      </c>
      <c r="M80" s="20">
        <f t="shared" si="12"/>
        <v>0.13639999999999999</v>
      </c>
      <c r="N80">
        <f t="shared" si="13"/>
        <v>0.69</v>
      </c>
      <c r="O80" s="20" t="str">
        <f t="shared" si="14"/>
        <v>Acceptable</v>
      </c>
      <c r="P80">
        <f t="shared" si="15"/>
        <v>0.32840000000000003</v>
      </c>
      <c r="Q80">
        <f t="shared" si="16"/>
        <v>5</v>
      </c>
      <c r="R80">
        <f t="shared" si="17"/>
        <v>37</v>
      </c>
      <c r="S80">
        <f t="shared" si="18"/>
        <v>42</v>
      </c>
    </row>
    <row r="81" spans="1:19" ht="15" thickBot="1" x14ac:dyDescent="0.35">
      <c r="A81" s="1">
        <v>80</v>
      </c>
      <c r="B81" s="2">
        <v>40547</v>
      </c>
      <c r="C81" s="1">
        <v>1</v>
      </c>
      <c r="D81" s="1">
        <v>11</v>
      </c>
      <c r="E81" s="3" t="b">
        <v>0</v>
      </c>
      <c r="F81" s="5">
        <v>2</v>
      </c>
      <c r="G81" s="18" t="str">
        <f t="shared" si="19"/>
        <v>No</v>
      </c>
      <c r="H81" s="1">
        <v>1</v>
      </c>
      <c r="I81" s="21" t="str">
        <f t="shared" si="20"/>
        <v>Clean</v>
      </c>
      <c r="J81" s="1">
        <v>0.22</v>
      </c>
      <c r="K81" s="23" t="str">
        <f t="shared" si="21"/>
        <v>Safe</v>
      </c>
      <c r="L81">
        <f t="shared" si="11"/>
        <v>0.21210000000000001</v>
      </c>
      <c r="M81" s="20">
        <f t="shared" si="12"/>
        <v>0.21210000000000001</v>
      </c>
      <c r="N81">
        <f t="shared" si="13"/>
        <v>0.51</v>
      </c>
      <c r="O81" s="20" t="str">
        <f t="shared" si="14"/>
        <v>Acceptable</v>
      </c>
      <c r="P81">
        <f t="shared" si="15"/>
        <v>0.29849999999999999</v>
      </c>
      <c r="Q81">
        <f t="shared" si="16"/>
        <v>7</v>
      </c>
      <c r="R81">
        <f t="shared" si="17"/>
        <v>50</v>
      </c>
      <c r="S81">
        <f t="shared" si="18"/>
        <v>57</v>
      </c>
    </row>
    <row r="82" spans="1:19" ht="15" thickBot="1" x14ac:dyDescent="0.35">
      <c r="A82" s="1">
        <v>81</v>
      </c>
      <c r="B82" s="2">
        <v>40547</v>
      </c>
      <c r="C82" s="1">
        <v>1</v>
      </c>
      <c r="D82" s="1">
        <v>12</v>
      </c>
      <c r="E82" s="3" t="b">
        <v>0</v>
      </c>
      <c r="F82" s="5">
        <v>2</v>
      </c>
      <c r="G82" s="18" t="str">
        <f t="shared" si="19"/>
        <v>No</v>
      </c>
      <c r="H82" s="1">
        <v>1</v>
      </c>
      <c r="I82" s="21" t="str">
        <f t="shared" si="20"/>
        <v>Clean</v>
      </c>
      <c r="J82" s="1">
        <v>0.22</v>
      </c>
      <c r="K82" s="23" t="str">
        <f t="shared" si="21"/>
        <v>Safe</v>
      </c>
      <c r="L82">
        <f t="shared" si="11"/>
        <v>0.2273</v>
      </c>
      <c r="M82" s="20">
        <f t="shared" si="12"/>
        <v>0.2273</v>
      </c>
      <c r="N82">
        <f t="shared" si="13"/>
        <v>0.51</v>
      </c>
      <c r="O82" s="20" t="str">
        <f t="shared" si="14"/>
        <v>Acceptable</v>
      </c>
      <c r="P82">
        <f t="shared" si="15"/>
        <v>0.16420000000000001</v>
      </c>
      <c r="Q82">
        <f t="shared" si="16"/>
        <v>12</v>
      </c>
      <c r="R82">
        <f t="shared" si="17"/>
        <v>66</v>
      </c>
      <c r="S82">
        <f t="shared" si="18"/>
        <v>78</v>
      </c>
    </row>
    <row r="83" spans="1:19" ht="15" thickBot="1" x14ac:dyDescent="0.35">
      <c r="A83" s="1">
        <v>82</v>
      </c>
      <c r="B83" s="2">
        <v>40547</v>
      </c>
      <c r="C83" s="1">
        <v>1</v>
      </c>
      <c r="D83" s="1">
        <v>13</v>
      </c>
      <c r="E83" s="3" t="b">
        <v>0</v>
      </c>
      <c r="F83" s="5">
        <v>2</v>
      </c>
      <c r="G83" s="18" t="str">
        <f t="shared" si="19"/>
        <v>No</v>
      </c>
      <c r="H83" s="1">
        <v>1</v>
      </c>
      <c r="I83" s="21" t="str">
        <f t="shared" si="20"/>
        <v>Clean</v>
      </c>
      <c r="J83" s="1">
        <v>0.24</v>
      </c>
      <c r="K83" s="23" t="str">
        <f t="shared" si="21"/>
        <v>Safe</v>
      </c>
      <c r="L83">
        <f t="shared" si="11"/>
        <v>0.2273</v>
      </c>
      <c r="M83" s="20">
        <f t="shared" si="12"/>
        <v>0.2273</v>
      </c>
      <c r="N83">
        <f t="shared" si="13"/>
        <v>0.56000000000000005</v>
      </c>
      <c r="O83" s="20" t="str">
        <f t="shared" si="14"/>
        <v>Acceptable</v>
      </c>
      <c r="P83">
        <f t="shared" si="15"/>
        <v>0.19400000000000001</v>
      </c>
      <c r="Q83">
        <f t="shared" si="16"/>
        <v>18</v>
      </c>
      <c r="R83">
        <f t="shared" si="17"/>
        <v>79</v>
      </c>
      <c r="S83">
        <f t="shared" si="18"/>
        <v>97</v>
      </c>
    </row>
    <row r="84" spans="1:19" ht="15" thickBot="1" x14ac:dyDescent="0.35">
      <c r="A84" s="1">
        <v>83</v>
      </c>
      <c r="B84" s="2">
        <v>40547</v>
      </c>
      <c r="C84" s="1">
        <v>1</v>
      </c>
      <c r="D84" s="1">
        <v>14</v>
      </c>
      <c r="E84" s="3" t="b">
        <v>0</v>
      </c>
      <c r="F84" s="5">
        <v>2</v>
      </c>
      <c r="G84" s="18" t="str">
        <f t="shared" si="19"/>
        <v>No</v>
      </c>
      <c r="H84" s="1">
        <v>1</v>
      </c>
      <c r="I84" s="21" t="str">
        <f t="shared" si="20"/>
        <v>Clean</v>
      </c>
      <c r="J84" s="1">
        <v>0.26</v>
      </c>
      <c r="K84" s="23" t="str">
        <f t="shared" si="21"/>
        <v>Safe</v>
      </c>
      <c r="L84">
        <f t="shared" si="11"/>
        <v>0.2576</v>
      </c>
      <c r="M84" s="20">
        <f t="shared" si="12"/>
        <v>0.2576</v>
      </c>
      <c r="N84">
        <f t="shared" si="13"/>
        <v>0.52</v>
      </c>
      <c r="O84" s="20" t="str">
        <f t="shared" si="14"/>
        <v>Acceptable</v>
      </c>
      <c r="P84">
        <f t="shared" si="15"/>
        <v>0.22389999999999999</v>
      </c>
      <c r="Q84">
        <f t="shared" si="16"/>
        <v>9</v>
      </c>
      <c r="R84">
        <f t="shared" si="17"/>
        <v>54</v>
      </c>
      <c r="S84">
        <f t="shared" si="18"/>
        <v>63</v>
      </c>
    </row>
    <row r="85" spans="1:19" ht="15" thickBot="1" x14ac:dyDescent="0.35">
      <c r="A85" s="1">
        <v>84</v>
      </c>
      <c r="B85" s="2">
        <v>40547</v>
      </c>
      <c r="C85" s="1">
        <v>1</v>
      </c>
      <c r="D85" s="1">
        <v>15</v>
      </c>
      <c r="E85" s="3" t="b">
        <v>0</v>
      </c>
      <c r="F85" s="5">
        <v>2</v>
      </c>
      <c r="G85" s="18" t="str">
        <f t="shared" si="19"/>
        <v>No</v>
      </c>
      <c r="H85" s="1">
        <v>1</v>
      </c>
      <c r="I85" s="21" t="str">
        <f t="shared" si="20"/>
        <v>Clean</v>
      </c>
      <c r="J85" s="1">
        <v>0.28000000000000003</v>
      </c>
      <c r="K85" s="23" t="str">
        <f t="shared" si="21"/>
        <v>Safe</v>
      </c>
      <c r="L85">
        <f t="shared" si="11"/>
        <v>0.2727</v>
      </c>
      <c r="M85" s="20">
        <f t="shared" si="12"/>
        <v>0.2727</v>
      </c>
      <c r="N85">
        <f t="shared" si="13"/>
        <v>0.52</v>
      </c>
      <c r="O85" s="20" t="str">
        <f t="shared" si="14"/>
        <v>Acceptable</v>
      </c>
      <c r="P85">
        <f t="shared" si="15"/>
        <v>0.25369999999999998</v>
      </c>
      <c r="Q85">
        <f t="shared" si="16"/>
        <v>17</v>
      </c>
      <c r="R85">
        <f t="shared" si="17"/>
        <v>48</v>
      </c>
      <c r="S85">
        <f t="shared" si="18"/>
        <v>65</v>
      </c>
    </row>
    <row r="86" spans="1:19" ht="15" thickBot="1" x14ac:dyDescent="0.35">
      <c r="A86" s="1">
        <v>85</v>
      </c>
      <c r="B86" s="2">
        <v>40547</v>
      </c>
      <c r="C86" s="1">
        <v>1</v>
      </c>
      <c r="D86" s="1">
        <v>16</v>
      </c>
      <c r="E86" s="3" t="b">
        <v>0</v>
      </c>
      <c r="F86" s="5">
        <v>2</v>
      </c>
      <c r="G86" s="18" t="str">
        <f t="shared" si="19"/>
        <v>No</v>
      </c>
      <c r="H86" s="1">
        <v>1</v>
      </c>
      <c r="I86" s="21" t="str">
        <f t="shared" si="20"/>
        <v>Clean</v>
      </c>
      <c r="J86" s="1">
        <v>0.3</v>
      </c>
      <c r="K86" s="23" t="str">
        <f t="shared" si="21"/>
        <v>Safe</v>
      </c>
      <c r="L86">
        <f t="shared" si="11"/>
        <v>0.28789999999999999</v>
      </c>
      <c r="M86" s="20">
        <f t="shared" si="12"/>
        <v>0.28789999999999999</v>
      </c>
      <c r="N86">
        <f t="shared" si="13"/>
        <v>0.49</v>
      </c>
      <c r="O86" s="20" t="str">
        <f t="shared" si="14"/>
        <v>Acceptable</v>
      </c>
      <c r="P86">
        <f t="shared" si="15"/>
        <v>0.25369999999999998</v>
      </c>
      <c r="Q86">
        <f t="shared" si="16"/>
        <v>15</v>
      </c>
      <c r="R86">
        <f t="shared" si="17"/>
        <v>68</v>
      </c>
      <c r="S86">
        <f t="shared" si="18"/>
        <v>83</v>
      </c>
    </row>
    <row r="87" spans="1:19" ht="15" thickBot="1" x14ac:dyDescent="0.35">
      <c r="A87" s="1">
        <v>86</v>
      </c>
      <c r="B87" s="2">
        <v>40547</v>
      </c>
      <c r="C87" s="1">
        <v>1</v>
      </c>
      <c r="D87" s="1">
        <v>17</v>
      </c>
      <c r="E87" s="3" t="b">
        <v>0</v>
      </c>
      <c r="F87" s="5">
        <v>2</v>
      </c>
      <c r="G87" s="18" t="str">
        <f t="shared" si="19"/>
        <v>No</v>
      </c>
      <c r="H87" s="1">
        <v>1</v>
      </c>
      <c r="I87" s="21" t="str">
        <f t="shared" si="20"/>
        <v>Clean</v>
      </c>
      <c r="J87" s="1">
        <v>0.28000000000000003</v>
      </c>
      <c r="K87" s="23" t="str">
        <f t="shared" si="21"/>
        <v>Safe</v>
      </c>
      <c r="L87">
        <f t="shared" si="11"/>
        <v>0.2727</v>
      </c>
      <c r="M87" s="20">
        <f t="shared" si="12"/>
        <v>0.2727</v>
      </c>
      <c r="N87">
        <f t="shared" si="13"/>
        <v>0.48</v>
      </c>
      <c r="O87" s="20" t="str">
        <f t="shared" si="14"/>
        <v>Acceptable</v>
      </c>
      <c r="P87">
        <f t="shared" si="15"/>
        <v>0.22389999999999999</v>
      </c>
      <c r="Q87">
        <f t="shared" si="16"/>
        <v>10</v>
      </c>
      <c r="R87">
        <f t="shared" si="17"/>
        <v>202</v>
      </c>
      <c r="S87">
        <f t="shared" si="18"/>
        <v>212</v>
      </c>
    </row>
    <row r="88" spans="1:19" ht="15" thickBot="1" x14ac:dyDescent="0.35">
      <c r="A88" s="1">
        <v>87</v>
      </c>
      <c r="B88" s="2">
        <v>40547</v>
      </c>
      <c r="C88" s="1">
        <v>1</v>
      </c>
      <c r="D88" s="1">
        <v>18</v>
      </c>
      <c r="E88" s="3" t="b">
        <v>0</v>
      </c>
      <c r="F88" s="5">
        <v>2</v>
      </c>
      <c r="G88" s="18" t="str">
        <f t="shared" si="19"/>
        <v>No</v>
      </c>
      <c r="H88" s="1">
        <v>1</v>
      </c>
      <c r="I88" s="21" t="str">
        <f t="shared" si="20"/>
        <v>Clean</v>
      </c>
      <c r="J88" s="1">
        <v>0.26</v>
      </c>
      <c r="K88" s="23" t="str">
        <f t="shared" si="21"/>
        <v>Safe</v>
      </c>
      <c r="L88">
        <f t="shared" si="11"/>
        <v>0.2576</v>
      </c>
      <c r="M88" s="20">
        <f t="shared" si="12"/>
        <v>0.2576</v>
      </c>
      <c r="N88">
        <f t="shared" si="13"/>
        <v>0.48</v>
      </c>
      <c r="O88" s="20" t="str">
        <f t="shared" si="14"/>
        <v>Acceptable</v>
      </c>
      <c r="P88">
        <f t="shared" si="15"/>
        <v>0.19400000000000001</v>
      </c>
      <c r="Q88">
        <f t="shared" si="16"/>
        <v>3</v>
      </c>
      <c r="R88">
        <f t="shared" si="17"/>
        <v>179</v>
      </c>
      <c r="S88">
        <f t="shared" si="18"/>
        <v>182</v>
      </c>
    </row>
    <row r="89" spans="1:19" ht="15" thickBot="1" x14ac:dyDescent="0.35">
      <c r="A89" s="1">
        <v>88</v>
      </c>
      <c r="B89" s="2">
        <v>40547</v>
      </c>
      <c r="C89" s="1">
        <v>1</v>
      </c>
      <c r="D89" s="1">
        <v>19</v>
      </c>
      <c r="E89" s="3" t="b">
        <v>0</v>
      </c>
      <c r="F89" s="5">
        <v>2</v>
      </c>
      <c r="G89" s="18" t="str">
        <f t="shared" si="19"/>
        <v>No</v>
      </c>
      <c r="H89" s="1">
        <v>1</v>
      </c>
      <c r="I89" s="21" t="str">
        <f t="shared" si="20"/>
        <v>Clean</v>
      </c>
      <c r="J89" s="1">
        <v>0.24</v>
      </c>
      <c r="K89" s="23" t="str">
        <f t="shared" si="21"/>
        <v>Safe</v>
      </c>
      <c r="L89">
        <f t="shared" si="11"/>
        <v>0.2576</v>
      </c>
      <c r="M89" s="20">
        <f t="shared" si="12"/>
        <v>0.2576</v>
      </c>
      <c r="N89">
        <f t="shared" si="13"/>
        <v>0.48</v>
      </c>
      <c r="O89" s="20" t="str">
        <f t="shared" si="14"/>
        <v>Acceptable</v>
      </c>
      <c r="P89">
        <f t="shared" si="15"/>
        <v>0.1045</v>
      </c>
      <c r="Q89">
        <f t="shared" si="16"/>
        <v>2</v>
      </c>
      <c r="R89">
        <f t="shared" si="17"/>
        <v>110</v>
      </c>
      <c r="S89">
        <f t="shared" si="18"/>
        <v>112</v>
      </c>
    </row>
    <row r="90" spans="1:19" ht="15" thickBot="1" x14ac:dyDescent="0.35">
      <c r="A90" s="1">
        <v>89</v>
      </c>
      <c r="B90" s="2">
        <v>40547</v>
      </c>
      <c r="C90" s="1">
        <v>1</v>
      </c>
      <c r="D90" s="1">
        <v>20</v>
      </c>
      <c r="E90" s="3" t="b">
        <v>0</v>
      </c>
      <c r="F90" s="5">
        <v>2</v>
      </c>
      <c r="G90" s="18" t="str">
        <f t="shared" si="19"/>
        <v>No</v>
      </c>
      <c r="H90" s="1">
        <v>1</v>
      </c>
      <c r="I90" s="21" t="str">
        <f t="shared" si="20"/>
        <v>Clean</v>
      </c>
      <c r="J90" s="1">
        <v>0.24</v>
      </c>
      <c r="K90" s="23" t="str">
        <f t="shared" si="21"/>
        <v>Safe</v>
      </c>
      <c r="L90">
        <f t="shared" si="11"/>
        <v>0.2576</v>
      </c>
      <c r="M90" s="20">
        <f t="shared" si="12"/>
        <v>0.2576</v>
      </c>
      <c r="N90">
        <f t="shared" si="13"/>
        <v>0.48</v>
      </c>
      <c r="O90" s="20" t="str">
        <f t="shared" si="14"/>
        <v>Acceptable</v>
      </c>
      <c r="P90">
        <f t="shared" si="15"/>
        <v>0.1045</v>
      </c>
      <c r="Q90">
        <f t="shared" si="16"/>
        <v>1</v>
      </c>
      <c r="R90">
        <f t="shared" si="17"/>
        <v>53</v>
      </c>
      <c r="S90">
        <f t="shared" si="18"/>
        <v>54</v>
      </c>
    </row>
    <row r="91" spans="1:19" ht="15" thickBot="1" x14ac:dyDescent="0.35">
      <c r="A91" s="1">
        <v>90</v>
      </c>
      <c r="B91" s="2">
        <v>40547</v>
      </c>
      <c r="C91" s="1">
        <v>1</v>
      </c>
      <c r="D91" s="1">
        <v>21</v>
      </c>
      <c r="E91" s="3" t="b">
        <v>0</v>
      </c>
      <c r="F91" s="5">
        <v>2</v>
      </c>
      <c r="G91" s="18" t="str">
        <f t="shared" si="19"/>
        <v>No</v>
      </c>
      <c r="H91" s="1">
        <v>1</v>
      </c>
      <c r="I91" s="21" t="str">
        <f t="shared" si="20"/>
        <v>Clean</v>
      </c>
      <c r="J91" s="1">
        <v>0.22</v>
      </c>
      <c r="K91" s="23" t="str">
        <f t="shared" si="21"/>
        <v>Safe</v>
      </c>
      <c r="L91">
        <f t="shared" si="11"/>
        <v>0.2727</v>
      </c>
      <c r="M91" s="20">
        <f t="shared" si="12"/>
        <v>0.2727</v>
      </c>
      <c r="N91">
        <f t="shared" si="13"/>
        <v>0.64</v>
      </c>
      <c r="O91" s="20" t="str">
        <f t="shared" si="14"/>
        <v>Acceptable</v>
      </c>
      <c r="P91">
        <f t="shared" si="15"/>
        <v>0</v>
      </c>
      <c r="Q91">
        <f t="shared" si="16"/>
        <v>0</v>
      </c>
      <c r="R91">
        <f t="shared" si="17"/>
        <v>48</v>
      </c>
      <c r="S91">
        <f t="shared" si="18"/>
        <v>48</v>
      </c>
    </row>
    <row r="92" spans="1:19" ht="15" thickBot="1" x14ac:dyDescent="0.35">
      <c r="A92" s="1">
        <v>91</v>
      </c>
      <c r="B92" s="2">
        <v>40547</v>
      </c>
      <c r="C92" s="1">
        <v>1</v>
      </c>
      <c r="D92" s="1">
        <v>22</v>
      </c>
      <c r="E92" s="3" t="b">
        <v>0</v>
      </c>
      <c r="F92" s="5">
        <v>2</v>
      </c>
      <c r="G92" s="18" t="str">
        <f t="shared" si="19"/>
        <v>No</v>
      </c>
      <c r="H92" s="1">
        <v>1</v>
      </c>
      <c r="I92" s="21" t="str">
        <f t="shared" si="20"/>
        <v>Clean</v>
      </c>
      <c r="J92" s="1">
        <v>0.22</v>
      </c>
      <c r="K92" s="23" t="str">
        <f t="shared" si="21"/>
        <v>Safe</v>
      </c>
      <c r="L92">
        <f t="shared" si="11"/>
        <v>0.2576</v>
      </c>
      <c r="M92" s="20">
        <f t="shared" si="12"/>
        <v>0.2576</v>
      </c>
      <c r="N92">
        <f t="shared" si="13"/>
        <v>0.64</v>
      </c>
      <c r="O92" s="20" t="str">
        <f t="shared" si="14"/>
        <v>Acceptable</v>
      </c>
      <c r="P92">
        <f t="shared" si="15"/>
        <v>8.9599999999999999E-2</v>
      </c>
      <c r="Q92">
        <f t="shared" si="16"/>
        <v>1</v>
      </c>
      <c r="R92">
        <f t="shared" si="17"/>
        <v>34</v>
      </c>
      <c r="S92">
        <f t="shared" si="18"/>
        <v>35</v>
      </c>
    </row>
    <row r="93" spans="1:19" ht="15" thickBot="1" x14ac:dyDescent="0.35">
      <c r="A93" s="1">
        <v>92</v>
      </c>
      <c r="B93" s="2">
        <v>40547</v>
      </c>
      <c r="C93" s="1">
        <v>1</v>
      </c>
      <c r="D93" s="1">
        <v>23</v>
      </c>
      <c r="E93" s="3" t="b">
        <v>0</v>
      </c>
      <c r="F93" s="5">
        <v>2</v>
      </c>
      <c r="G93" s="18" t="str">
        <f t="shared" si="19"/>
        <v>No</v>
      </c>
      <c r="H93" s="1">
        <v>1</v>
      </c>
      <c r="I93" s="21" t="str">
        <f t="shared" si="20"/>
        <v>Clean</v>
      </c>
      <c r="J93" s="1">
        <v>0.2</v>
      </c>
      <c r="K93" s="23" t="str">
        <f t="shared" si="21"/>
        <v>Safe</v>
      </c>
      <c r="L93">
        <f t="shared" si="11"/>
        <v>0.2273</v>
      </c>
      <c r="M93" s="20">
        <f t="shared" si="12"/>
        <v>0.2273</v>
      </c>
      <c r="N93">
        <f t="shared" si="13"/>
        <v>0.69</v>
      </c>
      <c r="O93" s="20" t="str">
        <f t="shared" si="14"/>
        <v>Acceptable</v>
      </c>
      <c r="P93">
        <f t="shared" si="15"/>
        <v>8.9599999999999999E-2</v>
      </c>
      <c r="Q93">
        <f t="shared" si="16"/>
        <v>2</v>
      </c>
      <c r="R93">
        <f t="shared" si="17"/>
        <v>9</v>
      </c>
      <c r="S93">
        <f t="shared" si="18"/>
        <v>11</v>
      </c>
    </row>
    <row r="94" spans="1:19" ht="15" thickBot="1" x14ac:dyDescent="0.35">
      <c r="A94" s="1">
        <v>93</v>
      </c>
      <c r="B94" s="2">
        <v>40548</v>
      </c>
      <c r="C94" s="1">
        <v>1</v>
      </c>
      <c r="D94" s="1">
        <v>0</v>
      </c>
      <c r="E94" s="3" t="b">
        <v>0</v>
      </c>
      <c r="F94" s="5">
        <v>3</v>
      </c>
      <c r="G94" s="18" t="str">
        <f t="shared" si="19"/>
        <v>No</v>
      </c>
      <c r="H94" s="1">
        <v>1</v>
      </c>
      <c r="I94" s="21" t="str">
        <f t="shared" si="20"/>
        <v>Clean</v>
      </c>
      <c r="J94" s="1">
        <v>0.2</v>
      </c>
      <c r="K94" s="23" t="str">
        <f t="shared" si="21"/>
        <v>Safe</v>
      </c>
      <c r="L94">
        <f t="shared" si="11"/>
        <v>0.2576</v>
      </c>
      <c r="M94" s="20">
        <f t="shared" si="12"/>
        <v>0.2576</v>
      </c>
      <c r="N94">
        <f t="shared" si="13"/>
        <v>0.64</v>
      </c>
      <c r="O94" s="20" t="str">
        <f t="shared" si="14"/>
        <v>Acceptable</v>
      </c>
      <c r="P94">
        <f t="shared" si="15"/>
        <v>0</v>
      </c>
      <c r="Q94">
        <f t="shared" si="16"/>
        <v>0</v>
      </c>
      <c r="R94">
        <f t="shared" si="17"/>
        <v>6</v>
      </c>
      <c r="S94">
        <f t="shared" si="18"/>
        <v>6</v>
      </c>
    </row>
    <row r="95" spans="1:19" ht="15" thickBot="1" x14ac:dyDescent="0.35">
      <c r="A95" s="1">
        <v>94</v>
      </c>
      <c r="B95" s="2">
        <v>40548</v>
      </c>
      <c r="C95" s="1">
        <v>1</v>
      </c>
      <c r="D95" s="1">
        <v>1</v>
      </c>
      <c r="E95" s="3" t="b">
        <v>0</v>
      </c>
      <c r="F95" s="5">
        <v>3</v>
      </c>
      <c r="G95" s="18" t="str">
        <f t="shared" si="19"/>
        <v>No</v>
      </c>
      <c r="H95" s="1">
        <v>1</v>
      </c>
      <c r="I95" s="21" t="str">
        <f t="shared" si="20"/>
        <v>Clean</v>
      </c>
      <c r="J95" s="1">
        <v>0.16</v>
      </c>
      <c r="K95" s="23" t="str">
        <f t="shared" si="21"/>
        <v>Safe</v>
      </c>
      <c r="L95">
        <f t="shared" si="11"/>
        <v>0.19700000000000001</v>
      </c>
      <c r="M95" s="20">
        <f t="shared" si="12"/>
        <v>0.19700000000000001</v>
      </c>
      <c r="N95">
        <f t="shared" si="13"/>
        <v>0.74</v>
      </c>
      <c r="O95" s="20" t="str">
        <f t="shared" si="14"/>
        <v>Risky</v>
      </c>
      <c r="P95">
        <f t="shared" si="15"/>
        <v>8.9599999999999999E-2</v>
      </c>
      <c r="Q95">
        <f t="shared" si="16"/>
        <v>0</v>
      </c>
      <c r="R95">
        <f t="shared" si="17"/>
        <v>6</v>
      </c>
      <c r="S95">
        <f t="shared" si="18"/>
        <v>6</v>
      </c>
    </row>
    <row r="96" spans="1:19" ht="15" thickBot="1" x14ac:dyDescent="0.35">
      <c r="A96" s="1">
        <v>95</v>
      </c>
      <c r="B96" s="2">
        <v>40548</v>
      </c>
      <c r="C96" s="1">
        <v>1</v>
      </c>
      <c r="D96" s="1">
        <v>2</v>
      </c>
      <c r="E96" s="3" t="b">
        <v>0</v>
      </c>
      <c r="F96" s="5">
        <v>3</v>
      </c>
      <c r="G96" s="18" t="str">
        <f t="shared" si="19"/>
        <v>No</v>
      </c>
      <c r="H96" s="1">
        <v>1</v>
      </c>
      <c r="I96" s="21" t="str">
        <f t="shared" si="20"/>
        <v>Clean</v>
      </c>
      <c r="J96" s="1">
        <v>0.16</v>
      </c>
      <c r="K96" s="23" t="str">
        <f t="shared" si="21"/>
        <v>Safe</v>
      </c>
      <c r="L96">
        <f t="shared" si="11"/>
        <v>0.19700000000000001</v>
      </c>
      <c r="M96" s="20">
        <f t="shared" si="12"/>
        <v>0.19700000000000001</v>
      </c>
      <c r="N96">
        <f t="shared" si="13"/>
        <v>0.74</v>
      </c>
      <c r="O96" s="20" t="str">
        <f t="shared" si="14"/>
        <v>Risky</v>
      </c>
      <c r="P96">
        <f t="shared" si="15"/>
        <v>8.9599999999999999E-2</v>
      </c>
      <c r="Q96">
        <f t="shared" si="16"/>
        <v>0</v>
      </c>
      <c r="R96">
        <f t="shared" si="17"/>
        <v>2</v>
      </c>
      <c r="S96">
        <f t="shared" si="18"/>
        <v>2</v>
      </c>
    </row>
    <row r="97" spans="1:19" ht="15" thickBot="1" x14ac:dyDescent="0.35">
      <c r="A97" s="1">
        <v>96</v>
      </c>
      <c r="B97" s="2">
        <v>40548</v>
      </c>
      <c r="C97" s="1">
        <v>1</v>
      </c>
      <c r="D97" s="1">
        <v>4</v>
      </c>
      <c r="E97" s="3" t="b">
        <v>0</v>
      </c>
      <c r="F97" s="5">
        <v>3</v>
      </c>
      <c r="G97" s="18" t="str">
        <f t="shared" si="19"/>
        <v>No</v>
      </c>
      <c r="H97" s="1">
        <v>1</v>
      </c>
      <c r="I97" s="21" t="str">
        <f t="shared" si="20"/>
        <v>Clean</v>
      </c>
      <c r="J97" s="1">
        <v>0.24</v>
      </c>
      <c r="K97" s="23" t="str">
        <f t="shared" si="21"/>
        <v>Safe</v>
      </c>
      <c r="L97">
        <f t="shared" si="11"/>
        <v>0.2273</v>
      </c>
      <c r="M97" s="20">
        <f t="shared" si="12"/>
        <v>0.2273</v>
      </c>
      <c r="N97">
        <f t="shared" si="13"/>
        <v>0.48</v>
      </c>
      <c r="O97" s="20" t="str">
        <f t="shared" si="14"/>
        <v>Acceptable</v>
      </c>
      <c r="P97">
        <f t="shared" si="15"/>
        <v>0.22389999999999999</v>
      </c>
      <c r="Q97">
        <f t="shared" si="16"/>
        <v>0</v>
      </c>
      <c r="R97">
        <f t="shared" si="17"/>
        <v>2</v>
      </c>
      <c r="S97">
        <f t="shared" si="18"/>
        <v>2</v>
      </c>
    </row>
    <row r="98" spans="1:19" ht="15" thickBot="1" x14ac:dyDescent="0.35">
      <c r="A98" s="1">
        <v>97</v>
      </c>
      <c r="B98" s="2">
        <v>40548</v>
      </c>
      <c r="C98" s="1">
        <v>1</v>
      </c>
      <c r="D98" s="1">
        <v>5</v>
      </c>
      <c r="E98" s="3" t="b">
        <v>0</v>
      </c>
      <c r="F98" s="5">
        <v>3</v>
      </c>
      <c r="G98" s="18" t="str">
        <f t="shared" si="19"/>
        <v>No</v>
      </c>
      <c r="H98" s="1">
        <v>1</v>
      </c>
      <c r="I98" s="21" t="str">
        <f t="shared" si="20"/>
        <v>Clean</v>
      </c>
      <c r="J98" s="1">
        <v>0.22</v>
      </c>
      <c r="K98" s="23" t="str">
        <f t="shared" si="21"/>
        <v>Safe</v>
      </c>
      <c r="L98">
        <f t="shared" si="11"/>
        <v>0.2273</v>
      </c>
      <c r="M98" s="20">
        <f t="shared" si="12"/>
        <v>0.2273</v>
      </c>
      <c r="N98">
        <f t="shared" si="13"/>
        <v>0.47</v>
      </c>
      <c r="O98" s="20" t="str">
        <f t="shared" si="14"/>
        <v>Acceptable</v>
      </c>
      <c r="P98">
        <f t="shared" si="15"/>
        <v>0.16420000000000001</v>
      </c>
      <c r="Q98">
        <f t="shared" si="16"/>
        <v>0</v>
      </c>
      <c r="R98">
        <f t="shared" si="17"/>
        <v>3</v>
      </c>
      <c r="S98">
        <f t="shared" si="18"/>
        <v>3</v>
      </c>
    </row>
    <row r="99" spans="1:19" ht="15" thickBot="1" x14ac:dyDescent="0.35">
      <c r="A99" s="1">
        <v>98</v>
      </c>
      <c r="B99" s="2">
        <v>40548</v>
      </c>
      <c r="C99" s="1">
        <v>1</v>
      </c>
      <c r="D99" s="1">
        <v>6</v>
      </c>
      <c r="E99" s="3" t="b">
        <v>0</v>
      </c>
      <c r="F99" s="5">
        <v>3</v>
      </c>
      <c r="G99" s="18" t="str">
        <f t="shared" si="19"/>
        <v>No</v>
      </c>
      <c r="H99" s="1">
        <v>1</v>
      </c>
      <c r="I99" s="21" t="str">
        <f t="shared" si="20"/>
        <v>Clean</v>
      </c>
      <c r="J99" s="1">
        <v>0.2</v>
      </c>
      <c r="K99" s="23" t="str">
        <f t="shared" si="21"/>
        <v>Safe</v>
      </c>
      <c r="L99">
        <f t="shared" si="11"/>
        <v>0.19700000000000001</v>
      </c>
      <c r="M99" s="20">
        <f t="shared" si="12"/>
        <v>0.19700000000000001</v>
      </c>
      <c r="N99">
        <f t="shared" si="13"/>
        <v>0.47</v>
      </c>
      <c r="O99" s="20" t="str">
        <f t="shared" si="14"/>
        <v>Acceptable</v>
      </c>
      <c r="P99">
        <f t="shared" si="15"/>
        <v>0.22389999999999999</v>
      </c>
      <c r="Q99">
        <f t="shared" si="16"/>
        <v>0</v>
      </c>
      <c r="R99">
        <f t="shared" si="17"/>
        <v>33</v>
      </c>
      <c r="S99">
        <f t="shared" si="18"/>
        <v>33</v>
      </c>
    </row>
    <row r="100" spans="1:19" ht="15" thickBot="1" x14ac:dyDescent="0.35">
      <c r="A100" s="1">
        <v>99</v>
      </c>
      <c r="B100" s="2">
        <v>40548</v>
      </c>
      <c r="C100" s="1">
        <v>1</v>
      </c>
      <c r="D100" s="1">
        <v>7</v>
      </c>
      <c r="E100" s="3" t="b">
        <v>0</v>
      </c>
      <c r="F100" s="5">
        <v>3</v>
      </c>
      <c r="G100" s="18" t="str">
        <f t="shared" si="19"/>
        <v>No</v>
      </c>
      <c r="H100" s="1">
        <v>1</v>
      </c>
      <c r="I100" s="21" t="str">
        <f t="shared" si="20"/>
        <v>Clean</v>
      </c>
      <c r="J100" s="1">
        <v>0.18</v>
      </c>
      <c r="K100" s="23" t="str">
        <f t="shared" si="21"/>
        <v>Safe</v>
      </c>
      <c r="L100">
        <f t="shared" si="11"/>
        <v>0.18179999999999999</v>
      </c>
      <c r="M100" s="20">
        <f t="shared" si="12"/>
        <v>0.18179999999999999</v>
      </c>
      <c r="N100">
        <f t="shared" si="13"/>
        <v>0.43</v>
      </c>
      <c r="O100" s="20" t="str">
        <f t="shared" si="14"/>
        <v>Acceptable</v>
      </c>
      <c r="P100">
        <f t="shared" si="15"/>
        <v>0.19400000000000001</v>
      </c>
      <c r="Q100">
        <f t="shared" si="16"/>
        <v>1</v>
      </c>
      <c r="R100">
        <f t="shared" si="17"/>
        <v>87</v>
      </c>
      <c r="S100">
        <f t="shared" si="18"/>
        <v>88</v>
      </c>
    </row>
    <row r="101" spans="1:19" ht="15" thickBot="1" x14ac:dyDescent="0.35">
      <c r="A101" s="1">
        <v>100</v>
      </c>
      <c r="B101" s="2">
        <v>40548</v>
      </c>
      <c r="C101" s="1">
        <v>1</v>
      </c>
      <c r="D101" s="1">
        <v>8</v>
      </c>
      <c r="E101" s="3" t="b">
        <v>0</v>
      </c>
      <c r="F101" s="5">
        <v>3</v>
      </c>
      <c r="G101" s="18" t="str">
        <f t="shared" si="19"/>
        <v>No</v>
      </c>
      <c r="H101" s="1">
        <v>1</v>
      </c>
      <c r="I101" s="21" t="str">
        <f t="shared" si="20"/>
        <v>Clean</v>
      </c>
      <c r="J101" s="1">
        <v>0.2</v>
      </c>
      <c r="K101" s="23" t="str">
        <f t="shared" si="21"/>
        <v>Safe</v>
      </c>
      <c r="L101">
        <f t="shared" si="11"/>
        <v>0.18179999999999999</v>
      </c>
      <c r="M101" s="20">
        <f t="shared" si="12"/>
        <v>0.18179999999999999</v>
      </c>
      <c r="N101">
        <f t="shared" si="13"/>
        <v>0.4</v>
      </c>
      <c r="O101" s="20" t="str">
        <f t="shared" si="14"/>
        <v>Acceptable</v>
      </c>
      <c r="P101">
        <f t="shared" si="15"/>
        <v>0.29849999999999999</v>
      </c>
      <c r="Q101">
        <f t="shared" si="16"/>
        <v>3</v>
      </c>
      <c r="R101">
        <f t="shared" si="17"/>
        <v>192</v>
      </c>
      <c r="S101">
        <f t="shared" si="18"/>
        <v>195</v>
      </c>
    </row>
    <row r="102" spans="1:19" ht="15" thickBot="1" x14ac:dyDescent="0.35">
      <c r="A102" s="1">
        <v>101</v>
      </c>
      <c r="B102" s="2">
        <v>40548</v>
      </c>
      <c r="C102" s="1">
        <v>1</v>
      </c>
      <c r="D102" s="1">
        <v>9</v>
      </c>
      <c r="E102" s="3" t="b">
        <v>0</v>
      </c>
      <c r="F102" s="5">
        <v>3</v>
      </c>
      <c r="G102" s="18" t="str">
        <f t="shared" si="19"/>
        <v>No</v>
      </c>
      <c r="H102" s="1">
        <v>1</v>
      </c>
      <c r="I102" s="21" t="str">
        <f t="shared" si="20"/>
        <v>Clean</v>
      </c>
      <c r="J102" s="1">
        <v>0.22</v>
      </c>
      <c r="K102" s="23" t="str">
        <f t="shared" si="21"/>
        <v>Safe</v>
      </c>
      <c r="L102">
        <f t="shared" si="11"/>
        <v>0.19700000000000001</v>
      </c>
      <c r="M102" s="20">
        <f t="shared" si="12"/>
        <v>0.19700000000000001</v>
      </c>
      <c r="N102">
        <f t="shared" si="13"/>
        <v>0.37</v>
      </c>
      <c r="O102" s="20" t="str">
        <f t="shared" si="14"/>
        <v>Acceptable</v>
      </c>
      <c r="P102">
        <f t="shared" si="15"/>
        <v>0.32840000000000003</v>
      </c>
      <c r="Q102">
        <f t="shared" si="16"/>
        <v>6</v>
      </c>
      <c r="R102">
        <f t="shared" si="17"/>
        <v>109</v>
      </c>
      <c r="S102">
        <f t="shared" si="18"/>
        <v>115</v>
      </c>
    </row>
    <row r="103" spans="1:19" ht="15" thickBot="1" x14ac:dyDescent="0.35">
      <c r="A103" s="1">
        <v>102</v>
      </c>
      <c r="B103" s="2">
        <v>40548</v>
      </c>
      <c r="C103" s="1">
        <v>1</v>
      </c>
      <c r="D103" s="1">
        <v>10</v>
      </c>
      <c r="E103" s="3" t="b">
        <v>0</v>
      </c>
      <c r="F103" s="5">
        <v>3</v>
      </c>
      <c r="G103" s="18" t="str">
        <f t="shared" si="19"/>
        <v>No</v>
      </c>
      <c r="H103" s="1">
        <v>1</v>
      </c>
      <c r="I103" s="21" t="str">
        <f t="shared" si="20"/>
        <v>Clean</v>
      </c>
      <c r="J103" s="1">
        <v>0.22</v>
      </c>
      <c r="K103" s="23" t="str">
        <f t="shared" si="21"/>
        <v>Safe</v>
      </c>
      <c r="L103">
        <f t="shared" si="11"/>
        <v>0.19700000000000001</v>
      </c>
      <c r="M103" s="20">
        <f t="shared" si="12"/>
        <v>0.19700000000000001</v>
      </c>
      <c r="N103">
        <f t="shared" si="13"/>
        <v>0.37</v>
      </c>
      <c r="O103" s="20" t="str">
        <f t="shared" si="14"/>
        <v>Acceptable</v>
      </c>
      <c r="P103">
        <f t="shared" si="15"/>
        <v>0.32840000000000003</v>
      </c>
      <c r="Q103">
        <f t="shared" si="16"/>
        <v>4</v>
      </c>
      <c r="R103">
        <f t="shared" si="17"/>
        <v>53</v>
      </c>
      <c r="S103">
        <f t="shared" si="18"/>
        <v>57</v>
      </c>
    </row>
    <row r="104" spans="1:19" ht="15" thickBot="1" x14ac:dyDescent="0.35">
      <c r="A104" s="1">
        <v>103</v>
      </c>
      <c r="B104" s="2">
        <v>40548</v>
      </c>
      <c r="C104" s="1">
        <v>1</v>
      </c>
      <c r="D104" s="1">
        <v>11</v>
      </c>
      <c r="E104" s="3" t="b">
        <v>0</v>
      </c>
      <c r="F104" s="5">
        <v>3</v>
      </c>
      <c r="G104" s="18" t="str">
        <f t="shared" si="19"/>
        <v>No</v>
      </c>
      <c r="H104" s="1">
        <v>1</v>
      </c>
      <c r="I104" s="21" t="str">
        <f t="shared" si="20"/>
        <v>Clean</v>
      </c>
      <c r="J104" s="1">
        <v>0.26</v>
      </c>
      <c r="K104" s="23" t="str">
        <f t="shared" si="21"/>
        <v>Safe</v>
      </c>
      <c r="L104">
        <f t="shared" si="11"/>
        <v>0.2273</v>
      </c>
      <c r="M104" s="20">
        <f t="shared" si="12"/>
        <v>0.2273</v>
      </c>
      <c r="N104">
        <f t="shared" si="13"/>
        <v>0.33</v>
      </c>
      <c r="O104" s="20" t="str">
        <f t="shared" si="14"/>
        <v>Acceptable</v>
      </c>
      <c r="P104">
        <f t="shared" si="15"/>
        <v>0.32840000000000003</v>
      </c>
      <c r="Q104">
        <f t="shared" si="16"/>
        <v>12</v>
      </c>
      <c r="R104">
        <f t="shared" si="17"/>
        <v>34</v>
      </c>
      <c r="S104">
        <f t="shared" si="18"/>
        <v>46</v>
      </c>
    </row>
    <row r="105" spans="1:19" ht="15" thickBot="1" x14ac:dyDescent="0.35">
      <c r="A105" s="1">
        <v>104</v>
      </c>
      <c r="B105" s="2">
        <v>40548</v>
      </c>
      <c r="C105" s="1">
        <v>1</v>
      </c>
      <c r="D105" s="1">
        <v>12</v>
      </c>
      <c r="E105" s="3" t="b">
        <v>0</v>
      </c>
      <c r="F105" s="5">
        <v>3</v>
      </c>
      <c r="G105" s="18" t="str">
        <f t="shared" si="19"/>
        <v>No</v>
      </c>
      <c r="H105" s="1">
        <v>1</v>
      </c>
      <c r="I105" s="21" t="str">
        <f t="shared" si="20"/>
        <v>Clean</v>
      </c>
      <c r="J105" s="1">
        <v>0.26</v>
      </c>
      <c r="K105" s="23" t="str">
        <f t="shared" si="21"/>
        <v>Safe</v>
      </c>
      <c r="L105">
        <f t="shared" si="11"/>
        <v>0.2273</v>
      </c>
      <c r="M105" s="20">
        <f t="shared" si="12"/>
        <v>0.2273</v>
      </c>
      <c r="N105">
        <f t="shared" si="13"/>
        <v>0.33</v>
      </c>
      <c r="O105" s="20" t="str">
        <f t="shared" si="14"/>
        <v>Acceptable</v>
      </c>
      <c r="P105">
        <f t="shared" si="15"/>
        <v>0.32840000000000003</v>
      </c>
      <c r="Q105">
        <f t="shared" si="16"/>
        <v>5</v>
      </c>
      <c r="R105">
        <f t="shared" si="17"/>
        <v>74</v>
      </c>
      <c r="S105">
        <f t="shared" si="18"/>
        <v>79</v>
      </c>
    </row>
    <row r="106" spans="1:19" ht="15" thickBot="1" x14ac:dyDescent="0.35">
      <c r="A106" s="1">
        <v>105</v>
      </c>
      <c r="B106" s="2">
        <v>40548</v>
      </c>
      <c r="C106" s="1">
        <v>1</v>
      </c>
      <c r="D106" s="1">
        <v>13</v>
      </c>
      <c r="E106" s="3" t="b">
        <v>0</v>
      </c>
      <c r="F106" s="5">
        <v>3</v>
      </c>
      <c r="G106" s="18" t="str">
        <f t="shared" si="19"/>
        <v>No</v>
      </c>
      <c r="H106" s="1">
        <v>1</v>
      </c>
      <c r="I106" s="21" t="str">
        <f t="shared" si="20"/>
        <v>Clean</v>
      </c>
      <c r="J106" s="1">
        <v>0.28000000000000003</v>
      </c>
      <c r="K106" s="23" t="str">
        <f t="shared" si="21"/>
        <v>Safe</v>
      </c>
      <c r="L106">
        <f t="shared" si="11"/>
        <v>0.2576</v>
      </c>
      <c r="M106" s="20">
        <f t="shared" si="12"/>
        <v>0.2576</v>
      </c>
      <c r="N106">
        <f t="shared" si="13"/>
        <v>0.3</v>
      </c>
      <c r="O106" s="20" t="str">
        <f t="shared" si="14"/>
        <v>Acceptable</v>
      </c>
      <c r="P106">
        <f t="shared" si="15"/>
        <v>0.29849999999999999</v>
      </c>
      <c r="Q106">
        <f t="shared" si="16"/>
        <v>6</v>
      </c>
      <c r="R106">
        <f t="shared" si="17"/>
        <v>65</v>
      </c>
      <c r="S106">
        <f t="shared" si="18"/>
        <v>71</v>
      </c>
    </row>
    <row r="107" spans="1:19" ht="15" thickBot="1" x14ac:dyDescent="0.35">
      <c r="A107" s="1">
        <v>106</v>
      </c>
      <c r="B107" s="2">
        <v>40548</v>
      </c>
      <c r="C107" s="1">
        <v>1</v>
      </c>
      <c r="D107" s="1">
        <v>14</v>
      </c>
      <c r="E107" s="3" t="b">
        <v>0</v>
      </c>
      <c r="F107" s="5">
        <v>3</v>
      </c>
      <c r="G107" s="18" t="str">
        <f t="shared" si="19"/>
        <v>No</v>
      </c>
      <c r="H107" s="1">
        <v>1</v>
      </c>
      <c r="I107" s="21" t="str">
        <f t="shared" si="20"/>
        <v>Clean</v>
      </c>
      <c r="J107" s="1">
        <v>0.3</v>
      </c>
      <c r="K107" s="23" t="str">
        <f t="shared" si="21"/>
        <v>Safe</v>
      </c>
      <c r="L107">
        <f t="shared" si="11"/>
        <v>0.28789999999999999</v>
      </c>
      <c r="M107" s="20">
        <f t="shared" si="12"/>
        <v>0.28789999999999999</v>
      </c>
      <c r="N107">
        <f t="shared" si="13"/>
        <v>0.28000000000000003</v>
      </c>
      <c r="O107" s="20" t="str">
        <f t="shared" si="14"/>
        <v>Acceptable</v>
      </c>
      <c r="P107">
        <f t="shared" si="15"/>
        <v>0.19400000000000001</v>
      </c>
      <c r="Q107">
        <f t="shared" si="16"/>
        <v>10</v>
      </c>
      <c r="R107">
        <f t="shared" si="17"/>
        <v>52</v>
      </c>
      <c r="S107">
        <f t="shared" si="18"/>
        <v>62</v>
      </c>
    </row>
    <row r="108" spans="1:19" ht="15" thickBot="1" x14ac:dyDescent="0.35">
      <c r="A108" s="1">
        <v>107</v>
      </c>
      <c r="B108" s="2">
        <v>40548</v>
      </c>
      <c r="C108" s="1">
        <v>1</v>
      </c>
      <c r="D108" s="1">
        <v>15</v>
      </c>
      <c r="E108" s="3" t="b">
        <v>0</v>
      </c>
      <c r="F108" s="5">
        <v>3</v>
      </c>
      <c r="G108" s="18" t="str">
        <f t="shared" si="19"/>
        <v>No</v>
      </c>
      <c r="H108" s="1">
        <v>1</v>
      </c>
      <c r="I108" s="21" t="str">
        <f t="shared" si="20"/>
        <v>Clean</v>
      </c>
      <c r="J108" s="1">
        <v>0.3</v>
      </c>
      <c r="K108" s="23" t="str">
        <f t="shared" si="21"/>
        <v>Safe</v>
      </c>
      <c r="L108">
        <f t="shared" si="11"/>
        <v>0.28789999999999999</v>
      </c>
      <c r="M108" s="20">
        <f t="shared" si="12"/>
        <v>0.28789999999999999</v>
      </c>
      <c r="N108">
        <f t="shared" si="13"/>
        <v>0.28000000000000003</v>
      </c>
      <c r="O108" s="20" t="str">
        <f t="shared" si="14"/>
        <v>Acceptable</v>
      </c>
      <c r="P108">
        <f t="shared" si="15"/>
        <v>0.19400000000000001</v>
      </c>
      <c r="Q108">
        <f t="shared" si="16"/>
        <v>7</v>
      </c>
      <c r="R108">
        <f t="shared" si="17"/>
        <v>55</v>
      </c>
      <c r="S108">
        <f t="shared" si="18"/>
        <v>62</v>
      </c>
    </row>
    <row r="109" spans="1:19" ht="15" thickBot="1" x14ac:dyDescent="0.35">
      <c r="A109" s="1">
        <v>108</v>
      </c>
      <c r="B109" s="2">
        <v>40548</v>
      </c>
      <c r="C109" s="1">
        <v>1</v>
      </c>
      <c r="D109" s="1">
        <v>16</v>
      </c>
      <c r="E109" s="3" t="b">
        <v>0</v>
      </c>
      <c r="F109" s="5">
        <v>3</v>
      </c>
      <c r="G109" s="18" t="str">
        <f t="shared" si="19"/>
        <v>No</v>
      </c>
      <c r="H109" s="1">
        <v>1</v>
      </c>
      <c r="I109" s="21" t="str">
        <f t="shared" si="20"/>
        <v>Clean</v>
      </c>
      <c r="J109" s="1">
        <v>0.3</v>
      </c>
      <c r="K109" s="23" t="str">
        <f t="shared" si="21"/>
        <v>Safe</v>
      </c>
      <c r="L109">
        <f t="shared" si="11"/>
        <v>0.31819999999999998</v>
      </c>
      <c r="M109" s="20">
        <f t="shared" si="12"/>
        <v>0.31819999999999998</v>
      </c>
      <c r="N109">
        <f t="shared" si="13"/>
        <v>0.28000000000000003</v>
      </c>
      <c r="O109" s="20" t="str">
        <f t="shared" si="14"/>
        <v>Acceptable</v>
      </c>
      <c r="P109">
        <f t="shared" si="15"/>
        <v>8.9599999999999999E-2</v>
      </c>
      <c r="Q109">
        <f t="shared" si="16"/>
        <v>4</v>
      </c>
      <c r="R109">
        <f t="shared" si="17"/>
        <v>85</v>
      </c>
      <c r="S109">
        <f t="shared" si="18"/>
        <v>89</v>
      </c>
    </row>
    <row r="110" spans="1:19" ht="15" thickBot="1" x14ac:dyDescent="0.35">
      <c r="A110" s="1">
        <v>109</v>
      </c>
      <c r="B110" s="2">
        <v>40548</v>
      </c>
      <c r="C110" s="1">
        <v>1</v>
      </c>
      <c r="D110" s="1">
        <v>17</v>
      </c>
      <c r="E110" s="3" t="b">
        <v>0</v>
      </c>
      <c r="F110" s="5">
        <v>3</v>
      </c>
      <c r="G110" s="18" t="str">
        <f t="shared" si="19"/>
        <v>No</v>
      </c>
      <c r="H110" s="1">
        <v>1</v>
      </c>
      <c r="I110" s="21" t="str">
        <f t="shared" si="20"/>
        <v>Clean</v>
      </c>
      <c r="J110" s="1">
        <v>0.24</v>
      </c>
      <c r="K110" s="23" t="str">
        <f t="shared" si="21"/>
        <v>Safe</v>
      </c>
      <c r="L110">
        <f t="shared" si="11"/>
        <v>0.2273</v>
      </c>
      <c r="M110" s="20">
        <f t="shared" si="12"/>
        <v>0.2273</v>
      </c>
      <c r="N110">
        <f t="shared" si="13"/>
        <v>0.38</v>
      </c>
      <c r="O110" s="20" t="str">
        <f t="shared" si="14"/>
        <v>Acceptable</v>
      </c>
      <c r="P110">
        <f t="shared" si="15"/>
        <v>0.19400000000000001</v>
      </c>
      <c r="Q110">
        <f t="shared" si="16"/>
        <v>4</v>
      </c>
      <c r="R110">
        <f t="shared" si="17"/>
        <v>186</v>
      </c>
      <c r="S110">
        <f t="shared" si="18"/>
        <v>190</v>
      </c>
    </row>
    <row r="111" spans="1:19" ht="15" thickBot="1" x14ac:dyDescent="0.35">
      <c r="A111" s="1">
        <v>110</v>
      </c>
      <c r="B111" s="2">
        <v>40548</v>
      </c>
      <c r="C111" s="1">
        <v>1</v>
      </c>
      <c r="D111" s="1">
        <v>18</v>
      </c>
      <c r="E111" s="3" t="b">
        <v>0</v>
      </c>
      <c r="F111" s="5">
        <v>3</v>
      </c>
      <c r="G111" s="18" t="str">
        <f t="shared" si="19"/>
        <v>No</v>
      </c>
      <c r="H111" s="1">
        <v>1</v>
      </c>
      <c r="I111" s="21" t="str">
        <f t="shared" si="20"/>
        <v>Clean</v>
      </c>
      <c r="J111" s="1">
        <v>0.24</v>
      </c>
      <c r="K111" s="23" t="str">
        <f t="shared" si="21"/>
        <v>Safe</v>
      </c>
      <c r="L111">
        <f t="shared" si="11"/>
        <v>0.2424</v>
      </c>
      <c r="M111" s="20">
        <f t="shared" si="12"/>
        <v>0.2424</v>
      </c>
      <c r="N111">
        <f t="shared" si="13"/>
        <v>0.38</v>
      </c>
      <c r="O111" s="20" t="str">
        <f t="shared" si="14"/>
        <v>Acceptable</v>
      </c>
      <c r="P111">
        <f t="shared" si="15"/>
        <v>0.1343</v>
      </c>
      <c r="Q111">
        <f t="shared" si="16"/>
        <v>3</v>
      </c>
      <c r="R111">
        <f t="shared" si="17"/>
        <v>166</v>
      </c>
      <c r="S111">
        <f t="shared" si="18"/>
        <v>169</v>
      </c>
    </row>
    <row r="112" spans="1:19" ht="15" thickBot="1" x14ac:dyDescent="0.35">
      <c r="A112" s="1">
        <v>111</v>
      </c>
      <c r="B112" s="2">
        <v>40548</v>
      </c>
      <c r="C112" s="1">
        <v>1</v>
      </c>
      <c r="D112" s="1">
        <v>19</v>
      </c>
      <c r="E112" s="3" t="b">
        <v>0</v>
      </c>
      <c r="F112" s="5">
        <v>3</v>
      </c>
      <c r="G112" s="18" t="str">
        <f t="shared" si="19"/>
        <v>No</v>
      </c>
      <c r="H112" s="1">
        <v>1</v>
      </c>
      <c r="I112" s="21" t="str">
        <f t="shared" si="20"/>
        <v>Clean</v>
      </c>
      <c r="J112" s="1">
        <v>0.24</v>
      </c>
      <c r="K112" s="23" t="str">
        <f t="shared" si="21"/>
        <v>Safe</v>
      </c>
      <c r="L112">
        <f t="shared" si="11"/>
        <v>0.2576</v>
      </c>
      <c r="M112" s="20">
        <f t="shared" si="12"/>
        <v>0.2576</v>
      </c>
      <c r="N112">
        <f t="shared" si="13"/>
        <v>0.38</v>
      </c>
      <c r="O112" s="20" t="str">
        <f t="shared" si="14"/>
        <v>Acceptable</v>
      </c>
      <c r="P112">
        <f t="shared" si="15"/>
        <v>0.1045</v>
      </c>
      <c r="Q112">
        <f t="shared" si="16"/>
        <v>5</v>
      </c>
      <c r="R112">
        <f t="shared" si="17"/>
        <v>127</v>
      </c>
      <c r="S112">
        <f t="shared" si="18"/>
        <v>132</v>
      </c>
    </row>
    <row r="113" spans="1:19" ht="15" thickBot="1" x14ac:dyDescent="0.35">
      <c r="A113" s="1">
        <v>112</v>
      </c>
      <c r="B113" s="2">
        <v>40548</v>
      </c>
      <c r="C113" s="1">
        <v>1</v>
      </c>
      <c r="D113" s="1">
        <v>20</v>
      </c>
      <c r="E113" s="3" t="b">
        <v>0</v>
      </c>
      <c r="F113" s="5">
        <v>3</v>
      </c>
      <c r="G113" s="18" t="str">
        <f t="shared" si="19"/>
        <v>No</v>
      </c>
      <c r="H113" s="1">
        <v>1</v>
      </c>
      <c r="I113" s="21" t="str">
        <f t="shared" si="20"/>
        <v>Clean</v>
      </c>
      <c r="J113" s="1">
        <v>0.22</v>
      </c>
      <c r="K113" s="23" t="str">
        <f t="shared" si="21"/>
        <v>Safe</v>
      </c>
      <c r="L113">
        <f t="shared" si="11"/>
        <v>0.2273</v>
      </c>
      <c r="M113" s="20">
        <f t="shared" si="12"/>
        <v>0.2273</v>
      </c>
      <c r="N113">
        <f t="shared" si="13"/>
        <v>0.47</v>
      </c>
      <c r="O113" s="20" t="str">
        <f t="shared" si="14"/>
        <v>Acceptable</v>
      </c>
      <c r="P113">
        <f t="shared" si="15"/>
        <v>0.16420000000000001</v>
      </c>
      <c r="Q113">
        <f t="shared" si="16"/>
        <v>7</v>
      </c>
      <c r="R113">
        <f t="shared" si="17"/>
        <v>82</v>
      </c>
      <c r="S113">
        <f t="shared" si="18"/>
        <v>89</v>
      </c>
    </row>
    <row r="114" spans="1:19" ht="15" thickBot="1" x14ac:dyDescent="0.35">
      <c r="A114" s="1">
        <v>113</v>
      </c>
      <c r="B114" s="2">
        <v>40548</v>
      </c>
      <c r="C114" s="1">
        <v>1</v>
      </c>
      <c r="D114" s="1">
        <v>21</v>
      </c>
      <c r="E114" s="3" t="b">
        <v>0</v>
      </c>
      <c r="F114" s="5">
        <v>3</v>
      </c>
      <c r="G114" s="18" t="str">
        <f t="shared" si="19"/>
        <v>No</v>
      </c>
      <c r="H114" s="1">
        <v>1</v>
      </c>
      <c r="I114" s="21" t="str">
        <f t="shared" si="20"/>
        <v>Clean</v>
      </c>
      <c r="J114" s="1">
        <v>0.2</v>
      </c>
      <c r="K114" s="23" t="str">
        <f t="shared" si="21"/>
        <v>Safe</v>
      </c>
      <c r="L114">
        <f t="shared" si="11"/>
        <v>0.19700000000000001</v>
      </c>
      <c r="M114" s="20">
        <f t="shared" si="12"/>
        <v>0.19700000000000001</v>
      </c>
      <c r="N114">
        <f t="shared" si="13"/>
        <v>0.51</v>
      </c>
      <c r="O114" s="20" t="str">
        <f t="shared" si="14"/>
        <v>Acceptable</v>
      </c>
      <c r="P114">
        <f t="shared" si="15"/>
        <v>0.19400000000000001</v>
      </c>
      <c r="Q114">
        <f t="shared" si="16"/>
        <v>3</v>
      </c>
      <c r="R114">
        <f t="shared" si="17"/>
        <v>40</v>
      </c>
      <c r="S114">
        <f t="shared" si="18"/>
        <v>43</v>
      </c>
    </row>
    <row r="115" spans="1:19" ht="15" thickBot="1" x14ac:dyDescent="0.35">
      <c r="A115" s="1">
        <v>114</v>
      </c>
      <c r="B115" s="2">
        <v>40548</v>
      </c>
      <c r="C115" s="1">
        <v>1</v>
      </c>
      <c r="D115" s="1">
        <v>22</v>
      </c>
      <c r="E115" s="3" t="b">
        <v>0</v>
      </c>
      <c r="F115" s="5">
        <v>3</v>
      </c>
      <c r="G115" s="18" t="str">
        <f t="shared" si="19"/>
        <v>No</v>
      </c>
      <c r="H115" s="1">
        <v>1</v>
      </c>
      <c r="I115" s="21" t="str">
        <f t="shared" si="20"/>
        <v>Clean</v>
      </c>
      <c r="J115" s="1">
        <v>0.18</v>
      </c>
      <c r="K115" s="23" t="str">
        <f t="shared" si="21"/>
        <v>Safe</v>
      </c>
      <c r="L115">
        <f t="shared" si="11"/>
        <v>0.19700000000000001</v>
      </c>
      <c r="M115" s="20">
        <f t="shared" si="12"/>
        <v>0.19700000000000001</v>
      </c>
      <c r="N115">
        <f t="shared" si="13"/>
        <v>0.55000000000000004</v>
      </c>
      <c r="O115" s="20" t="str">
        <f t="shared" si="14"/>
        <v>Acceptable</v>
      </c>
      <c r="P115">
        <f t="shared" si="15"/>
        <v>0.1343</v>
      </c>
      <c r="Q115">
        <f t="shared" si="16"/>
        <v>1</v>
      </c>
      <c r="R115">
        <f t="shared" si="17"/>
        <v>41</v>
      </c>
      <c r="S115">
        <f t="shared" si="18"/>
        <v>42</v>
      </c>
    </row>
    <row r="116" spans="1:19" ht="15" thickBot="1" x14ac:dyDescent="0.35">
      <c r="A116" s="1">
        <v>115</v>
      </c>
      <c r="B116" s="2">
        <v>40548</v>
      </c>
      <c r="C116" s="1">
        <v>1</v>
      </c>
      <c r="D116" s="1">
        <v>23</v>
      </c>
      <c r="E116" s="3" t="b">
        <v>0</v>
      </c>
      <c r="F116" s="5">
        <v>3</v>
      </c>
      <c r="G116" s="18" t="str">
        <f t="shared" si="19"/>
        <v>No</v>
      </c>
      <c r="H116" s="1">
        <v>1</v>
      </c>
      <c r="I116" s="21" t="str">
        <f t="shared" si="20"/>
        <v>Clean</v>
      </c>
      <c r="J116" s="1">
        <v>0.2</v>
      </c>
      <c r="K116" s="23" t="str">
        <f t="shared" si="21"/>
        <v>Safe</v>
      </c>
      <c r="L116">
        <f t="shared" si="11"/>
        <v>0.2576</v>
      </c>
      <c r="M116" s="20">
        <f t="shared" si="12"/>
        <v>0.2576</v>
      </c>
      <c r="N116">
        <f t="shared" si="13"/>
        <v>0.47</v>
      </c>
      <c r="O116" s="20" t="str">
        <f t="shared" si="14"/>
        <v>Acceptable</v>
      </c>
      <c r="P116">
        <f t="shared" si="15"/>
        <v>0</v>
      </c>
      <c r="Q116">
        <f t="shared" si="16"/>
        <v>1</v>
      </c>
      <c r="R116">
        <f t="shared" si="17"/>
        <v>18</v>
      </c>
      <c r="S116">
        <f t="shared" si="18"/>
        <v>19</v>
      </c>
    </row>
    <row r="117" spans="1:19" ht="15" thickBot="1" x14ac:dyDescent="0.35">
      <c r="A117" s="1">
        <v>116</v>
      </c>
      <c r="B117" s="2">
        <v>40549</v>
      </c>
      <c r="C117" s="1">
        <v>1</v>
      </c>
      <c r="D117" s="1">
        <v>0</v>
      </c>
      <c r="E117" s="3" t="b">
        <v>0</v>
      </c>
      <c r="F117" s="5">
        <v>4</v>
      </c>
      <c r="G117" s="18" t="str">
        <f t="shared" si="19"/>
        <v>No</v>
      </c>
      <c r="H117" s="1">
        <v>1</v>
      </c>
      <c r="I117" s="21" t="str">
        <f t="shared" si="20"/>
        <v>Clean</v>
      </c>
      <c r="J117" s="1">
        <v>0.18</v>
      </c>
      <c r="K117" s="23" t="str">
        <f t="shared" si="21"/>
        <v>Safe</v>
      </c>
      <c r="L117">
        <f t="shared" si="11"/>
        <v>0.2424</v>
      </c>
      <c r="M117" s="20">
        <f t="shared" si="12"/>
        <v>0.2424</v>
      </c>
      <c r="N117">
        <f t="shared" si="13"/>
        <v>0.55000000000000004</v>
      </c>
      <c r="O117" s="20" t="str">
        <f t="shared" si="14"/>
        <v>Acceptable</v>
      </c>
      <c r="P117">
        <f t="shared" si="15"/>
        <v>0</v>
      </c>
      <c r="Q117">
        <f t="shared" si="16"/>
        <v>0</v>
      </c>
      <c r="R117">
        <f t="shared" si="17"/>
        <v>11</v>
      </c>
      <c r="S117">
        <f t="shared" si="18"/>
        <v>11</v>
      </c>
    </row>
    <row r="118" spans="1:19" ht="15" thickBot="1" x14ac:dyDescent="0.35">
      <c r="A118" s="1">
        <v>117</v>
      </c>
      <c r="B118" s="2">
        <v>40549</v>
      </c>
      <c r="C118" s="1">
        <v>1</v>
      </c>
      <c r="D118" s="1">
        <v>1</v>
      </c>
      <c r="E118" s="3" t="b">
        <v>0</v>
      </c>
      <c r="F118" s="5">
        <v>4</v>
      </c>
      <c r="G118" s="18" t="str">
        <f t="shared" si="19"/>
        <v>No</v>
      </c>
      <c r="H118" s="1">
        <v>1</v>
      </c>
      <c r="I118" s="21" t="str">
        <f t="shared" si="20"/>
        <v>Clean</v>
      </c>
      <c r="J118" s="1">
        <v>0.16</v>
      </c>
      <c r="K118" s="23" t="str">
        <f t="shared" si="21"/>
        <v>Safe</v>
      </c>
      <c r="L118">
        <f t="shared" si="11"/>
        <v>0.2273</v>
      </c>
      <c r="M118" s="20">
        <f t="shared" si="12"/>
        <v>0.2273</v>
      </c>
      <c r="N118">
        <f t="shared" si="13"/>
        <v>0.64</v>
      </c>
      <c r="O118" s="20" t="str">
        <f t="shared" si="14"/>
        <v>Acceptable</v>
      </c>
      <c r="P118">
        <f t="shared" si="15"/>
        <v>0</v>
      </c>
      <c r="Q118">
        <f t="shared" si="16"/>
        <v>0</v>
      </c>
      <c r="R118">
        <f t="shared" si="17"/>
        <v>4</v>
      </c>
      <c r="S118">
        <f t="shared" si="18"/>
        <v>4</v>
      </c>
    </row>
    <row r="119" spans="1:19" ht="15" thickBot="1" x14ac:dyDescent="0.35">
      <c r="A119" s="1">
        <v>118</v>
      </c>
      <c r="B119" s="2">
        <v>40549</v>
      </c>
      <c r="C119" s="1">
        <v>1</v>
      </c>
      <c r="D119" s="1">
        <v>2</v>
      </c>
      <c r="E119" s="3" t="b">
        <v>0</v>
      </c>
      <c r="F119" s="5">
        <v>4</v>
      </c>
      <c r="G119" s="18" t="str">
        <f t="shared" si="19"/>
        <v>No</v>
      </c>
      <c r="H119" s="1">
        <v>1</v>
      </c>
      <c r="I119" s="21" t="str">
        <f t="shared" si="20"/>
        <v>Clean</v>
      </c>
      <c r="J119" s="1">
        <v>0.16</v>
      </c>
      <c r="K119" s="23" t="str">
        <f t="shared" si="21"/>
        <v>Safe</v>
      </c>
      <c r="L119">
        <f t="shared" si="11"/>
        <v>0.2273</v>
      </c>
      <c r="M119" s="20">
        <f t="shared" si="12"/>
        <v>0.2273</v>
      </c>
      <c r="N119">
        <f t="shared" si="13"/>
        <v>0.64</v>
      </c>
      <c r="O119" s="20" t="str">
        <f t="shared" si="14"/>
        <v>Acceptable</v>
      </c>
      <c r="P119">
        <f t="shared" si="15"/>
        <v>0</v>
      </c>
      <c r="Q119">
        <f t="shared" si="16"/>
        <v>0</v>
      </c>
      <c r="R119">
        <f t="shared" si="17"/>
        <v>2</v>
      </c>
      <c r="S119">
        <f t="shared" si="18"/>
        <v>2</v>
      </c>
    </row>
    <row r="120" spans="1:19" ht="15" thickBot="1" x14ac:dyDescent="0.35">
      <c r="A120" s="1">
        <v>119</v>
      </c>
      <c r="B120" s="2">
        <v>40549</v>
      </c>
      <c r="C120" s="1">
        <v>1</v>
      </c>
      <c r="D120" s="1">
        <v>4</v>
      </c>
      <c r="E120" s="3" t="b">
        <v>0</v>
      </c>
      <c r="F120" s="5">
        <v>4</v>
      </c>
      <c r="G120" s="18" t="str">
        <f t="shared" si="19"/>
        <v>No</v>
      </c>
      <c r="H120" s="1">
        <v>2</v>
      </c>
      <c r="I120" s="21" t="str">
        <f t="shared" si="20"/>
        <v>Misty</v>
      </c>
      <c r="J120" s="1">
        <v>0.16</v>
      </c>
      <c r="K120" s="23" t="str">
        <f t="shared" si="21"/>
        <v>Safe</v>
      </c>
      <c r="L120">
        <f t="shared" si="11"/>
        <v>0.19700000000000001</v>
      </c>
      <c r="M120" s="20">
        <f t="shared" si="12"/>
        <v>0.19700000000000001</v>
      </c>
      <c r="N120">
        <f t="shared" si="13"/>
        <v>0.64</v>
      </c>
      <c r="O120" s="20" t="str">
        <f t="shared" si="14"/>
        <v>Acceptable</v>
      </c>
      <c r="P120">
        <f t="shared" si="15"/>
        <v>8.9599999999999999E-2</v>
      </c>
      <c r="Q120">
        <f t="shared" si="16"/>
        <v>0</v>
      </c>
      <c r="R120">
        <f t="shared" si="17"/>
        <v>1</v>
      </c>
      <c r="S120">
        <f t="shared" si="18"/>
        <v>1</v>
      </c>
    </row>
    <row r="121" spans="1:19" ht="15" thickBot="1" x14ac:dyDescent="0.35">
      <c r="A121" s="1">
        <v>120</v>
      </c>
      <c r="B121" s="2">
        <v>40549</v>
      </c>
      <c r="C121" s="1">
        <v>1</v>
      </c>
      <c r="D121" s="1">
        <v>5</v>
      </c>
      <c r="E121" s="3" t="b">
        <v>0</v>
      </c>
      <c r="F121" s="5">
        <v>4</v>
      </c>
      <c r="G121" s="18" t="str">
        <f t="shared" si="19"/>
        <v>No</v>
      </c>
      <c r="H121" s="1">
        <v>2</v>
      </c>
      <c r="I121" s="21" t="str">
        <f t="shared" si="20"/>
        <v>Misty</v>
      </c>
      <c r="J121" s="1">
        <v>0.14000000000000001</v>
      </c>
      <c r="K121" s="23" t="str">
        <f t="shared" si="21"/>
        <v>Safe</v>
      </c>
      <c r="L121">
        <f t="shared" si="11"/>
        <v>0.18179999999999999</v>
      </c>
      <c r="M121" s="20">
        <f t="shared" si="12"/>
        <v>0.18179999999999999</v>
      </c>
      <c r="N121">
        <f t="shared" si="13"/>
        <v>0.69</v>
      </c>
      <c r="O121" s="20" t="str">
        <f t="shared" si="14"/>
        <v>Acceptable</v>
      </c>
      <c r="P121">
        <f t="shared" si="15"/>
        <v>8.9599999999999999E-2</v>
      </c>
      <c r="Q121">
        <f t="shared" si="16"/>
        <v>0</v>
      </c>
      <c r="R121">
        <f t="shared" si="17"/>
        <v>4</v>
      </c>
      <c r="S121">
        <f t="shared" si="18"/>
        <v>4</v>
      </c>
    </row>
    <row r="122" spans="1:19" ht="15" thickBot="1" x14ac:dyDescent="0.35">
      <c r="A122" s="1">
        <v>121</v>
      </c>
      <c r="B122" s="2">
        <v>40549</v>
      </c>
      <c r="C122" s="1">
        <v>1</v>
      </c>
      <c r="D122" s="1">
        <v>6</v>
      </c>
      <c r="E122" s="3" t="b">
        <v>0</v>
      </c>
      <c r="F122" s="5">
        <v>4</v>
      </c>
      <c r="G122" s="18" t="str">
        <f t="shared" si="19"/>
        <v>No</v>
      </c>
      <c r="H122" s="1">
        <v>2</v>
      </c>
      <c r="I122" s="21" t="str">
        <f t="shared" si="20"/>
        <v>Misty</v>
      </c>
      <c r="J122" s="1">
        <v>0.14000000000000001</v>
      </c>
      <c r="K122" s="23" t="str">
        <f t="shared" si="21"/>
        <v>Safe</v>
      </c>
      <c r="L122">
        <f t="shared" si="11"/>
        <v>0.16669999999999999</v>
      </c>
      <c r="M122" s="20">
        <f t="shared" si="12"/>
        <v>0.16669999999999999</v>
      </c>
      <c r="N122">
        <f t="shared" si="13"/>
        <v>0.63</v>
      </c>
      <c r="O122" s="20" t="str">
        <f t="shared" si="14"/>
        <v>Acceptable</v>
      </c>
      <c r="P122">
        <f t="shared" si="15"/>
        <v>0.1045</v>
      </c>
      <c r="Q122">
        <f t="shared" si="16"/>
        <v>0</v>
      </c>
      <c r="R122">
        <f t="shared" si="17"/>
        <v>36</v>
      </c>
      <c r="S122">
        <f t="shared" si="18"/>
        <v>36</v>
      </c>
    </row>
    <row r="123" spans="1:19" ht="15" thickBot="1" x14ac:dyDescent="0.35">
      <c r="A123" s="1">
        <v>122</v>
      </c>
      <c r="B123" s="2">
        <v>40549</v>
      </c>
      <c r="C123" s="1">
        <v>1</v>
      </c>
      <c r="D123" s="1">
        <v>7</v>
      </c>
      <c r="E123" s="3" t="b">
        <v>0</v>
      </c>
      <c r="F123" s="5">
        <v>4</v>
      </c>
      <c r="G123" s="18" t="str">
        <f t="shared" si="19"/>
        <v>No</v>
      </c>
      <c r="H123" s="1">
        <v>2</v>
      </c>
      <c r="I123" s="21" t="str">
        <f t="shared" si="20"/>
        <v>Misty</v>
      </c>
      <c r="J123" s="1">
        <v>0.16</v>
      </c>
      <c r="K123" s="23" t="str">
        <f t="shared" si="21"/>
        <v>Safe</v>
      </c>
      <c r="L123">
        <f t="shared" si="11"/>
        <v>0.2273</v>
      </c>
      <c r="M123" s="20">
        <f t="shared" si="12"/>
        <v>0.2273</v>
      </c>
      <c r="N123">
        <f t="shared" si="13"/>
        <v>0.59</v>
      </c>
      <c r="O123" s="20" t="str">
        <f t="shared" si="14"/>
        <v>Acceptable</v>
      </c>
      <c r="P123">
        <f t="shared" si="15"/>
        <v>0</v>
      </c>
      <c r="Q123">
        <f t="shared" si="16"/>
        <v>0</v>
      </c>
      <c r="R123">
        <f t="shared" si="17"/>
        <v>95</v>
      </c>
      <c r="S123">
        <f t="shared" si="18"/>
        <v>95</v>
      </c>
    </row>
    <row r="124" spans="1:19" ht="15" thickBot="1" x14ac:dyDescent="0.35">
      <c r="A124" s="1">
        <v>123</v>
      </c>
      <c r="B124" s="2">
        <v>40549</v>
      </c>
      <c r="C124" s="1">
        <v>1</v>
      </c>
      <c r="D124" s="1">
        <v>8</v>
      </c>
      <c r="E124" s="3" t="b">
        <v>0</v>
      </c>
      <c r="F124" s="5">
        <v>4</v>
      </c>
      <c r="G124" s="18" t="str">
        <f t="shared" si="19"/>
        <v>No</v>
      </c>
      <c r="H124" s="1">
        <v>1</v>
      </c>
      <c r="I124" s="21" t="str">
        <f t="shared" si="20"/>
        <v>Clean</v>
      </c>
      <c r="J124" s="1">
        <v>0.16</v>
      </c>
      <c r="K124" s="23" t="str">
        <f t="shared" si="21"/>
        <v>Safe</v>
      </c>
      <c r="L124">
        <f t="shared" si="11"/>
        <v>0.2273</v>
      </c>
      <c r="M124" s="20">
        <f t="shared" si="12"/>
        <v>0.2273</v>
      </c>
      <c r="N124">
        <f t="shared" si="13"/>
        <v>0.59</v>
      </c>
      <c r="O124" s="20" t="str">
        <f t="shared" si="14"/>
        <v>Acceptable</v>
      </c>
      <c r="P124">
        <f t="shared" si="15"/>
        <v>0</v>
      </c>
      <c r="Q124">
        <f t="shared" si="16"/>
        <v>3</v>
      </c>
      <c r="R124">
        <f t="shared" si="17"/>
        <v>216</v>
      </c>
      <c r="S124">
        <f t="shared" si="18"/>
        <v>219</v>
      </c>
    </row>
    <row r="125" spans="1:19" ht="15" thickBot="1" x14ac:dyDescent="0.35">
      <c r="A125" s="1">
        <v>124</v>
      </c>
      <c r="B125" s="2">
        <v>40549</v>
      </c>
      <c r="C125" s="1">
        <v>1</v>
      </c>
      <c r="D125" s="1">
        <v>9</v>
      </c>
      <c r="E125" s="3" t="b">
        <v>0</v>
      </c>
      <c r="F125" s="5">
        <v>4</v>
      </c>
      <c r="G125" s="18" t="str">
        <f t="shared" si="19"/>
        <v>No</v>
      </c>
      <c r="H125" s="1">
        <v>2</v>
      </c>
      <c r="I125" s="21" t="str">
        <f t="shared" si="20"/>
        <v>Misty</v>
      </c>
      <c r="J125" s="1">
        <v>0.18</v>
      </c>
      <c r="K125" s="23" t="str">
        <f t="shared" si="21"/>
        <v>Safe</v>
      </c>
      <c r="L125">
        <f t="shared" si="11"/>
        <v>0.2424</v>
      </c>
      <c r="M125" s="20">
        <f t="shared" si="12"/>
        <v>0.2424</v>
      </c>
      <c r="N125">
        <f t="shared" si="13"/>
        <v>0.51</v>
      </c>
      <c r="O125" s="20" t="str">
        <f t="shared" si="14"/>
        <v>Acceptable</v>
      </c>
      <c r="P125">
        <f t="shared" si="15"/>
        <v>0</v>
      </c>
      <c r="Q125">
        <f t="shared" si="16"/>
        <v>6</v>
      </c>
      <c r="R125">
        <f t="shared" si="17"/>
        <v>116</v>
      </c>
      <c r="S125">
        <f t="shared" si="18"/>
        <v>122</v>
      </c>
    </row>
    <row r="126" spans="1:19" ht="15" thickBot="1" x14ac:dyDescent="0.35">
      <c r="A126" s="1">
        <v>125</v>
      </c>
      <c r="B126" s="2">
        <v>40549</v>
      </c>
      <c r="C126" s="1">
        <v>1</v>
      </c>
      <c r="D126" s="1">
        <v>10</v>
      </c>
      <c r="E126" s="3" t="b">
        <v>0</v>
      </c>
      <c r="F126" s="5">
        <v>4</v>
      </c>
      <c r="G126" s="18" t="str">
        <f t="shared" si="19"/>
        <v>No</v>
      </c>
      <c r="H126" s="1">
        <v>1</v>
      </c>
      <c r="I126" s="21" t="str">
        <f t="shared" si="20"/>
        <v>Clean</v>
      </c>
      <c r="J126" s="1">
        <v>0.2</v>
      </c>
      <c r="K126" s="23" t="str">
        <f t="shared" si="21"/>
        <v>Safe</v>
      </c>
      <c r="L126">
        <f t="shared" si="11"/>
        <v>0.2576</v>
      </c>
      <c r="M126" s="20">
        <f t="shared" si="12"/>
        <v>0.2576</v>
      </c>
      <c r="N126">
        <f t="shared" si="13"/>
        <v>0.47</v>
      </c>
      <c r="O126" s="20" t="str">
        <f t="shared" si="14"/>
        <v>Acceptable</v>
      </c>
      <c r="P126">
        <f t="shared" si="15"/>
        <v>0</v>
      </c>
      <c r="Q126">
        <f t="shared" si="16"/>
        <v>3</v>
      </c>
      <c r="R126">
        <f t="shared" si="17"/>
        <v>42</v>
      </c>
      <c r="S126">
        <f t="shared" si="18"/>
        <v>45</v>
      </c>
    </row>
    <row r="127" spans="1:19" ht="15" thickBot="1" x14ac:dyDescent="0.35">
      <c r="A127" s="1">
        <v>126</v>
      </c>
      <c r="B127" s="2">
        <v>40549</v>
      </c>
      <c r="C127" s="1">
        <v>1</v>
      </c>
      <c r="D127" s="1">
        <v>11</v>
      </c>
      <c r="E127" s="3" t="b">
        <v>0</v>
      </c>
      <c r="F127" s="5">
        <v>4</v>
      </c>
      <c r="G127" s="18" t="str">
        <f t="shared" si="19"/>
        <v>No</v>
      </c>
      <c r="H127" s="1">
        <v>1</v>
      </c>
      <c r="I127" s="21" t="str">
        <f t="shared" si="20"/>
        <v>Clean</v>
      </c>
      <c r="J127" s="1">
        <v>0.22</v>
      </c>
      <c r="K127" s="23" t="str">
        <f t="shared" si="21"/>
        <v>Safe</v>
      </c>
      <c r="L127">
        <f t="shared" si="11"/>
        <v>0.2576</v>
      </c>
      <c r="M127" s="20">
        <f t="shared" si="12"/>
        <v>0.2576</v>
      </c>
      <c r="N127">
        <f t="shared" si="13"/>
        <v>0.44</v>
      </c>
      <c r="O127" s="20" t="str">
        <f t="shared" si="14"/>
        <v>Acceptable</v>
      </c>
      <c r="P127">
        <f t="shared" si="15"/>
        <v>8.9599999999999999E-2</v>
      </c>
      <c r="Q127">
        <f t="shared" si="16"/>
        <v>2</v>
      </c>
      <c r="R127">
        <f t="shared" si="17"/>
        <v>57</v>
      </c>
      <c r="S127">
        <f t="shared" si="18"/>
        <v>59</v>
      </c>
    </row>
    <row r="128" spans="1:19" ht="15" thickBot="1" x14ac:dyDescent="0.35">
      <c r="A128" s="1">
        <v>127</v>
      </c>
      <c r="B128" s="2">
        <v>40549</v>
      </c>
      <c r="C128" s="1">
        <v>1</v>
      </c>
      <c r="D128" s="1">
        <v>12</v>
      </c>
      <c r="E128" s="3" t="b">
        <v>0</v>
      </c>
      <c r="F128" s="5">
        <v>4</v>
      </c>
      <c r="G128" s="18" t="str">
        <f t="shared" si="19"/>
        <v>No</v>
      </c>
      <c r="H128" s="1">
        <v>1</v>
      </c>
      <c r="I128" s="21" t="str">
        <f t="shared" si="20"/>
        <v>Clean</v>
      </c>
      <c r="J128" s="1">
        <v>0.26</v>
      </c>
      <c r="K128" s="23" t="str">
        <f t="shared" si="21"/>
        <v>Safe</v>
      </c>
      <c r="L128">
        <f t="shared" si="11"/>
        <v>0.28789999999999999</v>
      </c>
      <c r="M128" s="20">
        <f t="shared" si="12"/>
        <v>0.28789999999999999</v>
      </c>
      <c r="N128">
        <f t="shared" si="13"/>
        <v>0.35</v>
      </c>
      <c r="O128" s="20" t="str">
        <f t="shared" si="14"/>
        <v>Acceptable</v>
      </c>
      <c r="P128">
        <f t="shared" si="15"/>
        <v>0</v>
      </c>
      <c r="Q128">
        <f t="shared" si="16"/>
        <v>6</v>
      </c>
      <c r="R128">
        <f t="shared" si="17"/>
        <v>78</v>
      </c>
      <c r="S128">
        <f t="shared" si="18"/>
        <v>84</v>
      </c>
    </row>
    <row r="129" spans="1:19" ht="15" thickBot="1" x14ac:dyDescent="0.35">
      <c r="A129" s="1">
        <v>128</v>
      </c>
      <c r="B129" s="2">
        <v>40549</v>
      </c>
      <c r="C129" s="1">
        <v>1</v>
      </c>
      <c r="D129" s="1">
        <v>13</v>
      </c>
      <c r="E129" s="3" t="b">
        <v>0</v>
      </c>
      <c r="F129" s="5">
        <v>4</v>
      </c>
      <c r="G129" s="18" t="str">
        <f t="shared" si="19"/>
        <v>No</v>
      </c>
      <c r="H129" s="1">
        <v>1</v>
      </c>
      <c r="I129" s="21" t="str">
        <f t="shared" si="20"/>
        <v>Clean</v>
      </c>
      <c r="J129" s="1">
        <v>0.26</v>
      </c>
      <c r="K129" s="23" t="str">
        <f t="shared" si="21"/>
        <v>Safe</v>
      </c>
      <c r="L129">
        <f t="shared" si="11"/>
        <v>0.2727</v>
      </c>
      <c r="M129" s="20">
        <f t="shared" si="12"/>
        <v>0.2727</v>
      </c>
      <c r="N129">
        <f t="shared" si="13"/>
        <v>0.35</v>
      </c>
      <c r="O129" s="20" t="str">
        <f t="shared" si="14"/>
        <v>Acceptable</v>
      </c>
      <c r="P129">
        <f t="shared" si="15"/>
        <v>0.1045</v>
      </c>
      <c r="Q129">
        <f t="shared" si="16"/>
        <v>12</v>
      </c>
      <c r="R129">
        <f t="shared" si="17"/>
        <v>55</v>
      </c>
      <c r="S129">
        <f t="shared" si="18"/>
        <v>67</v>
      </c>
    </row>
    <row r="130" spans="1:19" ht="15" thickBot="1" x14ac:dyDescent="0.35">
      <c r="A130" s="1">
        <v>129</v>
      </c>
      <c r="B130" s="2">
        <v>40549</v>
      </c>
      <c r="C130" s="1">
        <v>1</v>
      </c>
      <c r="D130" s="1">
        <v>14</v>
      </c>
      <c r="E130" s="3" t="b">
        <v>0</v>
      </c>
      <c r="F130" s="5">
        <v>4</v>
      </c>
      <c r="G130" s="18" t="str">
        <f t="shared" si="19"/>
        <v>No</v>
      </c>
      <c r="H130" s="1">
        <v>1</v>
      </c>
      <c r="I130" s="21" t="str">
        <f t="shared" si="20"/>
        <v>Clean</v>
      </c>
      <c r="J130" s="1">
        <v>0.28000000000000003</v>
      </c>
      <c r="K130" s="23" t="str">
        <f t="shared" si="21"/>
        <v>Safe</v>
      </c>
      <c r="L130">
        <f t="shared" ref="L130:L193" si="22">VLOOKUP($A130,list2,2,FALSE)</f>
        <v>0.2727</v>
      </c>
      <c r="M130" s="20">
        <f t="shared" ref="M130:M193" si="23">VLOOKUP($A130,list2,3,FALSE)</f>
        <v>0.2727</v>
      </c>
      <c r="N130">
        <f t="shared" ref="N130:N193" si="24">VLOOKUP($A130,list2,4,FALSE)</f>
        <v>0.36</v>
      </c>
      <c r="O130" s="20" t="str">
        <f t="shared" ref="O130:O193" si="25">VLOOKUP($A130,list2,5,FALSE)</f>
        <v>Acceptable</v>
      </c>
      <c r="P130">
        <f t="shared" ref="P130:P193" si="26">VLOOKUP($A130,list2,6,FALSE)</f>
        <v>0.16420000000000001</v>
      </c>
      <c r="Q130">
        <f t="shared" ref="Q130:Q193" si="27">VLOOKUP($A130,list2,7,FALSE)</f>
        <v>11</v>
      </c>
      <c r="R130">
        <f t="shared" ref="R130:R193" si="28">VLOOKUP($A130,list2,8,FALSE)</f>
        <v>59</v>
      </c>
      <c r="S130">
        <f t="shared" ref="S130:S193" si="29">VLOOKUP($A130,list2,9,FALSE)</f>
        <v>70</v>
      </c>
    </row>
    <row r="131" spans="1:19" ht="15" thickBot="1" x14ac:dyDescent="0.35">
      <c r="A131" s="1">
        <v>130</v>
      </c>
      <c r="B131" s="2">
        <v>40549</v>
      </c>
      <c r="C131" s="1">
        <v>1</v>
      </c>
      <c r="D131" s="1">
        <v>15</v>
      </c>
      <c r="E131" s="3" t="b">
        <v>0</v>
      </c>
      <c r="F131" s="5">
        <v>4</v>
      </c>
      <c r="G131" s="18" t="str">
        <f t="shared" ref="G131:G194" si="30">_xlfn.IFS(F131=0,"Yes",F131=6,"Yes",F131&gt;0,"No")</f>
        <v>No</v>
      </c>
      <c r="H131" s="1">
        <v>1</v>
      </c>
      <c r="I131" s="21" t="str">
        <f t="shared" ref="I131:I194" si="31">_xlfn.IFS(H131=1,"Clean",H131=2,"Misty",H131=3,"Light Rain",H131=4,"Heavy Rain")</f>
        <v>Clean</v>
      </c>
      <c r="J131" s="1">
        <v>0.28000000000000003</v>
      </c>
      <c r="K131" s="23" t="str">
        <f t="shared" ref="K131:K194" si="32">_xlfn.IFS(J131&lt;0.1,"Risky",J131&lt;0.35,"Safe",J131&gt;0.35,"Risky")</f>
        <v>Safe</v>
      </c>
      <c r="L131">
        <f t="shared" si="22"/>
        <v>0.2727</v>
      </c>
      <c r="M131" s="20">
        <f t="shared" si="23"/>
        <v>0.2727</v>
      </c>
      <c r="N131">
        <f t="shared" si="24"/>
        <v>0.36</v>
      </c>
      <c r="O131" s="20" t="str">
        <f t="shared" si="25"/>
        <v>Acceptable</v>
      </c>
      <c r="P131">
        <f t="shared" si="26"/>
        <v>0</v>
      </c>
      <c r="Q131">
        <f t="shared" si="27"/>
        <v>8</v>
      </c>
      <c r="R131">
        <f t="shared" si="28"/>
        <v>54</v>
      </c>
      <c r="S131">
        <f t="shared" si="29"/>
        <v>62</v>
      </c>
    </row>
    <row r="132" spans="1:19" ht="15" thickBot="1" x14ac:dyDescent="0.35">
      <c r="A132" s="1">
        <v>131</v>
      </c>
      <c r="B132" s="2">
        <v>40549</v>
      </c>
      <c r="C132" s="1">
        <v>1</v>
      </c>
      <c r="D132" s="1">
        <v>16</v>
      </c>
      <c r="E132" s="3" t="b">
        <v>0</v>
      </c>
      <c r="F132" s="5">
        <v>4</v>
      </c>
      <c r="G132" s="18" t="str">
        <f t="shared" si="30"/>
        <v>No</v>
      </c>
      <c r="H132" s="1">
        <v>1</v>
      </c>
      <c r="I132" s="21" t="str">
        <f t="shared" si="31"/>
        <v>Clean</v>
      </c>
      <c r="J132" s="1">
        <v>0.26</v>
      </c>
      <c r="K132" s="23" t="str">
        <f t="shared" si="32"/>
        <v>Safe</v>
      </c>
      <c r="L132">
        <f t="shared" si="22"/>
        <v>0.2576</v>
      </c>
      <c r="M132" s="20">
        <f t="shared" si="23"/>
        <v>0.2576</v>
      </c>
      <c r="N132">
        <f t="shared" si="24"/>
        <v>0.38</v>
      </c>
      <c r="O132" s="20" t="str">
        <f t="shared" si="25"/>
        <v>Acceptable</v>
      </c>
      <c r="P132">
        <f t="shared" si="26"/>
        <v>0.16420000000000001</v>
      </c>
      <c r="Q132">
        <f t="shared" si="27"/>
        <v>12</v>
      </c>
      <c r="R132">
        <f t="shared" si="28"/>
        <v>74</v>
      </c>
      <c r="S132">
        <f t="shared" si="29"/>
        <v>86</v>
      </c>
    </row>
    <row r="133" spans="1:19" ht="15" thickBot="1" x14ac:dyDescent="0.35">
      <c r="A133" s="1">
        <v>132</v>
      </c>
      <c r="B133" s="2">
        <v>40549</v>
      </c>
      <c r="C133" s="1">
        <v>1</v>
      </c>
      <c r="D133" s="1">
        <v>17</v>
      </c>
      <c r="E133" s="3" t="b">
        <v>0</v>
      </c>
      <c r="F133" s="5">
        <v>4</v>
      </c>
      <c r="G133" s="18" t="str">
        <f t="shared" si="30"/>
        <v>No</v>
      </c>
      <c r="H133" s="1">
        <v>1</v>
      </c>
      <c r="I133" s="21" t="str">
        <f t="shared" si="31"/>
        <v>Clean</v>
      </c>
      <c r="J133" s="1">
        <v>0.22</v>
      </c>
      <c r="K133" s="23" t="str">
        <f t="shared" si="32"/>
        <v>Safe</v>
      </c>
      <c r="L133">
        <f t="shared" si="22"/>
        <v>0.2273</v>
      </c>
      <c r="M133" s="20">
        <f t="shared" si="23"/>
        <v>0.2273</v>
      </c>
      <c r="N133">
        <f t="shared" si="24"/>
        <v>0.51</v>
      </c>
      <c r="O133" s="20" t="str">
        <f t="shared" si="25"/>
        <v>Acceptable</v>
      </c>
      <c r="P133">
        <f t="shared" si="26"/>
        <v>0.16420000000000001</v>
      </c>
      <c r="Q133">
        <f t="shared" si="27"/>
        <v>9</v>
      </c>
      <c r="R133">
        <f t="shared" si="28"/>
        <v>163</v>
      </c>
      <c r="S133">
        <f t="shared" si="29"/>
        <v>172</v>
      </c>
    </row>
    <row r="134" spans="1:19" ht="15" thickBot="1" x14ac:dyDescent="0.35">
      <c r="A134" s="1">
        <v>133</v>
      </c>
      <c r="B134" s="2">
        <v>40549</v>
      </c>
      <c r="C134" s="1">
        <v>1</v>
      </c>
      <c r="D134" s="1">
        <v>18</v>
      </c>
      <c r="E134" s="3" t="b">
        <v>0</v>
      </c>
      <c r="F134" s="5">
        <v>4</v>
      </c>
      <c r="G134" s="18" t="str">
        <f t="shared" si="30"/>
        <v>No</v>
      </c>
      <c r="H134" s="1">
        <v>1</v>
      </c>
      <c r="I134" s="21" t="str">
        <f t="shared" si="31"/>
        <v>Clean</v>
      </c>
      <c r="J134" s="1">
        <v>0.22</v>
      </c>
      <c r="K134" s="23" t="str">
        <f t="shared" si="32"/>
        <v>Safe</v>
      </c>
      <c r="L134">
        <f t="shared" si="22"/>
        <v>0.2273</v>
      </c>
      <c r="M134" s="20">
        <f t="shared" si="23"/>
        <v>0.2273</v>
      </c>
      <c r="N134">
        <f t="shared" si="24"/>
        <v>0.51</v>
      </c>
      <c r="O134" s="20" t="str">
        <f t="shared" si="25"/>
        <v>Acceptable</v>
      </c>
      <c r="P134">
        <f t="shared" si="26"/>
        <v>0.1343</v>
      </c>
      <c r="Q134">
        <f t="shared" si="27"/>
        <v>5</v>
      </c>
      <c r="R134">
        <f t="shared" si="28"/>
        <v>158</v>
      </c>
      <c r="S134">
        <f t="shared" si="29"/>
        <v>163</v>
      </c>
    </row>
    <row r="135" spans="1:19" ht="15" thickBot="1" x14ac:dyDescent="0.35">
      <c r="A135" s="1">
        <v>134</v>
      </c>
      <c r="B135" s="2">
        <v>40549</v>
      </c>
      <c r="C135" s="1">
        <v>1</v>
      </c>
      <c r="D135" s="1">
        <v>19</v>
      </c>
      <c r="E135" s="3" t="b">
        <v>0</v>
      </c>
      <c r="F135" s="5">
        <v>4</v>
      </c>
      <c r="G135" s="18" t="str">
        <f t="shared" si="30"/>
        <v>No</v>
      </c>
      <c r="H135" s="1">
        <v>1</v>
      </c>
      <c r="I135" s="21" t="str">
        <f t="shared" si="31"/>
        <v>Clean</v>
      </c>
      <c r="J135" s="1">
        <v>0.22</v>
      </c>
      <c r="K135" s="23" t="str">
        <f t="shared" si="32"/>
        <v>Safe</v>
      </c>
      <c r="L135">
        <f t="shared" si="22"/>
        <v>0.2576</v>
      </c>
      <c r="M135" s="20">
        <f t="shared" si="23"/>
        <v>0.2576</v>
      </c>
      <c r="N135">
        <f t="shared" si="24"/>
        <v>0.55000000000000004</v>
      </c>
      <c r="O135" s="20" t="str">
        <f t="shared" si="25"/>
        <v>Acceptable</v>
      </c>
      <c r="P135">
        <f t="shared" si="26"/>
        <v>8.9599999999999999E-2</v>
      </c>
      <c r="Q135">
        <f t="shared" si="27"/>
        <v>3</v>
      </c>
      <c r="R135">
        <f t="shared" si="28"/>
        <v>109</v>
      </c>
      <c r="S135">
        <f t="shared" si="29"/>
        <v>112</v>
      </c>
    </row>
    <row r="136" spans="1:19" ht="15" thickBot="1" x14ac:dyDescent="0.35">
      <c r="A136" s="1">
        <v>135</v>
      </c>
      <c r="B136" s="2">
        <v>40549</v>
      </c>
      <c r="C136" s="1">
        <v>1</v>
      </c>
      <c r="D136" s="1">
        <v>20</v>
      </c>
      <c r="E136" s="3" t="b">
        <v>0</v>
      </c>
      <c r="F136" s="5">
        <v>4</v>
      </c>
      <c r="G136" s="18" t="str">
        <f t="shared" si="30"/>
        <v>No</v>
      </c>
      <c r="H136" s="1">
        <v>1</v>
      </c>
      <c r="I136" s="21" t="str">
        <f t="shared" si="31"/>
        <v>Clean</v>
      </c>
      <c r="J136" s="1">
        <v>0.2</v>
      </c>
      <c r="K136" s="23" t="str">
        <f t="shared" si="32"/>
        <v>Safe</v>
      </c>
      <c r="L136">
        <f t="shared" si="22"/>
        <v>0.21210000000000001</v>
      </c>
      <c r="M136" s="20">
        <f t="shared" si="23"/>
        <v>0.21210000000000001</v>
      </c>
      <c r="N136">
        <f t="shared" si="24"/>
        <v>0.51</v>
      </c>
      <c r="O136" s="20" t="str">
        <f t="shared" si="25"/>
        <v>Acceptable</v>
      </c>
      <c r="P136">
        <f t="shared" si="26"/>
        <v>0.16420000000000001</v>
      </c>
      <c r="Q136">
        <f t="shared" si="27"/>
        <v>3</v>
      </c>
      <c r="R136">
        <f t="shared" si="28"/>
        <v>66</v>
      </c>
      <c r="S136">
        <f t="shared" si="29"/>
        <v>69</v>
      </c>
    </row>
    <row r="137" spans="1:19" ht="15" thickBot="1" x14ac:dyDescent="0.35">
      <c r="A137" s="1">
        <v>136</v>
      </c>
      <c r="B137" s="2">
        <v>40549</v>
      </c>
      <c r="C137" s="1">
        <v>1</v>
      </c>
      <c r="D137" s="1">
        <v>21</v>
      </c>
      <c r="E137" s="3" t="b">
        <v>0</v>
      </c>
      <c r="F137" s="5">
        <v>4</v>
      </c>
      <c r="G137" s="18" t="str">
        <f t="shared" si="30"/>
        <v>No</v>
      </c>
      <c r="H137" s="1">
        <v>2</v>
      </c>
      <c r="I137" s="21" t="str">
        <f t="shared" si="31"/>
        <v>Misty</v>
      </c>
      <c r="J137" s="1">
        <v>0.22</v>
      </c>
      <c r="K137" s="23" t="str">
        <f t="shared" si="32"/>
        <v>Safe</v>
      </c>
      <c r="L137">
        <f t="shared" si="22"/>
        <v>0.21210000000000001</v>
      </c>
      <c r="M137" s="20">
        <f t="shared" si="23"/>
        <v>0.21210000000000001</v>
      </c>
      <c r="N137">
        <f t="shared" si="24"/>
        <v>0.55000000000000004</v>
      </c>
      <c r="O137" s="20" t="str">
        <f t="shared" si="25"/>
        <v>Acceptable</v>
      </c>
      <c r="P137">
        <f t="shared" si="26"/>
        <v>0.22389999999999999</v>
      </c>
      <c r="Q137">
        <f t="shared" si="27"/>
        <v>0</v>
      </c>
      <c r="R137">
        <f t="shared" si="28"/>
        <v>48</v>
      </c>
      <c r="S137">
        <f t="shared" si="29"/>
        <v>48</v>
      </c>
    </row>
    <row r="138" spans="1:19" ht="15" thickBot="1" x14ac:dyDescent="0.35">
      <c r="A138" s="1">
        <v>137</v>
      </c>
      <c r="B138" s="2">
        <v>40549</v>
      </c>
      <c r="C138" s="1">
        <v>1</v>
      </c>
      <c r="D138" s="1">
        <v>22</v>
      </c>
      <c r="E138" s="3" t="b">
        <v>0</v>
      </c>
      <c r="F138" s="5">
        <v>4</v>
      </c>
      <c r="G138" s="18" t="str">
        <f t="shared" si="30"/>
        <v>No</v>
      </c>
      <c r="H138" s="1">
        <v>2</v>
      </c>
      <c r="I138" s="21" t="str">
        <f t="shared" si="31"/>
        <v>Misty</v>
      </c>
      <c r="J138" s="1">
        <v>0.22</v>
      </c>
      <c r="K138" s="23" t="str">
        <f t="shared" si="32"/>
        <v>Safe</v>
      </c>
      <c r="L138">
        <f t="shared" si="22"/>
        <v>0.21210000000000001</v>
      </c>
      <c r="M138" s="20">
        <f t="shared" si="23"/>
        <v>0.21210000000000001</v>
      </c>
      <c r="N138">
        <f t="shared" si="24"/>
        <v>0.51</v>
      </c>
      <c r="O138" s="20" t="str">
        <f t="shared" si="25"/>
        <v>Acceptable</v>
      </c>
      <c r="P138">
        <f t="shared" si="26"/>
        <v>0.28360000000000002</v>
      </c>
      <c r="Q138">
        <f t="shared" si="27"/>
        <v>1</v>
      </c>
      <c r="R138">
        <f t="shared" si="28"/>
        <v>51</v>
      </c>
      <c r="S138">
        <f t="shared" si="29"/>
        <v>52</v>
      </c>
    </row>
    <row r="139" spans="1:19" ht="15" thickBot="1" x14ac:dyDescent="0.35">
      <c r="A139" s="1">
        <v>138</v>
      </c>
      <c r="B139" s="2">
        <v>40549</v>
      </c>
      <c r="C139" s="1">
        <v>1</v>
      </c>
      <c r="D139" s="1">
        <v>23</v>
      </c>
      <c r="E139" s="3" t="b">
        <v>0</v>
      </c>
      <c r="F139" s="5">
        <v>4</v>
      </c>
      <c r="G139" s="18" t="str">
        <f t="shared" si="30"/>
        <v>No</v>
      </c>
      <c r="H139" s="1">
        <v>2</v>
      </c>
      <c r="I139" s="21" t="str">
        <f t="shared" si="31"/>
        <v>Misty</v>
      </c>
      <c r="J139" s="1">
        <v>0.2</v>
      </c>
      <c r="K139" s="23" t="str">
        <f t="shared" si="32"/>
        <v>Safe</v>
      </c>
      <c r="L139">
        <f t="shared" si="22"/>
        <v>0.19700000000000001</v>
      </c>
      <c r="M139" s="20">
        <f t="shared" si="23"/>
        <v>0.19700000000000001</v>
      </c>
      <c r="N139">
        <f t="shared" si="24"/>
        <v>0.59</v>
      </c>
      <c r="O139" s="20" t="str">
        <f t="shared" si="25"/>
        <v>Acceptable</v>
      </c>
      <c r="P139">
        <f t="shared" si="26"/>
        <v>0.19400000000000001</v>
      </c>
      <c r="Q139">
        <f t="shared" si="27"/>
        <v>4</v>
      </c>
      <c r="R139">
        <f t="shared" si="28"/>
        <v>19</v>
      </c>
      <c r="S139">
        <f t="shared" si="29"/>
        <v>23</v>
      </c>
    </row>
    <row r="140" spans="1:19" ht="15" thickBot="1" x14ac:dyDescent="0.35">
      <c r="A140" s="1">
        <v>139</v>
      </c>
      <c r="B140" s="2">
        <v>40550</v>
      </c>
      <c r="C140" s="1">
        <v>1</v>
      </c>
      <c r="D140" s="1">
        <v>0</v>
      </c>
      <c r="E140" s="3" t="b">
        <v>0</v>
      </c>
      <c r="F140" s="5">
        <v>5</v>
      </c>
      <c r="G140" s="18" t="str">
        <f t="shared" si="30"/>
        <v>No</v>
      </c>
      <c r="H140" s="1">
        <v>2</v>
      </c>
      <c r="I140" s="21" t="str">
        <f t="shared" si="31"/>
        <v>Misty</v>
      </c>
      <c r="J140" s="1">
        <v>0.2</v>
      </c>
      <c r="K140" s="23" t="str">
        <f t="shared" si="32"/>
        <v>Safe</v>
      </c>
      <c r="L140">
        <f t="shared" si="22"/>
        <v>0.19700000000000001</v>
      </c>
      <c r="M140" s="20">
        <f t="shared" si="23"/>
        <v>0.19700000000000001</v>
      </c>
      <c r="N140">
        <f t="shared" si="24"/>
        <v>0.64</v>
      </c>
      <c r="O140" s="20" t="str">
        <f t="shared" si="25"/>
        <v>Acceptable</v>
      </c>
      <c r="P140">
        <f t="shared" si="26"/>
        <v>0.19400000000000001</v>
      </c>
      <c r="Q140">
        <f t="shared" si="27"/>
        <v>4</v>
      </c>
      <c r="R140">
        <f t="shared" si="28"/>
        <v>13</v>
      </c>
      <c r="S140">
        <f t="shared" si="29"/>
        <v>17</v>
      </c>
    </row>
    <row r="141" spans="1:19" ht="15" thickBot="1" x14ac:dyDescent="0.35">
      <c r="A141" s="1">
        <v>140</v>
      </c>
      <c r="B141" s="2">
        <v>40550</v>
      </c>
      <c r="C141" s="1">
        <v>1</v>
      </c>
      <c r="D141" s="1">
        <v>1</v>
      </c>
      <c r="E141" s="3" t="b">
        <v>0</v>
      </c>
      <c r="F141" s="5">
        <v>5</v>
      </c>
      <c r="G141" s="18" t="str">
        <f t="shared" si="30"/>
        <v>No</v>
      </c>
      <c r="H141" s="1">
        <v>2</v>
      </c>
      <c r="I141" s="21" t="str">
        <f t="shared" si="31"/>
        <v>Misty</v>
      </c>
      <c r="J141" s="1">
        <v>0.2</v>
      </c>
      <c r="K141" s="23" t="str">
        <f t="shared" si="32"/>
        <v>Safe</v>
      </c>
      <c r="L141">
        <f t="shared" si="22"/>
        <v>0.19700000000000001</v>
      </c>
      <c r="M141" s="20">
        <f t="shared" si="23"/>
        <v>0.19700000000000001</v>
      </c>
      <c r="N141">
        <f t="shared" si="24"/>
        <v>0.69</v>
      </c>
      <c r="O141" s="20" t="str">
        <f t="shared" si="25"/>
        <v>Acceptable</v>
      </c>
      <c r="P141">
        <f t="shared" si="26"/>
        <v>0.22389999999999999</v>
      </c>
      <c r="Q141">
        <f t="shared" si="27"/>
        <v>2</v>
      </c>
      <c r="R141">
        <f t="shared" si="28"/>
        <v>5</v>
      </c>
      <c r="S141">
        <f t="shared" si="29"/>
        <v>7</v>
      </c>
    </row>
    <row r="142" spans="1:19" ht="15" thickBot="1" x14ac:dyDescent="0.35">
      <c r="A142" s="1">
        <v>141</v>
      </c>
      <c r="B142" s="2">
        <v>40550</v>
      </c>
      <c r="C142" s="1">
        <v>1</v>
      </c>
      <c r="D142" s="1">
        <v>2</v>
      </c>
      <c r="E142" s="3" t="b">
        <v>0</v>
      </c>
      <c r="F142" s="5">
        <v>5</v>
      </c>
      <c r="G142" s="18" t="str">
        <f t="shared" si="30"/>
        <v>No</v>
      </c>
      <c r="H142" s="1">
        <v>2</v>
      </c>
      <c r="I142" s="21" t="str">
        <f t="shared" si="31"/>
        <v>Misty</v>
      </c>
      <c r="J142" s="1">
        <v>0.2</v>
      </c>
      <c r="K142" s="23" t="str">
        <f t="shared" si="32"/>
        <v>Safe</v>
      </c>
      <c r="L142">
        <f t="shared" si="22"/>
        <v>0.19700000000000001</v>
      </c>
      <c r="M142" s="20">
        <f t="shared" si="23"/>
        <v>0.19700000000000001</v>
      </c>
      <c r="N142">
        <f t="shared" si="24"/>
        <v>0.69</v>
      </c>
      <c r="O142" s="20" t="str">
        <f t="shared" si="25"/>
        <v>Acceptable</v>
      </c>
      <c r="P142">
        <f t="shared" si="26"/>
        <v>0.22389999999999999</v>
      </c>
      <c r="Q142">
        <f t="shared" si="27"/>
        <v>0</v>
      </c>
      <c r="R142">
        <f t="shared" si="28"/>
        <v>1</v>
      </c>
      <c r="S142">
        <f t="shared" si="29"/>
        <v>1</v>
      </c>
    </row>
    <row r="143" spans="1:19" ht="15" thickBot="1" x14ac:dyDescent="0.35">
      <c r="A143" s="1">
        <v>142</v>
      </c>
      <c r="B143" s="2">
        <v>40550</v>
      </c>
      <c r="C143" s="1">
        <v>1</v>
      </c>
      <c r="D143" s="1">
        <v>4</v>
      </c>
      <c r="E143" s="3" t="b">
        <v>0</v>
      </c>
      <c r="F143" s="5">
        <v>5</v>
      </c>
      <c r="G143" s="18" t="str">
        <f t="shared" si="30"/>
        <v>No</v>
      </c>
      <c r="H143" s="1">
        <v>2</v>
      </c>
      <c r="I143" s="21" t="str">
        <f t="shared" si="31"/>
        <v>Misty</v>
      </c>
      <c r="J143" s="1">
        <v>0.2</v>
      </c>
      <c r="K143" s="23" t="str">
        <f t="shared" si="32"/>
        <v>Safe</v>
      </c>
      <c r="L143">
        <f t="shared" si="22"/>
        <v>0.21210000000000001</v>
      </c>
      <c r="M143" s="20">
        <f t="shared" si="23"/>
        <v>0.21210000000000001</v>
      </c>
      <c r="N143">
        <f t="shared" si="24"/>
        <v>0.69</v>
      </c>
      <c r="O143" s="20" t="str">
        <f t="shared" si="25"/>
        <v>Acceptable</v>
      </c>
      <c r="P143">
        <f t="shared" si="26"/>
        <v>0.1343</v>
      </c>
      <c r="Q143">
        <f t="shared" si="27"/>
        <v>0</v>
      </c>
      <c r="R143">
        <f t="shared" si="28"/>
        <v>1</v>
      </c>
      <c r="S143">
        <f t="shared" si="29"/>
        <v>1</v>
      </c>
    </row>
    <row r="144" spans="1:19" ht="27.6" thickBot="1" x14ac:dyDescent="0.35">
      <c r="A144" s="1">
        <v>143</v>
      </c>
      <c r="B144" s="2">
        <v>40550</v>
      </c>
      <c r="C144" s="1">
        <v>1</v>
      </c>
      <c r="D144" s="1">
        <v>5</v>
      </c>
      <c r="E144" s="3" t="b">
        <v>0</v>
      </c>
      <c r="F144" s="5">
        <v>5</v>
      </c>
      <c r="G144" s="18" t="str">
        <f t="shared" si="30"/>
        <v>No</v>
      </c>
      <c r="H144" s="1">
        <v>3</v>
      </c>
      <c r="I144" s="21" t="str">
        <f t="shared" si="31"/>
        <v>Light Rain</v>
      </c>
      <c r="J144" s="1">
        <v>0.22</v>
      </c>
      <c r="K144" s="23" t="str">
        <f t="shared" si="32"/>
        <v>Safe</v>
      </c>
      <c r="L144">
        <f t="shared" si="22"/>
        <v>0.2727</v>
      </c>
      <c r="M144" s="20">
        <f t="shared" si="23"/>
        <v>0.2727</v>
      </c>
      <c r="N144">
        <f t="shared" si="24"/>
        <v>0.55000000000000004</v>
      </c>
      <c r="O144" s="20" t="str">
        <f t="shared" si="25"/>
        <v>Acceptable</v>
      </c>
      <c r="P144">
        <f t="shared" si="26"/>
        <v>0</v>
      </c>
      <c r="Q144">
        <f t="shared" si="27"/>
        <v>0</v>
      </c>
      <c r="R144">
        <f t="shared" si="28"/>
        <v>5</v>
      </c>
      <c r="S144">
        <f t="shared" si="29"/>
        <v>5</v>
      </c>
    </row>
    <row r="145" spans="1:19" ht="15" thickBot="1" x14ac:dyDescent="0.35">
      <c r="A145" s="1">
        <v>144</v>
      </c>
      <c r="B145" s="2">
        <v>40550</v>
      </c>
      <c r="C145" s="1">
        <v>1</v>
      </c>
      <c r="D145" s="1">
        <v>6</v>
      </c>
      <c r="E145" s="3" t="b">
        <v>0</v>
      </c>
      <c r="F145" s="5">
        <v>5</v>
      </c>
      <c r="G145" s="18" t="str">
        <f t="shared" si="30"/>
        <v>No</v>
      </c>
      <c r="H145" s="1">
        <v>2</v>
      </c>
      <c r="I145" s="21" t="str">
        <f t="shared" si="31"/>
        <v>Misty</v>
      </c>
      <c r="J145" s="1">
        <v>0.2</v>
      </c>
      <c r="K145" s="23" t="str">
        <f t="shared" si="32"/>
        <v>Safe</v>
      </c>
      <c r="L145">
        <f t="shared" si="22"/>
        <v>0.2576</v>
      </c>
      <c r="M145" s="20">
        <f t="shared" si="23"/>
        <v>0.2576</v>
      </c>
      <c r="N145">
        <f t="shared" si="24"/>
        <v>0.69</v>
      </c>
      <c r="O145" s="20" t="str">
        <f t="shared" si="25"/>
        <v>Acceptable</v>
      </c>
      <c r="P145">
        <f t="shared" si="26"/>
        <v>0</v>
      </c>
      <c r="Q145">
        <f t="shared" si="27"/>
        <v>8</v>
      </c>
      <c r="R145">
        <f t="shared" si="28"/>
        <v>26</v>
      </c>
      <c r="S145">
        <f t="shared" si="29"/>
        <v>34</v>
      </c>
    </row>
    <row r="146" spans="1:19" ht="15" thickBot="1" x14ac:dyDescent="0.35">
      <c r="A146" s="1">
        <v>145</v>
      </c>
      <c r="B146" s="2">
        <v>40550</v>
      </c>
      <c r="C146" s="1">
        <v>1</v>
      </c>
      <c r="D146" s="1">
        <v>7</v>
      </c>
      <c r="E146" s="3" t="b">
        <v>0</v>
      </c>
      <c r="F146" s="5">
        <v>5</v>
      </c>
      <c r="G146" s="18" t="str">
        <f t="shared" si="30"/>
        <v>No</v>
      </c>
      <c r="H146" s="1">
        <v>1</v>
      </c>
      <c r="I146" s="21" t="str">
        <f t="shared" si="31"/>
        <v>Clean</v>
      </c>
      <c r="J146" s="1">
        <v>0.2</v>
      </c>
      <c r="K146" s="23" t="str">
        <f t="shared" si="32"/>
        <v>Safe</v>
      </c>
      <c r="L146">
        <f t="shared" si="22"/>
        <v>0.21210000000000001</v>
      </c>
      <c r="M146" s="20">
        <f t="shared" si="23"/>
        <v>0.21210000000000001</v>
      </c>
      <c r="N146">
        <f t="shared" si="24"/>
        <v>0.69</v>
      </c>
      <c r="O146" s="20" t="str">
        <f t="shared" si="25"/>
        <v>Acceptable</v>
      </c>
      <c r="P146">
        <f t="shared" si="26"/>
        <v>0.1343</v>
      </c>
      <c r="Q146">
        <f t="shared" si="27"/>
        <v>8</v>
      </c>
      <c r="R146">
        <f t="shared" si="28"/>
        <v>76</v>
      </c>
      <c r="S146">
        <f t="shared" si="29"/>
        <v>84</v>
      </c>
    </row>
    <row r="147" spans="1:19" ht="15" thickBot="1" x14ac:dyDescent="0.35">
      <c r="A147" s="1">
        <v>146</v>
      </c>
      <c r="B147" s="2">
        <v>40550</v>
      </c>
      <c r="C147" s="1">
        <v>1</v>
      </c>
      <c r="D147" s="1">
        <v>8</v>
      </c>
      <c r="E147" s="3" t="b">
        <v>0</v>
      </c>
      <c r="F147" s="5">
        <v>5</v>
      </c>
      <c r="G147" s="18" t="str">
        <f t="shared" si="30"/>
        <v>No</v>
      </c>
      <c r="H147" s="1">
        <v>1</v>
      </c>
      <c r="I147" s="21" t="str">
        <f t="shared" si="31"/>
        <v>Clean</v>
      </c>
      <c r="J147" s="1">
        <v>0.2</v>
      </c>
      <c r="K147" s="23" t="str">
        <f t="shared" si="32"/>
        <v>Safe</v>
      </c>
      <c r="L147">
        <f t="shared" si="22"/>
        <v>0.19700000000000001</v>
      </c>
      <c r="M147" s="20">
        <f t="shared" si="23"/>
        <v>0.19700000000000001</v>
      </c>
      <c r="N147">
        <f t="shared" si="24"/>
        <v>0.51</v>
      </c>
      <c r="O147" s="20" t="str">
        <f t="shared" si="25"/>
        <v>Acceptable</v>
      </c>
      <c r="P147">
        <f t="shared" si="26"/>
        <v>0.25369999999999998</v>
      </c>
      <c r="Q147">
        <f t="shared" si="27"/>
        <v>20</v>
      </c>
      <c r="R147">
        <f t="shared" si="28"/>
        <v>190</v>
      </c>
      <c r="S147">
        <f t="shared" si="29"/>
        <v>210</v>
      </c>
    </row>
    <row r="148" spans="1:19" ht="15" thickBot="1" x14ac:dyDescent="0.35">
      <c r="A148" s="1">
        <v>147</v>
      </c>
      <c r="B148" s="2">
        <v>40550</v>
      </c>
      <c r="C148" s="1">
        <v>1</v>
      </c>
      <c r="D148" s="1">
        <v>9</v>
      </c>
      <c r="E148" s="3" t="b">
        <v>0</v>
      </c>
      <c r="F148" s="5">
        <v>5</v>
      </c>
      <c r="G148" s="18" t="str">
        <f t="shared" si="30"/>
        <v>No</v>
      </c>
      <c r="H148" s="1">
        <v>1</v>
      </c>
      <c r="I148" s="21" t="str">
        <f t="shared" si="31"/>
        <v>Clean</v>
      </c>
      <c r="J148" s="1">
        <v>0.2</v>
      </c>
      <c r="K148" s="23" t="str">
        <f t="shared" si="32"/>
        <v>Safe</v>
      </c>
      <c r="L148">
        <f t="shared" si="22"/>
        <v>0.18179999999999999</v>
      </c>
      <c r="M148" s="20">
        <f t="shared" si="23"/>
        <v>0.18179999999999999</v>
      </c>
      <c r="N148">
        <f t="shared" si="24"/>
        <v>0.47</v>
      </c>
      <c r="O148" s="20" t="str">
        <f t="shared" si="25"/>
        <v>Acceptable</v>
      </c>
      <c r="P148">
        <f t="shared" si="26"/>
        <v>0.29849999999999999</v>
      </c>
      <c r="Q148">
        <f t="shared" si="27"/>
        <v>9</v>
      </c>
      <c r="R148">
        <f t="shared" si="28"/>
        <v>125</v>
      </c>
      <c r="S148">
        <f t="shared" si="29"/>
        <v>134</v>
      </c>
    </row>
    <row r="149" spans="1:19" ht="15" thickBot="1" x14ac:dyDescent="0.35">
      <c r="A149" s="1">
        <v>148</v>
      </c>
      <c r="B149" s="2">
        <v>40550</v>
      </c>
      <c r="C149" s="1">
        <v>1</v>
      </c>
      <c r="D149" s="1">
        <v>10</v>
      </c>
      <c r="E149" s="3" t="b">
        <v>0</v>
      </c>
      <c r="F149" s="5">
        <v>5</v>
      </c>
      <c r="G149" s="18" t="str">
        <f t="shared" si="30"/>
        <v>No</v>
      </c>
      <c r="H149" s="1">
        <v>1</v>
      </c>
      <c r="I149" s="21" t="str">
        <f t="shared" si="31"/>
        <v>Clean</v>
      </c>
      <c r="J149" s="1">
        <v>0.22</v>
      </c>
      <c r="K149" s="23" t="str">
        <f t="shared" si="32"/>
        <v>Safe</v>
      </c>
      <c r="L149">
        <f t="shared" si="22"/>
        <v>0.19700000000000001</v>
      </c>
      <c r="M149" s="20">
        <f t="shared" si="23"/>
        <v>0.19700000000000001</v>
      </c>
      <c r="N149">
        <f t="shared" si="24"/>
        <v>0.37</v>
      </c>
      <c r="O149" s="20" t="str">
        <f t="shared" si="25"/>
        <v>Acceptable</v>
      </c>
      <c r="P149">
        <f t="shared" si="26"/>
        <v>0.32840000000000003</v>
      </c>
      <c r="Q149">
        <f t="shared" si="27"/>
        <v>16</v>
      </c>
      <c r="R149">
        <f t="shared" si="28"/>
        <v>47</v>
      </c>
      <c r="S149">
        <f t="shared" si="29"/>
        <v>63</v>
      </c>
    </row>
    <row r="150" spans="1:19" ht="15" thickBot="1" x14ac:dyDescent="0.35">
      <c r="A150" s="1">
        <v>149</v>
      </c>
      <c r="B150" s="2">
        <v>40550</v>
      </c>
      <c r="C150" s="1">
        <v>1</v>
      </c>
      <c r="D150" s="1">
        <v>11</v>
      </c>
      <c r="E150" s="3" t="b">
        <v>0</v>
      </c>
      <c r="F150" s="5">
        <v>5</v>
      </c>
      <c r="G150" s="18" t="str">
        <f t="shared" si="30"/>
        <v>No</v>
      </c>
      <c r="H150" s="1">
        <v>2</v>
      </c>
      <c r="I150" s="21" t="str">
        <f t="shared" si="31"/>
        <v>Misty</v>
      </c>
      <c r="J150" s="1">
        <v>0.2</v>
      </c>
      <c r="K150" s="23" t="str">
        <f t="shared" si="32"/>
        <v>Safe</v>
      </c>
      <c r="L150">
        <f t="shared" si="22"/>
        <v>0.19700000000000001</v>
      </c>
      <c r="M150" s="20">
        <f t="shared" si="23"/>
        <v>0.19700000000000001</v>
      </c>
      <c r="N150">
        <f t="shared" si="24"/>
        <v>0.4</v>
      </c>
      <c r="O150" s="20" t="str">
        <f t="shared" si="25"/>
        <v>Acceptable</v>
      </c>
      <c r="P150">
        <f t="shared" si="26"/>
        <v>0.22389999999999999</v>
      </c>
      <c r="Q150">
        <f t="shared" si="27"/>
        <v>19</v>
      </c>
      <c r="R150">
        <f t="shared" si="28"/>
        <v>48</v>
      </c>
      <c r="S150">
        <f t="shared" si="29"/>
        <v>67</v>
      </c>
    </row>
    <row r="151" spans="1:19" ht="15" thickBot="1" x14ac:dyDescent="0.35">
      <c r="A151" s="1">
        <v>150</v>
      </c>
      <c r="B151" s="2">
        <v>40550</v>
      </c>
      <c r="C151" s="1">
        <v>1</v>
      </c>
      <c r="D151" s="1">
        <v>12</v>
      </c>
      <c r="E151" s="3" t="b">
        <v>0</v>
      </c>
      <c r="F151" s="5">
        <v>5</v>
      </c>
      <c r="G151" s="18" t="str">
        <f t="shared" si="30"/>
        <v>No</v>
      </c>
      <c r="H151" s="1">
        <v>2</v>
      </c>
      <c r="I151" s="21" t="str">
        <f t="shared" si="31"/>
        <v>Misty</v>
      </c>
      <c r="J151" s="1">
        <v>0.2</v>
      </c>
      <c r="K151" s="23" t="str">
        <f t="shared" si="32"/>
        <v>Safe</v>
      </c>
      <c r="L151">
        <f t="shared" si="22"/>
        <v>0.19700000000000001</v>
      </c>
      <c r="M151" s="20">
        <f t="shared" si="23"/>
        <v>0.19700000000000001</v>
      </c>
      <c r="N151">
        <f t="shared" si="24"/>
        <v>0.37</v>
      </c>
      <c r="O151" s="20" t="str">
        <f t="shared" si="25"/>
        <v>Acceptable</v>
      </c>
      <c r="P151">
        <f t="shared" si="26"/>
        <v>0.25369999999999998</v>
      </c>
      <c r="Q151">
        <f t="shared" si="27"/>
        <v>9</v>
      </c>
      <c r="R151">
        <f t="shared" si="28"/>
        <v>50</v>
      </c>
      <c r="S151">
        <f t="shared" si="29"/>
        <v>59</v>
      </c>
    </row>
    <row r="152" spans="1:19" ht="15" thickBot="1" x14ac:dyDescent="0.35">
      <c r="A152" s="1">
        <v>151</v>
      </c>
      <c r="B152" s="2">
        <v>40550</v>
      </c>
      <c r="C152" s="1">
        <v>1</v>
      </c>
      <c r="D152" s="1">
        <v>13</v>
      </c>
      <c r="E152" s="3" t="b">
        <v>0</v>
      </c>
      <c r="F152" s="5">
        <v>5</v>
      </c>
      <c r="G152" s="18" t="str">
        <f t="shared" si="30"/>
        <v>No</v>
      </c>
      <c r="H152" s="1">
        <v>2</v>
      </c>
      <c r="I152" s="21" t="str">
        <f t="shared" si="31"/>
        <v>Misty</v>
      </c>
      <c r="J152" s="1">
        <v>0.2</v>
      </c>
      <c r="K152" s="23" t="str">
        <f t="shared" si="32"/>
        <v>Safe</v>
      </c>
      <c r="L152">
        <f t="shared" si="22"/>
        <v>0.18179999999999999</v>
      </c>
      <c r="M152" s="20">
        <f t="shared" si="23"/>
        <v>0.18179999999999999</v>
      </c>
      <c r="N152">
        <f t="shared" si="24"/>
        <v>0.37</v>
      </c>
      <c r="O152" s="20" t="str">
        <f t="shared" si="25"/>
        <v>Acceptable</v>
      </c>
      <c r="P152">
        <f t="shared" si="26"/>
        <v>0.28360000000000002</v>
      </c>
      <c r="Q152">
        <f t="shared" si="27"/>
        <v>9</v>
      </c>
      <c r="R152">
        <f t="shared" si="28"/>
        <v>64</v>
      </c>
      <c r="S152">
        <f t="shared" si="29"/>
        <v>73</v>
      </c>
    </row>
    <row r="153" spans="1:19" ht="15" thickBot="1" x14ac:dyDescent="0.35">
      <c r="A153" s="1">
        <v>152</v>
      </c>
      <c r="B153" s="2">
        <v>40550</v>
      </c>
      <c r="C153" s="1">
        <v>1</v>
      </c>
      <c r="D153" s="1">
        <v>14</v>
      </c>
      <c r="E153" s="3" t="b">
        <v>0</v>
      </c>
      <c r="F153" s="5">
        <v>5</v>
      </c>
      <c r="G153" s="18" t="str">
        <f t="shared" si="30"/>
        <v>No</v>
      </c>
      <c r="H153" s="1">
        <v>2</v>
      </c>
      <c r="I153" s="21" t="str">
        <f t="shared" si="31"/>
        <v>Misty</v>
      </c>
      <c r="J153" s="1">
        <v>0.2</v>
      </c>
      <c r="K153" s="23" t="str">
        <f t="shared" si="32"/>
        <v>Safe</v>
      </c>
      <c r="L153">
        <f t="shared" si="22"/>
        <v>0.19700000000000001</v>
      </c>
      <c r="M153" s="20">
        <f t="shared" si="23"/>
        <v>0.19700000000000001</v>
      </c>
      <c r="N153">
        <f t="shared" si="24"/>
        <v>0.4</v>
      </c>
      <c r="O153" s="20" t="str">
        <f t="shared" si="25"/>
        <v>Acceptable</v>
      </c>
      <c r="P153">
        <f t="shared" si="26"/>
        <v>0.25369999999999998</v>
      </c>
      <c r="Q153">
        <f t="shared" si="27"/>
        <v>7</v>
      </c>
      <c r="R153">
        <f t="shared" si="28"/>
        <v>43</v>
      </c>
      <c r="S153">
        <f t="shared" si="29"/>
        <v>50</v>
      </c>
    </row>
    <row r="154" spans="1:19" ht="15" thickBot="1" x14ac:dyDescent="0.35">
      <c r="A154" s="1">
        <v>153</v>
      </c>
      <c r="B154" s="2">
        <v>40550</v>
      </c>
      <c r="C154" s="1">
        <v>1</v>
      </c>
      <c r="D154" s="1">
        <v>15</v>
      </c>
      <c r="E154" s="3" t="b">
        <v>0</v>
      </c>
      <c r="F154" s="5">
        <v>5</v>
      </c>
      <c r="G154" s="18" t="str">
        <f t="shared" si="30"/>
        <v>No</v>
      </c>
      <c r="H154" s="1">
        <v>2</v>
      </c>
      <c r="I154" s="21" t="str">
        <f t="shared" si="31"/>
        <v>Misty</v>
      </c>
      <c r="J154" s="1">
        <v>0.2</v>
      </c>
      <c r="K154" s="23" t="str">
        <f t="shared" si="32"/>
        <v>Safe</v>
      </c>
      <c r="L154">
        <f t="shared" si="22"/>
        <v>0.21210000000000001</v>
      </c>
      <c r="M154" s="20">
        <f t="shared" si="23"/>
        <v>0.21210000000000001</v>
      </c>
      <c r="N154">
        <f t="shared" si="24"/>
        <v>0.37</v>
      </c>
      <c r="O154" s="20" t="str">
        <f t="shared" si="25"/>
        <v>Acceptable</v>
      </c>
      <c r="P154">
        <f t="shared" si="26"/>
        <v>0.16420000000000001</v>
      </c>
      <c r="Q154">
        <f t="shared" si="27"/>
        <v>9</v>
      </c>
      <c r="R154">
        <f t="shared" si="28"/>
        <v>63</v>
      </c>
      <c r="S154">
        <f t="shared" si="29"/>
        <v>72</v>
      </c>
    </row>
    <row r="155" spans="1:19" ht="15" thickBot="1" x14ac:dyDescent="0.35">
      <c r="A155" s="1">
        <v>154</v>
      </c>
      <c r="B155" s="2">
        <v>40550</v>
      </c>
      <c r="C155" s="1">
        <v>1</v>
      </c>
      <c r="D155" s="1">
        <v>16</v>
      </c>
      <c r="E155" s="3" t="b">
        <v>0</v>
      </c>
      <c r="F155" s="5">
        <v>5</v>
      </c>
      <c r="G155" s="18" t="str">
        <f t="shared" si="30"/>
        <v>No</v>
      </c>
      <c r="H155" s="1">
        <v>2</v>
      </c>
      <c r="I155" s="21" t="str">
        <f t="shared" si="31"/>
        <v>Misty</v>
      </c>
      <c r="J155" s="1">
        <v>0.2</v>
      </c>
      <c r="K155" s="23" t="str">
        <f t="shared" si="32"/>
        <v>Safe</v>
      </c>
      <c r="L155">
        <f t="shared" si="22"/>
        <v>0.21210000000000001</v>
      </c>
      <c r="M155" s="20">
        <f t="shared" si="23"/>
        <v>0.21210000000000001</v>
      </c>
      <c r="N155">
        <f t="shared" si="24"/>
        <v>0.37</v>
      </c>
      <c r="O155" s="20" t="str">
        <f t="shared" si="25"/>
        <v>Acceptable</v>
      </c>
      <c r="P155">
        <f t="shared" si="26"/>
        <v>0.16420000000000001</v>
      </c>
      <c r="Q155">
        <f t="shared" si="27"/>
        <v>5</v>
      </c>
      <c r="R155">
        <f t="shared" si="28"/>
        <v>82</v>
      </c>
      <c r="S155">
        <f t="shared" si="29"/>
        <v>87</v>
      </c>
    </row>
    <row r="156" spans="1:19" ht="15" thickBot="1" x14ac:dyDescent="0.35">
      <c r="A156" s="1">
        <v>155</v>
      </c>
      <c r="B156" s="2">
        <v>40550</v>
      </c>
      <c r="C156" s="1">
        <v>1</v>
      </c>
      <c r="D156" s="1">
        <v>17</v>
      </c>
      <c r="E156" s="3" t="b">
        <v>0</v>
      </c>
      <c r="F156" s="5">
        <v>5</v>
      </c>
      <c r="G156" s="18" t="str">
        <f t="shared" si="30"/>
        <v>No</v>
      </c>
      <c r="H156" s="1">
        <v>2</v>
      </c>
      <c r="I156" s="21" t="str">
        <f t="shared" si="31"/>
        <v>Misty</v>
      </c>
      <c r="J156" s="1">
        <v>0.2</v>
      </c>
      <c r="K156" s="23" t="str">
        <f t="shared" si="32"/>
        <v>Safe</v>
      </c>
      <c r="L156">
        <f t="shared" si="22"/>
        <v>0.2576</v>
      </c>
      <c r="M156" s="20">
        <f t="shared" si="23"/>
        <v>0.2576</v>
      </c>
      <c r="N156">
        <f t="shared" si="24"/>
        <v>0.37</v>
      </c>
      <c r="O156" s="20" t="str">
        <f t="shared" si="25"/>
        <v>Acceptable</v>
      </c>
      <c r="P156">
        <f t="shared" si="26"/>
        <v>0</v>
      </c>
      <c r="Q156">
        <f t="shared" si="27"/>
        <v>9</v>
      </c>
      <c r="R156">
        <f t="shared" si="28"/>
        <v>178</v>
      </c>
      <c r="S156">
        <f t="shared" si="29"/>
        <v>187</v>
      </c>
    </row>
    <row r="157" spans="1:19" ht="15" thickBot="1" x14ac:dyDescent="0.35">
      <c r="A157" s="1">
        <v>156</v>
      </c>
      <c r="B157" s="2">
        <v>40550</v>
      </c>
      <c r="C157" s="1">
        <v>1</v>
      </c>
      <c r="D157" s="1">
        <v>18</v>
      </c>
      <c r="E157" s="3" t="b">
        <v>0</v>
      </c>
      <c r="F157" s="5">
        <v>5</v>
      </c>
      <c r="G157" s="18" t="str">
        <f t="shared" si="30"/>
        <v>No</v>
      </c>
      <c r="H157" s="1">
        <v>1</v>
      </c>
      <c r="I157" s="21" t="str">
        <f t="shared" si="31"/>
        <v>Clean</v>
      </c>
      <c r="J157" s="1">
        <v>0.2</v>
      </c>
      <c r="K157" s="23" t="str">
        <f t="shared" si="32"/>
        <v>Safe</v>
      </c>
      <c r="L157">
        <f t="shared" si="22"/>
        <v>0.2273</v>
      </c>
      <c r="M157" s="20">
        <f t="shared" si="23"/>
        <v>0.2273</v>
      </c>
      <c r="N157">
        <f t="shared" si="24"/>
        <v>0.4</v>
      </c>
      <c r="O157" s="20" t="str">
        <f t="shared" si="25"/>
        <v>Acceptable</v>
      </c>
      <c r="P157">
        <f t="shared" si="26"/>
        <v>8.9599999999999999E-2</v>
      </c>
      <c r="Q157">
        <f t="shared" si="27"/>
        <v>7</v>
      </c>
      <c r="R157">
        <f t="shared" si="28"/>
        <v>116</v>
      </c>
      <c r="S157">
        <f t="shared" si="29"/>
        <v>123</v>
      </c>
    </row>
    <row r="158" spans="1:19" ht="15" thickBot="1" x14ac:dyDescent="0.35">
      <c r="A158" s="1">
        <v>157</v>
      </c>
      <c r="B158" s="2">
        <v>40550</v>
      </c>
      <c r="C158" s="1">
        <v>1</v>
      </c>
      <c r="D158" s="1">
        <v>19</v>
      </c>
      <c r="E158" s="3" t="b">
        <v>0</v>
      </c>
      <c r="F158" s="5">
        <v>5</v>
      </c>
      <c r="G158" s="18" t="str">
        <f t="shared" si="30"/>
        <v>No</v>
      </c>
      <c r="H158" s="1">
        <v>1</v>
      </c>
      <c r="I158" s="21" t="str">
        <f t="shared" si="31"/>
        <v>Clean</v>
      </c>
      <c r="J158" s="1">
        <v>0.16</v>
      </c>
      <c r="K158" s="23" t="str">
        <f t="shared" si="32"/>
        <v>Safe</v>
      </c>
      <c r="L158">
        <f t="shared" si="22"/>
        <v>0.19700000000000001</v>
      </c>
      <c r="M158" s="20">
        <f t="shared" si="23"/>
        <v>0.19700000000000001</v>
      </c>
      <c r="N158">
        <f t="shared" si="24"/>
        <v>0.55000000000000004</v>
      </c>
      <c r="O158" s="20" t="str">
        <f t="shared" si="25"/>
        <v>Acceptable</v>
      </c>
      <c r="P158">
        <f t="shared" si="26"/>
        <v>8.9599999999999999E-2</v>
      </c>
      <c r="Q158">
        <f t="shared" si="27"/>
        <v>3</v>
      </c>
      <c r="R158">
        <f t="shared" si="28"/>
        <v>92</v>
      </c>
      <c r="S158">
        <f t="shared" si="29"/>
        <v>95</v>
      </c>
    </row>
    <row r="159" spans="1:19" ht="15" thickBot="1" x14ac:dyDescent="0.35">
      <c r="A159" s="1">
        <v>158</v>
      </c>
      <c r="B159" s="2">
        <v>40550</v>
      </c>
      <c r="C159" s="1">
        <v>1</v>
      </c>
      <c r="D159" s="1">
        <v>20</v>
      </c>
      <c r="E159" s="3" t="b">
        <v>0</v>
      </c>
      <c r="F159" s="5">
        <v>5</v>
      </c>
      <c r="G159" s="18" t="str">
        <f t="shared" si="30"/>
        <v>No</v>
      </c>
      <c r="H159" s="1">
        <v>1</v>
      </c>
      <c r="I159" s="21" t="str">
        <f t="shared" si="31"/>
        <v>Clean</v>
      </c>
      <c r="J159" s="1">
        <v>0.18</v>
      </c>
      <c r="K159" s="23" t="str">
        <f t="shared" si="32"/>
        <v>Safe</v>
      </c>
      <c r="L159">
        <f t="shared" si="22"/>
        <v>0.21210000000000001</v>
      </c>
      <c r="M159" s="20">
        <f t="shared" si="23"/>
        <v>0.21210000000000001</v>
      </c>
      <c r="N159">
        <f t="shared" si="24"/>
        <v>0.47</v>
      </c>
      <c r="O159" s="20" t="str">
        <f t="shared" si="25"/>
        <v>Acceptable</v>
      </c>
      <c r="P159">
        <f t="shared" si="26"/>
        <v>0.1045</v>
      </c>
      <c r="Q159">
        <f t="shared" si="27"/>
        <v>1</v>
      </c>
      <c r="R159">
        <f t="shared" si="28"/>
        <v>50</v>
      </c>
      <c r="S159">
        <f t="shared" si="29"/>
        <v>51</v>
      </c>
    </row>
    <row r="160" spans="1:19" ht="15" thickBot="1" x14ac:dyDescent="0.35">
      <c r="A160" s="1">
        <v>159</v>
      </c>
      <c r="B160" s="2">
        <v>40550</v>
      </c>
      <c r="C160" s="1">
        <v>1</v>
      </c>
      <c r="D160" s="1">
        <v>21</v>
      </c>
      <c r="E160" s="3" t="b">
        <v>0</v>
      </c>
      <c r="F160" s="5">
        <v>5</v>
      </c>
      <c r="G160" s="18" t="str">
        <f t="shared" si="30"/>
        <v>No</v>
      </c>
      <c r="H160" s="1">
        <v>1</v>
      </c>
      <c r="I160" s="21" t="str">
        <f t="shared" si="31"/>
        <v>Clean</v>
      </c>
      <c r="J160" s="1">
        <v>0.18</v>
      </c>
      <c r="K160" s="23" t="str">
        <f t="shared" si="32"/>
        <v>Safe</v>
      </c>
      <c r="L160">
        <f t="shared" si="22"/>
        <v>0.19700000000000001</v>
      </c>
      <c r="M160" s="20">
        <f t="shared" si="23"/>
        <v>0.19700000000000001</v>
      </c>
      <c r="N160">
        <f t="shared" si="24"/>
        <v>0.47</v>
      </c>
      <c r="O160" s="20" t="str">
        <f t="shared" si="25"/>
        <v>Acceptable</v>
      </c>
      <c r="P160">
        <f t="shared" si="26"/>
        <v>0.1343</v>
      </c>
      <c r="Q160">
        <f t="shared" si="27"/>
        <v>0</v>
      </c>
      <c r="R160">
        <f t="shared" si="28"/>
        <v>39</v>
      </c>
      <c r="S160">
        <f t="shared" si="29"/>
        <v>39</v>
      </c>
    </row>
    <row r="161" spans="1:19" ht="15" thickBot="1" x14ac:dyDescent="0.35">
      <c r="A161" s="1">
        <v>160</v>
      </c>
      <c r="B161" s="2">
        <v>40550</v>
      </c>
      <c r="C161" s="1">
        <v>1</v>
      </c>
      <c r="D161" s="1">
        <v>22</v>
      </c>
      <c r="E161" s="3" t="b">
        <v>0</v>
      </c>
      <c r="F161" s="5">
        <v>5</v>
      </c>
      <c r="G161" s="18" t="str">
        <f t="shared" si="30"/>
        <v>No</v>
      </c>
      <c r="H161" s="1">
        <v>2</v>
      </c>
      <c r="I161" s="21" t="str">
        <f t="shared" si="31"/>
        <v>Misty</v>
      </c>
      <c r="J161" s="1">
        <v>0.18</v>
      </c>
      <c r="K161" s="23" t="str">
        <f t="shared" si="32"/>
        <v>Safe</v>
      </c>
      <c r="L161">
        <f t="shared" si="22"/>
        <v>0.19700000000000001</v>
      </c>
      <c r="M161" s="20">
        <f t="shared" si="23"/>
        <v>0.19700000000000001</v>
      </c>
      <c r="N161">
        <f t="shared" si="24"/>
        <v>0.43</v>
      </c>
      <c r="O161" s="20" t="str">
        <f t="shared" si="25"/>
        <v>Acceptable</v>
      </c>
      <c r="P161">
        <f t="shared" si="26"/>
        <v>0.16420000000000001</v>
      </c>
      <c r="Q161">
        <f t="shared" si="27"/>
        <v>2</v>
      </c>
      <c r="R161">
        <f t="shared" si="28"/>
        <v>34</v>
      </c>
      <c r="S161">
        <f t="shared" si="29"/>
        <v>36</v>
      </c>
    </row>
    <row r="162" spans="1:19" ht="15" thickBot="1" x14ac:dyDescent="0.35">
      <c r="A162" s="1">
        <v>161</v>
      </c>
      <c r="B162" s="2">
        <v>40550</v>
      </c>
      <c r="C162" s="1">
        <v>1</v>
      </c>
      <c r="D162" s="1">
        <v>23</v>
      </c>
      <c r="E162" s="3" t="b">
        <v>0</v>
      </c>
      <c r="F162" s="5">
        <v>5</v>
      </c>
      <c r="G162" s="18" t="str">
        <f t="shared" si="30"/>
        <v>No</v>
      </c>
      <c r="H162" s="1">
        <v>2</v>
      </c>
      <c r="I162" s="21" t="str">
        <f t="shared" si="31"/>
        <v>Misty</v>
      </c>
      <c r="J162" s="1">
        <v>0.18</v>
      </c>
      <c r="K162" s="23" t="str">
        <f t="shared" si="32"/>
        <v>Safe</v>
      </c>
      <c r="L162">
        <f t="shared" si="22"/>
        <v>0.19700000000000001</v>
      </c>
      <c r="M162" s="20">
        <f t="shared" si="23"/>
        <v>0.19700000000000001</v>
      </c>
      <c r="N162">
        <f t="shared" si="24"/>
        <v>0.51</v>
      </c>
      <c r="O162" s="20" t="str">
        <f t="shared" si="25"/>
        <v>Acceptable</v>
      </c>
      <c r="P162">
        <f t="shared" si="26"/>
        <v>0.16420000000000001</v>
      </c>
      <c r="Q162">
        <f t="shared" si="27"/>
        <v>1</v>
      </c>
      <c r="R162">
        <f t="shared" si="28"/>
        <v>14</v>
      </c>
      <c r="S162">
        <f t="shared" si="29"/>
        <v>15</v>
      </c>
    </row>
    <row r="163" spans="1:19" ht="15" thickBot="1" x14ac:dyDescent="0.35">
      <c r="A163" s="1">
        <v>162</v>
      </c>
      <c r="B163" s="2">
        <v>40551</v>
      </c>
      <c r="C163" s="1">
        <v>1</v>
      </c>
      <c r="D163" s="1">
        <v>0</v>
      </c>
      <c r="E163" s="3" t="b">
        <v>0</v>
      </c>
      <c r="F163" s="5">
        <v>6</v>
      </c>
      <c r="G163" s="18" t="str">
        <f t="shared" si="30"/>
        <v>Yes</v>
      </c>
      <c r="H163" s="1">
        <v>2</v>
      </c>
      <c r="I163" s="21" t="str">
        <f t="shared" si="31"/>
        <v>Misty</v>
      </c>
      <c r="J163" s="1">
        <v>0.18</v>
      </c>
      <c r="K163" s="23" t="str">
        <f t="shared" si="32"/>
        <v>Safe</v>
      </c>
      <c r="L163">
        <f t="shared" si="22"/>
        <v>0.19700000000000001</v>
      </c>
      <c r="M163" s="20">
        <f t="shared" si="23"/>
        <v>0.19700000000000001</v>
      </c>
      <c r="N163">
        <f t="shared" si="24"/>
        <v>0.51</v>
      </c>
      <c r="O163" s="20" t="str">
        <f t="shared" si="25"/>
        <v>Acceptable</v>
      </c>
      <c r="P163">
        <f t="shared" si="26"/>
        <v>0.16420000000000001</v>
      </c>
      <c r="Q163">
        <f t="shared" si="27"/>
        <v>1</v>
      </c>
      <c r="R163">
        <f t="shared" si="28"/>
        <v>24</v>
      </c>
      <c r="S163">
        <f t="shared" si="29"/>
        <v>25</v>
      </c>
    </row>
    <row r="164" spans="1:19" ht="15" thickBot="1" x14ac:dyDescent="0.35">
      <c r="A164" s="1">
        <v>163</v>
      </c>
      <c r="B164" s="2">
        <v>40551</v>
      </c>
      <c r="C164" s="1">
        <v>1</v>
      </c>
      <c r="D164" s="1">
        <v>1</v>
      </c>
      <c r="E164" s="3" t="b">
        <v>0</v>
      </c>
      <c r="F164" s="5">
        <v>6</v>
      </c>
      <c r="G164" s="18" t="str">
        <f t="shared" si="30"/>
        <v>Yes</v>
      </c>
      <c r="H164" s="1">
        <v>2</v>
      </c>
      <c r="I164" s="21" t="str">
        <f t="shared" si="31"/>
        <v>Misty</v>
      </c>
      <c r="J164" s="1">
        <v>0.18</v>
      </c>
      <c r="K164" s="23" t="str">
        <f t="shared" si="32"/>
        <v>Safe</v>
      </c>
      <c r="L164">
        <f t="shared" si="22"/>
        <v>0.21210000000000001</v>
      </c>
      <c r="M164" s="20">
        <f t="shared" si="23"/>
        <v>0.21210000000000001</v>
      </c>
      <c r="N164">
        <f t="shared" si="24"/>
        <v>0.55000000000000004</v>
      </c>
      <c r="O164" s="20" t="str">
        <f t="shared" si="25"/>
        <v>Acceptable</v>
      </c>
      <c r="P164">
        <f t="shared" si="26"/>
        <v>8.9599999999999999E-2</v>
      </c>
      <c r="Q164">
        <f t="shared" si="27"/>
        <v>1</v>
      </c>
      <c r="R164">
        <f t="shared" si="28"/>
        <v>15</v>
      </c>
      <c r="S164">
        <f t="shared" si="29"/>
        <v>16</v>
      </c>
    </row>
    <row r="165" spans="1:19" ht="15" thickBot="1" x14ac:dyDescent="0.35">
      <c r="A165" s="1">
        <v>164</v>
      </c>
      <c r="B165" s="2">
        <v>40551</v>
      </c>
      <c r="C165" s="1">
        <v>1</v>
      </c>
      <c r="D165" s="1">
        <v>2</v>
      </c>
      <c r="E165" s="3" t="b">
        <v>0</v>
      </c>
      <c r="F165" s="5">
        <v>6</v>
      </c>
      <c r="G165" s="18" t="str">
        <f t="shared" si="30"/>
        <v>Yes</v>
      </c>
      <c r="H165" s="1">
        <v>2</v>
      </c>
      <c r="I165" s="21" t="str">
        <f t="shared" si="31"/>
        <v>Misty</v>
      </c>
      <c r="J165" s="1">
        <v>0.18</v>
      </c>
      <c r="K165" s="23" t="str">
        <f t="shared" si="32"/>
        <v>Safe</v>
      </c>
      <c r="L165">
        <f t="shared" si="22"/>
        <v>0.2424</v>
      </c>
      <c r="M165" s="20">
        <f t="shared" si="23"/>
        <v>0.2424</v>
      </c>
      <c r="N165">
        <f t="shared" si="24"/>
        <v>0.55000000000000004</v>
      </c>
      <c r="O165" s="20" t="str">
        <f t="shared" si="25"/>
        <v>Acceptable</v>
      </c>
      <c r="P165">
        <f t="shared" si="26"/>
        <v>0</v>
      </c>
      <c r="Q165">
        <f t="shared" si="27"/>
        <v>3</v>
      </c>
      <c r="R165">
        <f t="shared" si="28"/>
        <v>13</v>
      </c>
      <c r="S165">
        <f t="shared" si="29"/>
        <v>16</v>
      </c>
    </row>
    <row r="166" spans="1:19" ht="27.6" thickBot="1" x14ac:dyDescent="0.35">
      <c r="A166" s="1">
        <v>165</v>
      </c>
      <c r="B166" s="2">
        <v>40551</v>
      </c>
      <c r="C166" s="1">
        <v>1</v>
      </c>
      <c r="D166" s="1">
        <v>3</v>
      </c>
      <c r="E166" s="3" t="b">
        <v>0</v>
      </c>
      <c r="F166" s="5">
        <v>6</v>
      </c>
      <c r="G166" s="18" t="str">
        <f t="shared" si="30"/>
        <v>Yes</v>
      </c>
      <c r="H166" s="1">
        <v>3</v>
      </c>
      <c r="I166" s="21" t="str">
        <f t="shared" si="31"/>
        <v>Light Rain</v>
      </c>
      <c r="J166" s="1">
        <v>0.18</v>
      </c>
      <c r="K166" s="23" t="str">
        <f t="shared" si="32"/>
        <v>Safe</v>
      </c>
      <c r="L166">
        <f t="shared" si="22"/>
        <v>0.19700000000000001</v>
      </c>
      <c r="M166" s="20">
        <f t="shared" si="23"/>
        <v>0.19700000000000001</v>
      </c>
      <c r="N166">
        <f t="shared" si="24"/>
        <v>0.55000000000000004</v>
      </c>
      <c r="O166" s="20" t="str">
        <f t="shared" si="25"/>
        <v>Acceptable</v>
      </c>
      <c r="P166">
        <f t="shared" si="26"/>
        <v>0.16420000000000001</v>
      </c>
      <c r="Q166">
        <f t="shared" si="27"/>
        <v>0</v>
      </c>
      <c r="R166">
        <f t="shared" si="28"/>
        <v>7</v>
      </c>
      <c r="S166">
        <f t="shared" si="29"/>
        <v>7</v>
      </c>
    </row>
    <row r="167" spans="1:19" ht="27.6" thickBot="1" x14ac:dyDescent="0.35">
      <c r="A167" s="1">
        <v>166</v>
      </c>
      <c r="B167" s="2">
        <v>40551</v>
      </c>
      <c r="C167" s="1">
        <v>1</v>
      </c>
      <c r="D167" s="1">
        <v>4</v>
      </c>
      <c r="E167" s="3" t="b">
        <v>0</v>
      </c>
      <c r="F167" s="5">
        <v>6</v>
      </c>
      <c r="G167" s="18" t="str">
        <f t="shared" si="30"/>
        <v>Yes</v>
      </c>
      <c r="H167" s="1">
        <v>3</v>
      </c>
      <c r="I167" s="21" t="str">
        <f t="shared" si="31"/>
        <v>Light Rain</v>
      </c>
      <c r="J167" s="1">
        <v>0.18</v>
      </c>
      <c r="K167" s="23" t="str">
        <f t="shared" si="32"/>
        <v>Safe</v>
      </c>
      <c r="L167">
        <f t="shared" si="22"/>
        <v>0.19700000000000001</v>
      </c>
      <c r="M167" s="20">
        <f t="shared" si="23"/>
        <v>0.19700000000000001</v>
      </c>
      <c r="N167">
        <f t="shared" si="24"/>
        <v>0.55000000000000004</v>
      </c>
      <c r="O167" s="20" t="str">
        <f t="shared" si="25"/>
        <v>Acceptable</v>
      </c>
      <c r="P167">
        <f t="shared" si="26"/>
        <v>0.16420000000000001</v>
      </c>
      <c r="Q167">
        <f t="shared" si="27"/>
        <v>0</v>
      </c>
      <c r="R167">
        <f t="shared" si="28"/>
        <v>1</v>
      </c>
      <c r="S167">
        <f t="shared" si="29"/>
        <v>1</v>
      </c>
    </row>
    <row r="168" spans="1:19" ht="15" thickBot="1" x14ac:dyDescent="0.35">
      <c r="A168" s="1">
        <v>167</v>
      </c>
      <c r="B168" s="2">
        <v>40551</v>
      </c>
      <c r="C168" s="1">
        <v>1</v>
      </c>
      <c r="D168" s="1">
        <v>5</v>
      </c>
      <c r="E168" s="3" t="b">
        <v>0</v>
      </c>
      <c r="F168" s="5">
        <v>6</v>
      </c>
      <c r="G168" s="18" t="str">
        <f t="shared" si="30"/>
        <v>Yes</v>
      </c>
      <c r="H168" s="1">
        <v>2</v>
      </c>
      <c r="I168" s="21" t="str">
        <f t="shared" si="31"/>
        <v>Misty</v>
      </c>
      <c r="J168" s="1">
        <v>0.16</v>
      </c>
      <c r="K168" s="23" t="str">
        <f t="shared" si="32"/>
        <v>Safe</v>
      </c>
      <c r="L168">
        <f t="shared" si="22"/>
        <v>0.16669999999999999</v>
      </c>
      <c r="M168" s="20">
        <f t="shared" si="23"/>
        <v>0.16669999999999999</v>
      </c>
      <c r="N168">
        <f t="shared" si="24"/>
        <v>0.74</v>
      </c>
      <c r="O168" s="20" t="str">
        <f t="shared" si="25"/>
        <v>Risky</v>
      </c>
      <c r="P168">
        <f t="shared" si="26"/>
        <v>0.16420000000000001</v>
      </c>
      <c r="Q168">
        <f t="shared" si="27"/>
        <v>0</v>
      </c>
      <c r="R168">
        <f t="shared" si="28"/>
        <v>5</v>
      </c>
      <c r="S168">
        <f t="shared" si="29"/>
        <v>5</v>
      </c>
    </row>
    <row r="169" spans="1:19" ht="15" thickBot="1" x14ac:dyDescent="0.35">
      <c r="A169" s="1">
        <v>168</v>
      </c>
      <c r="B169" s="2">
        <v>40551</v>
      </c>
      <c r="C169" s="1">
        <v>1</v>
      </c>
      <c r="D169" s="1">
        <v>6</v>
      </c>
      <c r="E169" s="3" t="b">
        <v>0</v>
      </c>
      <c r="F169" s="5">
        <v>6</v>
      </c>
      <c r="G169" s="18" t="str">
        <f t="shared" si="30"/>
        <v>Yes</v>
      </c>
      <c r="H169" s="1">
        <v>2</v>
      </c>
      <c r="I169" s="21" t="str">
        <f t="shared" si="31"/>
        <v>Misty</v>
      </c>
      <c r="J169" s="1">
        <v>0.16</v>
      </c>
      <c r="K169" s="23" t="str">
        <f t="shared" si="32"/>
        <v>Safe</v>
      </c>
      <c r="L169">
        <f t="shared" si="22"/>
        <v>0.16669999999999999</v>
      </c>
      <c r="M169" s="20">
        <f t="shared" si="23"/>
        <v>0.16669999999999999</v>
      </c>
      <c r="N169">
        <f t="shared" si="24"/>
        <v>0.74</v>
      </c>
      <c r="O169" s="20" t="str">
        <f t="shared" si="25"/>
        <v>Risky</v>
      </c>
      <c r="P169">
        <f t="shared" si="26"/>
        <v>0.16420000000000001</v>
      </c>
      <c r="Q169">
        <f t="shared" si="27"/>
        <v>0</v>
      </c>
      <c r="R169">
        <f t="shared" si="28"/>
        <v>2</v>
      </c>
      <c r="S169">
        <f t="shared" si="29"/>
        <v>2</v>
      </c>
    </row>
    <row r="170" spans="1:19" ht="15" thickBot="1" x14ac:dyDescent="0.35">
      <c r="A170" s="1">
        <v>169</v>
      </c>
      <c r="B170" s="2">
        <v>40551</v>
      </c>
      <c r="C170" s="1">
        <v>1</v>
      </c>
      <c r="D170" s="1">
        <v>7</v>
      </c>
      <c r="E170" s="3" t="b">
        <v>0</v>
      </c>
      <c r="F170" s="5">
        <v>6</v>
      </c>
      <c r="G170" s="18" t="str">
        <f t="shared" si="30"/>
        <v>Yes</v>
      </c>
      <c r="H170" s="1">
        <v>2</v>
      </c>
      <c r="I170" s="21" t="str">
        <f t="shared" si="31"/>
        <v>Misty</v>
      </c>
      <c r="J170" s="1">
        <v>0.16</v>
      </c>
      <c r="K170" s="23" t="str">
        <f t="shared" si="32"/>
        <v>Safe</v>
      </c>
      <c r="L170">
        <f t="shared" si="22"/>
        <v>0.18179999999999999</v>
      </c>
      <c r="M170" s="20">
        <f t="shared" si="23"/>
        <v>0.18179999999999999</v>
      </c>
      <c r="N170">
        <f t="shared" si="24"/>
        <v>0.74</v>
      </c>
      <c r="O170" s="20" t="str">
        <f t="shared" si="25"/>
        <v>Risky</v>
      </c>
      <c r="P170">
        <f t="shared" si="26"/>
        <v>0.1045</v>
      </c>
      <c r="Q170">
        <f t="shared" si="27"/>
        <v>1</v>
      </c>
      <c r="R170">
        <f t="shared" si="28"/>
        <v>8</v>
      </c>
      <c r="S170">
        <f t="shared" si="29"/>
        <v>9</v>
      </c>
    </row>
    <row r="171" spans="1:19" ht="27.6" thickBot="1" x14ac:dyDescent="0.35">
      <c r="A171" s="1">
        <v>170</v>
      </c>
      <c r="B171" s="2">
        <v>40551</v>
      </c>
      <c r="C171" s="1">
        <v>1</v>
      </c>
      <c r="D171" s="1">
        <v>8</v>
      </c>
      <c r="E171" s="3" t="b">
        <v>0</v>
      </c>
      <c r="F171" s="5">
        <v>6</v>
      </c>
      <c r="G171" s="18" t="str">
        <f t="shared" si="30"/>
        <v>Yes</v>
      </c>
      <c r="H171" s="1">
        <v>3</v>
      </c>
      <c r="I171" s="21" t="str">
        <f t="shared" si="31"/>
        <v>Light Rain</v>
      </c>
      <c r="J171" s="1">
        <v>0.16</v>
      </c>
      <c r="K171" s="23" t="str">
        <f t="shared" si="32"/>
        <v>Safe</v>
      </c>
      <c r="L171">
        <f t="shared" si="22"/>
        <v>0.18179999999999999</v>
      </c>
      <c r="M171" s="20">
        <f t="shared" si="23"/>
        <v>0.18179999999999999</v>
      </c>
      <c r="N171">
        <f t="shared" si="24"/>
        <v>0.93</v>
      </c>
      <c r="O171" s="20" t="str">
        <f t="shared" si="25"/>
        <v>Risky</v>
      </c>
      <c r="P171">
        <f t="shared" si="26"/>
        <v>0.1045</v>
      </c>
      <c r="Q171">
        <f t="shared" si="27"/>
        <v>0</v>
      </c>
      <c r="R171">
        <f t="shared" si="28"/>
        <v>15</v>
      </c>
      <c r="S171">
        <f t="shared" si="29"/>
        <v>15</v>
      </c>
    </row>
    <row r="172" spans="1:19" ht="27.6" thickBot="1" x14ac:dyDescent="0.35">
      <c r="A172" s="1">
        <v>171</v>
      </c>
      <c r="B172" s="2">
        <v>40551</v>
      </c>
      <c r="C172" s="1">
        <v>1</v>
      </c>
      <c r="D172" s="1">
        <v>9</v>
      </c>
      <c r="E172" s="3" t="b">
        <v>0</v>
      </c>
      <c r="F172" s="5">
        <v>6</v>
      </c>
      <c r="G172" s="18" t="str">
        <f t="shared" si="30"/>
        <v>Yes</v>
      </c>
      <c r="H172" s="1">
        <v>3</v>
      </c>
      <c r="I172" s="21" t="str">
        <f t="shared" si="31"/>
        <v>Light Rain</v>
      </c>
      <c r="J172" s="1">
        <v>0.16</v>
      </c>
      <c r="K172" s="23" t="str">
        <f t="shared" si="32"/>
        <v>Safe</v>
      </c>
      <c r="L172">
        <f t="shared" si="22"/>
        <v>0.18179999999999999</v>
      </c>
      <c r="M172" s="20">
        <f t="shared" si="23"/>
        <v>0.18179999999999999</v>
      </c>
      <c r="N172">
        <f t="shared" si="24"/>
        <v>0.93</v>
      </c>
      <c r="O172" s="20" t="str">
        <f t="shared" si="25"/>
        <v>Risky</v>
      </c>
      <c r="P172">
        <f t="shared" si="26"/>
        <v>0.1045</v>
      </c>
      <c r="Q172">
        <f t="shared" si="27"/>
        <v>0</v>
      </c>
      <c r="R172">
        <f t="shared" si="28"/>
        <v>20</v>
      </c>
      <c r="S172">
        <f t="shared" si="29"/>
        <v>20</v>
      </c>
    </row>
    <row r="173" spans="1:19" ht="15" thickBot="1" x14ac:dyDescent="0.35">
      <c r="A173" s="1">
        <v>172</v>
      </c>
      <c r="B173" s="2">
        <v>40551</v>
      </c>
      <c r="C173" s="1">
        <v>1</v>
      </c>
      <c r="D173" s="1">
        <v>10</v>
      </c>
      <c r="E173" s="3" t="b">
        <v>0</v>
      </c>
      <c r="F173" s="5">
        <v>6</v>
      </c>
      <c r="G173" s="18" t="str">
        <f t="shared" si="30"/>
        <v>Yes</v>
      </c>
      <c r="H173" s="1">
        <v>2</v>
      </c>
      <c r="I173" s="21" t="str">
        <f t="shared" si="31"/>
        <v>Misty</v>
      </c>
      <c r="J173" s="1">
        <v>0.18</v>
      </c>
      <c r="K173" s="23" t="str">
        <f t="shared" si="32"/>
        <v>Safe</v>
      </c>
      <c r="L173">
        <f t="shared" si="22"/>
        <v>0.19700000000000001</v>
      </c>
      <c r="M173" s="20">
        <f t="shared" si="23"/>
        <v>0.19700000000000001</v>
      </c>
      <c r="N173">
        <f t="shared" si="24"/>
        <v>0.8</v>
      </c>
      <c r="O173" s="20" t="str">
        <f t="shared" si="25"/>
        <v>Risky</v>
      </c>
      <c r="P173">
        <f t="shared" si="26"/>
        <v>0.16420000000000001</v>
      </c>
      <c r="Q173">
        <f t="shared" si="27"/>
        <v>5</v>
      </c>
      <c r="R173">
        <f t="shared" si="28"/>
        <v>56</v>
      </c>
      <c r="S173">
        <f t="shared" si="29"/>
        <v>61</v>
      </c>
    </row>
    <row r="174" spans="1:19" ht="15" thickBot="1" x14ac:dyDescent="0.35">
      <c r="A174" s="1">
        <v>173</v>
      </c>
      <c r="B174" s="2">
        <v>40551</v>
      </c>
      <c r="C174" s="1">
        <v>1</v>
      </c>
      <c r="D174" s="1">
        <v>11</v>
      </c>
      <c r="E174" s="3" t="b">
        <v>0</v>
      </c>
      <c r="F174" s="5">
        <v>6</v>
      </c>
      <c r="G174" s="18" t="str">
        <f t="shared" si="30"/>
        <v>Yes</v>
      </c>
      <c r="H174" s="1">
        <v>2</v>
      </c>
      <c r="I174" s="21" t="str">
        <f t="shared" si="31"/>
        <v>Misty</v>
      </c>
      <c r="J174" s="1">
        <v>0.2</v>
      </c>
      <c r="K174" s="23" t="str">
        <f t="shared" si="32"/>
        <v>Safe</v>
      </c>
      <c r="L174">
        <f t="shared" si="22"/>
        <v>0.18179999999999999</v>
      </c>
      <c r="M174" s="20">
        <f t="shared" si="23"/>
        <v>0.18179999999999999</v>
      </c>
      <c r="N174">
        <f t="shared" si="24"/>
        <v>0.69</v>
      </c>
      <c r="O174" s="20" t="str">
        <f t="shared" si="25"/>
        <v>Acceptable</v>
      </c>
      <c r="P174">
        <f t="shared" si="26"/>
        <v>0.3881</v>
      </c>
      <c r="Q174">
        <f t="shared" si="27"/>
        <v>2</v>
      </c>
      <c r="R174">
        <f t="shared" si="28"/>
        <v>60</v>
      </c>
      <c r="S174">
        <f t="shared" si="29"/>
        <v>62</v>
      </c>
    </row>
    <row r="175" spans="1:19" ht="15" thickBot="1" x14ac:dyDescent="0.35">
      <c r="A175" s="1">
        <v>174</v>
      </c>
      <c r="B175" s="2">
        <v>40551</v>
      </c>
      <c r="C175" s="1">
        <v>1</v>
      </c>
      <c r="D175" s="1">
        <v>12</v>
      </c>
      <c r="E175" s="3" t="b">
        <v>0</v>
      </c>
      <c r="F175" s="5">
        <v>6</v>
      </c>
      <c r="G175" s="18" t="str">
        <f t="shared" si="30"/>
        <v>Yes</v>
      </c>
      <c r="H175" s="1">
        <v>2</v>
      </c>
      <c r="I175" s="21" t="str">
        <f t="shared" si="31"/>
        <v>Misty</v>
      </c>
      <c r="J175" s="1">
        <v>0.2</v>
      </c>
      <c r="K175" s="23" t="str">
        <f t="shared" si="32"/>
        <v>Safe</v>
      </c>
      <c r="L175">
        <f t="shared" si="22"/>
        <v>0.18179999999999999</v>
      </c>
      <c r="M175" s="20">
        <f t="shared" si="23"/>
        <v>0.18179999999999999</v>
      </c>
      <c r="N175">
        <f t="shared" si="24"/>
        <v>0.59</v>
      </c>
      <c r="O175" s="20" t="str">
        <f t="shared" si="25"/>
        <v>Acceptable</v>
      </c>
      <c r="P175">
        <f t="shared" si="26"/>
        <v>0.35820000000000002</v>
      </c>
      <c r="Q175">
        <f t="shared" si="27"/>
        <v>8</v>
      </c>
      <c r="R175">
        <f t="shared" si="28"/>
        <v>90</v>
      </c>
      <c r="S175">
        <f t="shared" si="29"/>
        <v>98</v>
      </c>
    </row>
    <row r="176" spans="1:19" ht="15" thickBot="1" x14ac:dyDescent="0.35">
      <c r="A176" s="1">
        <v>175</v>
      </c>
      <c r="B176" s="2">
        <v>40551</v>
      </c>
      <c r="C176" s="1">
        <v>1</v>
      </c>
      <c r="D176" s="1">
        <v>13</v>
      </c>
      <c r="E176" s="3" t="b">
        <v>0</v>
      </c>
      <c r="F176" s="5">
        <v>6</v>
      </c>
      <c r="G176" s="18" t="str">
        <f t="shared" si="30"/>
        <v>Yes</v>
      </c>
      <c r="H176" s="1">
        <v>1</v>
      </c>
      <c r="I176" s="21" t="str">
        <f t="shared" si="31"/>
        <v>Clean</v>
      </c>
      <c r="J176" s="1">
        <v>0.2</v>
      </c>
      <c r="K176" s="23" t="str">
        <f t="shared" si="32"/>
        <v>Safe</v>
      </c>
      <c r="L176">
        <f t="shared" si="22"/>
        <v>0.18179999999999999</v>
      </c>
      <c r="M176" s="20">
        <f t="shared" si="23"/>
        <v>0.18179999999999999</v>
      </c>
      <c r="N176">
        <f t="shared" si="24"/>
        <v>0.44</v>
      </c>
      <c r="O176" s="20" t="str">
        <f t="shared" si="25"/>
        <v>Acceptable</v>
      </c>
      <c r="P176">
        <f t="shared" si="26"/>
        <v>0.32840000000000003</v>
      </c>
      <c r="Q176">
        <f t="shared" si="27"/>
        <v>7</v>
      </c>
      <c r="R176">
        <f t="shared" si="28"/>
        <v>95</v>
      </c>
      <c r="S176">
        <f t="shared" si="29"/>
        <v>102</v>
      </c>
    </row>
    <row r="177" spans="1:19" ht="15" thickBot="1" x14ac:dyDescent="0.35">
      <c r="A177" s="1">
        <v>176</v>
      </c>
      <c r="B177" s="2">
        <v>40551</v>
      </c>
      <c r="C177" s="1">
        <v>1</v>
      </c>
      <c r="D177" s="1">
        <v>14</v>
      </c>
      <c r="E177" s="3" t="b">
        <v>0</v>
      </c>
      <c r="F177" s="5">
        <v>6</v>
      </c>
      <c r="G177" s="18" t="str">
        <f t="shared" si="30"/>
        <v>Yes</v>
      </c>
      <c r="H177" s="1">
        <v>1</v>
      </c>
      <c r="I177" s="21" t="str">
        <f t="shared" si="31"/>
        <v>Clean</v>
      </c>
      <c r="J177" s="1">
        <v>0.2</v>
      </c>
      <c r="K177" s="23" t="str">
        <f t="shared" si="32"/>
        <v>Safe</v>
      </c>
      <c r="L177">
        <f t="shared" si="22"/>
        <v>0.16669999999999999</v>
      </c>
      <c r="M177" s="20">
        <f t="shared" si="23"/>
        <v>0.16669999999999999</v>
      </c>
      <c r="N177">
        <f t="shared" si="24"/>
        <v>0.32</v>
      </c>
      <c r="O177" s="20" t="str">
        <f t="shared" si="25"/>
        <v>Acceptable</v>
      </c>
      <c r="P177">
        <f t="shared" si="26"/>
        <v>0.49249999999999999</v>
      </c>
      <c r="Q177">
        <f t="shared" si="27"/>
        <v>12</v>
      </c>
      <c r="R177">
        <f t="shared" si="28"/>
        <v>83</v>
      </c>
      <c r="S177">
        <f t="shared" si="29"/>
        <v>95</v>
      </c>
    </row>
    <row r="178" spans="1:19" ht="15" thickBot="1" x14ac:dyDescent="0.35">
      <c r="A178" s="1">
        <v>177</v>
      </c>
      <c r="B178" s="2">
        <v>40551</v>
      </c>
      <c r="C178" s="1">
        <v>1</v>
      </c>
      <c r="D178" s="1">
        <v>15</v>
      </c>
      <c r="E178" s="3" t="b">
        <v>0</v>
      </c>
      <c r="F178" s="5">
        <v>6</v>
      </c>
      <c r="G178" s="18" t="str">
        <f t="shared" si="30"/>
        <v>Yes</v>
      </c>
      <c r="H178" s="1">
        <v>1</v>
      </c>
      <c r="I178" s="21" t="str">
        <f t="shared" si="31"/>
        <v>Clean</v>
      </c>
      <c r="J178" s="1">
        <v>0.2</v>
      </c>
      <c r="K178" s="23" t="str">
        <f t="shared" si="32"/>
        <v>Safe</v>
      </c>
      <c r="L178">
        <f t="shared" si="22"/>
        <v>0.16669999999999999</v>
      </c>
      <c r="M178" s="20">
        <f t="shared" si="23"/>
        <v>0.16669999999999999</v>
      </c>
      <c r="N178">
        <f t="shared" si="24"/>
        <v>0.32</v>
      </c>
      <c r="O178" s="20" t="str">
        <f t="shared" si="25"/>
        <v>Acceptable</v>
      </c>
      <c r="P178">
        <f t="shared" si="26"/>
        <v>0.44779999999999998</v>
      </c>
      <c r="Q178">
        <f t="shared" si="27"/>
        <v>5</v>
      </c>
      <c r="R178">
        <f t="shared" si="28"/>
        <v>69</v>
      </c>
      <c r="S178">
        <f t="shared" si="29"/>
        <v>74</v>
      </c>
    </row>
    <row r="179" spans="1:19" ht="15" thickBot="1" x14ac:dyDescent="0.35">
      <c r="A179" s="1">
        <v>178</v>
      </c>
      <c r="B179" s="2">
        <v>40551</v>
      </c>
      <c r="C179" s="1">
        <v>1</v>
      </c>
      <c r="D179" s="1">
        <v>16</v>
      </c>
      <c r="E179" s="3" t="b">
        <v>0</v>
      </c>
      <c r="F179" s="5">
        <v>6</v>
      </c>
      <c r="G179" s="18" t="str">
        <f t="shared" si="30"/>
        <v>Yes</v>
      </c>
      <c r="H179" s="1">
        <v>1</v>
      </c>
      <c r="I179" s="21" t="str">
        <f t="shared" si="31"/>
        <v>Clean</v>
      </c>
      <c r="J179" s="1">
        <v>0.18</v>
      </c>
      <c r="K179" s="23" t="str">
        <f t="shared" si="32"/>
        <v>Safe</v>
      </c>
      <c r="L179">
        <f t="shared" si="22"/>
        <v>0.13639999999999999</v>
      </c>
      <c r="M179" s="20">
        <f t="shared" si="23"/>
        <v>0.13639999999999999</v>
      </c>
      <c r="N179">
        <f t="shared" si="24"/>
        <v>0.28999999999999998</v>
      </c>
      <c r="O179" s="20" t="str">
        <f t="shared" si="25"/>
        <v>Acceptable</v>
      </c>
      <c r="P179">
        <f t="shared" si="26"/>
        <v>0.44779999999999998</v>
      </c>
      <c r="Q179">
        <f t="shared" si="27"/>
        <v>8</v>
      </c>
      <c r="R179">
        <f t="shared" si="28"/>
        <v>68</v>
      </c>
      <c r="S179">
        <f t="shared" si="29"/>
        <v>76</v>
      </c>
    </row>
    <row r="180" spans="1:19" ht="15" thickBot="1" x14ac:dyDescent="0.35">
      <c r="A180" s="1">
        <v>179</v>
      </c>
      <c r="B180" s="2">
        <v>40551</v>
      </c>
      <c r="C180" s="1">
        <v>1</v>
      </c>
      <c r="D180" s="1">
        <v>17</v>
      </c>
      <c r="E180" s="3" t="b">
        <v>0</v>
      </c>
      <c r="F180" s="5">
        <v>6</v>
      </c>
      <c r="G180" s="18" t="str">
        <f t="shared" si="30"/>
        <v>Yes</v>
      </c>
      <c r="H180" s="1">
        <v>1</v>
      </c>
      <c r="I180" s="21" t="str">
        <f t="shared" si="31"/>
        <v>Clean</v>
      </c>
      <c r="J180" s="1">
        <v>0.16</v>
      </c>
      <c r="K180" s="23" t="str">
        <f t="shared" si="32"/>
        <v>Safe</v>
      </c>
      <c r="L180">
        <f t="shared" si="22"/>
        <v>0.1212</v>
      </c>
      <c r="M180" s="20">
        <f t="shared" si="23"/>
        <v>0.1212</v>
      </c>
      <c r="N180">
        <f t="shared" si="24"/>
        <v>0.37</v>
      </c>
      <c r="O180" s="20" t="str">
        <f t="shared" si="25"/>
        <v>Acceptable</v>
      </c>
      <c r="P180">
        <f t="shared" si="26"/>
        <v>0.55220000000000002</v>
      </c>
      <c r="Q180">
        <f t="shared" si="27"/>
        <v>5</v>
      </c>
      <c r="R180">
        <f t="shared" si="28"/>
        <v>64</v>
      </c>
      <c r="S180">
        <f t="shared" si="29"/>
        <v>69</v>
      </c>
    </row>
    <row r="181" spans="1:19" ht="15" thickBot="1" x14ac:dyDescent="0.35">
      <c r="A181" s="1">
        <v>180</v>
      </c>
      <c r="B181" s="2">
        <v>40551</v>
      </c>
      <c r="C181" s="1">
        <v>1</v>
      </c>
      <c r="D181" s="1">
        <v>18</v>
      </c>
      <c r="E181" s="3" t="b">
        <v>0</v>
      </c>
      <c r="F181" s="5">
        <v>6</v>
      </c>
      <c r="G181" s="18" t="str">
        <f t="shared" si="30"/>
        <v>Yes</v>
      </c>
      <c r="H181" s="1">
        <v>1</v>
      </c>
      <c r="I181" s="21" t="str">
        <f t="shared" si="31"/>
        <v>Clean</v>
      </c>
      <c r="J181" s="1">
        <v>0.14000000000000001</v>
      </c>
      <c r="K181" s="23" t="str">
        <f t="shared" si="32"/>
        <v>Safe</v>
      </c>
      <c r="L181">
        <f t="shared" si="22"/>
        <v>0.1212</v>
      </c>
      <c r="M181" s="20">
        <f t="shared" si="23"/>
        <v>0.1212</v>
      </c>
      <c r="N181">
        <f t="shared" si="24"/>
        <v>0.39</v>
      </c>
      <c r="O181" s="20" t="str">
        <f t="shared" si="25"/>
        <v>Acceptable</v>
      </c>
      <c r="P181">
        <f t="shared" si="26"/>
        <v>0.29849999999999999</v>
      </c>
      <c r="Q181">
        <f t="shared" si="27"/>
        <v>3</v>
      </c>
      <c r="R181">
        <f t="shared" si="28"/>
        <v>52</v>
      </c>
      <c r="S181">
        <f t="shared" si="29"/>
        <v>55</v>
      </c>
    </row>
    <row r="182" spans="1:19" ht="15" thickBot="1" x14ac:dyDescent="0.35">
      <c r="A182" s="1">
        <v>181</v>
      </c>
      <c r="B182" s="2">
        <v>40551</v>
      </c>
      <c r="C182" s="1">
        <v>1</v>
      </c>
      <c r="D182" s="1">
        <v>19</v>
      </c>
      <c r="E182" s="3" t="b">
        <v>0</v>
      </c>
      <c r="F182" s="5">
        <v>6</v>
      </c>
      <c r="G182" s="18" t="str">
        <f t="shared" si="30"/>
        <v>Yes</v>
      </c>
      <c r="H182" s="1">
        <v>1</v>
      </c>
      <c r="I182" s="21" t="str">
        <f t="shared" si="31"/>
        <v>Clean</v>
      </c>
      <c r="J182" s="1">
        <v>0.14000000000000001</v>
      </c>
      <c r="K182" s="23" t="str">
        <f t="shared" si="32"/>
        <v>Safe</v>
      </c>
      <c r="L182">
        <f t="shared" si="22"/>
        <v>0.1212</v>
      </c>
      <c r="M182" s="20">
        <f t="shared" si="23"/>
        <v>0.1212</v>
      </c>
      <c r="N182">
        <f t="shared" si="24"/>
        <v>0.36</v>
      </c>
      <c r="O182" s="20" t="str">
        <f t="shared" si="25"/>
        <v>Acceptable</v>
      </c>
      <c r="P182">
        <f t="shared" si="26"/>
        <v>0.25369999999999998</v>
      </c>
      <c r="Q182">
        <f t="shared" si="27"/>
        <v>4</v>
      </c>
      <c r="R182">
        <f t="shared" si="28"/>
        <v>26</v>
      </c>
      <c r="S182">
        <f t="shared" si="29"/>
        <v>30</v>
      </c>
    </row>
    <row r="183" spans="1:19" ht="15" thickBot="1" x14ac:dyDescent="0.35">
      <c r="A183" s="1">
        <v>182</v>
      </c>
      <c r="B183" s="2">
        <v>40551</v>
      </c>
      <c r="C183" s="1">
        <v>1</v>
      </c>
      <c r="D183" s="1">
        <v>20</v>
      </c>
      <c r="E183" s="3" t="b">
        <v>0</v>
      </c>
      <c r="F183" s="5">
        <v>6</v>
      </c>
      <c r="G183" s="18" t="str">
        <f t="shared" si="30"/>
        <v>Yes</v>
      </c>
      <c r="H183" s="1">
        <v>1</v>
      </c>
      <c r="I183" s="21" t="str">
        <f t="shared" si="31"/>
        <v>Clean</v>
      </c>
      <c r="J183" s="1">
        <v>0.12</v>
      </c>
      <c r="K183" s="23" t="str">
        <f t="shared" si="32"/>
        <v>Safe</v>
      </c>
      <c r="L183">
        <f t="shared" si="22"/>
        <v>0.1212</v>
      </c>
      <c r="M183" s="20">
        <f t="shared" si="23"/>
        <v>0.1212</v>
      </c>
      <c r="N183">
        <f t="shared" si="24"/>
        <v>0.36</v>
      </c>
      <c r="O183" s="20" t="str">
        <f t="shared" si="25"/>
        <v>Acceptable</v>
      </c>
      <c r="P183">
        <f t="shared" si="26"/>
        <v>0.25369999999999998</v>
      </c>
      <c r="Q183">
        <f t="shared" si="27"/>
        <v>0</v>
      </c>
      <c r="R183">
        <f t="shared" si="28"/>
        <v>28</v>
      </c>
      <c r="S183">
        <f t="shared" si="29"/>
        <v>28</v>
      </c>
    </row>
    <row r="184" spans="1:19" ht="15" thickBot="1" x14ac:dyDescent="0.35">
      <c r="A184" s="1">
        <v>183</v>
      </c>
      <c r="B184" s="2">
        <v>40551</v>
      </c>
      <c r="C184" s="1">
        <v>1</v>
      </c>
      <c r="D184" s="1">
        <v>21</v>
      </c>
      <c r="E184" s="3" t="b">
        <v>0</v>
      </c>
      <c r="F184" s="5">
        <v>6</v>
      </c>
      <c r="G184" s="18" t="str">
        <f t="shared" si="30"/>
        <v>Yes</v>
      </c>
      <c r="H184" s="1">
        <v>1</v>
      </c>
      <c r="I184" s="21" t="str">
        <f t="shared" si="31"/>
        <v>Clean</v>
      </c>
      <c r="J184" s="1">
        <v>0.12</v>
      </c>
      <c r="K184" s="23" t="str">
        <f t="shared" si="32"/>
        <v>Safe</v>
      </c>
      <c r="L184">
        <f t="shared" si="22"/>
        <v>0.1061</v>
      </c>
      <c r="M184" s="20">
        <f t="shared" si="23"/>
        <v>0.1061</v>
      </c>
      <c r="N184">
        <f t="shared" si="24"/>
        <v>0.39</v>
      </c>
      <c r="O184" s="20" t="str">
        <f t="shared" si="25"/>
        <v>Acceptable</v>
      </c>
      <c r="P184">
        <f t="shared" si="26"/>
        <v>0.35820000000000002</v>
      </c>
      <c r="Q184">
        <f t="shared" si="27"/>
        <v>2</v>
      </c>
      <c r="R184">
        <f t="shared" si="28"/>
        <v>35</v>
      </c>
      <c r="S184">
        <f t="shared" si="29"/>
        <v>37</v>
      </c>
    </row>
    <row r="185" spans="1:19" ht="15" thickBot="1" x14ac:dyDescent="0.35">
      <c r="A185" s="1">
        <v>184</v>
      </c>
      <c r="B185" s="2">
        <v>40551</v>
      </c>
      <c r="C185" s="1">
        <v>1</v>
      </c>
      <c r="D185" s="1">
        <v>22</v>
      </c>
      <c r="E185" s="3" t="b">
        <v>0</v>
      </c>
      <c r="F185" s="5">
        <v>6</v>
      </c>
      <c r="G185" s="18" t="str">
        <f t="shared" si="30"/>
        <v>Yes</v>
      </c>
      <c r="H185" s="1">
        <v>1</v>
      </c>
      <c r="I185" s="21" t="str">
        <f t="shared" si="31"/>
        <v>Clean</v>
      </c>
      <c r="J185" s="1">
        <v>0.12</v>
      </c>
      <c r="K185" s="23" t="str">
        <f t="shared" si="32"/>
        <v>Safe</v>
      </c>
      <c r="L185">
        <f t="shared" si="22"/>
        <v>0.1061</v>
      </c>
      <c r="M185" s="20">
        <f t="shared" si="23"/>
        <v>0.1061</v>
      </c>
      <c r="N185">
        <f t="shared" si="24"/>
        <v>0.36</v>
      </c>
      <c r="O185" s="20" t="str">
        <f t="shared" si="25"/>
        <v>Acceptable</v>
      </c>
      <c r="P185">
        <f t="shared" si="26"/>
        <v>0.3881</v>
      </c>
      <c r="Q185">
        <f t="shared" si="27"/>
        <v>1</v>
      </c>
      <c r="R185">
        <f t="shared" si="28"/>
        <v>33</v>
      </c>
      <c r="S185">
        <f t="shared" si="29"/>
        <v>34</v>
      </c>
    </row>
    <row r="186" spans="1:19" ht="15" thickBot="1" x14ac:dyDescent="0.35">
      <c r="A186" s="1">
        <v>185</v>
      </c>
      <c r="B186" s="2">
        <v>40551</v>
      </c>
      <c r="C186" s="1">
        <v>1</v>
      </c>
      <c r="D186" s="1">
        <v>23</v>
      </c>
      <c r="E186" s="3" t="b">
        <v>0</v>
      </c>
      <c r="F186" s="5">
        <v>6</v>
      </c>
      <c r="G186" s="18" t="str">
        <f t="shared" si="30"/>
        <v>Yes</v>
      </c>
      <c r="H186" s="1">
        <v>1</v>
      </c>
      <c r="I186" s="21" t="str">
        <f t="shared" si="31"/>
        <v>Clean</v>
      </c>
      <c r="J186" s="1">
        <v>0.1</v>
      </c>
      <c r="K186" s="23" t="str">
        <f t="shared" si="32"/>
        <v>Safe</v>
      </c>
      <c r="L186">
        <f t="shared" si="22"/>
        <v>6.0600000000000001E-2</v>
      </c>
      <c r="M186" s="20">
        <f t="shared" si="23"/>
        <v>6.0600000000000001E-2</v>
      </c>
      <c r="N186">
        <f t="shared" si="24"/>
        <v>0.39</v>
      </c>
      <c r="O186" s="20" t="str">
        <f t="shared" si="25"/>
        <v>Acceptable</v>
      </c>
      <c r="P186">
        <f t="shared" si="26"/>
        <v>0.44779999999999998</v>
      </c>
      <c r="Q186">
        <f t="shared" si="27"/>
        <v>0</v>
      </c>
      <c r="R186">
        <f t="shared" si="28"/>
        <v>22</v>
      </c>
      <c r="S186">
        <f t="shared" si="29"/>
        <v>22</v>
      </c>
    </row>
    <row r="187" spans="1:19" ht="15" thickBot="1" x14ac:dyDescent="0.35">
      <c r="A187" s="1">
        <v>186</v>
      </c>
      <c r="B187" s="2">
        <v>40552</v>
      </c>
      <c r="C187" s="1">
        <v>1</v>
      </c>
      <c r="D187" s="1">
        <v>0</v>
      </c>
      <c r="E187" s="3" t="b">
        <v>0</v>
      </c>
      <c r="F187" s="5">
        <v>0</v>
      </c>
      <c r="G187" s="18" t="str">
        <f t="shared" si="30"/>
        <v>Yes</v>
      </c>
      <c r="H187" s="1">
        <v>1</v>
      </c>
      <c r="I187" s="21" t="str">
        <f t="shared" si="31"/>
        <v>Clean</v>
      </c>
      <c r="J187" s="1">
        <v>0.1</v>
      </c>
      <c r="K187" s="23" t="str">
        <f t="shared" si="32"/>
        <v>Safe</v>
      </c>
      <c r="L187">
        <f t="shared" si="22"/>
        <v>7.5800000000000006E-2</v>
      </c>
      <c r="M187" s="20">
        <f t="shared" si="23"/>
        <v>7.5800000000000006E-2</v>
      </c>
      <c r="N187">
        <f t="shared" si="24"/>
        <v>0.42</v>
      </c>
      <c r="O187" s="20" t="str">
        <f t="shared" si="25"/>
        <v>Acceptable</v>
      </c>
      <c r="P187">
        <f t="shared" si="26"/>
        <v>0.3881</v>
      </c>
      <c r="Q187">
        <f t="shared" si="27"/>
        <v>1</v>
      </c>
      <c r="R187">
        <f t="shared" si="28"/>
        <v>24</v>
      </c>
      <c r="S187">
        <f t="shared" si="29"/>
        <v>25</v>
      </c>
    </row>
    <row r="188" spans="1:19" ht="15" thickBot="1" x14ac:dyDescent="0.35">
      <c r="A188" s="1">
        <v>187</v>
      </c>
      <c r="B188" s="2">
        <v>40552</v>
      </c>
      <c r="C188" s="1">
        <v>1</v>
      </c>
      <c r="D188" s="1">
        <v>1</v>
      </c>
      <c r="E188" s="3" t="b">
        <v>0</v>
      </c>
      <c r="F188" s="5">
        <v>0</v>
      </c>
      <c r="G188" s="18" t="str">
        <f t="shared" si="30"/>
        <v>Yes</v>
      </c>
      <c r="H188" s="1">
        <v>1</v>
      </c>
      <c r="I188" s="21" t="str">
        <f t="shared" si="31"/>
        <v>Clean</v>
      </c>
      <c r="J188" s="1">
        <v>0.1</v>
      </c>
      <c r="K188" s="23" t="str">
        <f t="shared" si="32"/>
        <v>Safe</v>
      </c>
      <c r="L188">
        <f t="shared" si="22"/>
        <v>6.0600000000000001E-2</v>
      </c>
      <c r="M188" s="20">
        <f t="shared" si="23"/>
        <v>6.0600000000000001E-2</v>
      </c>
      <c r="N188">
        <f t="shared" si="24"/>
        <v>0.42</v>
      </c>
      <c r="O188" s="20" t="str">
        <f t="shared" si="25"/>
        <v>Acceptable</v>
      </c>
      <c r="P188">
        <f t="shared" si="26"/>
        <v>0.4627</v>
      </c>
      <c r="Q188">
        <f t="shared" si="27"/>
        <v>0</v>
      </c>
      <c r="R188">
        <f t="shared" si="28"/>
        <v>12</v>
      </c>
      <c r="S188">
        <f t="shared" si="29"/>
        <v>12</v>
      </c>
    </row>
    <row r="189" spans="1:19" ht="15" thickBot="1" x14ac:dyDescent="0.35">
      <c r="A189" s="1">
        <v>188</v>
      </c>
      <c r="B189" s="2">
        <v>40552</v>
      </c>
      <c r="C189" s="1">
        <v>1</v>
      </c>
      <c r="D189" s="1">
        <v>2</v>
      </c>
      <c r="E189" s="3" t="b">
        <v>0</v>
      </c>
      <c r="F189" s="5">
        <v>0</v>
      </c>
      <c r="G189" s="18" t="str">
        <f t="shared" si="30"/>
        <v>Yes</v>
      </c>
      <c r="H189" s="1">
        <v>1</v>
      </c>
      <c r="I189" s="21" t="str">
        <f t="shared" si="31"/>
        <v>Clean</v>
      </c>
      <c r="J189" s="1">
        <v>0.1</v>
      </c>
      <c r="K189" s="23" t="str">
        <f t="shared" si="32"/>
        <v>Safe</v>
      </c>
      <c r="L189">
        <f t="shared" si="22"/>
        <v>6.0600000000000001E-2</v>
      </c>
      <c r="M189" s="20">
        <f t="shared" si="23"/>
        <v>6.0600000000000001E-2</v>
      </c>
      <c r="N189">
        <f t="shared" si="24"/>
        <v>0.46</v>
      </c>
      <c r="O189" s="20" t="str">
        <f t="shared" si="25"/>
        <v>Acceptable</v>
      </c>
      <c r="P189">
        <f t="shared" si="26"/>
        <v>0.4627</v>
      </c>
      <c r="Q189">
        <f t="shared" si="27"/>
        <v>0</v>
      </c>
      <c r="R189">
        <f t="shared" si="28"/>
        <v>11</v>
      </c>
      <c r="S189">
        <f t="shared" si="29"/>
        <v>11</v>
      </c>
    </row>
    <row r="190" spans="1:19" ht="15" thickBot="1" x14ac:dyDescent="0.35">
      <c r="A190" s="1">
        <v>189</v>
      </c>
      <c r="B190" s="2">
        <v>40552</v>
      </c>
      <c r="C190" s="1">
        <v>1</v>
      </c>
      <c r="D190" s="1">
        <v>3</v>
      </c>
      <c r="E190" s="3" t="b">
        <v>0</v>
      </c>
      <c r="F190" s="5">
        <v>0</v>
      </c>
      <c r="G190" s="18" t="str">
        <f t="shared" si="30"/>
        <v>Yes</v>
      </c>
      <c r="H190" s="1">
        <v>1</v>
      </c>
      <c r="I190" s="21" t="str">
        <f t="shared" si="31"/>
        <v>Clean</v>
      </c>
      <c r="J190" s="1">
        <v>0.1</v>
      </c>
      <c r="K190" s="23" t="str">
        <f t="shared" si="32"/>
        <v>Safe</v>
      </c>
      <c r="L190">
        <f t="shared" si="22"/>
        <v>7.5800000000000006E-2</v>
      </c>
      <c r="M190" s="20">
        <f t="shared" si="23"/>
        <v>7.5800000000000006E-2</v>
      </c>
      <c r="N190">
        <f t="shared" si="24"/>
        <v>0.46</v>
      </c>
      <c r="O190" s="20" t="str">
        <f t="shared" si="25"/>
        <v>Acceptable</v>
      </c>
      <c r="P190">
        <f t="shared" si="26"/>
        <v>0.41789999999999999</v>
      </c>
      <c r="Q190">
        <f t="shared" si="27"/>
        <v>0</v>
      </c>
      <c r="R190">
        <f t="shared" si="28"/>
        <v>4</v>
      </c>
      <c r="S190">
        <f t="shared" si="29"/>
        <v>4</v>
      </c>
    </row>
    <row r="191" spans="1:19" ht="15" thickBot="1" x14ac:dyDescent="0.35">
      <c r="A191" s="1">
        <v>190</v>
      </c>
      <c r="B191" s="2">
        <v>40552</v>
      </c>
      <c r="C191" s="1">
        <v>1</v>
      </c>
      <c r="D191" s="1">
        <v>4</v>
      </c>
      <c r="E191" s="3" t="b">
        <v>0</v>
      </c>
      <c r="F191" s="5">
        <v>0</v>
      </c>
      <c r="G191" s="18" t="str">
        <f t="shared" si="30"/>
        <v>Yes</v>
      </c>
      <c r="H191" s="1">
        <v>1</v>
      </c>
      <c r="I191" s="21" t="str">
        <f t="shared" si="31"/>
        <v>Clean</v>
      </c>
      <c r="J191" s="1">
        <v>0.08</v>
      </c>
      <c r="K191" s="23" t="str">
        <f t="shared" si="32"/>
        <v>Risky</v>
      </c>
      <c r="L191">
        <f t="shared" si="22"/>
        <v>9.0899999999999995E-2</v>
      </c>
      <c r="M191" s="20">
        <f t="shared" si="23"/>
        <v>9.0899999999999995E-2</v>
      </c>
      <c r="N191">
        <f t="shared" si="24"/>
        <v>0.53</v>
      </c>
      <c r="O191" s="20" t="str">
        <f t="shared" si="25"/>
        <v>Acceptable</v>
      </c>
      <c r="P191">
        <f t="shared" si="26"/>
        <v>0.19400000000000001</v>
      </c>
      <c r="Q191">
        <f t="shared" si="27"/>
        <v>0</v>
      </c>
      <c r="R191">
        <f t="shared" si="28"/>
        <v>1</v>
      </c>
      <c r="S191">
        <f t="shared" si="29"/>
        <v>1</v>
      </c>
    </row>
    <row r="192" spans="1:19" ht="15" thickBot="1" x14ac:dyDescent="0.35">
      <c r="A192" s="1">
        <v>191</v>
      </c>
      <c r="B192" s="2">
        <v>40552</v>
      </c>
      <c r="C192" s="1">
        <v>1</v>
      </c>
      <c r="D192" s="1">
        <v>5</v>
      </c>
      <c r="E192" s="3" t="b">
        <v>0</v>
      </c>
      <c r="F192" s="5">
        <v>0</v>
      </c>
      <c r="G192" s="18" t="str">
        <f t="shared" si="30"/>
        <v>Yes</v>
      </c>
      <c r="H192" s="1">
        <v>1</v>
      </c>
      <c r="I192" s="21" t="str">
        <f t="shared" si="31"/>
        <v>Clean</v>
      </c>
      <c r="J192" s="1">
        <v>0.08</v>
      </c>
      <c r="K192" s="23" t="str">
        <f t="shared" si="32"/>
        <v>Risky</v>
      </c>
      <c r="L192">
        <f t="shared" si="22"/>
        <v>9.0899999999999995E-2</v>
      </c>
      <c r="M192" s="20">
        <f t="shared" si="23"/>
        <v>9.0899999999999995E-2</v>
      </c>
      <c r="N192">
        <f t="shared" si="24"/>
        <v>0.53</v>
      </c>
      <c r="O192" s="20" t="str">
        <f t="shared" si="25"/>
        <v>Acceptable</v>
      </c>
      <c r="P192">
        <f t="shared" si="26"/>
        <v>0.19400000000000001</v>
      </c>
      <c r="Q192">
        <f t="shared" si="27"/>
        <v>0</v>
      </c>
      <c r="R192">
        <f t="shared" si="28"/>
        <v>1</v>
      </c>
      <c r="S192">
        <f t="shared" si="29"/>
        <v>1</v>
      </c>
    </row>
    <row r="193" spans="1:19" ht="15" thickBot="1" x14ac:dyDescent="0.35">
      <c r="A193" s="1">
        <v>192</v>
      </c>
      <c r="B193" s="2">
        <v>40552</v>
      </c>
      <c r="C193" s="1">
        <v>1</v>
      </c>
      <c r="D193" s="1">
        <v>6</v>
      </c>
      <c r="E193" s="3" t="b">
        <v>0</v>
      </c>
      <c r="F193" s="5">
        <v>0</v>
      </c>
      <c r="G193" s="18" t="str">
        <f t="shared" si="30"/>
        <v>Yes</v>
      </c>
      <c r="H193" s="1">
        <v>1</v>
      </c>
      <c r="I193" s="21" t="str">
        <f t="shared" si="31"/>
        <v>Clean</v>
      </c>
      <c r="J193" s="1">
        <v>0.1</v>
      </c>
      <c r="K193" s="23" t="str">
        <f t="shared" si="32"/>
        <v>Safe</v>
      </c>
      <c r="L193">
        <f t="shared" si="22"/>
        <v>9.0899999999999995E-2</v>
      </c>
      <c r="M193" s="20">
        <f t="shared" si="23"/>
        <v>9.0899999999999995E-2</v>
      </c>
      <c r="N193">
        <f t="shared" si="24"/>
        <v>0.49</v>
      </c>
      <c r="O193" s="20" t="str">
        <f t="shared" si="25"/>
        <v>Acceptable</v>
      </c>
      <c r="P193">
        <f t="shared" si="26"/>
        <v>0.28360000000000002</v>
      </c>
      <c r="Q193">
        <f t="shared" si="27"/>
        <v>0</v>
      </c>
      <c r="R193">
        <f t="shared" si="28"/>
        <v>1</v>
      </c>
      <c r="S193">
        <f t="shared" si="29"/>
        <v>1</v>
      </c>
    </row>
    <row r="194" spans="1:19" ht="15" thickBot="1" x14ac:dyDescent="0.35">
      <c r="A194" s="1">
        <v>193</v>
      </c>
      <c r="B194" s="2">
        <v>40552</v>
      </c>
      <c r="C194" s="1">
        <v>1</v>
      </c>
      <c r="D194" s="1">
        <v>7</v>
      </c>
      <c r="E194" s="3" t="b">
        <v>0</v>
      </c>
      <c r="F194" s="5">
        <v>0</v>
      </c>
      <c r="G194" s="18" t="str">
        <f t="shared" si="30"/>
        <v>Yes</v>
      </c>
      <c r="H194" s="1">
        <v>1</v>
      </c>
      <c r="I194" s="21" t="str">
        <f t="shared" si="31"/>
        <v>Clean</v>
      </c>
      <c r="J194" s="1">
        <v>0.08</v>
      </c>
      <c r="K194" s="23" t="str">
        <f t="shared" si="32"/>
        <v>Risky</v>
      </c>
      <c r="L194">
        <f t="shared" ref="L194:L257" si="33">VLOOKUP($A194,list2,2,FALSE)</f>
        <v>9.0899999999999995E-2</v>
      </c>
      <c r="M194" s="20">
        <f t="shared" ref="M194:M257" si="34">VLOOKUP($A194,list2,3,FALSE)</f>
        <v>9.0899999999999995E-2</v>
      </c>
      <c r="N194">
        <f t="shared" ref="N194:N257" si="35">VLOOKUP($A194,list2,4,FALSE)</f>
        <v>0.53</v>
      </c>
      <c r="O194" s="20" t="str">
        <f t="shared" ref="O194:O257" si="36">VLOOKUP($A194,list2,5,FALSE)</f>
        <v>Acceptable</v>
      </c>
      <c r="P194">
        <f t="shared" ref="P194:P257" si="37">VLOOKUP($A194,list2,6,FALSE)</f>
        <v>0.19400000000000001</v>
      </c>
      <c r="Q194">
        <f t="shared" ref="Q194:Q257" si="38">VLOOKUP($A194,list2,7,FALSE)</f>
        <v>1</v>
      </c>
      <c r="R194">
        <f t="shared" ref="R194:R257" si="39">VLOOKUP($A194,list2,8,FALSE)</f>
        <v>5</v>
      </c>
      <c r="S194">
        <f t="shared" ref="S194:S257" si="40">VLOOKUP($A194,list2,9,FALSE)</f>
        <v>6</v>
      </c>
    </row>
    <row r="195" spans="1:19" ht="15" thickBot="1" x14ac:dyDescent="0.35">
      <c r="A195" s="1">
        <v>194</v>
      </c>
      <c r="B195" s="2">
        <v>40552</v>
      </c>
      <c r="C195" s="1">
        <v>1</v>
      </c>
      <c r="D195" s="1">
        <v>8</v>
      </c>
      <c r="E195" s="3" t="b">
        <v>0</v>
      </c>
      <c r="F195" s="5">
        <v>0</v>
      </c>
      <c r="G195" s="18" t="str">
        <f t="shared" ref="G195:G258" si="41">_xlfn.IFS(F195=0,"Yes",F195=6,"Yes",F195&gt;0,"No")</f>
        <v>Yes</v>
      </c>
      <c r="H195" s="1">
        <v>1</v>
      </c>
      <c r="I195" s="21" t="str">
        <f t="shared" ref="I195:I258" si="42">_xlfn.IFS(H195=1,"Clean",H195=2,"Misty",H195=3,"Light Rain",H195=4,"Heavy Rain")</f>
        <v>Clean</v>
      </c>
      <c r="J195" s="1">
        <v>0.1</v>
      </c>
      <c r="K195" s="23" t="str">
        <f t="shared" ref="K195:K258" si="43">_xlfn.IFS(J195&lt;0.1,"Risky",J195&lt;0.35,"Safe",J195&gt;0.35,"Risky")</f>
        <v>Safe</v>
      </c>
      <c r="L195">
        <f t="shared" si="33"/>
        <v>9.0899999999999995E-2</v>
      </c>
      <c r="M195" s="20">
        <f t="shared" si="34"/>
        <v>9.0899999999999995E-2</v>
      </c>
      <c r="N195">
        <f t="shared" si="35"/>
        <v>0.49</v>
      </c>
      <c r="O195" s="20" t="str">
        <f t="shared" si="36"/>
        <v>Acceptable</v>
      </c>
      <c r="P195">
        <f t="shared" si="37"/>
        <v>0.28360000000000002</v>
      </c>
      <c r="Q195">
        <f t="shared" si="38"/>
        <v>0</v>
      </c>
      <c r="R195">
        <f t="shared" si="39"/>
        <v>10</v>
      </c>
      <c r="S195">
        <f t="shared" si="40"/>
        <v>10</v>
      </c>
    </row>
    <row r="196" spans="1:19" ht="15" thickBot="1" x14ac:dyDescent="0.35">
      <c r="A196" s="1">
        <v>195</v>
      </c>
      <c r="B196" s="2">
        <v>40552</v>
      </c>
      <c r="C196" s="1">
        <v>1</v>
      </c>
      <c r="D196" s="1">
        <v>9</v>
      </c>
      <c r="E196" s="3" t="b">
        <v>0</v>
      </c>
      <c r="F196" s="5">
        <v>0</v>
      </c>
      <c r="G196" s="18" t="str">
        <f t="shared" si="41"/>
        <v>Yes</v>
      </c>
      <c r="H196" s="1">
        <v>1</v>
      </c>
      <c r="I196" s="21" t="str">
        <f t="shared" si="42"/>
        <v>Clean</v>
      </c>
      <c r="J196" s="1">
        <v>0.12</v>
      </c>
      <c r="K196" s="23" t="str">
        <f t="shared" si="43"/>
        <v>Safe</v>
      </c>
      <c r="L196">
        <f t="shared" si="33"/>
        <v>7.5800000000000006E-2</v>
      </c>
      <c r="M196" s="20">
        <f t="shared" si="34"/>
        <v>7.5800000000000006E-2</v>
      </c>
      <c r="N196">
        <f t="shared" si="35"/>
        <v>0.46</v>
      </c>
      <c r="O196" s="20" t="str">
        <f t="shared" si="36"/>
        <v>Acceptable</v>
      </c>
      <c r="P196">
        <f t="shared" si="37"/>
        <v>0.52239999999999998</v>
      </c>
      <c r="Q196">
        <f t="shared" si="38"/>
        <v>0</v>
      </c>
      <c r="R196">
        <f t="shared" si="39"/>
        <v>19</v>
      </c>
      <c r="S196">
        <f t="shared" si="40"/>
        <v>19</v>
      </c>
    </row>
    <row r="197" spans="1:19" ht="15" thickBot="1" x14ac:dyDescent="0.35">
      <c r="A197" s="1">
        <v>196</v>
      </c>
      <c r="B197" s="2">
        <v>40552</v>
      </c>
      <c r="C197" s="1">
        <v>1</v>
      </c>
      <c r="D197" s="1">
        <v>10</v>
      </c>
      <c r="E197" s="3" t="b">
        <v>0</v>
      </c>
      <c r="F197" s="5">
        <v>0</v>
      </c>
      <c r="G197" s="18" t="str">
        <f t="shared" si="41"/>
        <v>Yes</v>
      </c>
      <c r="H197" s="1">
        <v>1</v>
      </c>
      <c r="I197" s="21" t="str">
        <f t="shared" si="42"/>
        <v>Clean</v>
      </c>
      <c r="J197" s="1">
        <v>0.14000000000000001</v>
      </c>
      <c r="K197" s="23" t="str">
        <f t="shared" si="43"/>
        <v>Safe</v>
      </c>
      <c r="L197">
        <f t="shared" si="33"/>
        <v>0.1061</v>
      </c>
      <c r="M197" s="20">
        <f t="shared" si="34"/>
        <v>0.1061</v>
      </c>
      <c r="N197">
        <f t="shared" si="35"/>
        <v>0.43</v>
      </c>
      <c r="O197" s="20" t="str">
        <f t="shared" si="36"/>
        <v>Acceptable</v>
      </c>
      <c r="P197">
        <f t="shared" si="37"/>
        <v>0.3881</v>
      </c>
      <c r="Q197">
        <f t="shared" si="38"/>
        <v>0</v>
      </c>
      <c r="R197">
        <f t="shared" si="39"/>
        <v>49</v>
      </c>
      <c r="S197">
        <f t="shared" si="40"/>
        <v>49</v>
      </c>
    </row>
    <row r="198" spans="1:19" ht="15" thickBot="1" x14ac:dyDescent="0.35">
      <c r="A198" s="1">
        <v>197</v>
      </c>
      <c r="B198" s="2">
        <v>40552</v>
      </c>
      <c r="C198" s="1">
        <v>1</v>
      </c>
      <c r="D198" s="1">
        <v>11</v>
      </c>
      <c r="E198" s="3" t="b">
        <v>0</v>
      </c>
      <c r="F198" s="5">
        <v>0</v>
      </c>
      <c r="G198" s="18" t="str">
        <f t="shared" si="41"/>
        <v>Yes</v>
      </c>
      <c r="H198" s="1">
        <v>1</v>
      </c>
      <c r="I198" s="21" t="str">
        <f t="shared" si="42"/>
        <v>Clean</v>
      </c>
      <c r="J198" s="1">
        <v>0.16</v>
      </c>
      <c r="K198" s="23" t="str">
        <f t="shared" si="43"/>
        <v>Safe</v>
      </c>
      <c r="L198">
        <f t="shared" si="33"/>
        <v>0.1212</v>
      </c>
      <c r="M198" s="20">
        <f t="shared" si="34"/>
        <v>0.1212</v>
      </c>
      <c r="N198">
        <f t="shared" si="35"/>
        <v>0.4</v>
      </c>
      <c r="O198" s="20" t="str">
        <f t="shared" si="36"/>
        <v>Acceptable</v>
      </c>
      <c r="P198">
        <f t="shared" si="37"/>
        <v>0.52239999999999998</v>
      </c>
      <c r="Q198">
        <f t="shared" si="38"/>
        <v>2</v>
      </c>
      <c r="R198">
        <f t="shared" si="39"/>
        <v>47</v>
      </c>
      <c r="S198">
        <f t="shared" si="40"/>
        <v>49</v>
      </c>
    </row>
    <row r="199" spans="1:19" ht="15" thickBot="1" x14ac:dyDescent="0.35">
      <c r="A199" s="1">
        <v>198</v>
      </c>
      <c r="B199" s="2">
        <v>40552</v>
      </c>
      <c r="C199" s="1">
        <v>1</v>
      </c>
      <c r="D199" s="1">
        <v>12</v>
      </c>
      <c r="E199" s="3" t="b">
        <v>0</v>
      </c>
      <c r="F199" s="5">
        <v>0</v>
      </c>
      <c r="G199" s="18" t="str">
        <f t="shared" si="41"/>
        <v>Yes</v>
      </c>
      <c r="H199" s="1">
        <v>1</v>
      </c>
      <c r="I199" s="21" t="str">
        <f t="shared" si="42"/>
        <v>Clean</v>
      </c>
      <c r="J199" s="1">
        <v>0.18</v>
      </c>
      <c r="K199" s="23" t="str">
        <f t="shared" si="43"/>
        <v>Safe</v>
      </c>
      <c r="L199">
        <f t="shared" si="33"/>
        <v>0.13639999999999999</v>
      </c>
      <c r="M199" s="20">
        <f t="shared" si="34"/>
        <v>0.13639999999999999</v>
      </c>
      <c r="N199">
        <f t="shared" si="35"/>
        <v>0.37</v>
      </c>
      <c r="O199" s="20" t="str">
        <f t="shared" si="36"/>
        <v>Acceptable</v>
      </c>
      <c r="P199">
        <f t="shared" si="37"/>
        <v>0.44779999999999998</v>
      </c>
      <c r="Q199">
        <f t="shared" si="38"/>
        <v>4</v>
      </c>
      <c r="R199">
        <f t="shared" si="39"/>
        <v>79</v>
      </c>
      <c r="S199">
        <f t="shared" si="40"/>
        <v>83</v>
      </c>
    </row>
    <row r="200" spans="1:19" ht="15" thickBot="1" x14ac:dyDescent="0.35">
      <c r="A200" s="1">
        <v>199</v>
      </c>
      <c r="B200" s="2">
        <v>40552</v>
      </c>
      <c r="C200" s="1">
        <v>1</v>
      </c>
      <c r="D200" s="1">
        <v>13</v>
      </c>
      <c r="E200" s="3" t="b">
        <v>0</v>
      </c>
      <c r="F200" s="5">
        <v>0</v>
      </c>
      <c r="G200" s="18" t="str">
        <f t="shared" si="41"/>
        <v>Yes</v>
      </c>
      <c r="H200" s="1">
        <v>1</v>
      </c>
      <c r="I200" s="21" t="str">
        <f t="shared" si="42"/>
        <v>Clean</v>
      </c>
      <c r="J200" s="1">
        <v>0.2</v>
      </c>
      <c r="K200" s="23" t="str">
        <f t="shared" si="43"/>
        <v>Safe</v>
      </c>
      <c r="L200">
        <f t="shared" si="33"/>
        <v>0.16669999999999999</v>
      </c>
      <c r="M200" s="20">
        <f t="shared" si="34"/>
        <v>0.16669999999999999</v>
      </c>
      <c r="N200">
        <f t="shared" si="35"/>
        <v>0.34</v>
      </c>
      <c r="O200" s="20" t="str">
        <f t="shared" si="36"/>
        <v>Acceptable</v>
      </c>
      <c r="P200">
        <f t="shared" si="37"/>
        <v>0.44779999999999998</v>
      </c>
      <c r="Q200">
        <f t="shared" si="38"/>
        <v>6</v>
      </c>
      <c r="R200">
        <f t="shared" si="39"/>
        <v>69</v>
      </c>
      <c r="S200">
        <f t="shared" si="40"/>
        <v>75</v>
      </c>
    </row>
    <row r="201" spans="1:19" ht="15" thickBot="1" x14ac:dyDescent="0.35">
      <c r="A201" s="1">
        <v>200</v>
      </c>
      <c r="B201" s="2">
        <v>40552</v>
      </c>
      <c r="C201" s="1">
        <v>1</v>
      </c>
      <c r="D201" s="1">
        <v>14</v>
      </c>
      <c r="E201" s="3" t="b">
        <v>0</v>
      </c>
      <c r="F201" s="5">
        <v>0</v>
      </c>
      <c r="G201" s="18" t="str">
        <f t="shared" si="41"/>
        <v>Yes</v>
      </c>
      <c r="H201" s="1">
        <v>1</v>
      </c>
      <c r="I201" s="21" t="str">
        <f t="shared" si="42"/>
        <v>Clean</v>
      </c>
      <c r="J201" s="1">
        <v>0.22</v>
      </c>
      <c r="K201" s="23" t="str">
        <f t="shared" si="43"/>
        <v>Safe</v>
      </c>
      <c r="L201">
        <f t="shared" si="33"/>
        <v>0.18179999999999999</v>
      </c>
      <c r="M201" s="20">
        <f t="shared" si="34"/>
        <v>0.18179999999999999</v>
      </c>
      <c r="N201">
        <f t="shared" si="35"/>
        <v>0.32</v>
      </c>
      <c r="O201" s="20" t="str">
        <f t="shared" si="36"/>
        <v>Acceptable</v>
      </c>
      <c r="P201">
        <f t="shared" si="37"/>
        <v>0.4627</v>
      </c>
      <c r="Q201">
        <f t="shared" si="38"/>
        <v>8</v>
      </c>
      <c r="R201">
        <f t="shared" si="39"/>
        <v>64</v>
      </c>
      <c r="S201">
        <f t="shared" si="40"/>
        <v>72</v>
      </c>
    </row>
    <row r="202" spans="1:19" ht="15" thickBot="1" x14ac:dyDescent="0.35">
      <c r="A202" s="1">
        <v>201</v>
      </c>
      <c r="B202" s="2">
        <v>40552</v>
      </c>
      <c r="C202" s="1">
        <v>1</v>
      </c>
      <c r="D202" s="1">
        <v>15</v>
      </c>
      <c r="E202" s="3" t="b">
        <v>0</v>
      </c>
      <c r="F202" s="5">
        <v>0</v>
      </c>
      <c r="G202" s="18" t="str">
        <f t="shared" si="41"/>
        <v>Yes</v>
      </c>
      <c r="H202" s="1">
        <v>1</v>
      </c>
      <c r="I202" s="21" t="str">
        <f t="shared" si="42"/>
        <v>Clean</v>
      </c>
      <c r="J202" s="1">
        <v>0.22</v>
      </c>
      <c r="K202" s="23" t="str">
        <f t="shared" si="43"/>
        <v>Safe</v>
      </c>
      <c r="L202">
        <f t="shared" si="33"/>
        <v>0.19700000000000001</v>
      </c>
      <c r="M202" s="20">
        <f t="shared" si="34"/>
        <v>0.19700000000000001</v>
      </c>
      <c r="N202">
        <f t="shared" si="35"/>
        <v>0.35</v>
      </c>
      <c r="O202" s="20" t="str">
        <f t="shared" si="36"/>
        <v>Acceptable</v>
      </c>
      <c r="P202">
        <f t="shared" si="37"/>
        <v>0.35820000000000002</v>
      </c>
      <c r="Q202">
        <f t="shared" si="38"/>
        <v>5</v>
      </c>
      <c r="R202">
        <f t="shared" si="39"/>
        <v>77</v>
      </c>
      <c r="S202">
        <f t="shared" si="40"/>
        <v>82</v>
      </c>
    </row>
    <row r="203" spans="1:19" ht="15" thickBot="1" x14ac:dyDescent="0.35">
      <c r="A203" s="1">
        <v>202</v>
      </c>
      <c r="B203" s="2">
        <v>40552</v>
      </c>
      <c r="C203" s="1">
        <v>1</v>
      </c>
      <c r="D203" s="1">
        <v>16</v>
      </c>
      <c r="E203" s="3" t="b">
        <v>0</v>
      </c>
      <c r="F203" s="5">
        <v>0</v>
      </c>
      <c r="G203" s="18" t="str">
        <f t="shared" si="41"/>
        <v>Yes</v>
      </c>
      <c r="H203" s="1">
        <v>1</v>
      </c>
      <c r="I203" s="21" t="str">
        <f t="shared" si="42"/>
        <v>Clean</v>
      </c>
      <c r="J203" s="1">
        <v>0.2</v>
      </c>
      <c r="K203" s="23" t="str">
        <f t="shared" si="43"/>
        <v>Safe</v>
      </c>
      <c r="L203">
        <f t="shared" si="33"/>
        <v>0.16669999999999999</v>
      </c>
      <c r="M203" s="20">
        <f t="shared" si="34"/>
        <v>0.16669999999999999</v>
      </c>
      <c r="N203">
        <f t="shared" si="35"/>
        <v>0.34</v>
      </c>
      <c r="O203" s="20" t="str">
        <f t="shared" si="36"/>
        <v>Acceptable</v>
      </c>
      <c r="P203">
        <f t="shared" si="37"/>
        <v>0.44779999999999998</v>
      </c>
      <c r="Q203">
        <f t="shared" si="38"/>
        <v>13</v>
      </c>
      <c r="R203">
        <f t="shared" si="39"/>
        <v>79</v>
      </c>
      <c r="S203">
        <f t="shared" si="40"/>
        <v>92</v>
      </c>
    </row>
    <row r="204" spans="1:19" ht="15" thickBot="1" x14ac:dyDescent="0.35">
      <c r="A204" s="1">
        <v>203</v>
      </c>
      <c r="B204" s="2">
        <v>40552</v>
      </c>
      <c r="C204" s="1">
        <v>1</v>
      </c>
      <c r="D204" s="1">
        <v>17</v>
      </c>
      <c r="E204" s="3" t="b">
        <v>0</v>
      </c>
      <c r="F204" s="5">
        <v>0</v>
      </c>
      <c r="G204" s="18" t="str">
        <f t="shared" si="41"/>
        <v>Yes</v>
      </c>
      <c r="H204" s="1">
        <v>1</v>
      </c>
      <c r="I204" s="21" t="str">
        <f t="shared" si="42"/>
        <v>Clean</v>
      </c>
      <c r="J204" s="1">
        <v>0.18</v>
      </c>
      <c r="K204" s="23" t="str">
        <f t="shared" si="43"/>
        <v>Safe</v>
      </c>
      <c r="L204">
        <f t="shared" si="33"/>
        <v>0.1515</v>
      </c>
      <c r="M204" s="20">
        <f t="shared" si="34"/>
        <v>0.1515</v>
      </c>
      <c r="N204">
        <f t="shared" si="35"/>
        <v>0.37</v>
      </c>
      <c r="O204" s="20" t="str">
        <f t="shared" si="36"/>
        <v>Acceptable</v>
      </c>
      <c r="P204">
        <f t="shared" si="37"/>
        <v>0.3881</v>
      </c>
      <c r="Q204">
        <f t="shared" si="38"/>
        <v>3</v>
      </c>
      <c r="R204">
        <f t="shared" si="39"/>
        <v>59</v>
      </c>
      <c r="S204">
        <f t="shared" si="40"/>
        <v>62</v>
      </c>
    </row>
    <row r="205" spans="1:19" ht="15" thickBot="1" x14ac:dyDescent="0.35">
      <c r="A205" s="1">
        <v>204</v>
      </c>
      <c r="B205" s="2">
        <v>40552</v>
      </c>
      <c r="C205" s="1">
        <v>1</v>
      </c>
      <c r="D205" s="1">
        <v>18</v>
      </c>
      <c r="E205" s="3" t="b">
        <v>0</v>
      </c>
      <c r="F205" s="5">
        <v>0</v>
      </c>
      <c r="G205" s="18" t="str">
        <f t="shared" si="41"/>
        <v>Yes</v>
      </c>
      <c r="H205" s="1">
        <v>1</v>
      </c>
      <c r="I205" s="21" t="str">
        <f t="shared" si="42"/>
        <v>Clean</v>
      </c>
      <c r="J205" s="1">
        <v>0.16</v>
      </c>
      <c r="K205" s="23" t="str">
        <f t="shared" si="43"/>
        <v>Safe</v>
      </c>
      <c r="L205">
        <f t="shared" si="33"/>
        <v>0.13639999999999999</v>
      </c>
      <c r="M205" s="20">
        <f t="shared" si="34"/>
        <v>0.13639999999999999</v>
      </c>
      <c r="N205">
        <f t="shared" si="35"/>
        <v>0.4</v>
      </c>
      <c r="O205" s="20" t="str">
        <f t="shared" si="36"/>
        <v>Acceptable</v>
      </c>
      <c r="P205">
        <f t="shared" si="37"/>
        <v>0.32840000000000003</v>
      </c>
      <c r="Q205">
        <f t="shared" si="38"/>
        <v>4</v>
      </c>
      <c r="R205">
        <f t="shared" si="39"/>
        <v>44</v>
      </c>
      <c r="S205">
        <f t="shared" si="40"/>
        <v>48</v>
      </c>
    </row>
    <row r="206" spans="1:19" ht="15" thickBot="1" x14ac:dyDescent="0.35">
      <c r="A206" s="1">
        <v>205</v>
      </c>
      <c r="B206" s="2">
        <v>40552</v>
      </c>
      <c r="C206" s="1">
        <v>1</v>
      </c>
      <c r="D206" s="1">
        <v>19</v>
      </c>
      <c r="E206" s="3" t="b">
        <v>0</v>
      </c>
      <c r="F206" s="5">
        <v>0</v>
      </c>
      <c r="G206" s="18" t="str">
        <f t="shared" si="41"/>
        <v>Yes</v>
      </c>
      <c r="H206" s="1">
        <v>1</v>
      </c>
      <c r="I206" s="21" t="str">
        <f t="shared" si="42"/>
        <v>Clean</v>
      </c>
      <c r="J206" s="1">
        <v>0.16</v>
      </c>
      <c r="K206" s="23" t="str">
        <f t="shared" si="43"/>
        <v>Safe</v>
      </c>
      <c r="L206">
        <f t="shared" si="33"/>
        <v>0.13639999999999999</v>
      </c>
      <c r="M206" s="20">
        <f t="shared" si="34"/>
        <v>0.13639999999999999</v>
      </c>
      <c r="N206">
        <f t="shared" si="35"/>
        <v>0.43</v>
      </c>
      <c r="O206" s="20" t="str">
        <f t="shared" si="36"/>
        <v>Acceptable</v>
      </c>
      <c r="P206">
        <f t="shared" si="37"/>
        <v>0.32840000000000003</v>
      </c>
      <c r="Q206">
        <f t="shared" si="38"/>
        <v>1</v>
      </c>
      <c r="R206">
        <f t="shared" si="39"/>
        <v>40</v>
      </c>
      <c r="S206">
        <f t="shared" si="40"/>
        <v>41</v>
      </c>
    </row>
    <row r="207" spans="1:19" ht="15" thickBot="1" x14ac:dyDescent="0.35">
      <c r="A207" s="1">
        <v>206</v>
      </c>
      <c r="B207" s="2">
        <v>40552</v>
      </c>
      <c r="C207" s="1">
        <v>1</v>
      </c>
      <c r="D207" s="1">
        <v>20</v>
      </c>
      <c r="E207" s="3" t="b">
        <v>0</v>
      </c>
      <c r="F207" s="5">
        <v>0</v>
      </c>
      <c r="G207" s="18" t="str">
        <f t="shared" si="41"/>
        <v>Yes</v>
      </c>
      <c r="H207" s="1">
        <v>1</v>
      </c>
      <c r="I207" s="21" t="str">
        <f t="shared" si="42"/>
        <v>Clean</v>
      </c>
      <c r="J207" s="1">
        <v>0.14000000000000001</v>
      </c>
      <c r="K207" s="23" t="str">
        <f t="shared" si="43"/>
        <v>Safe</v>
      </c>
      <c r="L207">
        <f t="shared" si="33"/>
        <v>0.1212</v>
      </c>
      <c r="M207" s="20">
        <f t="shared" si="34"/>
        <v>0.1212</v>
      </c>
      <c r="N207">
        <f t="shared" si="35"/>
        <v>0.46</v>
      </c>
      <c r="O207" s="20" t="str">
        <f t="shared" si="36"/>
        <v>Acceptable</v>
      </c>
      <c r="P207">
        <f t="shared" si="37"/>
        <v>0.25369999999999998</v>
      </c>
      <c r="Q207">
        <f t="shared" si="38"/>
        <v>0</v>
      </c>
      <c r="R207">
        <f t="shared" si="39"/>
        <v>38</v>
      </c>
      <c r="S207">
        <f t="shared" si="40"/>
        <v>38</v>
      </c>
    </row>
    <row r="208" spans="1:19" ht="15" thickBot="1" x14ac:dyDescent="0.35">
      <c r="A208" s="1">
        <v>207</v>
      </c>
      <c r="B208" s="2">
        <v>40552</v>
      </c>
      <c r="C208" s="1">
        <v>1</v>
      </c>
      <c r="D208" s="1">
        <v>21</v>
      </c>
      <c r="E208" s="3" t="b">
        <v>0</v>
      </c>
      <c r="F208" s="5">
        <v>0</v>
      </c>
      <c r="G208" s="18" t="str">
        <f t="shared" si="41"/>
        <v>Yes</v>
      </c>
      <c r="H208" s="1">
        <v>1</v>
      </c>
      <c r="I208" s="21" t="str">
        <f t="shared" si="42"/>
        <v>Clean</v>
      </c>
      <c r="J208" s="1">
        <v>0.14000000000000001</v>
      </c>
      <c r="K208" s="23" t="str">
        <f t="shared" si="43"/>
        <v>Safe</v>
      </c>
      <c r="L208">
        <f t="shared" si="33"/>
        <v>0.1061</v>
      </c>
      <c r="M208" s="20">
        <f t="shared" si="34"/>
        <v>0.1061</v>
      </c>
      <c r="N208">
        <f t="shared" si="35"/>
        <v>0.46</v>
      </c>
      <c r="O208" s="20" t="str">
        <f t="shared" si="36"/>
        <v>Acceptable</v>
      </c>
      <c r="P208">
        <f t="shared" si="37"/>
        <v>0.41789999999999999</v>
      </c>
      <c r="Q208">
        <f t="shared" si="38"/>
        <v>1</v>
      </c>
      <c r="R208">
        <f t="shared" si="39"/>
        <v>19</v>
      </c>
      <c r="S208">
        <f t="shared" si="40"/>
        <v>20</v>
      </c>
    </row>
    <row r="209" spans="1:19" ht="15" thickBot="1" x14ac:dyDescent="0.35">
      <c r="A209" s="1">
        <v>208</v>
      </c>
      <c r="B209" s="2">
        <v>40552</v>
      </c>
      <c r="C209" s="1">
        <v>1</v>
      </c>
      <c r="D209" s="1">
        <v>22</v>
      </c>
      <c r="E209" s="3" t="b">
        <v>0</v>
      </c>
      <c r="F209" s="5">
        <v>0</v>
      </c>
      <c r="G209" s="18" t="str">
        <f t="shared" si="41"/>
        <v>Yes</v>
      </c>
      <c r="H209" s="1">
        <v>1</v>
      </c>
      <c r="I209" s="21" t="str">
        <f t="shared" si="42"/>
        <v>Clean</v>
      </c>
      <c r="J209" s="1">
        <v>0.14000000000000001</v>
      </c>
      <c r="K209" s="23" t="str">
        <f t="shared" si="43"/>
        <v>Safe</v>
      </c>
      <c r="L209">
        <f t="shared" si="33"/>
        <v>0.1212</v>
      </c>
      <c r="M209" s="20">
        <f t="shared" si="34"/>
        <v>0.1212</v>
      </c>
      <c r="N209">
        <f t="shared" si="35"/>
        <v>0.46</v>
      </c>
      <c r="O209" s="20" t="str">
        <f t="shared" si="36"/>
        <v>Acceptable</v>
      </c>
      <c r="P209">
        <f t="shared" si="37"/>
        <v>0.29849999999999999</v>
      </c>
      <c r="Q209">
        <f t="shared" si="38"/>
        <v>5</v>
      </c>
      <c r="R209">
        <f t="shared" si="39"/>
        <v>10</v>
      </c>
      <c r="S209">
        <f t="shared" si="40"/>
        <v>15</v>
      </c>
    </row>
    <row r="210" spans="1:19" ht="15" thickBot="1" x14ac:dyDescent="0.35">
      <c r="A210" s="1">
        <v>209</v>
      </c>
      <c r="B210" s="2">
        <v>40552</v>
      </c>
      <c r="C210" s="1">
        <v>1</v>
      </c>
      <c r="D210" s="1">
        <v>23</v>
      </c>
      <c r="E210" s="3" t="b">
        <v>0</v>
      </c>
      <c r="F210" s="5">
        <v>0</v>
      </c>
      <c r="G210" s="18" t="str">
        <f t="shared" si="41"/>
        <v>Yes</v>
      </c>
      <c r="H210" s="1">
        <v>1</v>
      </c>
      <c r="I210" s="21" t="str">
        <f t="shared" si="42"/>
        <v>Clean</v>
      </c>
      <c r="J210" s="1">
        <v>0.12</v>
      </c>
      <c r="K210" s="23" t="str">
        <f t="shared" si="43"/>
        <v>Safe</v>
      </c>
      <c r="L210">
        <f t="shared" si="33"/>
        <v>0.13639999999999999</v>
      </c>
      <c r="M210" s="20">
        <f t="shared" si="34"/>
        <v>0.13639999999999999</v>
      </c>
      <c r="N210">
        <f t="shared" si="35"/>
        <v>0.5</v>
      </c>
      <c r="O210" s="20" t="str">
        <f t="shared" si="36"/>
        <v>Acceptable</v>
      </c>
      <c r="P210">
        <f t="shared" si="37"/>
        <v>0.19400000000000001</v>
      </c>
      <c r="Q210">
        <f t="shared" si="38"/>
        <v>0</v>
      </c>
      <c r="R210">
        <f t="shared" si="39"/>
        <v>6</v>
      </c>
      <c r="S210">
        <f t="shared" si="40"/>
        <v>6</v>
      </c>
    </row>
    <row r="211" spans="1:19" ht="15" thickBot="1" x14ac:dyDescent="0.35">
      <c r="A211" s="1">
        <v>210</v>
      </c>
      <c r="B211" s="2">
        <v>40553</v>
      </c>
      <c r="C211" s="1">
        <v>1</v>
      </c>
      <c r="D211" s="1">
        <v>0</v>
      </c>
      <c r="E211" s="3" t="b">
        <v>0</v>
      </c>
      <c r="F211" s="5">
        <v>1</v>
      </c>
      <c r="G211" s="18" t="str">
        <f t="shared" si="41"/>
        <v>No</v>
      </c>
      <c r="H211" s="1">
        <v>1</v>
      </c>
      <c r="I211" s="21" t="str">
        <f t="shared" si="42"/>
        <v>Clean</v>
      </c>
      <c r="J211" s="1">
        <v>0.12</v>
      </c>
      <c r="K211" s="23" t="str">
        <f t="shared" si="43"/>
        <v>Safe</v>
      </c>
      <c r="L211">
        <f t="shared" si="33"/>
        <v>0.1212</v>
      </c>
      <c r="M211" s="20">
        <f t="shared" si="34"/>
        <v>0.1212</v>
      </c>
      <c r="N211">
        <f t="shared" si="35"/>
        <v>0.5</v>
      </c>
      <c r="O211" s="20" t="str">
        <f t="shared" si="36"/>
        <v>Acceptable</v>
      </c>
      <c r="P211">
        <f t="shared" si="37"/>
        <v>0.28360000000000002</v>
      </c>
      <c r="Q211">
        <f t="shared" si="38"/>
        <v>2</v>
      </c>
      <c r="R211">
        <f t="shared" si="39"/>
        <v>3</v>
      </c>
      <c r="S211">
        <f t="shared" si="40"/>
        <v>5</v>
      </c>
    </row>
    <row r="212" spans="1:19" ht="15" thickBot="1" x14ac:dyDescent="0.35">
      <c r="A212" s="1">
        <v>211</v>
      </c>
      <c r="B212" s="2">
        <v>40553</v>
      </c>
      <c r="C212" s="1">
        <v>1</v>
      </c>
      <c r="D212" s="1">
        <v>1</v>
      </c>
      <c r="E212" s="3" t="b">
        <v>0</v>
      </c>
      <c r="F212" s="5">
        <v>1</v>
      </c>
      <c r="G212" s="18" t="str">
        <f t="shared" si="41"/>
        <v>No</v>
      </c>
      <c r="H212" s="1">
        <v>1</v>
      </c>
      <c r="I212" s="21" t="str">
        <f t="shared" si="42"/>
        <v>Clean</v>
      </c>
      <c r="J212" s="1">
        <v>0.12</v>
      </c>
      <c r="K212" s="23" t="str">
        <f t="shared" si="43"/>
        <v>Safe</v>
      </c>
      <c r="L212">
        <f t="shared" si="33"/>
        <v>0.1212</v>
      </c>
      <c r="M212" s="20">
        <f t="shared" si="34"/>
        <v>0.1212</v>
      </c>
      <c r="N212">
        <f t="shared" si="35"/>
        <v>0.5</v>
      </c>
      <c r="O212" s="20" t="str">
        <f t="shared" si="36"/>
        <v>Acceptable</v>
      </c>
      <c r="P212">
        <f t="shared" si="37"/>
        <v>0.28360000000000002</v>
      </c>
      <c r="Q212">
        <f t="shared" si="38"/>
        <v>1</v>
      </c>
      <c r="R212">
        <f t="shared" si="39"/>
        <v>0</v>
      </c>
      <c r="S212">
        <f t="shared" si="40"/>
        <v>1</v>
      </c>
    </row>
    <row r="213" spans="1:19" ht="15" thickBot="1" x14ac:dyDescent="0.35">
      <c r="A213" s="1">
        <v>212</v>
      </c>
      <c r="B213" s="2">
        <v>40553</v>
      </c>
      <c r="C213" s="1">
        <v>1</v>
      </c>
      <c r="D213" s="1">
        <v>2</v>
      </c>
      <c r="E213" s="3" t="b">
        <v>0</v>
      </c>
      <c r="F213" s="5">
        <v>1</v>
      </c>
      <c r="G213" s="18" t="str">
        <f t="shared" si="41"/>
        <v>No</v>
      </c>
      <c r="H213" s="1">
        <v>1</v>
      </c>
      <c r="I213" s="21" t="str">
        <f t="shared" si="42"/>
        <v>Clean</v>
      </c>
      <c r="J213" s="1">
        <v>0.12</v>
      </c>
      <c r="K213" s="23" t="str">
        <f t="shared" si="43"/>
        <v>Safe</v>
      </c>
      <c r="L213">
        <f t="shared" si="33"/>
        <v>0.1212</v>
      </c>
      <c r="M213" s="20">
        <f t="shared" si="34"/>
        <v>0.1212</v>
      </c>
      <c r="N213">
        <f t="shared" si="35"/>
        <v>0.5</v>
      </c>
      <c r="O213" s="20" t="str">
        <f t="shared" si="36"/>
        <v>Acceptable</v>
      </c>
      <c r="P213">
        <f t="shared" si="37"/>
        <v>0.22389999999999999</v>
      </c>
      <c r="Q213">
        <f t="shared" si="38"/>
        <v>0</v>
      </c>
      <c r="R213">
        <f t="shared" si="39"/>
        <v>3</v>
      </c>
      <c r="S213">
        <f t="shared" si="40"/>
        <v>3</v>
      </c>
    </row>
    <row r="214" spans="1:19" ht="15" thickBot="1" x14ac:dyDescent="0.35">
      <c r="A214" s="1">
        <v>213</v>
      </c>
      <c r="B214" s="2">
        <v>40553</v>
      </c>
      <c r="C214" s="1">
        <v>1</v>
      </c>
      <c r="D214" s="1">
        <v>3</v>
      </c>
      <c r="E214" s="3" t="b">
        <v>0</v>
      </c>
      <c r="F214" s="5">
        <v>1</v>
      </c>
      <c r="G214" s="18" t="str">
        <f t="shared" si="41"/>
        <v>No</v>
      </c>
      <c r="H214" s="1">
        <v>1</v>
      </c>
      <c r="I214" s="21" t="str">
        <f t="shared" si="42"/>
        <v>Clean</v>
      </c>
      <c r="J214" s="1">
        <v>0.12</v>
      </c>
      <c r="K214" s="23" t="str">
        <f t="shared" si="43"/>
        <v>Safe</v>
      </c>
      <c r="L214">
        <f t="shared" si="33"/>
        <v>0.1212</v>
      </c>
      <c r="M214" s="20">
        <f t="shared" si="34"/>
        <v>0.1212</v>
      </c>
      <c r="N214">
        <f t="shared" si="35"/>
        <v>0.5</v>
      </c>
      <c r="O214" s="20" t="str">
        <f t="shared" si="36"/>
        <v>Acceptable</v>
      </c>
      <c r="P214">
        <f t="shared" si="37"/>
        <v>0.22389999999999999</v>
      </c>
      <c r="Q214">
        <f t="shared" si="38"/>
        <v>0</v>
      </c>
      <c r="R214">
        <f t="shared" si="39"/>
        <v>1</v>
      </c>
      <c r="S214">
        <f t="shared" si="40"/>
        <v>1</v>
      </c>
    </row>
    <row r="215" spans="1:19" ht="15" thickBot="1" x14ac:dyDescent="0.35">
      <c r="A215" s="1">
        <v>214</v>
      </c>
      <c r="B215" s="2">
        <v>40553</v>
      </c>
      <c r="C215" s="1">
        <v>1</v>
      </c>
      <c r="D215" s="1">
        <v>4</v>
      </c>
      <c r="E215" s="3" t="b">
        <v>0</v>
      </c>
      <c r="F215" s="5">
        <v>1</v>
      </c>
      <c r="G215" s="18" t="str">
        <f t="shared" si="41"/>
        <v>No</v>
      </c>
      <c r="H215" s="1">
        <v>1</v>
      </c>
      <c r="I215" s="21" t="str">
        <f t="shared" si="42"/>
        <v>Clean</v>
      </c>
      <c r="J215" s="1">
        <v>0.1</v>
      </c>
      <c r="K215" s="23" t="str">
        <f t="shared" si="43"/>
        <v>Safe</v>
      </c>
      <c r="L215">
        <f t="shared" si="33"/>
        <v>0.1212</v>
      </c>
      <c r="M215" s="20">
        <f t="shared" si="34"/>
        <v>0.1212</v>
      </c>
      <c r="N215">
        <f t="shared" si="35"/>
        <v>0.54</v>
      </c>
      <c r="O215" s="20" t="str">
        <f t="shared" si="36"/>
        <v>Acceptable</v>
      </c>
      <c r="P215">
        <f t="shared" si="37"/>
        <v>0.1343</v>
      </c>
      <c r="Q215">
        <f t="shared" si="38"/>
        <v>1</v>
      </c>
      <c r="R215">
        <f t="shared" si="39"/>
        <v>2</v>
      </c>
      <c r="S215">
        <f t="shared" si="40"/>
        <v>3</v>
      </c>
    </row>
    <row r="216" spans="1:19" ht="15" thickBot="1" x14ac:dyDescent="0.35">
      <c r="A216" s="1">
        <v>215</v>
      </c>
      <c r="B216" s="2">
        <v>40553</v>
      </c>
      <c r="C216" s="1">
        <v>1</v>
      </c>
      <c r="D216" s="1">
        <v>5</v>
      </c>
      <c r="E216" s="3" t="b">
        <v>0</v>
      </c>
      <c r="F216" s="5">
        <v>1</v>
      </c>
      <c r="G216" s="18" t="str">
        <f t="shared" si="41"/>
        <v>No</v>
      </c>
      <c r="H216" s="1">
        <v>1</v>
      </c>
      <c r="I216" s="21" t="str">
        <f t="shared" si="42"/>
        <v>Clean</v>
      </c>
      <c r="J216" s="1">
        <v>0.1</v>
      </c>
      <c r="K216" s="23" t="str">
        <f t="shared" si="43"/>
        <v>Safe</v>
      </c>
      <c r="L216">
        <f t="shared" si="33"/>
        <v>0.1061</v>
      </c>
      <c r="M216" s="20">
        <f t="shared" si="34"/>
        <v>0.1061</v>
      </c>
      <c r="N216">
        <f t="shared" si="35"/>
        <v>0.54</v>
      </c>
      <c r="O216" s="20" t="str">
        <f t="shared" si="36"/>
        <v>Acceptable</v>
      </c>
      <c r="P216">
        <f t="shared" si="37"/>
        <v>0.25369999999999998</v>
      </c>
      <c r="Q216">
        <f t="shared" si="38"/>
        <v>0</v>
      </c>
      <c r="R216">
        <f t="shared" si="39"/>
        <v>3</v>
      </c>
      <c r="S216">
        <f t="shared" si="40"/>
        <v>3</v>
      </c>
    </row>
    <row r="217" spans="1:19" ht="15" thickBot="1" x14ac:dyDescent="0.35">
      <c r="A217" s="1">
        <v>216</v>
      </c>
      <c r="B217" s="2">
        <v>40553</v>
      </c>
      <c r="C217" s="1">
        <v>1</v>
      </c>
      <c r="D217" s="1">
        <v>6</v>
      </c>
      <c r="E217" s="3" t="b">
        <v>0</v>
      </c>
      <c r="F217" s="5">
        <v>1</v>
      </c>
      <c r="G217" s="18" t="str">
        <f t="shared" si="41"/>
        <v>No</v>
      </c>
      <c r="H217" s="1">
        <v>1</v>
      </c>
      <c r="I217" s="21" t="str">
        <f t="shared" si="42"/>
        <v>Clean</v>
      </c>
      <c r="J217" s="1">
        <v>0.12</v>
      </c>
      <c r="K217" s="23" t="str">
        <f t="shared" si="43"/>
        <v>Safe</v>
      </c>
      <c r="L217">
        <f t="shared" si="33"/>
        <v>0.1212</v>
      </c>
      <c r="M217" s="20">
        <f t="shared" si="34"/>
        <v>0.1212</v>
      </c>
      <c r="N217">
        <f t="shared" si="35"/>
        <v>0.5</v>
      </c>
      <c r="O217" s="20" t="str">
        <f t="shared" si="36"/>
        <v>Acceptable</v>
      </c>
      <c r="P217">
        <f t="shared" si="37"/>
        <v>0.28360000000000002</v>
      </c>
      <c r="Q217">
        <f t="shared" si="38"/>
        <v>0</v>
      </c>
      <c r="R217">
        <f t="shared" si="39"/>
        <v>31</v>
      </c>
      <c r="S217">
        <f t="shared" si="40"/>
        <v>31</v>
      </c>
    </row>
    <row r="218" spans="1:19" ht="15" thickBot="1" x14ac:dyDescent="0.35">
      <c r="A218" s="1">
        <v>217</v>
      </c>
      <c r="B218" s="2">
        <v>40553</v>
      </c>
      <c r="C218" s="1">
        <v>1</v>
      </c>
      <c r="D218" s="1">
        <v>7</v>
      </c>
      <c r="E218" s="3" t="b">
        <v>0</v>
      </c>
      <c r="F218" s="5">
        <v>1</v>
      </c>
      <c r="G218" s="18" t="str">
        <f t="shared" si="41"/>
        <v>No</v>
      </c>
      <c r="H218" s="1">
        <v>1</v>
      </c>
      <c r="I218" s="21" t="str">
        <f t="shared" si="42"/>
        <v>Clean</v>
      </c>
      <c r="J218" s="1">
        <v>0.12</v>
      </c>
      <c r="K218" s="23" t="str">
        <f t="shared" si="43"/>
        <v>Safe</v>
      </c>
      <c r="L218">
        <f t="shared" si="33"/>
        <v>0.1212</v>
      </c>
      <c r="M218" s="20">
        <f t="shared" si="34"/>
        <v>0.1212</v>
      </c>
      <c r="N218">
        <f t="shared" si="35"/>
        <v>0.5</v>
      </c>
      <c r="O218" s="20" t="str">
        <f t="shared" si="36"/>
        <v>Acceptable</v>
      </c>
      <c r="P218">
        <f t="shared" si="37"/>
        <v>0.22389999999999999</v>
      </c>
      <c r="Q218">
        <f t="shared" si="38"/>
        <v>2</v>
      </c>
      <c r="R218">
        <f t="shared" si="39"/>
        <v>75</v>
      </c>
      <c r="S218">
        <f t="shared" si="40"/>
        <v>77</v>
      </c>
    </row>
    <row r="219" spans="1:19" ht="15" thickBot="1" x14ac:dyDescent="0.35">
      <c r="A219" s="1">
        <v>218</v>
      </c>
      <c r="B219" s="2">
        <v>40553</v>
      </c>
      <c r="C219" s="1">
        <v>1</v>
      </c>
      <c r="D219" s="1">
        <v>8</v>
      </c>
      <c r="E219" s="3" t="b">
        <v>0</v>
      </c>
      <c r="F219" s="5">
        <v>1</v>
      </c>
      <c r="G219" s="18" t="str">
        <f t="shared" si="41"/>
        <v>No</v>
      </c>
      <c r="H219" s="1">
        <v>2</v>
      </c>
      <c r="I219" s="21" t="str">
        <f t="shared" si="42"/>
        <v>Misty</v>
      </c>
      <c r="J219" s="1">
        <v>0.12</v>
      </c>
      <c r="K219" s="23" t="str">
        <f t="shared" si="43"/>
        <v>Safe</v>
      </c>
      <c r="L219">
        <f t="shared" si="33"/>
        <v>0.1212</v>
      </c>
      <c r="M219" s="20">
        <f t="shared" si="34"/>
        <v>0.1212</v>
      </c>
      <c r="N219">
        <f t="shared" si="35"/>
        <v>0.5</v>
      </c>
      <c r="O219" s="20" t="str">
        <f t="shared" si="36"/>
        <v>Acceptable</v>
      </c>
      <c r="P219">
        <f t="shared" si="37"/>
        <v>0.28360000000000002</v>
      </c>
      <c r="Q219">
        <f t="shared" si="38"/>
        <v>4</v>
      </c>
      <c r="R219">
        <f t="shared" si="39"/>
        <v>184</v>
      </c>
      <c r="S219">
        <f t="shared" si="40"/>
        <v>188</v>
      </c>
    </row>
    <row r="220" spans="1:19" ht="15" thickBot="1" x14ac:dyDescent="0.35">
      <c r="A220" s="1">
        <v>219</v>
      </c>
      <c r="B220" s="2">
        <v>40553</v>
      </c>
      <c r="C220" s="1">
        <v>1</v>
      </c>
      <c r="D220" s="1">
        <v>9</v>
      </c>
      <c r="E220" s="3" t="b">
        <v>0</v>
      </c>
      <c r="F220" s="5">
        <v>1</v>
      </c>
      <c r="G220" s="18" t="str">
        <f t="shared" si="41"/>
        <v>No</v>
      </c>
      <c r="H220" s="1">
        <v>2</v>
      </c>
      <c r="I220" s="21" t="str">
        <f t="shared" si="42"/>
        <v>Misty</v>
      </c>
      <c r="J220" s="1">
        <v>0.14000000000000001</v>
      </c>
      <c r="K220" s="23" t="str">
        <f t="shared" si="43"/>
        <v>Safe</v>
      </c>
      <c r="L220">
        <f t="shared" si="33"/>
        <v>0.1212</v>
      </c>
      <c r="M220" s="20">
        <f t="shared" si="34"/>
        <v>0.1212</v>
      </c>
      <c r="N220">
        <f t="shared" si="35"/>
        <v>0.5</v>
      </c>
      <c r="O220" s="20" t="str">
        <f t="shared" si="36"/>
        <v>Acceptable</v>
      </c>
      <c r="P220">
        <f t="shared" si="37"/>
        <v>0.25369999999999998</v>
      </c>
      <c r="Q220">
        <f t="shared" si="38"/>
        <v>2</v>
      </c>
      <c r="R220">
        <f t="shared" si="39"/>
        <v>92</v>
      </c>
      <c r="S220">
        <f t="shared" si="40"/>
        <v>94</v>
      </c>
    </row>
    <row r="221" spans="1:19" ht="15" thickBot="1" x14ac:dyDescent="0.35">
      <c r="A221" s="1">
        <v>220</v>
      </c>
      <c r="B221" s="2">
        <v>40553</v>
      </c>
      <c r="C221" s="1">
        <v>1</v>
      </c>
      <c r="D221" s="1">
        <v>10</v>
      </c>
      <c r="E221" s="3" t="b">
        <v>0</v>
      </c>
      <c r="F221" s="5">
        <v>1</v>
      </c>
      <c r="G221" s="18" t="str">
        <f t="shared" si="41"/>
        <v>No</v>
      </c>
      <c r="H221" s="1">
        <v>2</v>
      </c>
      <c r="I221" s="21" t="str">
        <f t="shared" si="42"/>
        <v>Misty</v>
      </c>
      <c r="J221" s="1">
        <v>0.14000000000000001</v>
      </c>
      <c r="K221" s="23" t="str">
        <f t="shared" si="43"/>
        <v>Safe</v>
      </c>
      <c r="L221">
        <f t="shared" si="33"/>
        <v>0.1212</v>
      </c>
      <c r="M221" s="20">
        <f t="shared" si="34"/>
        <v>0.1212</v>
      </c>
      <c r="N221">
        <f t="shared" si="35"/>
        <v>0.5</v>
      </c>
      <c r="O221" s="20" t="str">
        <f t="shared" si="36"/>
        <v>Acceptable</v>
      </c>
      <c r="P221">
        <f t="shared" si="37"/>
        <v>0.29849999999999999</v>
      </c>
      <c r="Q221">
        <f t="shared" si="38"/>
        <v>0</v>
      </c>
      <c r="R221">
        <f t="shared" si="39"/>
        <v>31</v>
      </c>
      <c r="S221">
        <f t="shared" si="40"/>
        <v>31</v>
      </c>
    </row>
    <row r="222" spans="1:19" ht="15" thickBot="1" x14ac:dyDescent="0.35">
      <c r="A222" s="1">
        <v>221</v>
      </c>
      <c r="B222" s="2">
        <v>40553</v>
      </c>
      <c r="C222" s="1">
        <v>1</v>
      </c>
      <c r="D222" s="1">
        <v>11</v>
      </c>
      <c r="E222" s="3" t="b">
        <v>0</v>
      </c>
      <c r="F222" s="5">
        <v>1</v>
      </c>
      <c r="G222" s="18" t="str">
        <f t="shared" si="41"/>
        <v>No</v>
      </c>
      <c r="H222" s="1">
        <v>2</v>
      </c>
      <c r="I222" s="21" t="str">
        <f t="shared" si="42"/>
        <v>Misty</v>
      </c>
      <c r="J222" s="1">
        <v>0.16</v>
      </c>
      <c r="K222" s="23" t="str">
        <f t="shared" si="43"/>
        <v>Safe</v>
      </c>
      <c r="L222">
        <f t="shared" si="33"/>
        <v>0.13639999999999999</v>
      </c>
      <c r="M222" s="20">
        <f t="shared" si="34"/>
        <v>0.13639999999999999</v>
      </c>
      <c r="N222">
        <f t="shared" si="35"/>
        <v>0.47</v>
      </c>
      <c r="O222" s="20" t="str">
        <f t="shared" si="36"/>
        <v>Acceptable</v>
      </c>
      <c r="P222">
        <f t="shared" si="37"/>
        <v>0.28360000000000002</v>
      </c>
      <c r="Q222">
        <f t="shared" si="38"/>
        <v>2</v>
      </c>
      <c r="R222">
        <f t="shared" si="39"/>
        <v>28</v>
      </c>
      <c r="S222">
        <f t="shared" si="40"/>
        <v>30</v>
      </c>
    </row>
    <row r="223" spans="1:19" ht="15" thickBot="1" x14ac:dyDescent="0.35">
      <c r="A223" s="1">
        <v>222</v>
      </c>
      <c r="B223" s="2">
        <v>40553</v>
      </c>
      <c r="C223" s="1">
        <v>1</v>
      </c>
      <c r="D223" s="1">
        <v>12</v>
      </c>
      <c r="E223" s="3" t="b">
        <v>0</v>
      </c>
      <c r="F223" s="5">
        <v>1</v>
      </c>
      <c r="G223" s="18" t="str">
        <f t="shared" si="41"/>
        <v>No</v>
      </c>
      <c r="H223" s="1">
        <v>2</v>
      </c>
      <c r="I223" s="21" t="str">
        <f t="shared" si="42"/>
        <v>Misty</v>
      </c>
      <c r="J223" s="1">
        <v>0.2</v>
      </c>
      <c r="K223" s="23" t="str">
        <f t="shared" si="43"/>
        <v>Safe</v>
      </c>
      <c r="L223">
        <f t="shared" si="33"/>
        <v>0.18179999999999999</v>
      </c>
      <c r="M223" s="20">
        <f t="shared" si="34"/>
        <v>0.18179999999999999</v>
      </c>
      <c r="N223">
        <f t="shared" si="35"/>
        <v>0.4</v>
      </c>
      <c r="O223" s="20" t="str">
        <f t="shared" si="36"/>
        <v>Acceptable</v>
      </c>
      <c r="P223">
        <f t="shared" si="37"/>
        <v>0.28360000000000002</v>
      </c>
      <c r="Q223">
        <f t="shared" si="38"/>
        <v>5</v>
      </c>
      <c r="R223">
        <f t="shared" si="39"/>
        <v>47</v>
      </c>
      <c r="S223">
        <f t="shared" si="40"/>
        <v>52</v>
      </c>
    </row>
    <row r="224" spans="1:19" ht="15" thickBot="1" x14ac:dyDescent="0.35">
      <c r="A224" s="1">
        <v>223</v>
      </c>
      <c r="B224" s="2">
        <v>40553</v>
      </c>
      <c r="C224" s="1">
        <v>1</v>
      </c>
      <c r="D224" s="1">
        <v>13</v>
      </c>
      <c r="E224" s="3" t="b">
        <v>0</v>
      </c>
      <c r="F224" s="5">
        <v>1</v>
      </c>
      <c r="G224" s="18" t="str">
        <f t="shared" si="41"/>
        <v>No</v>
      </c>
      <c r="H224" s="1">
        <v>2</v>
      </c>
      <c r="I224" s="21" t="str">
        <f t="shared" si="42"/>
        <v>Misty</v>
      </c>
      <c r="J224" s="1">
        <v>0.2</v>
      </c>
      <c r="K224" s="23" t="str">
        <f t="shared" si="43"/>
        <v>Safe</v>
      </c>
      <c r="L224">
        <f t="shared" si="33"/>
        <v>0.18179999999999999</v>
      </c>
      <c r="M224" s="20">
        <f t="shared" si="34"/>
        <v>0.18179999999999999</v>
      </c>
      <c r="N224">
        <f t="shared" si="35"/>
        <v>0.4</v>
      </c>
      <c r="O224" s="20" t="str">
        <f t="shared" si="36"/>
        <v>Acceptable</v>
      </c>
      <c r="P224">
        <f t="shared" si="37"/>
        <v>0.28360000000000002</v>
      </c>
      <c r="Q224">
        <f t="shared" si="38"/>
        <v>4</v>
      </c>
      <c r="R224">
        <f t="shared" si="39"/>
        <v>50</v>
      </c>
      <c r="S224">
        <f t="shared" si="40"/>
        <v>54</v>
      </c>
    </row>
    <row r="225" spans="1:19" ht="15" thickBot="1" x14ac:dyDescent="0.35">
      <c r="A225" s="1">
        <v>224</v>
      </c>
      <c r="B225" s="2">
        <v>40553</v>
      </c>
      <c r="C225" s="1">
        <v>1</v>
      </c>
      <c r="D225" s="1">
        <v>14</v>
      </c>
      <c r="E225" s="3" t="b">
        <v>0</v>
      </c>
      <c r="F225" s="5">
        <v>1</v>
      </c>
      <c r="G225" s="18" t="str">
        <f t="shared" si="41"/>
        <v>No</v>
      </c>
      <c r="H225" s="1">
        <v>2</v>
      </c>
      <c r="I225" s="21" t="str">
        <f t="shared" si="42"/>
        <v>Misty</v>
      </c>
      <c r="J225" s="1">
        <v>0.2</v>
      </c>
      <c r="K225" s="23" t="str">
        <f t="shared" si="43"/>
        <v>Safe</v>
      </c>
      <c r="L225">
        <f t="shared" si="33"/>
        <v>0.19700000000000001</v>
      </c>
      <c r="M225" s="20">
        <f t="shared" si="34"/>
        <v>0.19700000000000001</v>
      </c>
      <c r="N225">
        <f t="shared" si="35"/>
        <v>0.4</v>
      </c>
      <c r="O225" s="20" t="str">
        <f t="shared" si="36"/>
        <v>Acceptable</v>
      </c>
      <c r="P225">
        <f t="shared" si="37"/>
        <v>0.22389999999999999</v>
      </c>
      <c r="Q225">
        <f t="shared" si="38"/>
        <v>0</v>
      </c>
      <c r="R225">
        <f t="shared" si="39"/>
        <v>47</v>
      </c>
      <c r="S225">
        <f t="shared" si="40"/>
        <v>47</v>
      </c>
    </row>
    <row r="226" spans="1:19" ht="15" thickBot="1" x14ac:dyDescent="0.35">
      <c r="A226" s="1">
        <v>225</v>
      </c>
      <c r="B226" s="2">
        <v>40553</v>
      </c>
      <c r="C226" s="1">
        <v>1</v>
      </c>
      <c r="D226" s="1">
        <v>15</v>
      </c>
      <c r="E226" s="3" t="b">
        <v>0</v>
      </c>
      <c r="F226" s="5">
        <v>1</v>
      </c>
      <c r="G226" s="18" t="str">
        <f t="shared" si="41"/>
        <v>No</v>
      </c>
      <c r="H226" s="1">
        <v>2</v>
      </c>
      <c r="I226" s="21" t="str">
        <f t="shared" si="42"/>
        <v>Misty</v>
      </c>
      <c r="J226" s="1">
        <v>0.2</v>
      </c>
      <c r="K226" s="23" t="str">
        <f t="shared" si="43"/>
        <v>Safe</v>
      </c>
      <c r="L226">
        <f t="shared" si="33"/>
        <v>0.19700000000000001</v>
      </c>
      <c r="M226" s="20">
        <f t="shared" si="34"/>
        <v>0.19700000000000001</v>
      </c>
      <c r="N226">
        <f t="shared" si="35"/>
        <v>0.4</v>
      </c>
      <c r="O226" s="20" t="str">
        <f t="shared" si="36"/>
        <v>Acceptable</v>
      </c>
      <c r="P226">
        <f t="shared" si="37"/>
        <v>0.22389999999999999</v>
      </c>
      <c r="Q226">
        <f t="shared" si="38"/>
        <v>2</v>
      </c>
      <c r="R226">
        <f t="shared" si="39"/>
        <v>43</v>
      </c>
      <c r="S226">
        <f t="shared" si="40"/>
        <v>45</v>
      </c>
    </row>
    <row r="227" spans="1:19" ht="15" thickBot="1" x14ac:dyDescent="0.35">
      <c r="A227" s="1">
        <v>226</v>
      </c>
      <c r="B227" s="2">
        <v>40553</v>
      </c>
      <c r="C227" s="1">
        <v>1</v>
      </c>
      <c r="D227" s="1">
        <v>16</v>
      </c>
      <c r="E227" s="3" t="b">
        <v>0</v>
      </c>
      <c r="F227" s="5">
        <v>1</v>
      </c>
      <c r="G227" s="18" t="str">
        <f t="shared" si="41"/>
        <v>No</v>
      </c>
      <c r="H227" s="1">
        <v>1</v>
      </c>
      <c r="I227" s="21" t="str">
        <f t="shared" si="42"/>
        <v>Clean</v>
      </c>
      <c r="J227" s="1">
        <v>0.2</v>
      </c>
      <c r="K227" s="23" t="str">
        <f t="shared" si="43"/>
        <v>Safe</v>
      </c>
      <c r="L227">
        <f t="shared" si="33"/>
        <v>0.21210000000000001</v>
      </c>
      <c r="M227" s="20">
        <f t="shared" si="34"/>
        <v>0.21210000000000001</v>
      </c>
      <c r="N227">
        <f t="shared" si="35"/>
        <v>0.4</v>
      </c>
      <c r="O227" s="20" t="str">
        <f t="shared" si="36"/>
        <v>Acceptable</v>
      </c>
      <c r="P227">
        <f t="shared" si="37"/>
        <v>0.1343</v>
      </c>
      <c r="Q227">
        <f t="shared" si="38"/>
        <v>4</v>
      </c>
      <c r="R227">
        <f t="shared" si="39"/>
        <v>70</v>
      </c>
      <c r="S227">
        <f t="shared" si="40"/>
        <v>74</v>
      </c>
    </row>
    <row r="228" spans="1:19" ht="15" thickBot="1" x14ac:dyDescent="0.35">
      <c r="A228" s="1">
        <v>227</v>
      </c>
      <c r="B228" s="2">
        <v>40553</v>
      </c>
      <c r="C228" s="1">
        <v>1</v>
      </c>
      <c r="D228" s="1">
        <v>17</v>
      </c>
      <c r="E228" s="3" t="b">
        <v>0</v>
      </c>
      <c r="F228" s="5">
        <v>1</v>
      </c>
      <c r="G228" s="18" t="str">
        <f t="shared" si="41"/>
        <v>No</v>
      </c>
      <c r="H228" s="1">
        <v>1</v>
      </c>
      <c r="I228" s="21" t="str">
        <f t="shared" si="42"/>
        <v>Clean</v>
      </c>
      <c r="J228" s="1">
        <v>0.2</v>
      </c>
      <c r="K228" s="23" t="str">
        <f t="shared" si="43"/>
        <v>Safe</v>
      </c>
      <c r="L228">
        <f t="shared" si="33"/>
        <v>0.2273</v>
      </c>
      <c r="M228" s="20">
        <f t="shared" si="34"/>
        <v>0.2273</v>
      </c>
      <c r="N228">
        <f t="shared" si="35"/>
        <v>0.4</v>
      </c>
      <c r="O228" s="20" t="str">
        <f t="shared" si="36"/>
        <v>Acceptable</v>
      </c>
      <c r="P228">
        <f t="shared" si="37"/>
        <v>0.1045</v>
      </c>
      <c r="Q228">
        <f t="shared" si="38"/>
        <v>4</v>
      </c>
      <c r="R228">
        <f t="shared" si="39"/>
        <v>174</v>
      </c>
      <c r="S228">
        <f t="shared" si="40"/>
        <v>178</v>
      </c>
    </row>
    <row r="229" spans="1:19" ht="15" thickBot="1" x14ac:dyDescent="0.35">
      <c r="A229" s="1">
        <v>228</v>
      </c>
      <c r="B229" s="2">
        <v>40553</v>
      </c>
      <c r="C229" s="1">
        <v>1</v>
      </c>
      <c r="D229" s="1">
        <v>18</v>
      </c>
      <c r="E229" s="3" t="b">
        <v>0</v>
      </c>
      <c r="F229" s="5">
        <v>1</v>
      </c>
      <c r="G229" s="18" t="str">
        <f t="shared" si="41"/>
        <v>No</v>
      </c>
      <c r="H229" s="1">
        <v>1</v>
      </c>
      <c r="I229" s="21" t="str">
        <f t="shared" si="42"/>
        <v>Clean</v>
      </c>
      <c r="J229" s="1">
        <v>0.2</v>
      </c>
      <c r="K229" s="23" t="str">
        <f t="shared" si="43"/>
        <v>Safe</v>
      </c>
      <c r="L229">
        <f t="shared" si="33"/>
        <v>0.19700000000000001</v>
      </c>
      <c r="M229" s="20">
        <f t="shared" si="34"/>
        <v>0.19700000000000001</v>
      </c>
      <c r="N229">
        <f t="shared" si="35"/>
        <v>0.4</v>
      </c>
      <c r="O229" s="20" t="str">
        <f t="shared" si="36"/>
        <v>Acceptable</v>
      </c>
      <c r="P229">
        <f t="shared" si="37"/>
        <v>0.22389999999999999</v>
      </c>
      <c r="Q229">
        <f t="shared" si="38"/>
        <v>1</v>
      </c>
      <c r="R229">
        <f t="shared" si="39"/>
        <v>154</v>
      </c>
      <c r="S229">
        <f t="shared" si="40"/>
        <v>155</v>
      </c>
    </row>
    <row r="230" spans="1:19" ht="15" thickBot="1" x14ac:dyDescent="0.35">
      <c r="A230" s="1">
        <v>229</v>
      </c>
      <c r="B230" s="2">
        <v>40553</v>
      </c>
      <c r="C230" s="1">
        <v>1</v>
      </c>
      <c r="D230" s="1">
        <v>19</v>
      </c>
      <c r="E230" s="3" t="b">
        <v>0</v>
      </c>
      <c r="F230" s="5">
        <v>1</v>
      </c>
      <c r="G230" s="18" t="str">
        <f t="shared" si="41"/>
        <v>No</v>
      </c>
      <c r="H230" s="1">
        <v>1</v>
      </c>
      <c r="I230" s="21" t="str">
        <f t="shared" si="42"/>
        <v>Clean</v>
      </c>
      <c r="J230" s="1">
        <v>0.16</v>
      </c>
      <c r="K230" s="23" t="str">
        <f t="shared" si="43"/>
        <v>Safe</v>
      </c>
      <c r="L230">
        <f t="shared" si="33"/>
        <v>0.16669999999999999</v>
      </c>
      <c r="M230" s="20">
        <f t="shared" si="34"/>
        <v>0.16669999999999999</v>
      </c>
      <c r="N230">
        <f t="shared" si="35"/>
        <v>0.47</v>
      </c>
      <c r="O230" s="20" t="str">
        <f t="shared" si="36"/>
        <v>Acceptable</v>
      </c>
      <c r="P230">
        <f t="shared" si="37"/>
        <v>0.16420000000000001</v>
      </c>
      <c r="Q230">
        <f t="shared" si="38"/>
        <v>3</v>
      </c>
      <c r="R230">
        <f t="shared" si="39"/>
        <v>92</v>
      </c>
      <c r="S230">
        <f t="shared" si="40"/>
        <v>95</v>
      </c>
    </row>
    <row r="231" spans="1:19" ht="15" thickBot="1" x14ac:dyDescent="0.35">
      <c r="A231" s="1">
        <v>230</v>
      </c>
      <c r="B231" s="2">
        <v>40553</v>
      </c>
      <c r="C231" s="1">
        <v>1</v>
      </c>
      <c r="D231" s="1">
        <v>20</v>
      </c>
      <c r="E231" s="3" t="b">
        <v>0</v>
      </c>
      <c r="F231" s="5">
        <v>1</v>
      </c>
      <c r="G231" s="18" t="str">
        <f t="shared" si="41"/>
        <v>No</v>
      </c>
      <c r="H231" s="1">
        <v>1</v>
      </c>
      <c r="I231" s="21" t="str">
        <f t="shared" si="42"/>
        <v>Clean</v>
      </c>
      <c r="J231" s="1">
        <v>0.16</v>
      </c>
      <c r="K231" s="23" t="str">
        <f t="shared" si="43"/>
        <v>Safe</v>
      </c>
      <c r="L231">
        <f t="shared" si="33"/>
        <v>0.16669999999999999</v>
      </c>
      <c r="M231" s="20">
        <f t="shared" si="34"/>
        <v>0.16669999999999999</v>
      </c>
      <c r="N231">
        <f t="shared" si="35"/>
        <v>0.5</v>
      </c>
      <c r="O231" s="20" t="str">
        <f t="shared" si="36"/>
        <v>Acceptable</v>
      </c>
      <c r="P231">
        <f t="shared" si="37"/>
        <v>0.16420000000000001</v>
      </c>
      <c r="Q231">
        <f t="shared" si="38"/>
        <v>1</v>
      </c>
      <c r="R231">
        <f t="shared" si="39"/>
        <v>73</v>
      </c>
      <c r="S231">
        <f t="shared" si="40"/>
        <v>74</v>
      </c>
    </row>
    <row r="232" spans="1:19" ht="15" thickBot="1" x14ac:dyDescent="0.35">
      <c r="A232" s="1">
        <v>231</v>
      </c>
      <c r="B232" s="2">
        <v>40553</v>
      </c>
      <c r="C232" s="1">
        <v>1</v>
      </c>
      <c r="D232" s="1">
        <v>21</v>
      </c>
      <c r="E232" s="3" t="b">
        <v>0</v>
      </c>
      <c r="F232" s="5">
        <v>1</v>
      </c>
      <c r="G232" s="18" t="str">
        <f t="shared" si="41"/>
        <v>No</v>
      </c>
      <c r="H232" s="1">
        <v>1</v>
      </c>
      <c r="I232" s="21" t="str">
        <f t="shared" si="42"/>
        <v>Clean</v>
      </c>
      <c r="J232" s="1">
        <v>0.14000000000000001</v>
      </c>
      <c r="K232" s="23" t="str">
        <f t="shared" si="43"/>
        <v>Safe</v>
      </c>
      <c r="L232">
        <f t="shared" si="33"/>
        <v>0.13639999999999999</v>
      </c>
      <c r="M232" s="20">
        <f t="shared" si="34"/>
        <v>0.13639999999999999</v>
      </c>
      <c r="N232">
        <f t="shared" si="35"/>
        <v>0.59</v>
      </c>
      <c r="O232" s="20" t="str">
        <f t="shared" si="36"/>
        <v>Acceptable</v>
      </c>
      <c r="P232">
        <f t="shared" si="37"/>
        <v>0.19400000000000001</v>
      </c>
      <c r="Q232">
        <f t="shared" si="38"/>
        <v>1</v>
      </c>
      <c r="R232">
        <f t="shared" si="39"/>
        <v>37</v>
      </c>
      <c r="S232">
        <f t="shared" si="40"/>
        <v>38</v>
      </c>
    </row>
    <row r="233" spans="1:19" ht="15" thickBot="1" x14ac:dyDescent="0.35">
      <c r="A233" s="1">
        <v>232</v>
      </c>
      <c r="B233" s="2">
        <v>40553</v>
      </c>
      <c r="C233" s="1">
        <v>1</v>
      </c>
      <c r="D233" s="1">
        <v>22</v>
      </c>
      <c r="E233" s="3" t="b">
        <v>0</v>
      </c>
      <c r="F233" s="5">
        <v>1</v>
      </c>
      <c r="G233" s="18" t="str">
        <f t="shared" si="41"/>
        <v>No</v>
      </c>
      <c r="H233" s="1">
        <v>1</v>
      </c>
      <c r="I233" s="21" t="str">
        <f t="shared" si="42"/>
        <v>Clean</v>
      </c>
      <c r="J233" s="1">
        <v>0.14000000000000001</v>
      </c>
      <c r="K233" s="23" t="str">
        <f t="shared" si="43"/>
        <v>Safe</v>
      </c>
      <c r="L233">
        <f t="shared" si="33"/>
        <v>0.1515</v>
      </c>
      <c r="M233" s="20">
        <f t="shared" si="34"/>
        <v>0.1515</v>
      </c>
      <c r="N233">
        <f t="shared" si="35"/>
        <v>0.59</v>
      </c>
      <c r="O233" s="20" t="str">
        <f t="shared" si="36"/>
        <v>Acceptable</v>
      </c>
      <c r="P233">
        <f t="shared" si="37"/>
        <v>0.16420000000000001</v>
      </c>
      <c r="Q233">
        <f t="shared" si="38"/>
        <v>2</v>
      </c>
      <c r="R233">
        <f t="shared" si="39"/>
        <v>22</v>
      </c>
      <c r="S233">
        <f t="shared" si="40"/>
        <v>24</v>
      </c>
    </row>
    <row r="234" spans="1:19" ht="15" thickBot="1" x14ac:dyDescent="0.35">
      <c r="A234" s="1">
        <v>233</v>
      </c>
      <c r="B234" s="2">
        <v>40553</v>
      </c>
      <c r="C234" s="1">
        <v>1</v>
      </c>
      <c r="D234" s="1">
        <v>23</v>
      </c>
      <c r="E234" s="3" t="b">
        <v>0</v>
      </c>
      <c r="F234" s="5">
        <v>1</v>
      </c>
      <c r="G234" s="18" t="str">
        <f t="shared" si="41"/>
        <v>No</v>
      </c>
      <c r="H234" s="1">
        <v>1</v>
      </c>
      <c r="I234" s="21" t="str">
        <f t="shared" si="42"/>
        <v>Clean</v>
      </c>
      <c r="J234" s="1">
        <v>0.14000000000000001</v>
      </c>
      <c r="K234" s="23" t="str">
        <f t="shared" si="43"/>
        <v>Safe</v>
      </c>
      <c r="L234">
        <f t="shared" si="33"/>
        <v>0.1515</v>
      </c>
      <c r="M234" s="20">
        <f t="shared" si="34"/>
        <v>0.1515</v>
      </c>
      <c r="N234">
        <f t="shared" si="35"/>
        <v>0.59</v>
      </c>
      <c r="O234" s="20" t="str">
        <f t="shared" si="36"/>
        <v>Acceptable</v>
      </c>
      <c r="P234">
        <f t="shared" si="37"/>
        <v>0.16420000000000001</v>
      </c>
      <c r="Q234">
        <f t="shared" si="38"/>
        <v>0</v>
      </c>
      <c r="R234">
        <f t="shared" si="39"/>
        <v>18</v>
      </c>
      <c r="S234">
        <f t="shared" si="40"/>
        <v>18</v>
      </c>
    </row>
    <row r="235" spans="1:19" ht="15" thickBot="1" x14ac:dyDescent="0.35">
      <c r="A235" s="1">
        <v>234</v>
      </c>
      <c r="B235" s="2">
        <v>40554</v>
      </c>
      <c r="C235" s="1">
        <v>1</v>
      </c>
      <c r="D235" s="1">
        <v>0</v>
      </c>
      <c r="E235" s="3" t="b">
        <v>0</v>
      </c>
      <c r="F235" s="5">
        <v>2</v>
      </c>
      <c r="G235" s="18" t="str">
        <f t="shared" si="41"/>
        <v>No</v>
      </c>
      <c r="H235" s="1">
        <v>1</v>
      </c>
      <c r="I235" s="21" t="str">
        <f t="shared" si="42"/>
        <v>Clean</v>
      </c>
      <c r="J235" s="1">
        <v>0.14000000000000001</v>
      </c>
      <c r="K235" s="23" t="str">
        <f t="shared" si="43"/>
        <v>Safe</v>
      </c>
      <c r="L235">
        <f t="shared" si="33"/>
        <v>0.16669999999999999</v>
      </c>
      <c r="M235" s="20">
        <f t="shared" si="34"/>
        <v>0.16669999999999999</v>
      </c>
      <c r="N235">
        <f t="shared" si="35"/>
        <v>0.59</v>
      </c>
      <c r="O235" s="20" t="str">
        <f t="shared" si="36"/>
        <v>Acceptable</v>
      </c>
      <c r="P235">
        <f t="shared" si="37"/>
        <v>0.1045</v>
      </c>
      <c r="Q235">
        <f t="shared" si="38"/>
        <v>2</v>
      </c>
      <c r="R235">
        <f t="shared" si="39"/>
        <v>10</v>
      </c>
      <c r="S235">
        <f t="shared" si="40"/>
        <v>12</v>
      </c>
    </row>
    <row r="236" spans="1:19" ht="15" thickBot="1" x14ac:dyDescent="0.35">
      <c r="A236" s="1">
        <v>235</v>
      </c>
      <c r="B236" s="2">
        <v>40554</v>
      </c>
      <c r="C236" s="1">
        <v>1</v>
      </c>
      <c r="D236" s="1">
        <v>1</v>
      </c>
      <c r="E236" s="3" t="b">
        <v>0</v>
      </c>
      <c r="F236" s="5">
        <v>2</v>
      </c>
      <c r="G236" s="18" t="str">
        <f t="shared" si="41"/>
        <v>No</v>
      </c>
      <c r="H236" s="1">
        <v>1</v>
      </c>
      <c r="I236" s="21" t="str">
        <f t="shared" si="42"/>
        <v>Clean</v>
      </c>
      <c r="J236" s="1">
        <v>0.14000000000000001</v>
      </c>
      <c r="K236" s="23" t="str">
        <f t="shared" si="43"/>
        <v>Safe</v>
      </c>
      <c r="L236">
        <f t="shared" si="33"/>
        <v>0.1515</v>
      </c>
      <c r="M236" s="20">
        <f t="shared" si="34"/>
        <v>0.1515</v>
      </c>
      <c r="N236">
        <f t="shared" si="35"/>
        <v>0.59</v>
      </c>
      <c r="O236" s="20" t="str">
        <f t="shared" si="36"/>
        <v>Acceptable</v>
      </c>
      <c r="P236">
        <f t="shared" si="37"/>
        <v>0.16420000000000001</v>
      </c>
      <c r="Q236">
        <f t="shared" si="38"/>
        <v>0</v>
      </c>
      <c r="R236">
        <f t="shared" si="39"/>
        <v>3</v>
      </c>
      <c r="S236">
        <f t="shared" si="40"/>
        <v>3</v>
      </c>
    </row>
    <row r="237" spans="1:19" ht="15" thickBot="1" x14ac:dyDescent="0.35">
      <c r="A237" s="1">
        <v>236</v>
      </c>
      <c r="B237" s="2">
        <v>40554</v>
      </c>
      <c r="C237" s="1">
        <v>1</v>
      </c>
      <c r="D237" s="1">
        <v>2</v>
      </c>
      <c r="E237" s="3" t="b">
        <v>0</v>
      </c>
      <c r="F237" s="5">
        <v>2</v>
      </c>
      <c r="G237" s="18" t="str">
        <f t="shared" si="41"/>
        <v>No</v>
      </c>
      <c r="H237" s="1">
        <v>2</v>
      </c>
      <c r="I237" s="21" t="str">
        <f t="shared" si="42"/>
        <v>Misty</v>
      </c>
      <c r="J237" s="1">
        <v>0.16</v>
      </c>
      <c r="K237" s="23" t="str">
        <f t="shared" si="43"/>
        <v>Safe</v>
      </c>
      <c r="L237">
        <f t="shared" si="33"/>
        <v>0.1515</v>
      </c>
      <c r="M237" s="20">
        <f t="shared" si="34"/>
        <v>0.1515</v>
      </c>
      <c r="N237">
        <f t="shared" si="35"/>
        <v>0.55000000000000004</v>
      </c>
      <c r="O237" s="20" t="str">
        <f t="shared" si="36"/>
        <v>Acceptable</v>
      </c>
      <c r="P237">
        <f t="shared" si="37"/>
        <v>0.19400000000000001</v>
      </c>
      <c r="Q237">
        <f t="shared" si="38"/>
        <v>0</v>
      </c>
      <c r="R237">
        <f t="shared" si="39"/>
        <v>3</v>
      </c>
      <c r="S237">
        <f t="shared" si="40"/>
        <v>3</v>
      </c>
    </row>
    <row r="238" spans="1:19" ht="15" thickBot="1" x14ac:dyDescent="0.35">
      <c r="A238" s="1">
        <v>237</v>
      </c>
      <c r="B238" s="2">
        <v>40554</v>
      </c>
      <c r="C238" s="1">
        <v>1</v>
      </c>
      <c r="D238" s="1">
        <v>5</v>
      </c>
      <c r="E238" s="3" t="b">
        <v>0</v>
      </c>
      <c r="F238" s="5">
        <v>2</v>
      </c>
      <c r="G238" s="18" t="str">
        <f t="shared" si="41"/>
        <v>No</v>
      </c>
      <c r="H238" s="1">
        <v>2</v>
      </c>
      <c r="I238" s="21" t="str">
        <f t="shared" si="42"/>
        <v>Misty</v>
      </c>
      <c r="J238" s="1">
        <v>0.16</v>
      </c>
      <c r="K238" s="23" t="str">
        <f t="shared" si="43"/>
        <v>Safe</v>
      </c>
      <c r="L238">
        <f t="shared" si="33"/>
        <v>0.18179999999999999</v>
      </c>
      <c r="M238" s="20">
        <f t="shared" si="34"/>
        <v>0.18179999999999999</v>
      </c>
      <c r="N238">
        <f t="shared" si="35"/>
        <v>0.55000000000000004</v>
      </c>
      <c r="O238" s="20" t="str">
        <f t="shared" si="36"/>
        <v>Acceptable</v>
      </c>
      <c r="P238">
        <f t="shared" si="37"/>
        <v>0.1343</v>
      </c>
      <c r="Q238">
        <f t="shared" si="38"/>
        <v>0</v>
      </c>
      <c r="R238">
        <f t="shared" si="39"/>
        <v>6</v>
      </c>
      <c r="S238">
        <f t="shared" si="40"/>
        <v>6</v>
      </c>
    </row>
    <row r="239" spans="1:19" ht="15" thickBot="1" x14ac:dyDescent="0.35">
      <c r="A239" s="1">
        <v>238</v>
      </c>
      <c r="B239" s="2">
        <v>40554</v>
      </c>
      <c r="C239" s="1">
        <v>1</v>
      </c>
      <c r="D239" s="1">
        <v>6</v>
      </c>
      <c r="E239" s="3" t="b">
        <v>0</v>
      </c>
      <c r="F239" s="5">
        <v>2</v>
      </c>
      <c r="G239" s="18" t="str">
        <f t="shared" si="41"/>
        <v>No</v>
      </c>
      <c r="H239" s="1">
        <v>2</v>
      </c>
      <c r="I239" s="21" t="str">
        <f t="shared" si="42"/>
        <v>Misty</v>
      </c>
      <c r="J239" s="1">
        <v>0.16</v>
      </c>
      <c r="K239" s="23" t="str">
        <f t="shared" si="43"/>
        <v>Safe</v>
      </c>
      <c r="L239">
        <f t="shared" si="33"/>
        <v>0.18179999999999999</v>
      </c>
      <c r="M239" s="20">
        <f t="shared" si="34"/>
        <v>0.18179999999999999</v>
      </c>
      <c r="N239">
        <f t="shared" si="35"/>
        <v>0.55000000000000004</v>
      </c>
      <c r="O239" s="20" t="str">
        <f t="shared" si="36"/>
        <v>Acceptable</v>
      </c>
      <c r="P239">
        <f t="shared" si="37"/>
        <v>0.1343</v>
      </c>
      <c r="Q239">
        <f t="shared" si="38"/>
        <v>0</v>
      </c>
      <c r="R239">
        <f t="shared" si="39"/>
        <v>27</v>
      </c>
      <c r="S239">
        <f t="shared" si="40"/>
        <v>27</v>
      </c>
    </row>
    <row r="240" spans="1:19" ht="15" thickBot="1" x14ac:dyDescent="0.35">
      <c r="A240" s="1">
        <v>239</v>
      </c>
      <c r="B240" s="2">
        <v>40554</v>
      </c>
      <c r="C240" s="1">
        <v>1</v>
      </c>
      <c r="D240" s="1">
        <v>7</v>
      </c>
      <c r="E240" s="3" t="b">
        <v>0</v>
      </c>
      <c r="F240" s="5">
        <v>2</v>
      </c>
      <c r="G240" s="18" t="str">
        <f t="shared" si="41"/>
        <v>No</v>
      </c>
      <c r="H240" s="1">
        <v>2</v>
      </c>
      <c r="I240" s="21" t="str">
        <f t="shared" si="42"/>
        <v>Misty</v>
      </c>
      <c r="J240" s="1">
        <v>0.16</v>
      </c>
      <c r="K240" s="23" t="str">
        <f t="shared" si="43"/>
        <v>Safe</v>
      </c>
      <c r="L240">
        <f t="shared" si="33"/>
        <v>0.2273</v>
      </c>
      <c r="M240" s="20">
        <f t="shared" si="34"/>
        <v>0.2273</v>
      </c>
      <c r="N240">
        <f t="shared" si="35"/>
        <v>0.55000000000000004</v>
      </c>
      <c r="O240" s="20" t="str">
        <f t="shared" si="36"/>
        <v>Acceptable</v>
      </c>
      <c r="P240">
        <f t="shared" si="37"/>
        <v>0</v>
      </c>
      <c r="Q240">
        <f t="shared" si="38"/>
        <v>2</v>
      </c>
      <c r="R240">
        <f t="shared" si="39"/>
        <v>97</v>
      </c>
      <c r="S240">
        <f t="shared" si="40"/>
        <v>99</v>
      </c>
    </row>
    <row r="241" spans="1:19" ht="15" thickBot="1" x14ac:dyDescent="0.35">
      <c r="A241" s="1">
        <v>240</v>
      </c>
      <c r="B241" s="2">
        <v>40554</v>
      </c>
      <c r="C241" s="1">
        <v>1</v>
      </c>
      <c r="D241" s="1">
        <v>8</v>
      </c>
      <c r="E241" s="3" t="b">
        <v>0</v>
      </c>
      <c r="F241" s="5">
        <v>2</v>
      </c>
      <c r="G241" s="18" t="str">
        <f t="shared" si="41"/>
        <v>No</v>
      </c>
      <c r="H241" s="1">
        <v>2</v>
      </c>
      <c r="I241" s="21" t="str">
        <f t="shared" si="42"/>
        <v>Misty</v>
      </c>
      <c r="J241" s="1">
        <v>0.18</v>
      </c>
      <c r="K241" s="23" t="str">
        <f t="shared" si="43"/>
        <v>Safe</v>
      </c>
      <c r="L241">
        <f t="shared" si="33"/>
        <v>0.21210000000000001</v>
      </c>
      <c r="M241" s="20">
        <f t="shared" si="34"/>
        <v>0.21210000000000001</v>
      </c>
      <c r="N241">
        <f t="shared" si="35"/>
        <v>0.51</v>
      </c>
      <c r="O241" s="20" t="str">
        <f t="shared" si="36"/>
        <v>Acceptable</v>
      </c>
      <c r="P241">
        <f t="shared" si="37"/>
        <v>8.9599999999999999E-2</v>
      </c>
      <c r="Q241">
        <f t="shared" si="38"/>
        <v>3</v>
      </c>
      <c r="R241">
        <f t="shared" si="39"/>
        <v>214</v>
      </c>
      <c r="S241">
        <f t="shared" si="40"/>
        <v>217</v>
      </c>
    </row>
    <row r="242" spans="1:19" ht="15" thickBot="1" x14ac:dyDescent="0.35">
      <c r="A242" s="1">
        <v>241</v>
      </c>
      <c r="B242" s="2">
        <v>40554</v>
      </c>
      <c r="C242" s="1">
        <v>1</v>
      </c>
      <c r="D242" s="1">
        <v>9</v>
      </c>
      <c r="E242" s="3" t="b">
        <v>0</v>
      </c>
      <c r="F242" s="5">
        <v>2</v>
      </c>
      <c r="G242" s="18" t="str">
        <f t="shared" si="41"/>
        <v>No</v>
      </c>
      <c r="H242" s="1">
        <v>2</v>
      </c>
      <c r="I242" s="21" t="str">
        <f t="shared" si="42"/>
        <v>Misty</v>
      </c>
      <c r="J242" s="1">
        <v>0.18</v>
      </c>
      <c r="K242" s="23" t="str">
        <f t="shared" si="43"/>
        <v>Safe</v>
      </c>
      <c r="L242">
        <f t="shared" si="33"/>
        <v>0.19700000000000001</v>
      </c>
      <c r="M242" s="20">
        <f t="shared" si="34"/>
        <v>0.19700000000000001</v>
      </c>
      <c r="N242">
        <f t="shared" si="35"/>
        <v>0.51</v>
      </c>
      <c r="O242" s="20" t="str">
        <f t="shared" si="36"/>
        <v>Acceptable</v>
      </c>
      <c r="P242">
        <f t="shared" si="37"/>
        <v>0.16420000000000001</v>
      </c>
      <c r="Q242">
        <f t="shared" si="38"/>
        <v>3</v>
      </c>
      <c r="R242">
        <f t="shared" si="39"/>
        <v>127</v>
      </c>
      <c r="S242">
        <f t="shared" si="40"/>
        <v>130</v>
      </c>
    </row>
    <row r="243" spans="1:19" ht="15" thickBot="1" x14ac:dyDescent="0.35">
      <c r="A243" s="1">
        <v>242</v>
      </c>
      <c r="B243" s="2">
        <v>40554</v>
      </c>
      <c r="C243" s="1">
        <v>1</v>
      </c>
      <c r="D243" s="1">
        <v>10</v>
      </c>
      <c r="E243" s="3" t="b">
        <v>0</v>
      </c>
      <c r="F243" s="5">
        <v>2</v>
      </c>
      <c r="G243" s="18" t="str">
        <f t="shared" si="41"/>
        <v>No</v>
      </c>
      <c r="H243" s="1">
        <v>2</v>
      </c>
      <c r="I243" s="21" t="str">
        <f t="shared" si="42"/>
        <v>Misty</v>
      </c>
      <c r="J243" s="1">
        <v>0.2</v>
      </c>
      <c r="K243" s="23" t="str">
        <f t="shared" si="43"/>
        <v>Safe</v>
      </c>
      <c r="L243">
        <f t="shared" si="33"/>
        <v>0.21210000000000001</v>
      </c>
      <c r="M243" s="20">
        <f t="shared" si="34"/>
        <v>0.21210000000000001</v>
      </c>
      <c r="N243">
        <f t="shared" si="35"/>
        <v>0.51</v>
      </c>
      <c r="O243" s="20" t="str">
        <f t="shared" si="36"/>
        <v>Acceptable</v>
      </c>
      <c r="P243">
        <f t="shared" si="37"/>
        <v>0.16420000000000001</v>
      </c>
      <c r="Q243">
        <f t="shared" si="38"/>
        <v>3</v>
      </c>
      <c r="R243">
        <f t="shared" si="39"/>
        <v>51</v>
      </c>
      <c r="S243">
        <f t="shared" si="40"/>
        <v>54</v>
      </c>
    </row>
    <row r="244" spans="1:19" ht="15" thickBot="1" x14ac:dyDescent="0.35">
      <c r="A244" s="1">
        <v>243</v>
      </c>
      <c r="B244" s="2">
        <v>40554</v>
      </c>
      <c r="C244" s="1">
        <v>1</v>
      </c>
      <c r="D244" s="1">
        <v>11</v>
      </c>
      <c r="E244" s="3" t="b">
        <v>0</v>
      </c>
      <c r="F244" s="5">
        <v>2</v>
      </c>
      <c r="G244" s="18" t="str">
        <f t="shared" si="41"/>
        <v>No</v>
      </c>
      <c r="H244" s="1">
        <v>2</v>
      </c>
      <c r="I244" s="21" t="str">
        <f t="shared" si="42"/>
        <v>Misty</v>
      </c>
      <c r="J244" s="1">
        <v>0.2</v>
      </c>
      <c r="K244" s="23" t="str">
        <f t="shared" si="43"/>
        <v>Safe</v>
      </c>
      <c r="L244">
        <f t="shared" si="33"/>
        <v>0.21210000000000001</v>
      </c>
      <c r="M244" s="20">
        <f t="shared" si="34"/>
        <v>0.21210000000000001</v>
      </c>
      <c r="N244">
        <f t="shared" si="35"/>
        <v>0.47</v>
      </c>
      <c r="O244" s="20" t="str">
        <f t="shared" si="36"/>
        <v>Acceptable</v>
      </c>
      <c r="P244">
        <f t="shared" si="37"/>
        <v>0.1343</v>
      </c>
      <c r="Q244">
        <f t="shared" si="38"/>
        <v>4</v>
      </c>
      <c r="R244">
        <f t="shared" si="39"/>
        <v>31</v>
      </c>
      <c r="S244">
        <f t="shared" si="40"/>
        <v>35</v>
      </c>
    </row>
    <row r="245" spans="1:19" ht="15" thickBot="1" x14ac:dyDescent="0.35">
      <c r="A245" s="1">
        <v>244</v>
      </c>
      <c r="B245" s="2">
        <v>40554</v>
      </c>
      <c r="C245" s="1">
        <v>1</v>
      </c>
      <c r="D245" s="1">
        <v>12</v>
      </c>
      <c r="E245" s="3" t="b">
        <v>0</v>
      </c>
      <c r="F245" s="5">
        <v>2</v>
      </c>
      <c r="G245" s="18" t="str">
        <f t="shared" si="41"/>
        <v>No</v>
      </c>
      <c r="H245" s="1">
        <v>2</v>
      </c>
      <c r="I245" s="21" t="str">
        <f t="shared" si="42"/>
        <v>Misty</v>
      </c>
      <c r="J245" s="1">
        <v>0.2</v>
      </c>
      <c r="K245" s="23" t="str">
        <f t="shared" si="43"/>
        <v>Safe</v>
      </c>
      <c r="L245">
        <f t="shared" si="33"/>
        <v>0.2273</v>
      </c>
      <c r="M245" s="20">
        <f t="shared" si="34"/>
        <v>0.2273</v>
      </c>
      <c r="N245">
        <f t="shared" si="35"/>
        <v>0.51</v>
      </c>
      <c r="O245" s="20" t="str">
        <f t="shared" si="36"/>
        <v>Acceptable</v>
      </c>
      <c r="P245">
        <f t="shared" si="37"/>
        <v>0.1045</v>
      </c>
      <c r="Q245">
        <f t="shared" si="38"/>
        <v>2</v>
      </c>
      <c r="R245">
        <f t="shared" si="39"/>
        <v>55</v>
      </c>
      <c r="S245">
        <f t="shared" si="40"/>
        <v>57</v>
      </c>
    </row>
    <row r="246" spans="1:19" ht="15" thickBot="1" x14ac:dyDescent="0.35">
      <c r="A246" s="1">
        <v>245</v>
      </c>
      <c r="B246" s="2">
        <v>40554</v>
      </c>
      <c r="C246" s="1">
        <v>1</v>
      </c>
      <c r="D246" s="1">
        <v>13</v>
      </c>
      <c r="E246" s="3" t="b">
        <v>0</v>
      </c>
      <c r="F246" s="5">
        <v>2</v>
      </c>
      <c r="G246" s="18" t="str">
        <f t="shared" si="41"/>
        <v>No</v>
      </c>
      <c r="H246" s="1">
        <v>2</v>
      </c>
      <c r="I246" s="21" t="str">
        <f t="shared" si="42"/>
        <v>Misty</v>
      </c>
      <c r="J246" s="1">
        <v>0.2</v>
      </c>
      <c r="K246" s="23" t="str">
        <f t="shared" si="43"/>
        <v>Safe</v>
      </c>
      <c r="L246">
        <f t="shared" si="33"/>
        <v>0.2273</v>
      </c>
      <c r="M246" s="20">
        <f t="shared" si="34"/>
        <v>0.2273</v>
      </c>
      <c r="N246">
        <f t="shared" si="35"/>
        <v>0.59</v>
      </c>
      <c r="O246" s="20" t="str">
        <f t="shared" si="36"/>
        <v>Acceptable</v>
      </c>
      <c r="P246">
        <f t="shared" si="37"/>
        <v>8.9599999999999999E-2</v>
      </c>
      <c r="Q246">
        <f t="shared" si="38"/>
        <v>6</v>
      </c>
      <c r="R246">
        <f t="shared" si="39"/>
        <v>46</v>
      </c>
      <c r="S246">
        <f t="shared" si="40"/>
        <v>52</v>
      </c>
    </row>
    <row r="247" spans="1:19" ht="15" thickBot="1" x14ac:dyDescent="0.35">
      <c r="A247" s="1">
        <v>246</v>
      </c>
      <c r="B247" s="2">
        <v>40554</v>
      </c>
      <c r="C247" s="1">
        <v>1</v>
      </c>
      <c r="D247" s="1">
        <v>14</v>
      </c>
      <c r="E247" s="3" t="b">
        <v>0</v>
      </c>
      <c r="F247" s="5">
        <v>2</v>
      </c>
      <c r="G247" s="18" t="str">
        <f t="shared" si="41"/>
        <v>No</v>
      </c>
      <c r="H247" s="1">
        <v>2</v>
      </c>
      <c r="I247" s="21" t="str">
        <f t="shared" si="42"/>
        <v>Misty</v>
      </c>
      <c r="J247" s="1">
        <v>0.2</v>
      </c>
      <c r="K247" s="23" t="str">
        <f t="shared" si="43"/>
        <v>Safe</v>
      </c>
      <c r="L247">
        <f t="shared" si="33"/>
        <v>0.2273</v>
      </c>
      <c r="M247" s="20">
        <f t="shared" si="34"/>
        <v>0.2273</v>
      </c>
      <c r="N247">
        <f t="shared" si="35"/>
        <v>0.59</v>
      </c>
      <c r="O247" s="20" t="str">
        <f t="shared" si="36"/>
        <v>Acceptable</v>
      </c>
      <c r="P247">
        <f t="shared" si="37"/>
        <v>8.9599999999999999E-2</v>
      </c>
      <c r="Q247">
        <f t="shared" si="38"/>
        <v>3</v>
      </c>
      <c r="R247">
        <f t="shared" si="39"/>
        <v>60</v>
      </c>
      <c r="S247">
        <f t="shared" si="40"/>
        <v>63</v>
      </c>
    </row>
    <row r="248" spans="1:19" ht="15" thickBot="1" x14ac:dyDescent="0.35">
      <c r="A248" s="1">
        <v>247</v>
      </c>
      <c r="B248" s="2">
        <v>40554</v>
      </c>
      <c r="C248" s="1">
        <v>1</v>
      </c>
      <c r="D248" s="1">
        <v>15</v>
      </c>
      <c r="E248" s="3" t="b">
        <v>0</v>
      </c>
      <c r="F248" s="5">
        <v>2</v>
      </c>
      <c r="G248" s="18" t="str">
        <f t="shared" si="41"/>
        <v>No</v>
      </c>
      <c r="H248" s="1">
        <v>2</v>
      </c>
      <c r="I248" s="21" t="str">
        <f t="shared" si="42"/>
        <v>Misty</v>
      </c>
      <c r="J248" s="1">
        <v>0.16</v>
      </c>
      <c r="K248" s="23" t="str">
        <f t="shared" si="43"/>
        <v>Safe</v>
      </c>
      <c r="L248">
        <f t="shared" si="33"/>
        <v>0.19700000000000001</v>
      </c>
      <c r="M248" s="20">
        <f t="shared" si="34"/>
        <v>0.19700000000000001</v>
      </c>
      <c r="N248">
        <f t="shared" si="35"/>
        <v>0.8</v>
      </c>
      <c r="O248" s="20" t="str">
        <f t="shared" si="36"/>
        <v>Risky</v>
      </c>
      <c r="P248">
        <f t="shared" si="37"/>
        <v>8.9599999999999999E-2</v>
      </c>
      <c r="Q248">
        <f t="shared" si="38"/>
        <v>2</v>
      </c>
      <c r="R248">
        <f t="shared" si="39"/>
        <v>45</v>
      </c>
      <c r="S248">
        <f t="shared" si="40"/>
        <v>47</v>
      </c>
    </row>
    <row r="249" spans="1:19" ht="15" thickBot="1" x14ac:dyDescent="0.35">
      <c r="A249" s="1">
        <v>248</v>
      </c>
      <c r="B249" s="2">
        <v>40554</v>
      </c>
      <c r="C249" s="1">
        <v>1</v>
      </c>
      <c r="D249" s="1">
        <v>16</v>
      </c>
      <c r="E249" s="3" t="b">
        <v>0</v>
      </c>
      <c r="F249" s="5">
        <v>2</v>
      </c>
      <c r="G249" s="18" t="str">
        <f t="shared" si="41"/>
        <v>No</v>
      </c>
      <c r="H249" s="1">
        <v>2</v>
      </c>
      <c r="I249" s="21" t="str">
        <f t="shared" si="42"/>
        <v>Misty</v>
      </c>
      <c r="J249" s="1">
        <v>0.16</v>
      </c>
      <c r="K249" s="23" t="str">
        <f t="shared" si="43"/>
        <v>Safe</v>
      </c>
      <c r="L249">
        <f t="shared" si="33"/>
        <v>0.1515</v>
      </c>
      <c r="M249" s="20">
        <f t="shared" si="34"/>
        <v>0.1515</v>
      </c>
      <c r="N249">
        <f t="shared" si="35"/>
        <v>0.86</v>
      </c>
      <c r="O249" s="20" t="str">
        <f t="shared" si="36"/>
        <v>Risky</v>
      </c>
      <c r="P249">
        <f t="shared" si="37"/>
        <v>0.22389999999999999</v>
      </c>
      <c r="Q249">
        <f t="shared" si="38"/>
        <v>4</v>
      </c>
      <c r="R249">
        <f t="shared" si="39"/>
        <v>72</v>
      </c>
      <c r="S249">
        <f t="shared" si="40"/>
        <v>76</v>
      </c>
    </row>
    <row r="250" spans="1:19" ht="15" thickBot="1" x14ac:dyDescent="0.35">
      <c r="A250" s="1">
        <v>249</v>
      </c>
      <c r="B250" s="2">
        <v>40554</v>
      </c>
      <c r="C250" s="1">
        <v>1</v>
      </c>
      <c r="D250" s="1">
        <v>17</v>
      </c>
      <c r="E250" s="3" t="b">
        <v>0</v>
      </c>
      <c r="F250" s="5">
        <v>2</v>
      </c>
      <c r="G250" s="18" t="str">
        <f t="shared" si="41"/>
        <v>No</v>
      </c>
      <c r="H250" s="1">
        <v>2</v>
      </c>
      <c r="I250" s="21" t="str">
        <f t="shared" si="42"/>
        <v>Misty</v>
      </c>
      <c r="J250" s="1">
        <v>0.16</v>
      </c>
      <c r="K250" s="23" t="str">
        <f t="shared" si="43"/>
        <v>Safe</v>
      </c>
      <c r="L250">
        <f t="shared" si="33"/>
        <v>0.1515</v>
      </c>
      <c r="M250" s="20">
        <f t="shared" si="34"/>
        <v>0.1515</v>
      </c>
      <c r="N250">
        <f t="shared" si="35"/>
        <v>0.86</v>
      </c>
      <c r="O250" s="20" t="str">
        <f t="shared" si="36"/>
        <v>Risky</v>
      </c>
      <c r="P250">
        <f t="shared" si="37"/>
        <v>0.22389999999999999</v>
      </c>
      <c r="Q250">
        <f t="shared" si="38"/>
        <v>6</v>
      </c>
      <c r="R250">
        <f t="shared" si="39"/>
        <v>130</v>
      </c>
      <c r="S250">
        <f t="shared" si="40"/>
        <v>136</v>
      </c>
    </row>
    <row r="251" spans="1:19" ht="27.6" thickBot="1" x14ac:dyDescent="0.35">
      <c r="A251" s="1">
        <v>250</v>
      </c>
      <c r="B251" s="2">
        <v>40554</v>
      </c>
      <c r="C251" s="1">
        <v>1</v>
      </c>
      <c r="D251" s="1">
        <v>18</v>
      </c>
      <c r="E251" s="3" t="b">
        <v>0</v>
      </c>
      <c r="F251" s="5">
        <v>2</v>
      </c>
      <c r="G251" s="18" t="str">
        <f t="shared" si="41"/>
        <v>No</v>
      </c>
      <c r="H251" s="1">
        <v>3</v>
      </c>
      <c r="I251" s="21" t="str">
        <f t="shared" si="42"/>
        <v>Light Rain</v>
      </c>
      <c r="J251" s="1">
        <v>0.16</v>
      </c>
      <c r="K251" s="23" t="str">
        <f t="shared" si="43"/>
        <v>Safe</v>
      </c>
      <c r="L251">
        <f t="shared" si="33"/>
        <v>0.18179999999999999</v>
      </c>
      <c r="M251" s="20">
        <f t="shared" si="34"/>
        <v>0.18179999999999999</v>
      </c>
      <c r="N251">
        <f t="shared" si="35"/>
        <v>0.93</v>
      </c>
      <c r="O251" s="20" t="str">
        <f t="shared" si="36"/>
        <v>Risky</v>
      </c>
      <c r="P251">
        <f t="shared" si="37"/>
        <v>0.1045</v>
      </c>
      <c r="Q251">
        <f t="shared" si="38"/>
        <v>1</v>
      </c>
      <c r="R251">
        <f t="shared" si="39"/>
        <v>94</v>
      </c>
      <c r="S251">
        <f t="shared" si="40"/>
        <v>95</v>
      </c>
    </row>
    <row r="252" spans="1:19" ht="27.6" thickBot="1" x14ac:dyDescent="0.35">
      <c r="A252" s="1">
        <v>251</v>
      </c>
      <c r="B252" s="2">
        <v>40554</v>
      </c>
      <c r="C252" s="1">
        <v>1</v>
      </c>
      <c r="D252" s="1">
        <v>19</v>
      </c>
      <c r="E252" s="3" t="b">
        <v>0</v>
      </c>
      <c r="F252" s="5">
        <v>2</v>
      </c>
      <c r="G252" s="18" t="str">
        <f t="shared" si="41"/>
        <v>No</v>
      </c>
      <c r="H252" s="1">
        <v>3</v>
      </c>
      <c r="I252" s="21" t="str">
        <f t="shared" si="42"/>
        <v>Light Rain</v>
      </c>
      <c r="J252" s="1">
        <v>0.16</v>
      </c>
      <c r="K252" s="23" t="str">
        <f t="shared" si="43"/>
        <v>Safe</v>
      </c>
      <c r="L252">
        <f t="shared" si="33"/>
        <v>0.2273</v>
      </c>
      <c r="M252" s="20">
        <f t="shared" si="34"/>
        <v>0.2273</v>
      </c>
      <c r="N252">
        <f t="shared" si="35"/>
        <v>0.93</v>
      </c>
      <c r="O252" s="20" t="str">
        <f t="shared" si="36"/>
        <v>Risky</v>
      </c>
      <c r="P252">
        <f t="shared" si="37"/>
        <v>0</v>
      </c>
      <c r="Q252">
        <f t="shared" si="38"/>
        <v>0</v>
      </c>
      <c r="R252">
        <f t="shared" si="39"/>
        <v>51</v>
      </c>
      <c r="S252">
        <f t="shared" si="40"/>
        <v>51</v>
      </c>
    </row>
    <row r="253" spans="1:19" ht="27.6" thickBot="1" x14ac:dyDescent="0.35">
      <c r="A253" s="1">
        <v>252</v>
      </c>
      <c r="B253" s="2">
        <v>40554</v>
      </c>
      <c r="C253" s="1">
        <v>1</v>
      </c>
      <c r="D253" s="1">
        <v>20</v>
      </c>
      <c r="E253" s="3" t="b">
        <v>0</v>
      </c>
      <c r="F253" s="5">
        <v>2</v>
      </c>
      <c r="G253" s="18" t="str">
        <f t="shared" si="41"/>
        <v>No</v>
      </c>
      <c r="H253" s="1">
        <v>3</v>
      </c>
      <c r="I253" s="21" t="str">
        <f t="shared" si="42"/>
        <v>Light Rain</v>
      </c>
      <c r="J253" s="1">
        <v>0.16</v>
      </c>
      <c r="K253" s="23" t="str">
        <f t="shared" si="43"/>
        <v>Safe</v>
      </c>
      <c r="L253">
        <f t="shared" si="33"/>
        <v>0.1515</v>
      </c>
      <c r="M253" s="20">
        <f t="shared" si="34"/>
        <v>0.1515</v>
      </c>
      <c r="N253">
        <f t="shared" si="35"/>
        <v>0.93</v>
      </c>
      <c r="O253" s="20" t="str">
        <f t="shared" si="36"/>
        <v>Risky</v>
      </c>
      <c r="P253">
        <f t="shared" si="37"/>
        <v>0.19400000000000001</v>
      </c>
      <c r="Q253">
        <f t="shared" si="38"/>
        <v>0</v>
      </c>
      <c r="R253">
        <f t="shared" si="39"/>
        <v>32</v>
      </c>
      <c r="S253">
        <f t="shared" si="40"/>
        <v>32</v>
      </c>
    </row>
    <row r="254" spans="1:19" ht="27.6" thickBot="1" x14ac:dyDescent="0.35">
      <c r="A254" s="1">
        <v>253</v>
      </c>
      <c r="B254" s="2">
        <v>40554</v>
      </c>
      <c r="C254" s="1">
        <v>1</v>
      </c>
      <c r="D254" s="1">
        <v>21</v>
      </c>
      <c r="E254" s="3" t="b">
        <v>0</v>
      </c>
      <c r="F254" s="5">
        <v>2</v>
      </c>
      <c r="G254" s="18" t="str">
        <f t="shared" si="41"/>
        <v>No</v>
      </c>
      <c r="H254" s="1">
        <v>3</v>
      </c>
      <c r="I254" s="21" t="str">
        <f t="shared" si="42"/>
        <v>Light Rain</v>
      </c>
      <c r="J254" s="1">
        <v>0.16</v>
      </c>
      <c r="K254" s="23" t="str">
        <f t="shared" si="43"/>
        <v>Safe</v>
      </c>
      <c r="L254">
        <f t="shared" si="33"/>
        <v>0.19700000000000001</v>
      </c>
      <c r="M254" s="20">
        <f t="shared" si="34"/>
        <v>0.19700000000000001</v>
      </c>
      <c r="N254">
        <f t="shared" si="35"/>
        <v>0.86</v>
      </c>
      <c r="O254" s="20" t="str">
        <f t="shared" si="36"/>
        <v>Risky</v>
      </c>
      <c r="P254">
        <f t="shared" si="37"/>
        <v>8.9599999999999999E-2</v>
      </c>
      <c r="Q254">
        <f t="shared" si="38"/>
        <v>0</v>
      </c>
      <c r="R254">
        <f t="shared" si="39"/>
        <v>20</v>
      </c>
      <c r="S254">
        <f t="shared" si="40"/>
        <v>20</v>
      </c>
    </row>
    <row r="255" spans="1:19" ht="27.6" thickBot="1" x14ac:dyDescent="0.35">
      <c r="A255" s="1">
        <v>254</v>
      </c>
      <c r="B255" s="2">
        <v>40554</v>
      </c>
      <c r="C255" s="1">
        <v>1</v>
      </c>
      <c r="D255" s="1">
        <v>22</v>
      </c>
      <c r="E255" s="3" t="b">
        <v>0</v>
      </c>
      <c r="F255" s="5">
        <v>2</v>
      </c>
      <c r="G255" s="18" t="str">
        <f t="shared" si="41"/>
        <v>No</v>
      </c>
      <c r="H255" s="1">
        <v>3</v>
      </c>
      <c r="I255" s="21" t="str">
        <f t="shared" si="42"/>
        <v>Light Rain</v>
      </c>
      <c r="J255" s="1">
        <v>0.16</v>
      </c>
      <c r="K255" s="23" t="str">
        <f t="shared" si="43"/>
        <v>Safe</v>
      </c>
      <c r="L255">
        <f t="shared" si="33"/>
        <v>0.18179999999999999</v>
      </c>
      <c r="M255" s="20">
        <f t="shared" si="34"/>
        <v>0.18179999999999999</v>
      </c>
      <c r="N255">
        <f t="shared" si="35"/>
        <v>0.93</v>
      </c>
      <c r="O255" s="20" t="str">
        <f t="shared" si="36"/>
        <v>Risky</v>
      </c>
      <c r="P255">
        <f t="shared" si="37"/>
        <v>0.1045</v>
      </c>
      <c r="Q255">
        <f t="shared" si="38"/>
        <v>1</v>
      </c>
      <c r="R255">
        <f t="shared" si="39"/>
        <v>28</v>
      </c>
      <c r="S255">
        <f t="shared" si="40"/>
        <v>29</v>
      </c>
    </row>
    <row r="256" spans="1:19" ht="27.6" thickBot="1" x14ac:dyDescent="0.35">
      <c r="A256" s="1">
        <v>255</v>
      </c>
      <c r="B256" s="2">
        <v>40554</v>
      </c>
      <c r="C256" s="1">
        <v>1</v>
      </c>
      <c r="D256" s="1">
        <v>23</v>
      </c>
      <c r="E256" s="3" t="b">
        <v>0</v>
      </c>
      <c r="F256" s="5">
        <v>2</v>
      </c>
      <c r="G256" s="18" t="str">
        <f t="shared" si="41"/>
        <v>No</v>
      </c>
      <c r="H256" s="1">
        <v>3</v>
      </c>
      <c r="I256" s="21" t="str">
        <f t="shared" si="42"/>
        <v>Light Rain</v>
      </c>
      <c r="J256" s="1">
        <v>0.16</v>
      </c>
      <c r="K256" s="23" t="str">
        <f t="shared" si="43"/>
        <v>Safe</v>
      </c>
      <c r="L256">
        <f t="shared" si="33"/>
        <v>0.19700000000000001</v>
      </c>
      <c r="M256" s="20">
        <f t="shared" si="34"/>
        <v>0.19700000000000001</v>
      </c>
      <c r="N256">
        <f t="shared" si="35"/>
        <v>0.93</v>
      </c>
      <c r="O256" s="20" t="str">
        <f t="shared" si="36"/>
        <v>Risky</v>
      </c>
      <c r="P256">
        <f t="shared" si="37"/>
        <v>8.9599999999999999E-2</v>
      </c>
      <c r="Q256">
        <f t="shared" si="38"/>
        <v>1</v>
      </c>
      <c r="R256">
        <f t="shared" si="39"/>
        <v>18</v>
      </c>
      <c r="S256">
        <f t="shared" si="40"/>
        <v>19</v>
      </c>
    </row>
    <row r="257" spans="1:19" ht="15" thickBot="1" x14ac:dyDescent="0.35">
      <c r="A257" s="1">
        <v>256</v>
      </c>
      <c r="B257" s="2">
        <v>40555</v>
      </c>
      <c r="C257" s="1">
        <v>1</v>
      </c>
      <c r="D257" s="1">
        <v>0</v>
      </c>
      <c r="E257" s="3" t="b">
        <v>0</v>
      </c>
      <c r="F257" s="5">
        <v>3</v>
      </c>
      <c r="G257" s="18" t="str">
        <f t="shared" si="41"/>
        <v>No</v>
      </c>
      <c r="H257" s="1">
        <v>2</v>
      </c>
      <c r="I257" s="21" t="str">
        <f t="shared" si="42"/>
        <v>Misty</v>
      </c>
      <c r="J257" s="1">
        <v>0.16</v>
      </c>
      <c r="K257" s="23" t="str">
        <f t="shared" si="43"/>
        <v>Safe</v>
      </c>
      <c r="L257">
        <f t="shared" si="33"/>
        <v>0.19700000000000001</v>
      </c>
      <c r="M257" s="20">
        <f t="shared" si="34"/>
        <v>0.19700000000000001</v>
      </c>
      <c r="N257">
        <f t="shared" si="35"/>
        <v>0.86</v>
      </c>
      <c r="O257" s="20" t="str">
        <f t="shared" si="36"/>
        <v>Risky</v>
      </c>
      <c r="P257">
        <f t="shared" si="37"/>
        <v>8.9599999999999999E-2</v>
      </c>
      <c r="Q257">
        <f t="shared" si="38"/>
        <v>0</v>
      </c>
      <c r="R257">
        <f t="shared" si="39"/>
        <v>7</v>
      </c>
      <c r="S257">
        <f t="shared" si="40"/>
        <v>7</v>
      </c>
    </row>
    <row r="258" spans="1:19" ht="15" thickBot="1" x14ac:dyDescent="0.35">
      <c r="A258" s="1">
        <v>257</v>
      </c>
      <c r="B258" s="2">
        <v>40555</v>
      </c>
      <c r="C258" s="1">
        <v>1</v>
      </c>
      <c r="D258" s="1">
        <v>1</v>
      </c>
      <c r="E258" s="3" t="b">
        <v>0</v>
      </c>
      <c r="F258" s="5">
        <v>3</v>
      </c>
      <c r="G258" s="18" t="str">
        <f t="shared" si="41"/>
        <v>No</v>
      </c>
      <c r="H258" s="1">
        <v>2</v>
      </c>
      <c r="I258" s="21" t="str">
        <f t="shared" si="42"/>
        <v>Misty</v>
      </c>
      <c r="J258" s="1">
        <v>0.16</v>
      </c>
      <c r="K258" s="23" t="str">
        <f t="shared" si="43"/>
        <v>Safe</v>
      </c>
      <c r="L258">
        <f t="shared" ref="L258:L321" si="44">VLOOKUP($A258,list2,2,FALSE)</f>
        <v>0.18179999999999999</v>
      </c>
      <c r="M258" s="20">
        <f t="shared" ref="M258:M321" si="45">VLOOKUP($A258,list2,3,FALSE)</f>
        <v>0.18179999999999999</v>
      </c>
      <c r="N258">
        <f t="shared" ref="N258:N321" si="46">VLOOKUP($A258,list2,4,FALSE)</f>
        <v>0.86</v>
      </c>
      <c r="O258" s="20" t="str">
        <f t="shared" ref="O258:O321" si="47">VLOOKUP($A258,list2,5,FALSE)</f>
        <v>Risky</v>
      </c>
      <c r="P258">
        <f t="shared" ref="P258:P321" si="48">VLOOKUP($A258,list2,6,FALSE)</f>
        <v>0.1045</v>
      </c>
      <c r="Q258">
        <f t="shared" ref="Q258:Q321" si="49">VLOOKUP($A258,list2,7,FALSE)</f>
        <v>0</v>
      </c>
      <c r="R258">
        <f t="shared" ref="R258:R321" si="50">VLOOKUP($A258,list2,8,FALSE)</f>
        <v>6</v>
      </c>
      <c r="S258">
        <f t="shared" ref="S258:S321" si="51">VLOOKUP($A258,list2,9,FALSE)</f>
        <v>6</v>
      </c>
    </row>
    <row r="259" spans="1:19" ht="15" thickBot="1" x14ac:dyDescent="0.35">
      <c r="A259" s="1">
        <v>258</v>
      </c>
      <c r="B259" s="2">
        <v>40555</v>
      </c>
      <c r="C259" s="1">
        <v>1</v>
      </c>
      <c r="D259" s="1">
        <v>2</v>
      </c>
      <c r="E259" s="3" t="b">
        <v>0</v>
      </c>
      <c r="F259" s="5">
        <v>3</v>
      </c>
      <c r="G259" s="18" t="str">
        <f t="shared" ref="G259:G322" si="52">_xlfn.IFS(F259=0,"Yes",F259=6,"Yes",F259&gt;0,"No")</f>
        <v>No</v>
      </c>
      <c r="H259" s="1">
        <v>1</v>
      </c>
      <c r="I259" s="21" t="str">
        <f t="shared" ref="I259:I322" si="53">_xlfn.IFS(H259=1,"Clean",H259=2,"Misty",H259=3,"Light Rain",H259=4,"Heavy Rain")</f>
        <v>Clean</v>
      </c>
      <c r="J259" s="1">
        <v>0.14000000000000001</v>
      </c>
      <c r="K259" s="23" t="str">
        <f t="shared" ref="K259:K322" si="54">_xlfn.IFS(J259&lt;0.1,"Risky",J259&lt;0.35,"Safe",J259&gt;0.35,"Risky")</f>
        <v>Safe</v>
      </c>
      <c r="L259">
        <f t="shared" si="44"/>
        <v>0.1515</v>
      </c>
      <c r="M259" s="20">
        <f t="shared" si="45"/>
        <v>0.1515</v>
      </c>
      <c r="N259">
        <f t="shared" si="46"/>
        <v>0.86</v>
      </c>
      <c r="O259" s="20" t="str">
        <f t="shared" si="47"/>
        <v>Risky</v>
      </c>
      <c r="P259">
        <f t="shared" si="48"/>
        <v>0.1343</v>
      </c>
      <c r="Q259">
        <f t="shared" si="49"/>
        <v>0</v>
      </c>
      <c r="R259">
        <f t="shared" si="50"/>
        <v>1</v>
      </c>
      <c r="S259">
        <f t="shared" si="51"/>
        <v>1</v>
      </c>
    </row>
    <row r="260" spans="1:19" ht="15" thickBot="1" x14ac:dyDescent="0.35">
      <c r="A260" s="1">
        <v>259</v>
      </c>
      <c r="B260" s="2">
        <v>40555</v>
      </c>
      <c r="C260" s="1">
        <v>1</v>
      </c>
      <c r="D260" s="1">
        <v>5</v>
      </c>
      <c r="E260" s="3" t="b">
        <v>0</v>
      </c>
      <c r="F260" s="5">
        <v>3</v>
      </c>
      <c r="G260" s="18" t="str">
        <f t="shared" si="52"/>
        <v>No</v>
      </c>
      <c r="H260" s="1">
        <v>1</v>
      </c>
      <c r="I260" s="21" t="str">
        <f t="shared" si="53"/>
        <v>Clean</v>
      </c>
      <c r="J260" s="1">
        <v>0.14000000000000001</v>
      </c>
      <c r="K260" s="23" t="str">
        <f t="shared" si="54"/>
        <v>Safe</v>
      </c>
      <c r="L260">
        <f t="shared" si="44"/>
        <v>0.1515</v>
      </c>
      <c r="M260" s="20">
        <f t="shared" si="45"/>
        <v>0.1515</v>
      </c>
      <c r="N260">
        <f t="shared" si="46"/>
        <v>0.86</v>
      </c>
      <c r="O260" s="20" t="str">
        <f t="shared" si="47"/>
        <v>Risky</v>
      </c>
      <c r="P260">
        <f t="shared" si="48"/>
        <v>0.16420000000000001</v>
      </c>
      <c r="Q260">
        <f t="shared" si="49"/>
        <v>0</v>
      </c>
      <c r="R260">
        <f t="shared" si="50"/>
        <v>5</v>
      </c>
      <c r="S260">
        <f t="shared" si="51"/>
        <v>5</v>
      </c>
    </row>
    <row r="261" spans="1:19" ht="15" thickBot="1" x14ac:dyDescent="0.35">
      <c r="A261" s="1">
        <v>260</v>
      </c>
      <c r="B261" s="2">
        <v>40555</v>
      </c>
      <c r="C261" s="1">
        <v>1</v>
      </c>
      <c r="D261" s="1">
        <v>6</v>
      </c>
      <c r="E261" s="3" t="b">
        <v>0</v>
      </c>
      <c r="F261" s="5">
        <v>3</v>
      </c>
      <c r="G261" s="18" t="str">
        <f t="shared" si="52"/>
        <v>No</v>
      </c>
      <c r="H261" s="1">
        <v>1</v>
      </c>
      <c r="I261" s="21" t="str">
        <f t="shared" si="53"/>
        <v>Clean</v>
      </c>
      <c r="J261" s="1">
        <v>0.12</v>
      </c>
      <c r="K261" s="23" t="str">
        <f t="shared" si="54"/>
        <v>Safe</v>
      </c>
      <c r="L261">
        <f t="shared" si="44"/>
        <v>0.1515</v>
      </c>
      <c r="M261" s="20">
        <f t="shared" si="45"/>
        <v>0.1515</v>
      </c>
      <c r="N261">
        <f t="shared" si="46"/>
        <v>0.93</v>
      </c>
      <c r="O261" s="20" t="str">
        <f t="shared" si="47"/>
        <v>Risky</v>
      </c>
      <c r="P261">
        <f t="shared" si="48"/>
        <v>0.1343</v>
      </c>
      <c r="Q261">
        <f t="shared" si="49"/>
        <v>0</v>
      </c>
      <c r="R261">
        <f t="shared" si="50"/>
        <v>16</v>
      </c>
      <c r="S261">
        <f t="shared" si="51"/>
        <v>16</v>
      </c>
    </row>
    <row r="262" spans="1:19" ht="15" thickBot="1" x14ac:dyDescent="0.35">
      <c r="A262" s="1">
        <v>261</v>
      </c>
      <c r="B262" s="2">
        <v>40555</v>
      </c>
      <c r="C262" s="1">
        <v>1</v>
      </c>
      <c r="D262" s="1">
        <v>7</v>
      </c>
      <c r="E262" s="3" t="b">
        <v>0</v>
      </c>
      <c r="F262" s="5">
        <v>3</v>
      </c>
      <c r="G262" s="18" t="str">
        <f t="shared" si="52"/>
        <v>No</v>
      </c>
      <c r="H262" s="1">
        <v>1</v>
      </c>
      <c r="I262" s="21" t="str">
        <f t="shared" si="53"/>
        <v>Clean</v>
      </c>
      <c r="J262" s="1">
        <v>0.14000000000000001</v>
      </c>
      <c r="K262" s="23" t="str">
        <f t="shared" si="54"/>
        <v>Safe</v>
      </c>
      <c r="L262">
        <f t="shared" si="44"/>
        <v>0.1515</v>
      </c>
      <c r="M262" s="20">
        <f t="shared" si="45"/>
        <v>0.1515</v>
      </c>
      <c r="N262">
        <f t="shared" si="46"/>
        <v>0.69</v>
      </c>
      <c r="O262" s="20" t="str">
        <f t="shared" si="47"/>
        <v>Acceptable</v>
      </c>
      <c r="P262">
        <f t="shared" si="48"/>
        <v>0.1343</v>
      </c>
      <c r="Q262">
        <f t="shared" si="49"/>
        <v>0</v>
      </c>
      <c r="R262">
        <f t="shared" si="50"/>
        <v>54</v>
      </c>
      <c r="S262">
        <f t="shared" si="51"/>
        <v>54</v>
      </c>
    </row>
    <row r="263" spans="1:19" ht="15" thickBot="1" x14ac:dyDescent="0.35">
      <c r="A263" s="1">
        <v>262</v>
      </c>
      <c r="B263" s="2">
        <v>40555</v>
      </c>
      <c r="C263" s="1">
        <v>1</v>
      </c>
      <c r="D263" s="1">
        <v>8</v>
      </c>
      <c r="E263" s="3" t="b">
        <v>0</v>
      </c>
      <c r="F263" s="5">
        <v>3</v>
      </c>
      <c r="G263" s="18" t="str">
        <f t="shared" si="52"/>
        <v>No</v>
      </c>
      <c r="H263" s="1">
        <v>1</v>
      </c>
      <c r="I263" s="21" t="str">
        <f t="shared" si="53"/>
        <v>Clean</v>
      </c>
      <c r="J263" s="1">
        <v>0.16</v>
      </c>
      <c r="K263" s="23" t="str">
        <f t="shared" si="54"/>
        <v>Safe</v>
      </c>
      <c r="L263">
        <f t="shared" si="44"/>
        <v>0.16669999999999999</v>
      </c>
      <c r="M263" s="20">
        <f t="shared" si="45"/>
        <v>0.16669999999999999</v>
      </c>
      <c r="N263">
        <f t="shared" si="46"/>
        <v>0.59</v>
      </c>
      <c r="O263" s="20" t="str">
        <f t="shared" si="47"/>
        <v>Acceptable</v>
      </c>
      <c r="P263">
        <f t="shared" si="48"/>
        <v>0.16420000000000001</v>
      </c>
      <c r="Q263">
        <f t="shared" si="49"/>
        <v>3</v>
      </c>
      <c r="R263">
        <f t="shared" si="50"/>
        <v>125</v>
      </c>
      <c r="S263">
        <f t="shared" si="51"/>
        <v>128</v>
      </c>
    </row>
    <row r="264" spans="1:19" ht="15" thickBot="1" x14ac:dyDescent="0.35">
      <c r="A264" s="1">
        <v>263</v>
      </c>
      <c r="B264" s="2">
        <v>40555</v>
      </c>
      <c r="C264" s="1">
        <v>1</v>
      </c>
      <c r="D264" s="1">
        <v>9</v>
      </c>
      <c r="E264" s="3" t="b">
        <v>0</v>
      </c>
      <c r="F264" s="5">
        <v>3</v>
      </c>
      <c r="G264" s="18" t="str">
        <f t="shared" si="52"/>
        <v>No</v>
      </c>
      <c r="H264" s="1">
        <v>1</v>
      </c>
      <c r="I264" s="21" t="str">
        <f t="shared" si="53"/>
        <v>Clean</v>
      </c>
      <c r="J264" s="1">
        <v>0.16</v>
      </c>
      <c r="K264" s="23" t="str">
        <f t="shared" si="54"/>
        <v>Safe</v>
      </c>
      <c r="L264">
        <f t="shared" si="44"/>
        <v>0.13639999999999999</v>
      </c>
      <c r="M264" s="20">
        <f t="shared" si="45"/>
        <v>0.13639999999999999</v>
      </c>
      <c r="N264">
        <f t="shared" si="46"/>
        <v>0.59</v>
      </c>
      <c r="O264" s="20" t="str">
        <f t="shared" si="47"/>
        <v>Acceptable</v>
      </c>
      <c r="P264">
        <f t="shared" si="48"/>
        <v>0.32840000000000003</v>
      </c>
      <c r="Q264">
        <f t="shared" si="49"/>
        <v>3</v>
      </c>
      <c r="R264">
        <f t="shared" si="50"/>
        <v>78</v>
      </c>
      <c r="S264">
        <f t="shared" si="51"/>
        <v>81</v>
      </c>
    </row>
    <row r="265" spans="1:19" ht="15" thickBot="1" x14ac:dyDescent="0.35">
      <c r="A265" s="1">
        <v>264</v>
      </c>
      <c r="B265" s="2">
        <v>40555</v>
      </c>
      <c r="C265" s="1">
        <v>1</v>
      </c>
      <c r="D265" s="1">
        <v>10</v>
      </c>
      <c r="E265" s="3" t="b">
        <v>0</v>
      </c>
      <c r="F265" s="5">
        <v>3</v>
      </c>
      <c r="G265" s="18" t="str">
        <f t="shared" si="52"/>
        <v>No</v>
      </c>
      <c r="H265" s="1">
        <v>1</v>
      </c>
      <c r="I265" s="21" t="str">
        <f t="shared" si="53"/>
        <v>Clean</v>
      </c>
      <c r="J265" s="1">
        <v>0.18</v>
      </c>
      <c r="K265" s="23" t="str">
        <f t="shared" si="54"/>
        <v>Safe</v>
      </c>
      <c r="L265">
        <f t="shared" si="44"/>
        <v>0.18179999999999999</v>
      </c>
      <c r="M265" s="20">
        <f t="shared" si="45"/>
        <v>0.18179999999999999</v>
      </c>
      <c r="N265">
        <f t="shared" si="46"/>
        <v>0.55000000000000004</v>
      </c>
      <c r="O265" s="20" t="str">
        <f t="shared" si="47"/>
        <v>Acceptable</v>
      </c>
      <c r="P265">
        <f t="shared" si="48"/>
        <v>0.22389999999999999</v>
      </c>
      <c r="Q265">
        <f t="shared" si="49"/>
        <v>0</v>
      </c>
      <c r="R265">
        <f t="shared" si="50"/>
        <v>39</v>
      </c>
      <c r="S265">
        <f t="shared" si="51"/>
        <v>39</v>
      </c>
    </row>
    <row r="266" spans="1:19" ht="15" thickBot="1" x14ac:dyDescent="0.35">
      <c r="A266" s="1">
        <v>265</v>
      </c>
      <c r="B266" s="2">
        <v>40555</v>
      </c>
      <c r="C266" s="1">
        <v>1</v>
      </c>
      <c r="D266" s="1">
        <v>11</v>
      </c>
      <c r="E266" s="3" t="b">
        <v>0</v>
      </c>
      <c r="F266" s="5">
        <v>3</v>
      </c>
      <c r="G266" s="18" t="str">
        <f t="shared" si="52"/>
        <v>No</v>
      </c>
      <c r="H266" s="1">
        <v>1</v>
      </c>
      <c r="I266" s="21" t="str">
        <f t="shared" si="53"/>
        <v>Clean</v>
      </c>
      <c r="J266" s="1">
        <v>0.2</v>
      </c>
      <c r="K266" s="23" t="str">
        <f t="shared" si="54"/>
        <v>Safe</v>
      </c>
      <c r="L266">
        <f t="shared" si="44"/>
        <v>0.18179999999999999</v>
      </c>
      <c r="M266" s="20">
        <f t="shared" si="45"/>
        <v>0.18179999999999999</v>
      </c>
      <c r="N266">
        <f t="shared" si="46"/>
        <v>0.51</v>
      </c>
      <c r="O266" s="20" t="str">
        <f t="shared" si="47"/>
        <v>Acceptable</v>
      </c>
      <c r="P266">
        <f t="shared" si="48"/>
        <v>0.3881</v>
      </c>
      <c r="Q266">
        <f t="shared" si="49"/>
        <v>3</v>
      </c>
      <c r="R266">
        <f t="shared" si="50"/>
        <v>32</v>
      </c>
      <c r="S266">
        <f t="shared" si="51"/>
        <v>35</v>
      </c>
    </row>
    <row r="267" spans="1:19" ht="15" thickBot="1" x14ac:dyDescent="0.35">
      <c r="A267" s="1">
        <v>266</v>
      </c>
      <c r="B267" s="2">
        <v>40555</v>
      </c>
      <c r="C267" s="1">
        <v>1</v>
      </c>
      <c r="D267" s="1">
        <v>12</v>
      </c>
      <c r="E267" s="3" t="b">
        <v>0</v>
      </c>
      <c r="F267" s="5">
        <v>3</v>
      </c>
      <c r="G267" s="18" t="str">
        <f t="shared" si="52"/>
        <v>No</v>
      </c>
      <c r="H267" s="1">
        <v>1</v>
      </c>
      <c r="I267" s="21" t="str">
        <f t="shared" si="53"/>
        <v>Clean</v>
      </c>
      <c r="J267" s="1">
        <v>0.2</v>
      </c>
      <c r="K267" s="23" t="str">
        <f t="shared" si="54"/>
        <v>Safe</v>
      </c>
      <c r="L267">
        <f t="shared" si="44"/>
        <v>0.1515</v>
      </c>
      <c r="M267" s="20">
        <f t="shared" si="45"/>
        <v>0.1515</v>
      </c>
      <c r="N267">
        <f t="shared" si="46"/>
        <v>0.47</v>
      </c>
      <c r="O267" s="20" t="str">
        <f t="shared" si="47"/>
        <v>Acceptable</v>
      </c>
      <c r="P267">
        <f t="shared" si="48"/>
        <v>0.58209999999999995</v>
      </c>
      <c r="Q267">
        <f t="shared" si="49"/>
        <v>3</v>
      </c>
      <c r="R267">
        <f t="shared" si="50"/>
        <v>52</v>
      </c>
      <c r="S267">
        <f t="shared" si="51"/>
        <v>55</v>
      </c>
    </row>
    <row r="268" spans="1:19" ht="15" thickBot="1" x14ac:dyDescent="0.35">
      <c r="A268" s="1">
        <v>267</v>
      </c>
      <c r="B268" s="2">
        <v>40555</v>
      </c>
      <c r="C268" s="1">
        <v>1</v>
      </c>
      <c r="D268" s="1">
        <v>13</v>
      </c>
      <c r="E268" s="3" t="b">
        <v>0</v>
      </c>
      <c r="F268" s="5">
        <v>3</v>
      </c>
      <c r="G268" s="18" t="str">
        <f t="shared" si="52"/>
        <v>No</v>
      </c>
      <c r="H268" s="1">
        <v>1</v>
      </c>
      <c r="I268" s="21" t="str">
        <f t="shared" si="53"/>
        <v>Clean</v>
      </c>
      <c r="J268" s="1">
        <v>0.22</v>
      </c>
      <c r="K268" s="23" t="str">
        <f t="shared" si="54"/>
        <v>Safe</v>
      </c>
      <c r="L268">
        <f t="shared" si="44"/>
        <v>0.19700000000000001</v>
      </c>
      <c r="M268" s="20">
        <f t="shared" si="45"/>
        <v>0.19700000000000001</v>
      </c>
      <c r="N268">
        <f t="shared" si="46"/>
        <v>0.44</v>
      </c>
      <c r="O268" s="20" t="str">
        <f t="shared" si="47"/>
        <v>Acceptable</v>
      </c>
      <c r="P268">
        <f t="shared" si="48"/>
        <v>0.35820000000000002</v>
      </c>
      <c r="Q268">
        <f t="shared" si="49"/>
        <v>0</v>
      </c>
      <c r="R268">
        <f t="shared" si="50"/>
        <v>49</v>
      </c>
      <c r="S268">
        <f t="shared" si="51"/>
        <v>49</v>
      </c>
    </row>
    <row r="269" spans="1:19" ht="15" thickBot="1" x14ac:dyDescent="0.35">
      <c r="A269" s="1">
        <v>268</v>
      </c>
      <c r="B269" s="2">
        <v>40555</v>
      </c>
      <c r="C269" s="1">
        <v>1</v>
      </c>
      <c r="D269" s="1">
        <v>14</v>
      </c>
      <c r="E269" s="3" t="b">
        <v>0</v>
      </c>
      <c r="F269" s="5">
        <v>3</v>
      </c>
      <c r="G269" s="18" t="str">
        <f t="shared" si="52"/>
        <v>No</v>
      </c>
      <c r="H269" s="1">
        <v>1</v>
      </c>
      <c r="I269" s="21" t="str">
        <f t="shared" si="53"/>
        <v>Clean</v>
      </c>
      <c r="J269" s="1">
        <v>0.2</v>
      </c>
      <c r="K269" s="23" t="str">
        <f t="shared" si="54"/>
        <v>Safe</v>
      </c>
      <c r="L269">
        <f t="shared" si="44"/>
        <v>0.18179999999999999</v>
      </c>
      <c r="M269" s="20">
        <f t="shared" si="45"/>
        <v>0.18179999999999999</v>
      </c>
      <c r="N269">
        <f t="shared" si="46"/>
        <v>0.47</v>
      </c>
      <c r="O269" s="20" t="str">
        <f t="shared" si="47"/>
        <v>Acceptable</v>
      </c>
      <c r="P269">
        <f t="shared" si="48"/>
        <v>0.32840000000000003</v>
      </c>
      <c r="Q269">
        <f t="shared" si="49"/>
        <v>0</v>
      </c>
      <c r="R269">
        <f t="shared" si="50"/>
        <v>44</v>
      </c>
      <c r="S269">
        <f t="shared" si="51"/>
        <v>44</v>
      </c>
    </row>
    <row r="270" spans="1:19" ht="15" thickBot="1" x14ac:dyDescent="0.35">
      <c r="A270" s="1">
        <v>269</v>
      </c>
      <c r="B270" s="2">
        <v>40555</v>
      </c>
      <c r="C270" s="1">
        <v>1</v>
      </c>
      <c r="D270" s="1">
        <v>15</v>
      </c>
      <c r="E270" s="3" t="b">
        <v>0</v>
      </c>
      <c r="F270" s="5">
        <v>3</v>
      </c>
      <c r="G270" s="18" t="str">
        <f t="shared" si="52"/>
        <v>No</v>
      </c>
      <c r="H270" s="1">
        <v>1</v>
      </c>
      <c r="I270" s="21" t="str">
        <f t="shared" si="53"/>
        <v>Clean</v>
      </c>
      <c r="J270" s="1">
        <v>0.2</v>
      </c>
      <c r="K270" s="23" t="str">
        <f t="shared" si="54"/>
        <v>Safe</v>
      </c>
      <c r="L270">
        <f t="shared" si="44"/>
        <v>0.16669999999999999</v>
      </c>
      <c r="M270" s="20">
        <f t="shared" si="45"/>
        <v>0.16669999999999999</v>
      </c>
      <c r="N270">
        <f t="shared" si="46"/>
        <v>0.47</v>
      </c>
      <c r="O270" s="20" t="str">
        <f t="shared" si="47"/>
        <v>Acceptable</v>
      </c>
      <c r="P270">
        <f t="shared" si="48"/>
        <v>0.41789999999999999</v>
      </c>
      <c r="Q270">
        <f t="shared" si="49"/>
        <v>1</v>
      </c>
      <c r="R270">
        <f t="shared" si="50"/>
        <v>48</v>
      </c>
      <c r="S270">
        <f t="shared" si="51"/>
        <v>49</v>
      </c>
    </row>
    <row r="271" spans="1:19" ht="15" thickBot="1" x14ac:dyDescent="0.35">
      <c r="A271" s="1">
        <v>270</v>
      </c>
      <c r="B271" s="2">
        <v>40555</v>
      </c>
      <c r="C271" s="1">
        <v>1</v>
      </c>
      <c r="D271" s="1">
        <v>16</v>
      </c>
      <c r="E271" s="3" t="b">
        <v>0</v>
      </c>
      <c r="F271" s="5">
        <v>3</v>
      </c>
      <c r="G271" s="18" t="str">
        <f t="shared" si="52"/>
        <v>No</v>
      </c>
      <c r="H271" s="1">
        <v>1</v>
      </c>
      <c r="I271" s="21" t="str">
        <f t="shared" si="53"/>
        <v>Clean</v>
      </c>
      <c r="J271" s="1">
        <v>0.22</v>
      </c>
      <c r="K271" s="23" t="str">
        <f t="shared" si="54"/>
        <v>Safe</v>
      </c>
      <c r="L271">
        <f t="shared" si="44"/>
        <v>0.19700000000000001</v>
      </c>
      <c r="M271" s="20">
        <f t="shared" si="45"/>
        <v>0.19700000000000001</v>
      </c>
      <c r="N271">
        <f t="shared" si="46"/>
        <v>0.44</v>
      </c>
      <c r="O271" s="20" t="str">
        <f t="shared" si="47"/>
        <v>Acceptable</v>
      </c>
      <c r="P271">
        <f t="shared" si="48"/>
        <v>0.32840000000000003</v>
      </c>
      <c r="Q271">
        <f t="shared" si="49"/>
        <v>5</v>
      </c>
      <c r="R271">
        <f t="shared" si="50"/>
        <v>63</v>
      </c>
      <c r="S271">
        <f t="shared" si="51"/>
        <v>68</v>
      </c>
    </row>
    <row r="272" spans="1:19" ht="15" thickBot="1" x14ac:dyDescent="0.35">
      <c r="A272" s="1">
        <v>271</v>
      </c>
      <c r="B272" s="2">
        <v>40555</v>
      </c>
      <c r="C272" s="1">
        <v>1</v>
      </c>
      <c r="D272" s="1">
        <v>17</v>
      </c>
      <c r="E272" s="3" t="b">
        <v>0</v>
      </c>
      <c r="F272" s="5">
        <v>3</v>
      </c>
      <c r="G272" s="18" t="str">
        <f t="shared" si="52"/>
        <v>No</v>
      </c>
      <c r="H272" s="1">
        <v>1</v>
      </c>
      <c r="I272" s="21" t="str">
        <f t="shared" si="53"/>
        <v>Clean</v>
      </c>
      <c r="J272" s="1">
        <v>0.2</v>
      </c>
      <c r="K272" s="23" t="str">
        <f t="shared" si="54"/>
        <v>Safe</v>
      </c>
      <c r="L272">
        <f t="shared" si="44"/>
        <v>0.18179999999999999</v>
      </c>
      <c r="M272" s="20">
        <f t="shared" si="45"/>
        <v>0.18179999999999999</v>
      </c>
      <c r="N272">
        <f t="shared" si="46"/>
        <v>0.47</v>
      </c>
      <c r="O272" s="20" t="str">
        <f t="shared" si="47"/>
        <v>Acceptable</v>
      </c>
      <c r="P272">
        <f t="shared" si="48"/>
        <v>0.35820000000000002</v>
      </c>
      <c r="Q272">
        <f t="shared" si="49"/>
        <v>0</v>
      </c>
      <c r="R272">
        <f t="shared" si="50"/>
        <v>139</v>
      </c>
      <c r="S272">
        <f t="shared" si="51"/>
        <v>139</v>
      </c>
    </row>
    <row r="273" spans="1:19" ht="15" thickBot="1" x14ac:dyDescent="0.35">
      <c r="A273" s="1">
        <v>272</v>
      </c>
      <c r="B273" s="2">
        <v>40555</v>
      </c>
      <c r="C273" s="1">
        <v>1</v>
      </c>
      <c r="D273" s="1">
        <v>18</v>
      </c>
      <c r="E273" s="3" t="b">
        <v>0</v>
      </c>
      <c r="F273" s="5">
        <v>3</v>
      </c>
      <c r="G273" s="18" t="str">
        <f t="shared" si="52"/>
        <v>No</v>
      </c>
      <c r="H273" s="1">
        <v>1</v>
      </c>
      <c r="I273" s="21" t="str">
        <f t="shared" si="53"/>
        <v>Clean</v>
      </c>
      <c r="J273" s="1">
        <v>0.2</v>
      </c>
      <c r="K273" s="23" t="str">
        <f t="shared" si="54"/>
        <v>Safe</v>
      </c>
      <c r="L273">
        <f t="shared" si="44"/>
        <v>0.1515</v>
      </c>
      <c r="M273" s="20">
        <f t="shared" si="45"/>
        <v>0.1515</v>
      </c>
      <c r="N273">
        <f t="shared" si="46"/>
        <v>0.47</v>
      </c>
      <c r="O273" s="20" t="str">
        <f t="shared" si="47"/>
        <v>Acceptable</v>
      </c>
      <c r="P273">
        <f t="shared" si="48"/>
        <v>0.52239999999999998</v>
      </c>
      <c r="Q273">
        <f t="shared" si="49"/>
        <v>2</v>
      </c>
      <c r="R273">
        <f t="shared" si="50"/>
        <v>135</v>
      </c>
      <c r="S273">
        <f t="shared" si="51"/>
        <v>137</v>
      </c>
    </row>
    <row r="274" spans="1:19" ht="15" thickBot="1" x14ac:dyDescent="0.35">
      <c r="A274" s="1">
        <v>273</v>
      </c>
      <c r="B274" s="2">
        <v>40555</v>
      </c>
      <c r="C274" s="1">
        <v>1</v>
      </c>
      <c r="D274" s="1">
        <v>19</v>
      </c>
      <c r="E274" s="3" t="b">
        <v>0</v>
      </c>
      <c r="F274" s="5">
        <v>3</v>
      </c>
      <c r="G274" s="18" t="str">
        <f t="shared" si="52"/>
        <v>No</v>
      </c>
      <c r="H274" s="1">
        <v>1</v>
      </c>
      <c r="I274" s="21" t="str">
        <f t="shared" si="53"/>
        <v>Clean</v>
      </c>
      <c r="J274" s="1">
        <v>0.18</v>
      </c>
      <c r="K274" s="23" t="str">
        <f t="shared" si="54"/>
        <v>Safe</v>
      </c>
      <c r="L274">
        <f t="shared" si="44"/>
        <v>0.1515</v>
      </c>
      <c r="M274" s="20">
        <f t="shared" si="45"/>
        <v>0.1515</v>
      </c>
      <c r="N274">
        <f t="shared" si="46"/>
        <v>0.47</v>
      </c>
      <c r="O274" s="20" t="str">
        <f t="shared" si="47"/>
        <v>Acceptable</v>
      </c>
      <c r="P274">
        <f t="shared" si="48"/>
        <v>0.41789999999999999</v>
      </c>
      <c r="Q274">
        <f t="shared" si="49"/>
        <v>1</v>
      </c>
      <c r="R274">
        <f t="shared" si="50"/>
        <v>82</v>
      </c>
      <c r="S274">
        <f t="shared" si="51"/>
        <v>83</v>
      </c>
    </row>
    <row r="275" spans="1:19" ht="15" thickBot="1" x14ac:dyDescent="0.35">
      <c r="A275" s="1">
        <v>274</v>
      </c>
      <c r="B275" s="2">
        <v>40555</v>
      </c>
      <c r="C275" s="1">
        <v>1</v>
      </c>
      <c r="D275" s="1">
        <v>20</v>
      </c>
      <c r="E275" s="3" t="b">
        <v>0</v>
      </c>
      <c r="F275" s="5">
        <v>3</v>
      </c>
      <c r="G275" s="18" t="str">
        <f t="shared" si="52"/>
        <v>No</v>
      </c>
      <c r="H275" s="1">
        <v>1</v>
      </c>
      <c r="I275" s="21" t="str">
        <f t="shared" si="53"/>
        <v>Clean</v>
      </c>
      <c r="J275" s="1">
        <v>0.16</v>
      </c>
      <c r="K275" s="23" t="str">
        <f t="shared" si="54"/>
        <v>Safe</v>
      </c>
      <c r="L275">
        <f t="shared" si="44"/>
        <v>0.13639999999999999</v>
      </c>
      <c r="M275" s="20">
        <f t="shared" si="45"/>
        <v>0.13639999999999999</v>
      </c>
      <c r="N275">
        <f t="shared" si="46"/>
        <v>0.5</v>
      </c>
      <c r="O275" s="20" t="str">
        <f t="shared" si="47"/>
        <v>Acceptable</v>
      </c>
      <c r="P275">
        <f t="shared" si="48"/>
        <v>0.32840000000000003</v>
      </c>
      <c r="Q275">
        <f t="shared" si="49"/>
        <v>2</v>
      </c>
      <c r="R275">
        <f t="shared" si="50"/>
        <v>54</v>
      </c>
      <c r="S275">
        <f t="shared" si="51"/>
        <v>56</v>
      </c>
    </row>
    <row r="276" spans="1:19" ht="15" thickBot="1" x14ac:dyDescent="0.35">
      <c r="A276" s="1">
        <v>275</v>
      </c>
      <c r="B276" s="2">
        <v>40555</v>
      </c>
      <c r="C276" s="1">
        <v>1</v>
      </c>
      <c r="D276" s="1">
        <v>21</v>
      </c>
      <c r="E276" s="3" t="b">
        <v>0</v>
      </c>
      <c r="F276" s="5">
        <v>3</v>
      </c>
      <c r="G276" s="18" t="str">
        <f t="shared" si="52"/>
        <v>No</v>
      </c>
      <c r="H276" s="1">
        <v>1</v>
      </c>
      <c r="I276" s="21" t="str">
        <f t="shared" si="53"/>
        <v>Clean</v>
      </c>
      <c r="J276" s="1">
        <v>0.16</v>
      </c>
      <c r="K276" s="23" t="str">
        <f t="shared" si="54"/>
        <v>Safe</v>
      </c>
      <c r="L276">
        <f t="shared" si="44"/>
        <v>0.13639999999999999</v>
      </c>
      <c r="M276" s="20">
        <f t="shared" si="45"/>
        <v>0.13639999999999999</v>
      </c>
      <c r="N276">
        <f t="shared" si="46"/>
        <v>0.55000000000000004</v>
      </c>
      <c r="O276" s="20" t="str">
        <f t="shared" si="47"/>
        <v>Acceptable</v>
      </c>
      <c r="P276">
        <f t="shared" si="48"/>
        <v>0.32840000000000003</v>
      </c>
      <c r="Q276">
        <f t="shared" si="49"/>
        <v>0</v>
      </c>
      <c r="R276">
        <f t="shared" si="50"/>
        <v>57</v>
      </c>
      <c r="S276">
        <f t="shared" si="51"/>
        <v>57</v>
      </c>
    </row>
    <row r="277" spans="1:19" ht="15" thickBot="1" x14ac:dyDescent="0.35">
      <c r="A277" s="1">
        <v>276</v>
      </c>
      <c r="B277" s="2">
        <v>40555</v>
      </c>
      <c r="C277" s="1">
        <v>1</v>
      </c>
      <c r="D277" s="1">
        <v>22</v>
      </c>
      <c r="E277" s="3" t="b">
        <v>0</v>
      </c>
      <c r="F277" s="5">
        <v>3</v>
      </c>
      <c r="G277" s="18" t="str">
        <f t="shared" si="52"/>
        <v>No</v>
      </c>
      <c r="H277" s="1">
        <v>1</v>
      </c>
      <c r="I277" s="21" t="str">
        <f t="shared" si="53"/>
        <v>Clean</v>
      </c>
      <c r="J277" s="1">
        <v>0.16</v>
      </c>
      <c r="K277" s="23" t="str">
        <f t="shared" si="54"/>
        <v>Safe</v>
      </c>
      <c r="L277">
        <f t="shared" si="44"/>
        <v>0.1212</v>
      </c>
      <c r="M277" s="20">
        <f t="shared" si="45"/>
        <v>0.1212</v>
      </c>
      <c r="N277">
        <f t="shared" si="46"/>
        <v>0.55000000000000004</v>
      </c>
      <c r="O277" s="20" t="str">
        <f t="shared" si="47"/>
        <v>Acceptable</v>
      </c>
      <c r="P277">
        <f t="shared" si="48"/>
        <v>0.44779999999999998</v>
      </c>
      <c r="Q277">
        <f t="shared" si="49"/>
        <v>1</v>
      </c>
      <c r="R277">
        <f t="shared" si="50"/>
        <v>32</v>
      </c>
      <c r="S277">
        <f t="shared" si="51"/>
        <v>33</v>
      </c>
    </row>
    <row r="278" spans="1:19" ht="15" thickBot="1" x14ac:dyDescent="0.35">
      <c r="A278" s="1">
        <v>277</v>
      </c>
      <c r="B278" s="2">
        <v>40555</v>
      </c>
      <c r="C278" s="1">
        <v>1</v>
      </c>
      <c r="D278" s="1">
        <v>23</v>
      </c>
      <c r="E278" s="3" t="b">
        <v>0</v>
      </c>
      <c r="F278" s="5">
        <v>3</v>
      </c>
      <c r="G278" s="18" t="str">
        <f t="shared" si="52"/>
        <v>No</v>
      </c>
      <c r="H278" s="1">
        <v>1</v>
      </c>
      <c r="I278" s="21" t="str">
        <f t="shared" si="53"/>
        <v>Clean</v>
      </c>
      <c r="J278" s="1">
        <v>0.14000000000000001</v>
      </c>
      <c r="K278" s="23" t="str">
        <f t="shared" si="54"/>
        <v>Safe</v>
      </c>
      <c r="L278">
        <f t="shared" si="44"/>
        <v>0.1061</v>
      </c>
      <c r="M278" s="20">
        <f t="shared" si="45"/>
        <v>0.1061</v>
      </c>
      <c r="N278">
        <f t="shared" si="46"/>
        <v>0.59</v>
      </c>
      <c r="O278" s="20" t="str">
        <f t="shared" si="47"/>
        <v>Acceptable</v>
      </c>
      <c r="P278">
        <f t="shared" si="48"/>
        <v>0.41789999999999999</v>
      </c>
      <c r="Q278">
        <f t="shared" si="49"/>
        <v>1</v>
      </c>
      <c r="R278">
        <f t="shared" si="50"/>
        <v>19</v>
      </c>
      <c r="S278">
        <f t="shared" si="51"/>
        <v>20</v>
      </c>
    </row>
    <row r="279" spans="1:19" ht="15" thickBot="1" x14ac:dyDescent="0.35">
      <c r="A279" s="1">
        <v>278</v>
      </c>
      <c r="B279" s="2">
        <v>40556</v>
      </c>
      <c r="C279" s="1">
        <v>1</v>
      </c>
      <c r="D279" s="1">
        <v>0</v>
      </c>
      <c r="E279" s="3" t="b">
        <v>0</v>
      </c>
      <c r="F279" s="5">
        <v>4</v>
      </c>
      <c r="G279" s="18" t="str">
        <f t="shared" si="52"/>
        <v>No</v>
      </c>
      <c r="H279" s="1">
        <v>1</v>
      </c>
      <c r="I279" s="21" t="str">
        <f t="shared" si="53"/>
        <v>Clean</v>
      </c>
      <c r="J279" s="1">
        <v>0.14000000000000001</v>
      </c>
      <c r="K279" s="23" t="str">
        <f t="shared" si="54"/>
        <v>Safe</v>
      </c>
      <c r="L279">
        <f t="shared" si="44"/>
        <v>0.1212</v>
      </c>
      <c r="M279" s="20">
        <f t="shared" si="45"/>
        <v>0.1212</v>
      </c>
      <c r="N279">
        <f t="shared" si="46"/>
        <v>0.59</v>
      </c>
      <c r="O279" s="20" t="str">
        <f t="shared" si="47"/>
        <v>Acceptable</v>
      </c>
      <c r="P279">
        <f t="shared" si="48"/>
        <v>0.28360000000000002</v>
      </c>
      <c r="Q279">
        <f t="shared" si="49"/>
        <v>1</v>
      </c>
      <c r="R279">
        <f t="shared" si="50"/>
        <v>6</v>
      </c>
      <c r="S279">
        <f t="shared" si="51"/>
        <v>7</v>
      </c>
    </row>
    <row r="280" spans="1:19" ht="15" thickBot="1" x14ac:dyDescent="0.35">
      <c r="A280" s="1">
        <v>279</v>
      </c>
      <c r="B280" s="2">
        <v>40556</v>
      </c>
      <c r="C280" s="1">
        <v>1</v>
      </c>
      <c r="D280" s="1">
        <v>1</v>
      </c>
      <c r="E280" s="3" t="b">
        <v>0</v>
      </c>
      <c r="F280" s="5">
        <v>4</v>
      </c>
      <c r="G280" s="18" t="str">
        <f t="shared" si="52"/>
        <v>No</v>
      </c>
      <c r="H280" s="1">
        <v>1</v>
      </c>
      <c r="I280" s="21" t="str">
        <f t="shared" si="53"/>
        <v>Clean</v>
      </c>
      <c r="J280" s="1">
        <v>0.14000000000000001</v>
      </c>
      <c r="K280" s="23" t="str">
        <f t="shared" si="54"/>
        <v>Safe</v>
      </c>
      <c r="L280">
        <f t="shared" si="44"/>
        <v>0.1212</v>
      </c>
      <c r="M280" s="20">
        <f t="shared" si="45"/>
        <v>0.1212</v>
      </c>
      <c r="N280">
        <f t="shared" si="46"/>
        <v>0.5</v>
      </c>
      <c r="O280" s="20" t="str">
        <f t="shared" si="47"/>
        <v>Acceptable</v>
      </c>
      <c r="P280">
        <f t="shared" si="48"/>
        <v>0.28360000000000002</v>
      </c>
      <c r="Q280">
        <f t="shared" si="49"/>
        <v>0</v>
      </c>
      <c r="R280">
        <f t="shared" si="50"/>
        <v>2</v>
      </c>
      <c r="S280">
        <f t="shared" si="51"/>
        <v>2</v>
      </c>
    </row>
    <row r="281" spans="1:19" ht="15" thickBot="1" x14ac:dyDescent="0.35">
      <c r="A281" s="1">
        <v>280</v>
      </c>
      <c r="B281" s="2">
        <v>40556</v>
      </c>
      <c r="C281" s="1">
        <v>1</v>
      </c>
      <c r="D281" s="1">
        <v>2</v>
      </c>
      <c r="E281" s="3" t="b">
        <v>0</v>
      </c>
      <c r="F281" s="5">
        <v>4</v>
      </c>
      <c r="G281" s="18" t="str">
        <f t="shared" si="52"/>
        <v>No</v>
      </c>
      <c r="H281" s="1">
        <v>1</v>
      </c>
      <c r="I281" s="21" t="str">
        <f t="shared" si="53"/>
        <v>Clean</v>
      </c>
      <c r="J281" s="1">
        <v>0.14000000000000001</v>
      </c>
      <c r="K281" s="23" t="str">
        <f t="shared" si="54"/>
        <v>Safe</v>
      </c>
      <c r="L281">
        <f t="shared" si="44"/>
        <v>0.1212</v>
      </c>
      <c r="M281" s="20">
        <f t="shared" si="45"/>
        <v>0.1212</v>
      </c>
      <c r="N281">
        <f t="shared" si="46"/>
        <v>0.5</v>
      </c>
      <c r="O281" s="20" t="str">
        <f t="shared" si="47"/>
        <v>Acceptable</v>
      </c>
      <c r="P281">
        <f t="shared" si="48"/>
        <v>0.35820000000000002</v>
      </c>
      <c r="Q281">
        <f t="shared" si="49"/>
        <v>0</v>
      </c>
      <c r="R281">
        <f t="shared" si="50"/>
        <v>2</v>
      </c>
      <c r="S281">
        <f t="shared" si="51"/>
        <v>2</v>
      </c>
    </row>
    <row r="282" spans="1:19" ht="15" thickBot="1" x14ac:dyDescent="0.35">
      <c r="A282" s="1">
        <v>281</v>
      </c>
      <c r="B282" s="2">
        <v>40556</v>
      </c>
      <c r="C282" s="1">
        <v>1</v>
      </c>
      <c r="D282" s="1">
        <v>3</v>
      </c>
      <c r="E282" s="3" t="b">
        <v>0</v>
      </c>
      <c r="F282" s="5">
        <v>4</v>
      </c>
      <c r="G282" s="18" t="str">
        <f t="shared" si="52"/>
        <v>No</v>
      </c>
      <c r="H282" s="1">
        <v>1</v>
      </c>
      <c r="I282" s="21" t="str">
        <f t="shared" si="53"/>
        <v>Clean</v>
      </c>
      <c r="J282" s="1">
        <v>0.14000000000000001</v>
      </c>
      <c r="K282" s="23" t="str">
        <f t="shared" si="54"/>
        <v>Safe</v>
      </c>
      <c r="L282">
        <f t="shared" si="44"/>
        <v>0.1212</v>
      </c>
      <c r="M282" s="20">
        <f t="shared" si="45"/>
        <v>0.1212</v>
      </c>
      <c r="N282">
        <f t="shared" si="46"/>
        <v>0.5</v>
      </c>
      <c r="O282" s="20" t="str">
        <f t="shared" si="47"/>
        <v>Acceptable</v>
      </c>
      <c r="P282">
        <f t="shared" si="48"/>
        <v>0.32840000000000003</v>
      </c>
      <c r="Q282">
        <f t="shared" si="49"/>
        <v>0</v>
      </c>
      <c r="R282">
        <f t="shared" si="50"/>
        <v>3</v>
      </c>
      <c r="S282">
        <f t="shared" si="51"/>
        <v>3</v>
      </c>
    </row>
    <row r="283" spans="1:19" ht="15" thickBot="1" x14ac:dyDescent="0.35">
      <c r="A283" s="1">
        <v>282</v>
      </c>
      <c r="B283" s="2">
        <v>40556</v>
      </c>
      <c r="C283" s="1">
        <v>1</v>
      </c>
      <c r="D283" s="1">
        <v>4</v>
      </c>
      <c r="E283" s="3" t="b">
        <v>0</v>
      </c>
      <c r="F283" s="5">
        <v>4</v>
      </c>
      <c r="G283" s="18" t="str">
        <f t="shared" si="52"/>
        <v>No</v>
      </c>
      <c r="H283" s="1">
        <v>1</v>
      </c>
      <c r="I283" s="21" t="str">
        <f t="shared" si="53"/>
        <v>Clean</v>
      </c>
      <c r="J283" s="1">
        <v>0.14000000000000001</v>
      </c>
      <c r="K283" s="23" t="str">
        <f t="shared" si="54"/>
        <v>Safe</v>
      </c>
      <c r="L283">
        <f t="shared" si="44"/>
        <v>0.1212</v>
      </c>
      <c r="M283" s="20">
        <f t="shared" si="45"/>
        <v>0.1212</v>
      </c>
      <c r="N283">
        <f t="shared" si="46"/>
        <v>0.5</v>
      </c>
      <c r="O283" s="20" t="str">
        <f t="shared" si="47"/>
        <v>Acceptable</v>
      </c>
      <c r="P283">
        <f t="shared" si="48"/>
        <v>0.25369999999999998</v>
      </c>
      <c r="Q283">
        <f t="shared" si="49"/>
        <v>0</v>
      </c>
      <c r="R283">
        <f t="shared" si="50"/>
        <v>4</v>
      </c>
      <c r="S283">
        <f t="shared" si="51"/>
        <v>4</v>
      </c>
    </row>
    <row r="284" spans="1:19" ht="15" thickBot="1" x14ac:dyDescent="0.35">
      <c r="A284" s="1">
        <v>283</v>
      </c>
      <c r="B284" s="2">
        <v>40556</v>
      </c>
      <c r="C284" s="1">
        <v>1</v>
      </c>
      <c r="D284" s="1">
        <v>5</v>
      </c>
      <c r="E284" s="3" t="b">
        <v>0</v>
      </c>
      <c r="F284" s="5">
        <v>4</v>
      </c>
      <c r="G284" s="18" t="str">
        <f t="shared" si="52"/>
        <v>No</v>
      </c>
      <c r="H284" s="1">
        <v>1</v>
      </c>
      <c r="I284" s="21" t="str">
        <f t="shared" si="53"/>
        <v>Clean</v>
      </c>
      <c r="J284" s="1">
        <v>0.14000000000000001</v>
      </c>
      <c r="K284" s="23" t="str">
        <f t="shared" si="54"/>
        <v>Safe</v>
      </c>
      <c r="L284">
        <f t="shared" si="44"/>
        <v>0.1212</v>
      </c>
      <c r="M284" s="20">
        <f t="shared" si="45"/>
        <v>0.1212</v>
      </c>
      <c r="N284">
        <f t="shared" si="46"/>
        <v>0.5</v>
      </c>
      <c r="O284" s="20" t="str">
        <f t="shared" si="47"/>
        <v>Acceptable</v>
      </c>
      <c r="P284">
        <f t="shared" si="48"/>
        <v>0.29849999999999999</v>
      </c>
      <c r="Q284">
        <f t="shared" si="49"/>
        <v>0</v>
      </c>
      <c r="R284">
        <f t="shared" si="50"/>
        <v>3</v>
      </c>
      <c r="S284">
        <f t="shared" si="51"/>
        <v>3</v>
      </c>
    </row>
    <row r="285" spans="1:19" ht="15" thickBot="1" x14ac:dyDescent="0.35">
      <c r="A285" s="1">
        <v>284</v>
      </c>
      <c r="B285" s="2">
        <v>40556</v>
      </c>
      <c r="C285" s="1">
        <v>1</v>
      </c>
      <c r="D285" s="1">
        <v>6</v>
      </c>
      <c r="E285" s="3" t="b">
        <v>0</v>
      </c>
      <c r="F285" s="5">
        <v>4</v>
      </c>
      <c r="G285" s="18" t="str">
        <f t="shared" si="52"/>
        <v>No</v>
      </c>
      <c r="H285" s="1">
        <v>1</v>
      </c>
      <c r="I285" s="21" t="str">
        <f t="shared" si="53"/>
        <v>Clean</v>
      </c>
      <c r="J285" s="1">
        <v>0.12</v>
      </c>
      <c r="K285" s="23" t="str">
        <f t="shared" si="54"/>
        <v>Safe</v>
      </c>
      <c r="L285">
        <f t="shared" si="44"/>
        <v>0.1515</v>
      </c>
      <c r="M285" s="20">
        <f t="shared" si="45"/>
        <v>0.1515</v>
      </c>
      <c r="N285">
        <f t="shared" si="46"/>
        <v>0.54</v>
      </c>
      <c r="O285" s="20" t="str">
        <f t="shared" si="47"/>
        <v>Acceptable</v>
      </c>
      <c r="P285">
        <f t="shared" si="48"/>
        <v>0.1343</v>
      </c>
      <c r="Q285">
        <f t="shared" si="49"/>
        <v>0</v>
      </c>
      <c r="R285">
        <f t="shared" si="50"/>
        <v>28</v>
      </c>
      <c r="S285">
        <f t="shared" si="51"/>
        <v>28</v>
      </c>
    </row>
    <row r="286" spans="1:19" ht="15" thickBot="1" x14ac:dyDescent="0.35">
      <c r="A286" s="1">
        <v>285</v>
      </c>
      <c r="B286" s="2">
        <v>40556</v>
      </c>
      <c r="C286" s="1">
        <v>1</v>
      </c>
      <c r="D286" s="1">
        <v>7</v>
      </c>
      <c r="E286" s="3" t="b">
        <v>0</v>
      </c>
      <c r="F286" s="5">
        <v>4</v>
      </c>
      <c r="G286" s="18" t="str">
        <f t="shared" si="52"/>
        <v>No</v>
      </c>
      <c r="H286" s="1">
        <v>1</v>
      </c>
      <c r="I286" s="21" t="str">
        <f t="shared" si="53"/>
        <v>Clean</v>
      </c>
      <c r="J286" s="1">
        <v>0.12</v>
      </c>
      <c r="K286" s="23" t="str">
        <f t="shared" si="54"/>
        <v>Safe</v>
      </c>
      <c r="L286">
        <f t="shared" si="44"/>
        <v>0.1515</v>
      </c>
      <c r="M286" s="20">
        <f t="shared" si="45"/>
        <v>0.1515</v>
      </c>
      <c r="N286">
        <f t="shared" si="46"/>
        <v>0.54</v>
      </c>
      <c r="O286" s="20" t="str">
        <f t="shared" si="47"/>
        <v>Acceptable</v>
      </c>
      <c r="P286">
        <f t="shared" si="48"/>
        <v>0.1343</v>
      </c>
      <c r="Q286">
        <f t="shared" si="49"/>
        <v>0</v>
      </c>
      <c r="R286">
        <f t="shared" si="50"/>
        <v>72</v>
      </c>
      <c r="S286">
        <f t="shared" si="51"/>
        <v>72</v>
      </c>
    </row>
    <row r="287" spans="1:19" ht="15" thickBot="1" x14ac:dyDescent="0.35">
      <c r="A287" s="1">
        <v>286</v>
      </c>
      <c r="B287" s="2">
        <v>40556</v>
      </c>
      <c r="C287" s="1">
        <v>1</v>
      </c>
      <c r="D287" s="1">
        <v>8</v>
      </c>
      <c r="E287" s="3" t="b">
        <v>0</v>
      </c>
      <c r="F287" s="5">
        <v>4</v>
      </c>
      <c r="G287" s="18" t="str">
        <f t="shared" si="52"/>
        <v>No</v>
      </c>
      <c r="H287" s="1">
        <v>1</v>
      </c>
      <c r="I287" s="21" t="str">
        <f t="shared" si="53"/>
        <v>Clean</v>
      </c>
      <c r="J287" s="1">
        <v>0.14000000000000001</v>
      </c>
      <c r="K287" s="23" t="str">
        <f t="shared" si="54"/>
        <v>Safe</v>
      </c>
      <c r="L287">
        <f t="shared" si="44"/>
        <v>0.13639999999999999</v>
      </c>
      <c r="M287" s="20">
        <f t="shared" si="45"/>
        <v>0.13639999999999999</v>
      </c>
      <c r="N287">
        <f t="shared" si="46"/>
        <v>0.5</v>
      </c>
      <c r="O287" s="20" t="str">
        <f t="shared" si="47"/>
        <v>Acceptable</v>
      </c>
      <c r="P287">
        <f t="shared" si="48"/>
        <v>0.19400000000000001</v>
      </c>
      <c r="Q287">
        <f t="shared" si="49"/>
        <v>5</v>
      </c>
      <c r="R287">
        <f t="shared" si="50"/>
        <v>197</v>
      </c>
      <c r="S287">
        <f t="shared" si="51"/>
        <v>202</v>
      </c>
    </row>
    <row r="288" spans="1:19" ht="15" thickBot="1" x14ac:dyDescent="0.35">
      <c r="A288" s="1">
        <v>287</v>
      </c>
      <c r="B288" s="2">
        <v>40556</v>
      </c>
      <c r="C288" s="1">
        <v>1</v>
      </c>
      <c r="D288" s="1">
        <v>9</v>
      </c>
      <c r="E288" s="3" t="b">
        <v>0</v>
      </c>
      <c r="F288" s="5">
        <v>4</v>
      </c>
      <c r="G288" s="18" t="str">
        <f t="shared" si="52"/>
        <v>No</v>
      </c>
      <c r="H288" s="1">
        <v>1</v>
      </c>
      <c r="I288" s="21" t="str">
        <f t="shared" si="53"/>
        <v>Clean</v>
      </c>
      <c r="J288" s="1">
        <v>0.14000000000000001</v>
      </c>
      <c r="K288" s="23" t="str">
        <f t="shared" si="54"/>
        <v>Safe</v>
      </c>
      <c r="L288">
        <f t="shared" si="44"/>
        <v>0.1212</v>
      </c>
      <c r="M288" s="20">
        <f t="shared" si="45"/>
        <v>0.1212</v>
      </c>
      <c r="N288">
        <f t="shared" si="46"/>
        <v>0.5</v>
      </c>
      <c r="O288" s="20" t="str">
        <f t="shared" si="47"/>
        <v>Acceptable</v>
      </c>
      <c r="P288">
        <f t="shared" si="48"/>
        <v>0.32840000000000003</v>
      </c>
      <c r="Q288">
        <f t="shared" si="49"/>
        <v>2</v>
      </c>
      <c r="R288">
        <f t="shared" si="50"/>
        <v>137</v>
      </c>
      <c r="S288">
        <f t="shared" si="51"/>
        <v>139</v>
      </c>
    </row>
    <row r="289" spans="1:19" ht="15" thickBot="1" x14ac:dyDescent="0.35">
      <c r="A289" s="1">
        <v>288</v>
      </c>
      <c r="B289" s="2">
        <v>40556</v>
      </c>
      <c r="C289" s="1">
        <v>1</v>
      </c>
      <c r="D289" s="1">
        <v>10</v>
      </c>
      <c r="E289" s="3" t="b">
        <v>0</v>
      </c>
      <c r="F289" s="5">
        <v>4</v>
      </c>
      <c r="G289" s="18" t="str">
        <f t="shared" si="52"/>
        <v>No</v>
      </c>
      <c r="H289" s="1">
        <v>2</v>
      </c>
      <c r="I289" s="21" t="str">
        <f t="shared" si="53"/>
        <v>Misty</v>
      </c>
      <c r="J289" s="1">
        <v>0.16</v>
      </c>
      <c r="K289" s="23" t="str">
        <f t="shared" si="54"/>
        <v>Safe</v>
      </c>
      <c r="L289">
        <f t="shared" si="44"/>
        <v>0.13639999999999999</v>
      </c>
      <c r="M289" s="20">
        <f t="shared" si="45"/>
        <v>0.13639999999999999</v>
      </c>
      <c r="N289">
        <f t="shared" si="46"/>
        <v>0.5</v>
      </c>
      <c r="O289" s="20" t="str">
        <f t="shared" si="47"/>
        <v>Acceptable</v>
      </c>
      <c r="P289">
        <f t="shared" si="48"/>
        <v>0.35820000000000002</v>
      </c>
      <c r="Q289">
        <f t="shared" si="49"/>
        <v>2</v>
      </c>
      <c r="R289">
        <f t="shared" si="50"/>
        <v>36</v>
      </c>
      <c r="S289">
        <f t="shared" si="51"/>
        <v>38</v>
      </c>
    </row>
    <row r="290" spans="1:19" ht="15" thickBot="1" x14ac:dyDescent="0.35">
      <c r="A290" s="1">
        <v>289</v>
      </c>
      <c r="B290" s="2">
        <v>40556</v>
      </c>
      <c r="C290" s="1">
        <v>1</v>
      </c>
      <c r="D290" s="1">
        <v>11</v>
      </c>
      <c r="E290" s="3" t="b">
        <v>0</v>
      </c>
      <c r="F290" s="5">
        <v>4</v>
      </c>
      <c r="G290" s="18" t="str">
        <f t="shared" si="52"/>
        <v>No</v>
      </c>
      <c r="H290" s="1">
        <v>2</v>
      </c>
      <c r="I290" s="21" t="str">
        <f t="shared" si="53"/>
        <v>Misty</v>
      </c>
      <c r="J290" s="1">
        <v>0.2</v>
      </c>
      <c r="K290" s="23" t="str">
        <f t="shared" si="54"/>
        <v>Safe</v>
      </c>
      <c r="L290">
        <f t="shared" si="44"/>
        <v>0.16669999999999999</v>
      </c>
      <c r="M290" s="20">
        <f t="shared" si="45"/>
        <v>0.16669999999999999</v>
      </c>
      <c r="N290">
        <f t="shared" si="46"/>
        <v>0.44</v>
      </c>
      <c r="O290" s="20" t="str">
        <f t="shared" si="47"/>
        <v>Acceptable</v>
      </c>
      <c r="P290">
        <f t="shared" si="48"/>
        <v>0.44779999999999998</v>
      </c>
      <c r="Q290">
        <f t="shared" si="49"/>
        <v>4</v>
      </c>
      <c r="R290">
        <f t="shared" si="50"/>
        <v>33</v>
      </c>
      <c r="S290">
        <f t="shared" si="51"/>
        <v>37</v>
      </c>
    </row>
    <row r="291" spans="1:19" ht="15" thickBot="1" x14ac:dyDescent="0.35">
      <c r="A291" s="1">
        <v>290</v>
      </c>
      <c r="B291" s="2">
        <v>40556</v>
      </c>
      <c r="C291" s="1">
        <v>1</v>
      </c>
      <c r="D291" s="1">
        <v>12</v>
      </c>
      <c r="E291" s="3" t="b">
        <v>0</v>
      </c>
      <c r="F291" s="5">
        <v>4</v>
      </c>
      <c r="G291" s="18" t="str">
        <f t="shared" si="52"/>
        <v>No</v>
      </c>
      <c r="H291" s="1">
        <v>1</v>
      </c>
      <c r="I291" s="21" t="str">
        <f t="shared" si="53"/>
        <v>Clean</v>
      </c>
      <c r="J291" s="1">
        <v>0.2</v>
      </c>
      <c r="K291" s="23" t="str">
        <f t="shared" si="54"/>
        <v>Safe</v>
      </c>
      <c r="L291">
        <f t="shared" si="44"/>
        <v>0.16669999999999999</v>
      </c>
      <c r="M291" s="20">
        <f t="shared" si="45"/>
        <v>0.16669999999999999</v>
      </c>
      <c r="N291">
        <f t="shared" si="46"/>
        <v>0.44</v>
      </c>
      <c r="O291" s="20" t="str">
        <f t="shared" si="47"/>
        <v>Acceptable</v>
      </c>
      <c r="P291">
        <f t="shared" si="48"/>
        <v>0.41789999999999999</v>
      </c>
      <c r="Q291">
        <f t="shared" si="49"/>
        <v>3</v>
      </c>
      <c r="R291">
        <f t="shared" si="50"/>
        <v>49</v>
      </c>
      <c r="S291">
        <f t="shared" si="51"/>
        <v>52</v>
      </c>
    </row>
    <row r="292" spans="1:19" ht="15" thickBot="1" x14ac:dyDescent="0.35">
      <c r="A292" s="1">
        <v>291</v>
      </c>
      <c r="B292" s="2">
        <v>40556</v>
      </c>
      <c r="C292" s="1">
        <v>1</v>
      </c>
      <c r="D292" s="1">
        <v>13</v>
      </c>
      <c r="E292" s="3" t="b">
        <v>0</v>
      </c>
      <c r="F292" s="5">
        <v>4</v>
      </c>
      <c r="G292" s="18" t="str">
        <f t="shared" si="52"/>
        <v>No</v>
      </c>
      <c r="H292" s="1">
        <v>1</v>
      </c>
      <c r="I292" s="21" t="str">
        <f t="shared" si="53"/>
        <v>Clean</v>
      </c>
      <c r="J292" s="1">
        <v>0.22</v>
      </c>
      <c r="K292" s="23" t="str">
        <f t="shared" si="54"/>
        <v>Safe</v>
      </c>
      <c r="L292">
        <f t="shared" si="44"/>
        <v>0.19700000000000001</v>
      </c>
      <c r="M292" s="20">
        <f t="shared" si="45"/>
        <v>0.19700000000000001</v>
      </c>
      <c r="N292">
        <f t="shared" si="46"/>
        <v>0.41</v>
      </c>
      <c r="O292" s="20" t="str">
        <f t="shared" si="47"/>
        <v>Acceptable</v>
      </c>
      <c r="P292">
        <f t="shared" si="48"/>
        <v>0.44779999999999998</v>
      </c>
      <c r="Q292">
        <f t="shared" si="49"/>
        <v>2</v>
      </c>
      <c r="R292">
        <f t="shared" si="50"/>
        <v>81</v>
      </c>
      <c r="S292">
        <f t="shared" si="51"/>
        <v>83</v>
      </c>
    </row>
    <row r="293" spans="1:19" ht="15" thickBot="1" x14ac:dyDescent="0.35">
      <c r="A293" s="1">
        <v>292</v>
      </c>
      <c r="B293" s="2">
        <v>40556</v>
      </c>
      <c r="C293" s="1">
        <v>1</v>
      </c>
      <c r="D293" s="1">
        <v>14</v>
      </c>
      <c r="E293" s="3" t="b">
        <v>0</v>
      </c>
      <c r="F293" s="5">
        <v>4</v>
      </c>
      <c r="G293" s="18" t="str">
        <f t="shared" si="52"/>
        <v>No</v>
      </c>
      <c r="H293" s="1">
        <v>1</v>
      </c>
      <c r="I293" s="21" t="str">
        <f t="shared" si="53"/>
        <v>Clean</v>
      </c>
      <c r="J293" s="1">
        <v>0.22</v>
      </c>
      <c r="K293" s="23" t="str">
        <f t="shared" si="54"/>
        <v>Safe</v>
      </c>
      <c r="L293">
        <f t="shared" si="44"/>
        <v>0.19700000000000001</v>
      </c>
      <c r="M293" s="20">
        <f t="shared" si="45"/>
        <v>0.19700000000000001</v>
      </c>
      <c r="N293">
        <f t="shared" si="46"/>
        <v>0.41</v>
      </c>
      <c r="O293" s="20" t="str">
        <f t="shared" si="47"/>
        <v>Acceptable</v>
      </c>
      <c r="P293">
        <f t="shared" si="48"/>
        <v>0.3881</v>
      </c>
      <c r="Q293">
        <f t="shared" si="49"/>
        <v>3</v>
      </c>
      <c r="R293">
        <f t="shared" si="50"/>
        <v>39</v>
      </c>
      <c r="S293">
        <f t="shared" si="51"/>
        <v>42</v>
      </c>
    </row>
    <row r="294" spans="1:19" ht="15" thickBot="1" x14ac:dyDescent="0.35">
      <c r="A294" s="1">
        <v>293</v>
      </c>
      <c r="B294" s="2">
        <v>40556</v>
      </c>
      <c r="C294" s="1">
        <v>1</v>
      </c>
      <c r="D294" s="1">
        <v>15</v>
      </c>
      <c r="E294" s="3" t="b">
        <v>0</v>
      </c>
      <c r="F294" s="5">
        <v>4</v>
      </c>
      <c r="G294" s="18" t="str">
        <f t="shared" si="52"/>
        <v>No</v>
      </c>
      <c r="H294" s="1">
        <v>1</v>
      </c>
      <c r="I294" s="21" t="str">
        <f t="shared" si="53"/>
        <v>Clean</v>
      </c>
      <c r="J294" s="1">
        <v>0.24</v>
      </c>
      <c r="K294" s="23" t="str">
        <f t="shared" si="54"/>
        <v>Safe</v>
      </c>
      <c r="L294">
        <f t="shared" si="44"/>
        <v>0.21210000000000001</v>
      </c>
      <c r="M294" s="20">
        <f t="shared" si="45"/>
        <v>0.21210000000000001</v>
      </c>
      <c r="N294">
        <f t="shared" si="46"/>
        <v>0.38</v>
      </c>
      <c r="O294" s="20" t="str">
        <f t="shared" si="47"/>
        <v>Acceptable</v>
      </c>
      <c r="P294">
        <f t="shared" si="48"/>
        <v>0.29849999999999999</v>
      </c>
      <c r="Q294">
        <f t="shared" si="49"/>
        <v>5</v>
      </c>
      <c r="R294">
        <f t="shared" si="50"/>
        <v>55</v>
      </c>
      <c r="S294">
        <f t="shared" si="51"/>
        <v>60</v>
      </c>
    </row>
    <row r="295" spans="1:19" ht="15" thickBot="1" x14ac:dyDescent="0.35">
      <c r="A295" s="1">
        <v>294</v>
      </c>
      <c r="B295" s="2">
        <v>40556</v>
      </c>
      <c r="C295" s="1">
        <v>1</v>
      </c>
      <c r="D295" s="1">
        <v>16</v>
      </c>
      <c r="E295" s="3" t="b">
        <v>0</v>
      </c>
      <c r="F295" s="5">
        <v>4</v>
      </c>
      <c r="G295" s="18" t="str">
        <f t="shared" si="52"/>
        <v>No</v>
      </c>
      <c r="H295" s="1">
        <v>1</v>
      </c>
      <c r="I295" s="21" t="str">
        <f t="shared" si="53"/>
        <v>Clean</v>
      </c>
      <c r="J295" s="1">
        <v>0.24</v>
      </c>
      <c r="K295" s="23" t="str">
        <f t="shared" si="54"/>
        <v>Safe</v>
      </c>
      <c r="L295">
        <f t="shared" si="44"/>
        <v>0.21210000000000001</v>
      </c>
      <c r="M295" s="20">
        <f t="shared" si="45"/>
        <v>0.21210000000000001</v>
      </c>
      <c r="N295">
        <f t="shared" si="46"/>
        <v>0.38</v>
      </c>
      <c r="O295" s="20" t="str">
        <f t="shared" si="47"/>
        <v>Acceptable</v>
      </c>
      <c r="P295">
        <f t="shared" si="48"/>
        <v>0.35820000000000002</v>
      </c>
      <c r="Q295">
        <f t="shared" si="49"/>
        <v>2</v>
      </c>
      <c r="R295">
        <f t="shared" si="50"/>
        <v>76</v>
      </c>
      <c r="S295">
        <f t="shared" si="51"/>
        <v>78</v>
      </c>
    </row>
    <row r="296" spans="1:19" ht="15" thickBot="1" x14ac:dyDescent="0.35">
      <c r="A296" s="1">
        <v>295</v>
      </c>
      <c r="B296" s="2">
        <v>40556</v>
      </c>
      <c r="C296" s="1">
        <v>1</v>
      </c>
      <c r="D296" s="1">
        <v>17</v>
      </c>
      <c r="E296" s="3" t="b">
        <v>0</v>
      </c>
      <c r="F296" s="5">
        <v>4</v>
      </c>
      <c r="G296" s="18" t="str">
        <f t="shared" si="52"/>
        <v>No</v>
      </c>
      <c r="H296" s="1">
        <v>1</v>
      </c>
      <c r="I296" s="21" t="str">
        <f t="shared" si="53"/>
        <v>Clean</v>
      </c>
      <c r="J296" s="1">
        <v>0.2</v>
      </c>
      <c r="K296" s="23" t="str">
        <f t="shared" si="54"/>
        <v>Safe</v>
      </c>
      <c r="L296">
        <f t="shared" si="44"/>
        <v>0.18179999999999999</v>
      </c>
      <c r="M296" s="20">
        <f t="shared" si="45"/>
        <v>0.18179999999999999</v>
      </c>
      <c r="N296">
        <f t="shared" si="46"/>
        <v>0.4</v>
      </c>
      <c r="O296" s="20" t="str">
        <f t="shared" si="47"/>
        <v>Acceptable</v>
      </c>
      <c r="P296">
        <f t="shared" si="48"/>
        <v>0.28360000000000002</v>
      </c>
      <c r="Q296">
        <f t="shared" si="49"/>
        <v>4</v>
      </c>
      <c r="R296">
        <f t="shared" si="50"/>
        <v>158</v>
      </c>
      <c r="S296">
        <f t="shared" si="51"/>
        <v>162</v>
      </c>
    </row>
    <row r="297" spans="1:19" ht="15" thickBot="1" x14ac:dyDescent="0.35">
      <c r="A297" s="1">
        <v>296</v>
      </c>
      <c r="B297" s="2">
        <v>40556</v>
      </c>
      <c r="C297" s="1">
        <v>1</v>
      </c>
      <c r="D297" s="1">
        <v>18</v>
      </c>
      <c r="E297" s="3" t="b">
        <v>0</v>
      </c>
      <c r="F297" s="5">
        <v>4</v>
      </c>
      <c r="G297" s="18" t="str">
        <f t="shared" si="52"/>
        <v>No</v>
      </c>
      <c r="H297" s="1">
        <v>1</v>
      </c>
      <c r="I297" s="21" t="str">
        <f t="shared" si="53"/>
        <v>Clean</v>
      </c>
      <c r="J297" s="1">
        <v>0.2</v>
      </c>
      <c r="K297" s="23" t="str">
        <f t="shared" si="54"/>
        <v>Safe</v>
      </c>
      <c r="L297">
        <f t="shared" si="44"/>
        <v>0.18179999999999999</v>
      </c>
      <c r="M297" s="20">
        <f t="shared" si="45"/>
        <v>0.18179999999999999</v>
      </c>
      <c r="N297">
        <f t="shared" si="46"/>
        <v>0.4</v>
      </c>
      <c r="O297" s="20" t="str">
        <f t="shared" si="47"/>
        <v>Acceptable</v>
      </c>
      <c r="P297">
        <f t="shared" si="48"/>
        <v>0.32840000000000003</v>
      </c>
      <c r="Q297">
        <f t="shared" si="49"/>
        <v>3</v>
      </c>
      <c r="R297">
        <f t="shared" si="50"/>
        <v>141</v>
      </c>
      <c r="S297">
        <f t="shared" si="51"/>
        <v>144</v>
      </c>
    </row>
    <row r="298" spans="1:19" ht="15" thickBot="1" x14ac:dyDescent="0.35">
      <c r="A298" s="1">
        <v>297</v>
      </c>
      <c r="B298" s="2">
        <v>40556</v>
      </c>
      <c r="C298" s="1">
        <v>1</v>
      </c>
      <c r="D298" s="1">
        <v>19</v>
      </c>
      <c r="E298" s="3" t="b">
        <v>0</v>
      </c>
      <c r="F298" s="5">
        <v>4</v>
      </c>
      <c r="G298" s="18" t="str">
        <f t="shared" si="52"/>
        <v>No</v>
      </c>
      <c r="H298" s="1">
        <v>1</v>
      </c>
      <c r="I298" s="21" t="str">
        <f t="shared" si="53"/>
        <v>Clean</v>
      </c>
      <c r="J298" s="1">
        <v>0.16</v>
      </c>
      <c r="K298" s="23" t="str">
        <f t="shared" si="54"/>
        <v>Safe</v>
      </c>
      <c r="L298">
        <f t="shared" si="44"/>
        <v>0.1515</v>
      </c>
      <c r="M298" s="20">
        <f t="shared" si="45"/>
        <v>0.1515</v>
      </c>
      <c r="N298">
        <f t="shared" si="46"/>
        <v>0.47</v>
      </c>
      <c r="O298" s="20" t="str">
        <f t="shared" si="47"/>
        <v>Acceptable</v>
      </c>
      <c r="P298">
        <f t="shared" si="48"/>
        <v>0.25369999999999998</v>
      </c>
      <c r="Q298">
        <f t="shared" si="49"/>
        <v>1</v>
      </c>
      <c r="R298">
        <f t="shared" si="50"/>
        <v>98</v>
      </c>
      <c r="S298">
        <f t="shared" si="51"/>
        <v>99</v>
      </c>
    </row>
    <row r="299" spans="1:19" ht="15" thickBot="1" x14ac:dyDescent="0.35">
      <c r="A299" s="1">
        <v>298</v>
      </c>
      <c r="B299" s="2">
        <v>40556</v>
      </c>
      <c r="C299" s="1">
        <v>1</v>
      </c>
      <c r="D299" s="1">
        <v>20</v>
      </c>
      <c r="E299" s="3" t="b">
        <v>0</v>
      </c>
      <c r="F299" s="5">
        <v>4</v>
      </c>
      <c r="G299" s="18" t="str">
        <f t="shared" si="52"/>
        <v>No</v>
      </c>
      <c r="H299" s="1">
        <v>1</v>
      </c>
      <c r="I299" s="21" t="str">
        <f t="shared" si="53"/>
        <v>Clean</v>
      </c>
      <c r="J299" s="1">
        <v>0.16</v>
      </c>
      <c r="K299" s="23" t="str">
        <f t="shared" si="54"/>
        <v>Safe</v>
      </c>
      <c r="L299">
        <f t="shared" si="44"/>
        <v>0.1515</v>
      </c>
      <c r="M299" s="20">
        <f t="shared" si="45"/>
        <v>0.1515</v>
      </c>
      <c r="N299">
        <f t="shared" si="46"/>
        <v>0.47</v>
      </c>
      <c r="O299" s="20" t="str">
        <f t="shared" si="47"/>
        <v>Acceptable</v>
      </c>
      <c r="P299">
        <f t="shared" si="48"/>
        <v>0.22389999999999999</v>
      </c>
      <c r="Q299">
        <f t="shared" si="49"/>
        <v>0</v>
      </c>
      <c r="R299">
        <f t="shared" si="50"/>
        <v>64</v>
      </c>
      <c r="S299">
        <f t="shared" si="51"/>
        <v>64</v>
      </c>
    </row>
    <row r="300" spans="1:19" ht="15" thickBot="1" x14ac:dyDescent="0.35">
      <c r="A300" s="1">
        <v>299</v>
      </c>
      <c r="B300" s="2">
        <v>40556</v>
      </c>
      <c r="C300" s="1">
        <v>1</v>
      </c>
      <c r="D300" s="1">
        <v>21</v>
      </c>
      <c r="E300" s="3" t="b">
        <v>0</v>
      </c>
      <c r="F300" s="5">
        <v>4</v>
      </c>
      <c r="G300" s="18" t="str">
        <f t="shared" si="52"/>
        <v>No</v>
      </c>
      <c r="H300" s="1">
        <v>1</v>
      </c>
      <c r="I300" s="21" t="str">
        <f t="shared" si="53"/>
        <v>Clean</v>
      </c>
      <c r="J300" s="1">
        <v>0.14000000000000001</v>
      </c>
      <c r="K300" s="23" t="str">
        <f t="shared" si="54"/>
        <v>Safe</v>
      </c>
      <c r="L300">
        <f t="shared" si="44"/>
        <v>0.1212</v>
      </c>
      <c r="M300" s="20">
        <f t="shared" si="45"/>
        <v>0.1212</v>
      </c>
      <c r="N300">
        <f t="shared" si="46"/>
        <v>0.46</v>
      </c>
      <c r="O300" s="20" t="str">
        <f t="shared" si="47"/>
        <v>Acceptable</v>
      </c>
      <c r="P300">
        <f t="shared" si="48"/>
        <v>0.29849999999999999</v>
      </c>
      <c r="Q300">
        <f t="shared" si="49"/>
        <v>0</v>
      </c>
      <c r="R300">
        <f t="shared" si="50"/>
        <v>40</v>
      </c>
      <c r="S300">
        <f t="shared" si="51"/>
        <v>40</v>
      </c>
    </row>
    <row r="301" spans="1:19" ht="15" thickBot="1" x14ac:dyDescent="0.35">
      <c r="A301" s="1">
        <v>300</v>
      </c>
      <c r="B301" s="2">
        <v>40556</v>
      </c>
      <c r="C301" s="1">
        <v>1</v>
      </c>
      <c r="D301" s="1">
        <v>22</v>
      </c>
      <c r="E301" s="3" t="b">
        <v>0</v>
      </c>
      <c r="F301" s="5">
        <v>4</v>
      </c>
      <c r="G301" s="18" t="str">
        <f t="shared" si="52"/>
        <v>No</v>
      </c>
      <c r="H301" s="1">
        <v>1</v>
      </c>
      <c r="I301" s="21" t="str">
        <f t="shared" si="53"/>
        <v>Clean</v>
      </c>
      <c r="J301" s="1">
        <v>0.14000000000000001</v>
      </c>
      <c r="K301" s="23" t="str">
        <f t="shared" si="54"/>
        <v>Safe</v>
      </c>
      <c r="L301">
        <f t="shared" si="44"/>
        <v>0.1212</v>
      </c>
      <c r="M301" s="20">
        <f t="shared" si="45"/>
        <v>0.1212</v>
      </c>
      <c r="N301">
        <f t="shared" si="46"/>
        <v>0.46</v>
      </c>
      <c r="O301" s="20" t="str">
        <f t="shared" si="47"/>
        <v>Acceptable</v>
      </c>
      <c r="P301">
        <f t="shared" si="48"/>
        <v>0.32840000000000003</v>
      </c>
      <c r="Q301">
        <f t="shared" si="49"/>
        <v>0</v>
      </c>
      <c r="R301">
        <f t="shared" si="50"/>
        <v>30</v>
      </c>
      <c r="S301">
        <f t="shared" si="51"/>
        <v>30</v>
      </c>
    </row>
    <row r="302" spans="1:19" ht="15" thickBot="1" x14ac:dyDescent="0.35">
      <c r="A302" s="1">
        <v>301</v>
      </c>
      <c r="B302" s="2">
        <v>40556</v>
      </c>
      <c r="C302" s="1">
        <v>1</v>
      </c>
      <c r="D302" s="1">
        <v>23</v>
      </c>
      <c r="E302" s="3" t="b">
        <v>0</v>
      </c>
      <c r="F302" s="5">
        <v>4</v>
      </c>
      <c r="G302" s="18" t="str">
        <f t="shared" si="52"/>
        <v>No</v>
      </c>
      <c r="H302" s="1">
        <v>1</v>
      </c>
      <c r="I302" s="21" t="str">
        <f t="shared" si="53"/>
        <v>Clean</v>
      </c>
      <c r="J302" s="1">
        <v>0.12</v>
      </c>
      <c r="K302" s="23" t="str">
        <f t="shared" si="54"/>
        <v>Safe</v>
      </c>
      <c r="L302">
        <f t="shared" si="44"/>
        <v>0.13639999999999999</v>
      </c>
      <c r="M302" s="20">
        <f t="shared" si="45"/>
        <v>0.13639999999999999</v>
      </c>
      <c r="N302">
        <f t="shared" si="46"/>
        <v>0.5</v>
      </c>
      <c r="O302" s="20" t="str">
        <f t="shared" si="47"/>
        <v>Acceptable</v>
      </c>
      <c r="P302">
        <f t="shared" si="48"/>
        <v>0.19400000000000001</v>
      </c>
      <c r="Q302">
        <f t="shared" si="49"/>
        <v>1</v>
      </c>
      <c r="R302">
        <f t="shared" si="50"/>
        <v>14</v>
      </c>
      <c r="S302">
        <f t="shared" si="51"/>
        <v>15</v>
      </c>
    </row>
    <row r="303" spans="1:19" ht="15" thickBot="1" x14ac:dyDescent="0.35">
      <c r="A303" s="1">
        <v>302</v>
      </c>
      <c r="B303" s="2">
        <v>40557</v>
      </c>
      <c r="C303" s="1">
        <v>1</v>
      </c>
      <c r="D303" s="1">
        <v>0</v>
      </c>
      <c r="E303" s="3" t="b">
        <v>0</v>
      </c>
      <c r="F303" s="5">
        <v>5</v>
      </c>
      <c r="G303" s="18" t="str">
        <f t="shared" si="52"/>
        <v>No</v>
      </c>
      <c r="H303" s="1">
        <v>1</v>
      </c>
      <c r="I303" s="21" t="str">
        <f t="shared" si="53"/>
        <v>Clean</v>
      </c>
      <c r="J303" s="1">
        <v>0.12</v>
      </c>
      <c r="K303" s="23" t="str">
        <f t="shared" si="54"/>
        <v>Safe</v>
      </c>
      <c r="L303">
        <f t="shared" si="44"/>
        <v>0.13639999999999999</v>
      </c>
      <c r="M303" s="20">
        <f t="shared" si="45"/>
        <v>0.13639999999999999</v>
      </c>
      <c r="N303">
        <f t="shared" si="46"/>
        <v>0.5</v>
      </c>
      <c r="O303" s="20" t="str">
        <f t="shared" si="47"/>
        <v>Acceptable</v>
      </c>
      <c r="P303">
        <f t="shared" si="48"/>
        <v>0.19400000000000001</v>
      </c>
      <c r="Q303">
        <f t="shared" si="49"/>
        <v>0</v>
      </c>
      <c r="R303">
        <f t="shared" si="50"/>
        <v>14</v>
      </c>
      <c r="S303">
        <f t="shared" si="51"/>
        <v>14</v>
      </c>
    </row>
    <row r="304" spans="1:19" ht="15" thickBot="1" x14ac:dyDescent="0.35">
      <c r="A304" s="1">
        <v>303</v>
      </c>
      <c r="B304" s="2">
        <v>40557</v>
      </c>
      <c r="C304" s="1">
        <v>1</v>
      </c>
      <c r="D304" s="1">
        <v>1</v>
      </c>
      <c r="E304" s="3" t="b">
        <v>0</v>
      </c>
      <c r="F304" s="5">
        <v>5</v>
      </c>
      <c r="G304" s="18" t="str">
        <f t="shared" si="52"/>
        <v>No</v>
      </c>
      <c r="H304" s="1">
        <v>1</v>
      </c>
      <c r="I304" s="21" t="str">
        <f t="shared" si="53"/>
        <v>Clean</v>
      </c>
      <c r="J304" s="1">
        <v>0.1</v>
      </c>
      <c r="K304" s="23" t="str">
        <f t="shared" si="54"/>
        <v>Safe</v>
      </c>
      <c r="L304">
        <f t="shared" si="44"/>
        <v>0.1212</v>
      </c>
      <c r="M304" s="20">
        <f t="shared" si="45"/>
        <v>0.1212</v>
      </c>
      <c r="N304">
        <f t="shared" si="46"/>
        <v>0.54</v>
      </c>
      <c r="O304" s="20" t="str">
        <f t="shared" si="47"/>
        <v>Acceptable</v>
      </c>
      <c r="P304">
        <f t="shared" si="48"/>
        <v>0.16420000000000001</v>
      </c>
      <c r="Q304">
        <f t="shared" si="49"/>
        <v>0</v>
      </c>
      <c r="R304">
        <f t="shared" si="50"/>
        <v>5</v>
      </c>
      <c r="S304">
        <f t="shared" si="51"/>
        <v>5</v>
      </c>
    </row>
    <row r="305" spans="1:19" ht="15" thickBot="1" x14ac:dyDescent="0.35">
      <c r="A305" s="1">
        <v>304</v>
      </c>
      <c r="B305" s="2">
        <v>40557</v>
      </c>
      <c r="C305" s="1">
        <v>1</v>
      </c>
      <c r="D305" s="1">
        <v>2</v>
      </c>
      <c r="E305" s="3" t="b">
        <v>0</v>
      </c>
      <c r="F305" s="5">
        <v>5</v>
      </c>
      <c r="G305" s="18" t="str">
        <f t="shared" si="52"/>
        <v>No</v>
      </c>
      <c r="H305" s="1">
        <v>1</v>
      </c>
      <c r="I305" s="21" t="str">
        <f t="shared" si="53"/>
        <v>Clean</v>
      </c>
      <c r="J305" s="1">
        <v>0.1</v>
      </c>
      <c r="K305" s="23" t="str">
        <f t="shared" si="54"/>
        <v>Safe</v>
      </c>
      <c r="L305">
        <f t="shared" si="44"/>
        <v>0.1212</v>
      </c>
      <c r="M305" s="20">
        <f t="shared" si="45"/>
        <v>0.1212</v>
      </c>
      <c r="N305">
        <f t="shared" si="46"/>
        <v>0.54</v>
      </c>
      <c r="O305" s="20" t="str">
        <f t="shared" si="47"/>
        <v>Acceptable</v>
      </c>
      <c r="P305">
        <f t="shared" si="48"/>
        <v>0.1343</v>
      </c>
      <c r="Q305">
        <f t="shared" si="49"/>
        <v>0</v>
      </c>
      <c r="R305">
        <f t="shared" si="50"/>
        <v>1</v>
      </c>
      <c r="S305">
        <f t="shared" si="51"/>
        <v>1</v>
      </c>
    </row>
    <row r="306" spans="1:19" ht="15" thickBot="1" x14ac:dyDescent="0.35">
      <c r="A306" s="1">
        <v>305</v>
      </c>
      <c r="B306" s="2">
        <v>40557</v>
      </c>
      <c r="C306" s="1">
        <v>1</v>
      </c>
      <c r="D306" s="1">
        <v>3</v>
      </c>
      <c r="E306" s="3" t="b">
        <v>0</v>
      </c>
      <c r="F306" s="5">
        <v>5</v>
      </c>
      <c r="G306" s="18" t="str">
        <f t="shared" si="52"/>
        <v>No</v>
      </c>
      <c r="H306" s="1">
        <v>1</v>
      </c>
      <c r="I306" s="21" t="str">
        <f t="shared" si="53"/>
        <v>Clean</v>
      </c>
      <c r="J306" s="1">
        <v>0.1</v>
      </c>
      <c r="K306" s="23" t="str">
        <f t="shared" si="54"/>
        <v>Safe</v>
      </c>
      <c r="L306">
        <f t="shared" si="44"/>
        <v>0.13639999999999999</v>
      </c>
      <c r="M306" s="20">
        <f t="shared" si="45"/>
        <v>0.13639999999999999</v>
      </c>
      <c r="N306">
        <f t="shared" si="46"/>
        <v>0.54</v>
      </c>
      <c r="O306" s="20" t="str">
        <f t="shared" si="47"/>
        <v>Acceptable</v>
      </c>
      <c r="P306">
        <f t="shared" si="48"/>
        <v>0.1045</v>
      </c>
      <c r="Q306">
        <f t="shared" si="49"/>
        <v>0</v>
      </c>
      <c r="R306">
        <f t="shared" si="50"/>
        <v>1</v>
      </c>
      <c r="S306">
        <f t="shared" si="51"/>
        <v>1</v>
      </c>
    </row>
    <row r="307" spans="1:19" ht="15" thickBot="1" x14ac:dyDescent="0.35">
      <c r="A307" s="1">
        <v>306</v>
      </c>
      <c r="B307" s="2">
        <v>40557</v>
      </c>
      <c r="C307" s="1">
        <v>1</v>
      </c>
      <c r="D307" s="1">
        <v>5</v>
      </c>
      <c r="E307" s="3" t="b">
        <v>0</v>
      </c>
      <c r="F307" s="5">
        <v>5</v>
      </c>
      <c r="G307" s="18" t="str">
        <f t="shared" si="52"/>
        <v>No</v>
      </c>
      <c r="H307" s="1">
        <v>1</v>
      </c>
      <c r="I307" s="21" t="str">
        <f t="shared" si="53"/>
        <v>Clean</v>
      </c>
      <c r="J307" s="1">
        <v>0.1</v>
      </c>
      <c r="K307" s="23" t="str">
        <f t="shared" si="54"/>
        <v>Safe</v>
      </c>
      <c r="L307">
        <f t="shared" si="44"/>
        <v>0.13639999999999999</v>
      </c>
      <c r="M307" s="20">
        <f t="shared" si="45"/>
        <v>0.13639999999999999</v>
      </c>
      <c r="N307">
        <f t="shared" si="46"/>
        <v>0.54</v>
      </c>
      <c r="O307" s="20" t="str">
        <f t="shared" si="47"/>
        <v>Acceptable</v>
      </c>
      <c r="P307">
        <f t="shared" si="48"/>
        <v>8.9599999999999999E-2</v>
      </c>
      <c r="Q307">
        <f t="shared" si="49"/>
        <v>0</v>
      </c>
      <c r="R307">
        <f t="shared" si="50"/>
        <v>8</v>
      </c>
      <c r="S307">
        <f t="shared" si="51"/>
        <v>8</v>
      </c>
    </row>
    <row r="308" spans="1:19" ht="15" thickBot="1" x14ac:dyDescent="0.35">
      <c r="A308" s="1">
        <v>307</v>
      </c>
      <c r="B308" s="2">
        <v>40557</v>
      </c>
      <c r="C308" s="1">
        <v>1</v>
      </c>
      <c r="D308" s="1">
        <v>6</v>
      </c>
      <c r="E308" s="3" t="b">
        <v>0</v>
      </c>
      <c r="F308" s="5">
        <v>5</v>
      </c>
      <c r="G308" s="18" t="str">
        <f t="shared" si="52"/>
        <v>No</v>
      </c>
      <c r="H308" s="1">
        <v>1</v>
      </c>
      <c r="I308" s="21" t="str">
        <f t="shared" si="53"/>
        <v>Clean</v>
      </c>
      <c r="J308" s="1">
        <v>0.1</v>
      </c>
      <c r="K308" s="23" t="str">
        <f t="shared" si="54"/>
        <v>Safe</v>
      </c>
      <c r="L308">
        <f t="shared" si="44"/>
        <v>0.18179999999999999</v>
      </c>
      <c r="M308" s="20">
        <f t="shared" si="45"/>
        <v>0.18179999999999999</v>
      </c>
      <c r="N308">
        <f t="shared" si="46"/>
        <v>0.54</v>
      </c>
      <c r="O308" s="20" t="str">
        <f t="shared" si="47"/>
        <v>Acceptable</v>
      </c>
      <c r="P308">
        <f t="shared" si="48"/>
        <v>0</v>
      </c>
      <c r="Q308">
        <f t="shared" si="49"/>
        <v>0</v>
      </c>
      <c r="R308">
        <f t="shared" si="50"/>
        <v>17</v>
      </c>
      <c r="S308">
        <f t="shared" si="51"/>
        <v>17</v>
      </c>
    </row>
    <row r="309" spans="1:19" ht="15" thickBot="1" x14ac:dyDescent="0.35">
      <c r="A309" s="1">
        <v>308</v>
      </c>
      <c r="B309" s="2">
        <v>40557</v>
      </c>
      <c r="C309" s="1">
        <v>1</v>
      </c>
      <c r="D309" s="1">
        <v>7</v>
      </c>
      <c r="E309" s="3" t="b">
        <v>0</v>
      </c>
      <c r="F309" s="5">
        <v>5</v>
      </c>
      <c r="G309" s="18" t="str">
        <f t="shared" si="52"/>
        <v>No</v>
      </c>
      <c r="H309" s="1">
        <v>1</v>
      </c>
      <c r="I309" s="21" t="str">
        <f t="shared" si="53"/>
        <v>Clean</v>
      </c>
      <c r="J309" s="1">
        <v>0.1</v>
      </c>
      <c r="K309" s="23" t="str">
        <f t="shared" si="54"/>
        <v>Safe</v>
      </c>
      <c r="L309">
        <f t="shared" si="44"/>
        <v>0.1212</v>
      </c>
      <c r="M309" s="20">
        <f t="shared" si="45"/>
        <v>0.1212</v>
      </c>
      <c r="N309">
        <f t="shared" si="46"/>
        <v>0.74</v>
      </c>
      <c r="O309" s="20" t="str">
        <f t="shared" si="47"/>
        <v>Risky</v>
      </c>
      <c r="P309">
        <f t="shared" si="48"/>
        <v>0.16420000000000001</v>
      </c>
      <c r="Q309">
        <f t="shared" si="49"/>
        <v>0</v>
      </c>
      <c r="R309">
        <f t="shared" si="50"/>
        <v>70</v>
      </c>
      <c r="S309">
        <f t="shared" si="51"/>
        <v>70</v>
      </c>
    </row>
    <row r="310" spans="1:19" ht="15" thickBot="1" x14ac:dyDescent="0.35">
      <c r="A310" s="1">
        <v>309</v>
      </c>
      <c r="B310" s="2">
        <v>40557</v>
      </c>
      <c r="C310" s="1">
        <v>1</v>
      </c>
      <c r="D310" s="1">
        <v>8</v>
      </c>
      <c r="E310" s="3" t="b">
        <v>0</v>
      </c>
      <c r="F310" s="5">
        <v>5</v>
      </c>
      <c r="G310" s="18" t="str">
        <f t="shared" si="52"/>
        <v>No</v>
      </c>
      <c r="H310" s="1">
        <v>1</v>
      </c>
      <c r="I310" s="21" t="str">
        <f t="shared" si="53"/>
        <v>Clean</v>
      </c>
      <c r="J310" s="1">
        <v>0.12</v>
      </c>
      <c r="K310" s="23" t="str">
        <f t="shared" si="54"/>
        <v>Safe</v>
      </c>
      <c r="L310">
        <f t="shared" si="44"/>
        <v>0.16669999999999999</v>
      </c>
      <c r="M310" s="20">
        <f t="shared" si="45"/>
        <v>0.16669999999999999</v>
      </c>
      <c r="N310">
        <f t="shared" si="46"/>
        <v>0.68</v>
      </c>
      <c r="O310" s="20" t="str">
        <f t="shared" si="47"/>
        <v>Acceptable</v>
      </c>
      <c r="P310">
        <f t="shared" si="48"/>
        <v>0</v>
      </c>
      <c r="Q310">
        <f t="shared" si="49"/>
        <v>2</v>
      </c>
      <c r="R310">
        <f t="shared" si="50"/>
        <v>156</v>
      </c>
      <c r="S310">
        <f t="shared" si="51"/>
        <v>158</v>
      </c>
    </row>
    <row r="311" spans="1:19" ht="15" thickBot="1" x14ac:dyDescent="0.35">
      <c r="A311" s="1">
        <v>310</v>
      </c>
      <c r="B311" s="2">
        <v>40557</v>
      </c>
      <c r="C311" s="1">
        <v>1</v>
      </c>
      <c r="D311" s="1">
        <v>9</v>
      </c>
      <c r="E311" s="3" t="b">
        <v>0</v>
      </c>
      <c r="F311" s="5">
        <v>5</v>
      </c>
      <c r="G311" s="18" t="str">
        <f t="shared" si="52"/>
        <v>No</v>
      </c>
      <c r="H311" s="1">
        <v>1</v>
      </c>
      <c r="I311" s="21" t="str">
        <f t="shared" si="53"/>
        <v>Clean</v>
      </c>
      <c r="J311" s="1">
        <v>0.14000000000000001</v>
      </c>
      <c r="K311" s="23" t="str">
        <f t="shared" si="54"/>
        <v>Safe</v>
      </c>
      <c r="L311">
        <f t="shared" si="44"/>
        <v>0.1515</v>
      </c>
      <c r="M311" s="20">
        <f t="shared" si="45"/>
        <v>0.1515</v>
      </c>
      <c r="N311">
        <f t="shared" si="46"/>
        <v>0.69</v>
      </c>
      <c r="O311" s="20" t="str">
        <f t="shared" si="47"/>
        <v>Acceptable</v>
      </c>
      <c r="P311">
        <f t="shared" si="48"/>
        <v>0.1343</v>
      </c>
      <c r="Q311">
        <f t="shared" si="49"/>
        <v>0</v>
      </c>
      <c r="R311">
        <f t="shared" si="50"/>
        <v>117</v>
      </c>
      <c r="S311">
        <f t="shared" si="51"/>
        <v>117</v>
      </c>
    </row>
    <row r="312" spans="1:19" ht="15" thickBot="1" x14ac:dyDescent="0.35">
      <c r="A312" s="1">
        <v>311</v>
      </c>
      <c r="B312" s="2">
        <v>40557</v>
      </c>
      <c r="C312" s="1">
        <v>1</v>
      </c>
      <c r="D312" s="1">
        <v>10</v>
      </c>
      <c r="E312" s="3" t="b">
        <v>0</v>
      </c>
      <c r="F312" s="5">
        <v>5</v>
      </c>
      <c r="G312" s="18" t="str">
        <f t="shared" si="52"/>
        <v>No</v>
      </c>
      <c r="H312" s="1">
        <v>1</v>
      </c>
      <c r="I312" s="21" t="str">
        <f t="shared" si="53"/>
        <v>Clean</v>
      </c>
      <c r="J312" s="1">
        <v>0.18</v>
      </c>
      <c r="K312" s="23" t="str">
        <f t="shared" si="54"/>
        <v>Safe</v>
      </c>
      <c r="L312">
        <f t="shared" si="44"/>
        <v>0.18179999999999999</v>
      </c>
      <c r="M312" s="20">
        <f t="shared" si="45"/>
        <v>0.18179999999999999</v>
      </c>
      <c r="N312">
        <f t="shared" si="46"/>
        <v>0.55000000000000004</v>
      </c>
      <c r="O312" s="20" t="str">
        <f t="shared" si="47"/>
        <v>Acceptable</v>
      </c>
      <c r="P312">
        <f t="shared" si="48"/>
        <v>0.19400000000000001</v>
      </c>
      <c r="Q312">
        <f t="shared" si="49"/>
        <v>4</v>
      </c>
      <c r="R312">
        <f t="shared" si="50"/>
        <v>40</v>
      </c>
      <c r="S312">
        <f t="shared" si="51"/>
        <v>44</v>
      </c>
    </row>
    <row r="313" spans="1:19" ht="15" thickBot="1" x14ac:dyDescent="0.35">
      <c r="A313" s="1">
        <v>312</v>
      </c>
      <c r="B313" s="2">
        <v>40557</v>
      </c>
      <c r="C313" s="1">
        <v>1</v>
      </c>
      <c r="D313" s="1">
        <v>11</v>
      </c>
      <c r="E313" s="3" t="b">
        <v>0</v>
      </c>
      <c r="F313" s="5">
        <v>5</v>
      </c>
      <c r="G313" s="18" t="str">
        <f t="shared" si="52"/>
        <v>No</v>
      </c>
      <c r="H313" s="1">
        <v>1</v>
      </c>
      <c r="I313" s="21" t="str">
        <f t="shared" si="53"/>
        <v>Clean</v>
      </c>
      <c r="J313" s="1">
        <v>0.18</v>
      </c>
      <c r="K313" s="23" t="str">
        <f t="shared" si="54"/>
        <v>Safe</v>
      </c>
      <c r="L313">
        <f t="shared" si="44"/>
        <v>0.16669999999999999</v>
      </c>
      <c r="M313" s="20">
        <f t="shared" si="45"/>
        <v>0.16669999999999999</v>
      </c>
      <c r="N313">
        <f t="shared" si="46"/>
        <v>0.51</v>
      </c>
      <c r="O313" s="20" t="str">
        <f t="shared" si="47"/>
        <v>Acceptable</v>
      </c>
      <c r="P313">
        <f t="shared" si="48"/>
        <v>0.28360000000000002</v>
      </c>
      <c r="Q313">
        <f t="shared" si="49"/>
        <v>6</v>
      </c>
      <c r="R313">
        <f t="shared" si="50"/>
        <v>47</v>
      </c>
      <c r="S313">
        <f t="shared" si="51"/>
        <v>53</v>
      </c>
    </row>
    <row r="314" spans="1:19" ht="15" thickBot="1" x14ac:dyDescent="0.35">
      <c r="A314" s="1">
        <v>313</v>
      </c>
      <c r="B314" s="2">
        <v>40557</v>
      </c>
      <c r="C314" s="1">
        <v>1</v>
      </c>
      <c r="D314" s="1">
        <v>12</v>
      </c>
      <c r="E314" s="3" t="b">
        <v>0</v>
      </c>
      <c r="F314" s="5">
        <v>5</v>
      </c>
      <c r="G314" s="18" t="str">
        <f t="shared" si="52"/>
        <v>No</v>
      </c>
      <c r="H314" s="1">
        <v>1</v>
      </c>
      <c r="I314" s="21" t="str">
        <f t="shared" si="53"/>
        <v>Clean</v>
      </c>
      <c r="J314" s="1">
        <v>0.2</v>
      </c>
      <c r="K314" s="23" t="str">
        <f t="shared" si="54"/>
        <v>Safe</v>
      </c>
      <c r="L314">
        <f t="shared" si="44"/>
        <v>0.19700000000000001</v>
      </c>
      <c r="M314" s="20">
        <f t="shared" si="45"/>
        <v>0.19700000000000001</v>
      </c>
      <c r="N314">
        <f t="shared" si="46"/>
        <v>0.44</v>
      </c>
      <c r="O314" s="20" t="str">
        <f t="shared" si="47"/>
        <v>Acceptable</v>
      </c>
      <c r="P314">
        <f t="shared" si="48"/>
        <v>0.25369999999999998</v>
      </c>
      <c r="Q314">
        <f t="shared" si="49"/>
        <v>2</v>
      </c>
      <c r="R314">
        <f t="shared" si="50"/>
        <v>59</v>
      </c>
      <c r="S314">
        <f t="shared" si="51"/>
        <v>61</v>
      </c>
    </row>
    <row r="315" spans="1:19" ht="15" thickBot="1" x14ac:dyDescent="0.35">
      <c r="A315" s="1">
        <v>314</v>
      </c>
      <c r="B315" s="2">
        <v>40557</v>
      </c>
      <c r="C315" s="1">
        <v>1</v>
      </c>
      <c r="D315" s="1">
        <v>13</v>
      </c>
      <c r="E315" s="3" t="b">
        <v>0</v>
      </c>
      <c r="F315" s="5">
        <v>5</v>
      </c>
      <c r="G315" s="18" t="str">
        <f t="shared" si="52"/>
        <v>No</v>
      </c>
      <c r="H315" s="1">
        <v>1</v>
      </c>
      <c r="I315" s="21" t="str">
        <f t="shared" si="53"/>
        <v>Clean</v>
      </c>
      <c r="J315" s="1">
        <v>0.22</v>
      </c>
      <c r="K315" s="23" t="str">
        <f t="shared" si="54"/>
        <v>Safe</v>
      </c>
      <c r="L315">
        <f t="shared" si="44"/>
        <v>0.19700000000000001</v>
      </c>
      <c r="M315" s="20">
        <f t="shared" si="45"/>
        <v>0.19700000000000001</v>
      </c>
      <c r="N315">
        <f t="shared" si="46"/>
        <v>0.37</v>
      </c>
      <c r="O315" s="20" t="str">
        <f t="shared" si="47"/>
        <v>Acceptable</v>
      </c>
      <c r="P315">
        <f t="shared" si="48"/>
        <v>0.3881</v>
      </c>
      <c r="Q315">
        <f t="shared" si="49"/>
        <v>4</v>
      </c>
      <c r="R315">
        <f t="shared" si="50"/>
        <v>73</v>
      </c>
      <c r="S315">
        <f t="shared" si="51"/>
        <v>77</v>
      </c>
    </row>
    <row r="316" spans="1:19" ht="15" thickBot="1" x14ac:dyDescent="0.35">
      <c r="A316" s="1">
        <v>315</v>
      </c>
      <c r="B316" s="2">
        <v>40557</v>
      </c>
      <c r="C316" s="1">
        <v>1</v>
      </c>
      <c r="D316" s="1">
        <v>14</v>
      </c>
      <c r="E316" s="3" t="b">
        <v>0</v>
      </c>
      <c r="F316" s="5">
        <v>5</v>
      </c>
      <c r="G316" s="18" t="str">
        <f t="shared" si="52"/>
        <v>No</v>
      </c>
      <c r="H316" s="1">
        <v>1</v>
      </c>
      <c r="I316" s="21" t="str">
        <f t="shared" si="53"/>
        <v>Clean</v>
      </c>
      <c r="J316" s="1">
        <v>0.22</v>
      </c>
      <c r="K316" s="23" t="str">
        <f t="shared" si="54"/>
        <v>Safe</v>
      </c>
      <c r="L316">
        <f t="shared" si="44"/>
        <v>0.21210000000000001</v>
      </c>
      <c r="M316" s="20">
        <f t="shared" si="45"/>
        <v>0.21210000000000001</v>
      </c>
      <c r="N316">
        <f t="shared" si="46"/>
        <v>0.41</v>
      </c>
      <c r="O316" s="20" t="str">
        <f t="shared" si="47"/>
        <v>Acceptable</v>
      </c>
      <c r="P316">
        <f t="shared" si="48"/>
        <v>0.28360000000000002</v>
      </c>
      <c r="Q316">
        <f t="shared" si="49"/>
        <v>5</v>
      </c>
      <c r="R316">
        <f t="shared" si="50"/>
        <v>59</v>
      </c>
      <c r="S316">
        <f t="shared" si="51"/>
        <v>64</v>
      </c>
    </row>
    <row r="317" spans="1:19" ht="15" thickBot="1" x14ac:dyDescent="0.35">
      <c r="A317" s="1">
        <v>316</v>
      </c>
      <c r="B317" s="2">
        <v>40557</v>
      </c>
      <c r="C317" s="1">
        <v>1</v>
      </c>
      <c r="D317" s="1">
        <v>15</v>
      </c>
      <c r="E317" s="3" t="b">
        <v>0</v>
      </c>
      <c r="F317" s="5">
        <v>5</v>
      </c>
      <c r="G317" s="18" t="str">
        <f t="shared" si="52"/>
        <v>No</v>
      </c>
      <c r="H317" s="1">
        <v>1</v>
      </c>
      <c r="I317" s="21" t="str">
        <f t="shared" si="53"/>
        <v>Clean</v>
      </c>
      <c r="J317" s="1">
        <v>0.24</v>
      </c>
      <c r="K317" s="23" t="str">
        <f t="shared" si="54"/>
        <v>Safe</v>
      </c>
      <c r="L317">
        <f t="shared" si="44"/>
        <v>0.2424</v>
      </c>
      <c r="M317" s="20">
        <f t="shared" si="45"/>
        <v>0.2424</v>
      </c>
      <c r="N317">
        <f t="shared" si="46"/>
        <v>0.38</v>
      </c>
      <c r="O317" s="20" t="str">
        <f t="shared" si="47"/>
        <v>Acceptable</v>
      </c>
      <c r="P317">
        <f t="shared" si="48"/>
        <v>0.16420000000000001</v>
      </c>
      <c r="Q317">
        <f t="shared" si="49"/>
        <v>9</v>
      </c>
      <c r="R317">
        <f t="shared" si="50"/>
        <v>59</v>
      </c>
      <c r="S317">
        <f t="shared" si="51"/>
        <v>68</v>
      </c>
    </row>
    <row r="318" spans="1:19" ht="15" thickBot="1" x14ac:dyDescent="0.35">
      <c r="A318" s="1">
        <v>317</v>
      </c>
      <c r="B318" s="2">
        <v>40557</v>
      </c>
      <c r="C318" s="1">
        <v>1</v>
      </c>
      <c r="D318" s="1">
        <v>16</v>
      </c>
      <c r="E318" s="3" t="b">
        <v>0</v>
      </c>
      <c r="F318" s="5">
        <v>5</v>
      </c>
      <c r="G318" s="18" t="str">
        <f t="shared" si="52"/>
        <v>No</v>
      </c>
      <c r="H318" s="1">
        <v>1</v>
      </c>
      <c r="I318" s="21" t="str">
        <f t="shared" si="53"/>
        <v>Clean</v>
      </c>
      <c r="J318" s="1">
        <v>0.22</v>
      </c>
      <c r="K318" s="23" t="str">
        <f t="shared" si="54"/>
        <v>Safe</v>
      </c>
      <c r="L318">
        <f t="shared" si="44"/>
        <v>0.2424</v>
      </c>
      <c r="M318" s="20">
        <f t="shared" si="45"/>
        <v>0.2424</v>
      </c>
      <c r="N318">
        <f t="shared" si="46"/>
        <v>0.41</v>
      </c>
      <c r="O318" s="20" t="str">
        <f t="shared" si="47"/>
        <v>Acceptable</v>
      </c>
      <c r="P318">
        <f t="shared" si="48"/>
        <v>0.1045</v>
      </c>
      <c r="Q318">
        <f t="shared" si="49"/>
        <v>3</v>
      </c>
      <c r="R318">
        <f t="shared" si="50"/>
        <v>87</v>
      </c>
      <c r="S318">
        <f t="shared" si="51"/>
        <v>90</v>
      </c>
    </row>
    <row r="319" spans="1:19" ht="15" thickBot="1" x14ac:dyDescent="0.35">
      <c r="A319" s="1">
        <v>318</v>
      </c>
      <c r="B319" s="2">
        <v>40557</v>
      </c>
      <c r="C319" s="1">
        <v>1</v>
      </c>
      <c r="D319" s="1">
        <v>17</v>
      </c>
      <c r="E319" s="3" t="b">
        <v>0</v>
      </c>
      <c r="F319" s="5">
        <v>5</v>
      </c>
      <c r="G319" s="18" t="str">
        <f t="shared" si="52"/>
        <v>No</v>
      </c>
      <c r="H319" s="1">
        <v>1</v>
      </c>
      <c r="I319" s="21" t="str">
        <f t="shared" si="53"/>
        <v>Clean</v>
      </c>
      <c r="J319" s="1">
        <v>0.22</v>
      </c>
      <c r="K319" s="23" t="str">
        <f t="shared" si="54"/>
        <v>Safe</v>
      </c>
      <c r="L319">
        <f t="shared" si="44"/>
        <v>0.2273</v>
      </c>
      <c r="M319" s="20">
        <f t="shared" si="45"/>
        <v>0.2273</v>
      </c>
      <c r="N319">
        <f t="shared" si="46"/>
        <v>0.41</v>
      </c>
      <c r="O319" s="20" t="str">
        <f t="shared" si="47"/>
        <v>Acceptable</v>
      </c>
      <c r="P319">
        <f t="shared" si="48"/>
        <v>0.16420000000000001</v>
      </c>
      <c r="Q319">
        <f t="shared" si="49"/>
        <v>4</v>
      </c>
      <c r="R319">
        <f t="shared" si="50"/>
        <v>155</v>
      </c>
      <c r="S319">
        <f t="shared" si="51"/>
        <v>159</v>
      </c>
    </row>
    <row r="320" spans="1:19" ht="15" thickBot="1" x14ac:dyDescent="0.35">
      <c r="A320" s="1">
        <v>319</v>
      </c>
      <c r="B320" s="2">
        <v>40557</v>
      </c>
      <c r="C320" s="1">
        <v>1</v>
      </c>
      <c r="D320" s="1">
        <v>18</v>
      </c>
      <c r="E320" s="3" t="b">
        <v>0</v>
      </c>
      <c r="F320" s="5">
        <v>5</v>
      </c>
      <c r="G320" s="18" t="str">
        <f t="shared" si="52"/>
        <v>No</v>
      </c>
      <c r="H320" s="1">
        <v>1</v>
      </c>
      <c r="I320" s="21" t="str">
        <f t="shared" si="53"/>
        <v>Clean</v>
      </c>
      <c r="J320" s="1">
        <v>0.2</v>
      </c>
      <c r="K320" s="23" t="str">
        <f t="shared" si="54"/>
        <v>Safe</v>
      </c>
      <c r="L320">
        <f t="shared" si="44"/>
        <v>0.2576</v>
      </c>
      <c r="M320" s="20">
        <f t="shared" si="45"/>
        <v>0.2576</v>
      </c>
      <c r="N320">
        <f t="shared" si="46"/>
        <v>0.47</v>
      </c>
      <c r="O320" s="20" t="str">
        <f t="shared" si="47"/>
        <v>Acceptable</v>
      </c>
      <c r="P320">
        <f t="shared" si="48"/>
        <v>0</v>
      </c>
      <c r="Q320">
        <f t="shared" si="49"/>
        <v>5</v>
      </c>
      <c r="R320">
        <f t="shared" si="50"/>
        <v>134</v>
      </c>
      <c r="S320">
        <f t="shared" si="51"/>
        <v>139</v>
      </c>
    </row>
    <row r="321" spans="1:19" ht="15" thickBot="1" x14ac:dyDescent="0.35">
      <c r="A321" s="1">
        <v>320</v>
      </c>
      <c r="B321" s="2">
        <v>40557</v>
      </c>
      <c r="C321" s="1">
        <v>1</v>
      </c>
      <c r="D321" s="1">
        <v>19</v>
      </c>
      <c r="E321" s="3" t="b">
        <v>0</v>
      </c>
      <c r="F321" s="5">
        <v>5</v>
      </c>
      <c r="G321" s="18" t="str">
        <f t="shared" si="52"/>
        <v>No</v>
      </c>
      <c r="H321" s="1">
        <v>1</v>
      </c>
      <c r="I321" s="21" t="str">
        <f t="shared" si="53"/>
        <v>Clean</v>
      </c>
      <c r="J321" s="1">
        <v>0.16</v>
      </c>
      <c r="K321" s="23" t="str">
        <f t="shared" si="54"/>
        <v>Safe</v>
      </c>
      <c r="L321">
        <f t="shared" si="44"/>
        <v>0.19700000000000001</v>
      </c>
      <c r="M321" s="20">
        <f t="shared" si="45"/>
        <v>0.19700000000000001</v>
      </c>
      <c r="N321">
        <f t="shared" si="46"/>
        <v>0.59</v>
      </c>
      <c r="O321" s="20" t="str">
        <f t="shared" si="47"/>
        <v>Acceptable</v>
      </c>
      <c r="P321">
        <f t="shared" si="48"/>
        <v>8.9599999999999999E-2</v>
      </c>
      <c r="Q321">
        <f t="shared" si="49"/>
        <v>3</v>
      </c>
      <c r="R321">
        <f t="shared" si="50"/>
        <v>89</v>
      </c>
      <c r="S321">
        <f t="shared" si="51"/>
        <v>92</v>
      </c>
    </row>
    <row r="322" spans="1:19" ht="15" thickBot="1" x14ac:dyDescent="0.35">
      <c r="A322" s="1">
        <v>321</v>
      </c>
      <c r="B322" s="2">
        <v>40557</v>
      </c>
      <c r="C322" s="1">
        <v>1</v>
      </c>
      <c r="D322" s="1">
        <v>20</v>
      </c>
      <c r="E322" s="3" t="b">
        <v>0</v>
      </c>
      <c r="F322" s="5">
        <v>5</v>
      </c>
      <c r="G322" s="18" t="str">
        <f t="shared" si="52"/>
        <v>No</v>
      </c>
      <c r="H322" s="1">
        <v>1</v>
      </c>
      <c r="I322" s="21" t="str">
        <f t="shared" si="53"/>
        <v>Clean</v>
      </c>
      <c r="J322" s="1">
        <v>0.18</v>
      </c>
      <c r="K322" s="23" t="str">
        <f t="shared" si="54"/>
        <v>Safe</v>
      </c>
      <c r="L322">
        <f t="shared" ref="L322:L385" si="55">VLOOKUP($A322,list2,2,FALSE)</f>
        <v>0.2424</v>
      </c>
      <c r="M322" s="20">
        <f t="shared" ref="M322:M385" si="56">VLOOKUP($A322,list2,3,FALSE)</f>
        <v>0.2424</v>
      </c>
      <c r="N322">
        <f t="shared" ref="N322:N385" si="57">VLOOKUP($A322,list2,4,FALSE)</f>
        <v>0.59</v>
      </c>
      <c r="O322" s="20" t="str">
        <f t="shared" ref="O322:O385" si="58">VLOOKUP($A322,list2,5,FALSE)</f>
        <v>Acceptable</v>
      </c>
      <c r="P322">
        <f t="shared" ref="P322:P385" si="59">VLOOKUP($A322,list2,6,FALSE)</f>
        <v>0</v>
      </c>
      <c r="Q322">
        <f t="shared" ref="Q322:Q385" si="60">VLOOKUP($A322,list2,7,FALSE)</f>
        <v>0</v>
      </c>
      <c r="R322">
        <f t="shared" ref="R322:R385" si="61">VLOOKUP($A322,list2,8,FALSE)</f>
        <v>68</v>
      </c>
      <c r="S322">
        <f t="shared" ref="S322:S385" si="62">VLOOKUP($A322,list2,9,FALSE)</f>
        <v>68</v>
      </c>
    </row>
    <row r="323" spans="1:19" ht="15" thickBot="1" x14ac:dyDescent="0.35">
      <c r="A323" s="1">
        <v>322</v>
      </c>
      <c r="B323" s="2">
        <v>40557</v>
      </c>
      <c r="C323" s="1">
        <v>1</v>
      </c>
      <c r="D323" s="1">
        <v>21</v>
      </c>
      <c r="E323" s="3" t="b">
        <v>0</v>
      </c>
      <c r="F323" s="5">
        <v>5</v>
      </c>
      <c r="G323" s="18" t="str">
        <f t="shared" ref="G323:G386" si="63">_xlfn.IFS(F323=0,"Yes",F323=6,"Yes",F323&gt;0,"No")</f>
        <v>No</v>
      </c>
      <c r="H323" s="1">
        <v>1</v>
      </c>
      <c r="I323" s="21" t="str">
        <f t="shared" ref="I323:I386" si="64">_xlfn.IFS(H323=1,"Clean",H323=2,"Misty",H323=3,"Light Rain",H323=4,"Heavy Rain")</f>
        <v>Clean</v>
      </c>
      <c r="J323" s="1">
        <v>0.16</v>
      </c>
      <c r="K323" s="23" t="str">
        <f t="shared" ref="K323:K386" si="65">_xlfn.IFS(J323&lt;0.1,"Risky",J323&lt;0.35,"Safe",J323&gt;0.35,"Risky")</f>
        <v>Safe</v>
      </c>
      <c r="L323">
        <f t="shared" si="55"/>
        <v>0.2273</v>
      </c>
      <c r="M323" s="20">
        <f t="shared" si="56"/>
        <v>0.2273</v>
      </c>
      <c r="N323">
        <f t="shared" si="57"/>
        <v>0.69</v>
      </c>
      <c r="O323" s="20" t="str">
        <f t="shared" si="58"/>
        <v>Acceptable</v>
      </c>
      <c r="P323">
        <f t="shared" si="59"/>
        <v>0</v>
      </c>
      <c r="Q323">
        <f t="shared" si="60"/>
        <v>4</v>
      </c>
      <c r="R323">
        <f t="shared" si="61"/>
        <v>48</v>
      </c>
      <c r="S323">
        <f t="shared" si="62"/>
        <v>52</v>
      </c>
    </row>
    <row r="324" spans="1:19" ht="15" thickBot="1" x14ac:dyDescent="0.35">
      <c r="A324" s="1">
        <v>323</v>
      </c>
      <c r="B324" s="2">
        <v>40557</v>
      </c>
      <c r="C324" s="1">
        <v>1</v>
      </c>
      <c r="D324" s="1">
        <v>22</v>
      </c>
      <c r="E324" s="3" t="b">
        <v>0</v>
      </c>
      <c r="F324" s="5">
        <v>5</v>
      </c>
      <c r="G324" s="18" t="str">
        <f t="shared" si="63"/>
        <v>No</v>
      </c>
      <c r="H324" s="1">
        <v>2</v>
      </c>
      <c r="I324" s="21" t="str">
        <f t="shared" si="64"/>
        <v>Misty</v>
      </c>
      <c r="J324" s="1">
        <v>0.16</v>
      </c>
      <c r="K324" s="23" t="str">
        <f t="shared" si="65"/>
        <v>Safe</v>
      </c>
      <c r="L324">
        <f t="shared" si="55"/>
        <v>0.2273</v>
      </c>
      <c r="M324" s="20">
        <f t="shared" si="56"/>
        <v>0.2273</v>
      </c>
      <c r="N324">
        <f t="shared" si="57"/>
        <v>0.69</v>
      </c>
      <c r="O324" s="20" t="str">
        <f t="shared" si="58"/>
        <v>Acceptable</v>
      </c>
      <c r="P324">
        <f t="shared" si="59"/>
        <v>0</v>
      </c>
      <c r="Q324">
        <f t="shared" si="60"/>
        <v>2</v>
      </c>
      <c r="R324">
        <f t="shared" si="61"/>
        <v>34</v>
      </c>
      <c r="S324">
        <f t="shared" si="62"/>
        <v>36</v>
      </c>
    </row>
    <row r="325" spans="1:19" ht="15" thickBot="1" x14ac:dyDescent="0.35">
      <c r="A325" s="1">
        <v>324</v>
      </c>
      <c r="B325" s="2">
        <v>40557</v>
      </c>
      <c r="C325" s="1">
        <v>1</v>
      </c>
      <c r="D325" s="1">
        <v>23</v>
      </c>
      <c r="E325" s="3" t="b">
        <v>0</v>
      </c>
      <c r="F325" s="5">
        <v>5</v>
      </c>
      <c r="G325" s="18" t="str">
        <f t="shared" si="63"/>
        <v>No</v>
      </c>
      <c r="H325" s="1">
        <v>2</v>
      </c>
      <c r="I325" s="21" t="str">
        <f t="shared" si="64"/>
        <v>Misty</v>
      </c>
      <c r="J325" s="1">
        <v>0.18</v>
      </c>
      <c r="K325" s="23" t="str">
        <f t="shared" si="65"/>
        <v>Safe</v>
      </c>
      <c r="L325">
        <f t="shared" si="55"/>
        <v>0.2424</v>
      </c>
      <c r="M325" s="20">
        <f t="shared" si="56"/>
        <v>0.2424</v>
      </c>
      <c r="N325">
        <f t="shared" si="57"/>
        <v>0.55000000000000004</v>
      </c>
      <c r="O325" s="20" t="str">
        <f t="shared" si="58"/>
        <v>Acceptable</v>
      </c>
      <c r="P325">
        <f t="shared" si="59"/>
        <v>0</v>
      </c>
      <c r="Q325">
        <f t="shared" si="60"/>
        <v>1</v>
      </c>
      <c r="R325">
        <f t="shared" si="61"/>
        <v>26</v>
      </c>
      <c r="S325">
        <f t="shared" si="62"/>
        <v>27</v>
      </c>
    </row>
    <row r="326" spans="1:19" ht="15" thickBot="1" x14ac:dyDescent="0.35">
      <c r="A326" s="1">
        <v>325</v>
      </c>
      <c r="B326" s="2">
        <v>40558</v>
      </c>
      <c r="C326" s="1">
        <v>1</v>
      </c>
      <c r="D326" s="1">
        <v>0</v>
      </c>
      <c r="E326" s="3" t="b">
        <v>0</v>
      </c>
      <c r="F326" s="5">
        <v>6</v>
      </c>
      <c r="G326" s="18" t="str">
        <f t="shared" si="63"/>
        <v>Yes</v>
      </c>
      <c r="H326" s="1">
        <v>1</v>
      </c>
      <c r="I326" s="21" t="str">
        <f t="shared" si="64"/>
        <v>Clean</v>
      </c>
      <c r="J326" s="1">
        <v>0.18</v>
      </c>
      <c r="K326" s="23" t="str">
        <f t="shared" si="65"/>
        <v>Safe</v>
      </c>
      <c r="L326">
        <f t="shared" si="55"/>
        <v>0.2424</v>
      </c>
      <c r="M326" s="20">
        <f t="shared" si="56"/>
        <v>0.2424</v>
      </c>
      <c r="N326">
        <f t="shared" si="57"/>
        <v>0.55000000000000004</v>
      </c>
      <c r="O326" s="20" t="str">
        <f t="shared" si="58"/>
        <v>Acceptable</v>
      </c>
      <c r="P326">
        <f t="shared" si="59"/>
        <v>0</v>
      </c>
      <c r="Q326">
        <f t="shared" si="60"/>
        <v>3</v>
      </c>
      <c r="R326">
        <f t="shared" si="61"/>
        <v>25</v>
      </c>
      <c r="S326">
        <f t="shared" si="62"/>
        <v>28</v>
      </c>
    </row>
    <row r="327" spans="1:19" ht="15" thickBot="1" x14ac:dyDescent="0.35">
      <c r="A327" s="1">
        <v>326</v>
      </c>
      <c r="B327" s="2">
        <v>40558</v>
      </c>
      <c r="C327" s="1">
        <v>1</v>
      </c>
      <c r="D327" s="1">
        <v>1</v>
      </c>
      <c r="E327" s="3" t="b">
        <v>0</v>
      </c>
      <c r="F327" s="5">
        <v>6</v>
      </c>
      <c r="G327" s="18" t="str">
        <f t="shared" si="63"/>
        <v>Yes</v>
      </c>
      <c r="H327" s="1">
        <v>2</v>
      </c>
      <c r="I327" s="21" t="str">
        <f t="shared" si="64"/>
        <v>Misty</v>
      </c>
      <c r="J327" s="1">
        <v>0.16</v>
      </c>
      <c r="K327" s="23" t="str">
        <f t="shared" si="65"/>
        <v>Safe</v>
      </c>
      <c r="L327">
        <f t="shared" si="55"/>
        <v>0.19700000000000001</v>
      </c>
      <c r="M327" s="20">
        <f t="shared" si="56"/>
        <v>0.19700000000000001</v>
      </c>
      <c r="N327">
        <f t="shared" si="57"/>
        <v>0.59</v>
      </c>
      <c r="O327" s="20" t="str">
        <f t="shared" si="58"/>
        <v>Acceptable</v>
      </c>
      <c r="P327">
        <f t="shared" si="59"/>
        <v>8.9599999999999999E-2</v>
      </c>
      <c r="Q327">
        <f t="shared" si="60"/>
        <v>2</v>
      </c>
      <c r="R327">
        <f t="shared" si="61"/>
        <v>18</v>
      </c>
      <c r="S327">
        <f t="shared" si="62"/>
        <v>20</v>
      </c>
    </row>
    <row r="328" spans="1:19" ht="15" thickBot="1" x14ac:dyDescent="0.35">
      <c r="A328" s="1">
        <v>327</v>
      </c>
      <c r="B328" s="2">
        <v>40558</v>
      </c>
      <c r="C328" s="1">
        <v>1</v>
      </c>
      <c r="D328" s="1">
        <v>2</v>
      </c>
      <c r="E328" s="3" t="b">
        <v>0</v>
      </c>
      <c r="F328" s="5">
        <v>6</v>
      </c>
      <c r="G328" s="18" t="str">
        <f t="shared" si="63"/>
        <v>Yes</v>
      </c>
      <c r="H328" s="1">
        <v>2</v>
      </c>
      <c r="I328" s="21" t="str">
        <f t="shared" si="64"/>
        <v>Misty</v>
      </c>
      <c r="J328" s="1">
        <v>0.16</v>
      </c>
      <c r="K328" s="23" t="str">
        <f t="shared" si="65"/>
        <v>Safe</v>
      </c>
      <c r="L328">
        <f t="shared" si="55"/>
        <v>0.19700000000000001</v>
      </c>
      <c r="M328" s="20">
        <f t="shared" si="56"/>
        <v>0.19700000000000001</v>
      </c>
      <c r="N328">
        <f t="shared" si="57"/>
        <v>0.59</v>
      </c>
      <c r="O328" s="20" t="str">
        <f t="shared" si="58"/>
        <v>Acceptable</v>
      </c>
      <c r="P328">
        <f t="shared" si="59"/>
        <v>8.9599999999999999E-2</v>
      </c>
      <c r="Q328">
        <f t="shared" si="60"/>
        <v>0</v>
      </c>
      <c r="R328">
        <f t="shared" si="61"/>
        <v>12</v>
      </c>
      <c r="S328">
        <f t="shared" si="62"/>
        <v>12</v>
      </c>
    </row>
    <row r="329" spans="1:19" ht="15" thickBot="1" x14ac:dyDescent="0.35">
      <c r="A329" s="1">
        <v>328</v>
      </c>
      <c r="B329" s="2">
        <v>40558</v>
      </c>
      <c r="C329" s="1">
        <v>1</v>
      </c>
      <c r="D329" s="1">
        <v>3</v>
      </c>
      <c r="E329" s="3" t="b">
        <v>0</v>
      </c>
      <c r="F329" s="5">
        <v>6</v>
      </c>
      <c r="G329" s="18" t="str">
        <f t="shared" si="63"/>
        <v>Yes</v>
      </c>
      <c r="H329" s="1">
        <v>2</v>
      </c>
      <c r="I329" s="21" t="str">
        <f t="shared" si="64"/>
        <v>Misty</v>
      </c>
      <c r="J329" s="1">
        <v>0.16</v>
      </c>
      <c r="K329" s="23" t="str">
        <f t="shared" si="65"/>
        <v>Safe</v>
      </c>
      <c r="L329">
        <f t="shared" si="55"/>
        <v>0.2273</v>
      </c>
      <c r="M329" s="20">
        <f t="shared" si="56"/>
        <v>0.2273</v>
      </c>
      <c r="N329">
        <f t="shared" si="57"/>
        <v>0.59</v>
      </c>
      <c r="O329" s="20" t="str">
        <f t="shared" si="58"/>
        <v>Acceptable</v>
      </c>
      <c r="P329">
        <f t="shared" si="59"/>
        <v>0</v>
      </c>
      <c r="Q329">
        <f t="shared" si="60"/>
        <v>1</v>
      </c>
      <c r="R329">
        <f t="shared" si="61"/>
        <v>7</v>
      </c>
      <c r="S329">
        <f t="shared" si="62"/>
        <v>8</v>
      </c>
    </row>
    <row r="330" spans="1:19" ht="15" thickBot="1" x14ac:dyDescent="0.35">
      <c r="A330" s="1">
        <v>329</v>
      </c>
      <c r="B330" s="2">
        <v>40558</v>
      </c>
      <c r="C330" s="1">
        <v>1</v>
      </c>
      <c r="D330" s="1">
        <v>4</v>
      </c>
      <c r="E330" s="3" t="b">
        <v>0</v>
      </c>
      <c r="F330" s="5">
        <v>6</v>
      </c>
      <c r="G330" s="18" t="str">
        <f t="shared" si="63"/>
        <v>Yes</v>
      </c>
      <c r="H330" s="1">
        <v>2</v>
      </c>
      <c r="I330" s="21" t="str">
        <f t="shared" si="64"/>
        <v>Misty</v>
      </c>
      <c r="J330" s="1">
        <v>0.16</v>
      </c>
      <c r="K330" s="23" t="str">
        <f t="shared" si="65"/>
        <v>Safe</v>
      </c>
      <c r="L330">
        <f t="shared" si="55"/>
        <v>0.2273</v>
      </c>
      <c r="M330" s="20">
        <f t="shared" si="56"/>
        <v>0.2273</v>
      </c>
      <c r="N330">
        <f t="shared" si="57"/>
        <v>0.59</v>
      </c>
      <c r="O330" s="20" t="str">
        <f t="shared" si="58"/>
        <v>Acceptable</v>
      </c>
      <c r="P330">
        <f t="shared" si="59"/>
        <v>0</v>
      </c>
      <c r="Q330">
        <f t="shared" si="60"/>
        <v>0</v>
      </c>
      <c r="R330">
        <f t="shared" si="61"/>
        <v>5</v>
      </c>
      <c r="S330">
        <f t="shared" si="62"/>
        <v>5</v>
      </c>
    </row>
    <row r="331" spans="1:19" ht="15" thickBot="1" x14ac:dyDescent="0.35">
      <c r="A331" s="1">
        <v>330</v>
      </c>
      <c r="B331" s="2">
        <v>40558</v>
      </c>
      <c r="C331" s="1">
        <v>1</v>
      </c>
      <c r="D331" s="1">
        <v>5</v>
      </c>
      <c r="E331" s="3" t="b">
        <v>0</v>
      </c>
      <c r="F331" s="5">
        <v>6</v>
      </c>
      <c r="G331" s="18" t="str">
        <f t="shared" si="63"/>
        <v>Yes</v>
      </c>
      <c r="H331" s="1">
        <v>1</v>
      </c>
      <c r="I331" s="21" t="str">
        <f t="shared" si="64"/>
        <v>Clean</v>
      </c>
      <c r="J331" s="1">
        <v>0.16</v>
      </c>
      <c r="K331" s="23" t="str">
        <f t="shared" si="65"/>
        <v>Safe</v>
      </c>
      <c r="L331">
        <f t="shared" si="55"/>
        <v>0.2273</v>
      </c>
      <c r="M331" s="20">
        <f t="shared" si="56"/>
        <v>0.2273</v>
      </c>
      <c r="N331">
        <f t="shared" si="57"/>
        <v>0.59</v>
      </c>
      <c r="O331" s="20" t="str">
        <f t="shared" si="58"/>
        <v>Acceptable</v>
      </c>
      <c r="P331">
        <f t="shared" si="59"/>
        <v>0</v>
      </c>
      <c r="Q331">
        <f t="shared" si="60"/>
        <v>0</v>
      </c>
      <c r="R331">
        <f t="shared" si="61"/>
        <v>1</v>
      </c>
      <c r="S331">
        <f t="shared" si="62"/>
        <v>1</v>
      </c>
    </row>
    <row r="332" spans="1:19" ht="15" thickBot="1" x14ac:dyDescent="0.35">
      <c r="A332" s="1">
        <v>331</v>
      </c>
      <c r="B332" s="2">
        <v>40558</v>
      </c>
      <c r="C332" s="1">
        <v>1</v>
      </c>
      <c r="D332" s="1">
        <v>6</v>
      </c>
      <c r="E332" s="3" t="b">
        <v>0</v>
      </c>
      <c r="F332" s="5">
        <v>6</v>
      </c>
      <c r="G332" s="18" t="str">
        <f t="shared" si="63"/>
        <v>Yes</v>
      </c>
      <c r="H332" s="1">
        <v>1</v>
      </c>
      <c r="I332" s="21" t="str">
        <f t="shared" si="64"/>
        <v>Clean</v>
      </c>
      <c r="J332" s="1">
        <v>0.14000000000000001</v>
      </c>
      <c r="K332" s="23" t="str">
        <f t="shared" si="65"/>
        <v>Safe</v>
      </c>
      <c r="L332">
        <f t="shared" si="55"/>
        <v>0.16669999999999999</v>
      </c>
      <c r="M332" s="20">
        <f t="shared" si="56"/>
        <v>0.16669999999999999</v>
      </c>
      <c r="N332">
        <f t="shared" si="57"/>
        <v>0.63</v>
      </c>
      <c r="O332" s="20" t="str">
        <f t="shared" si="58"/>
        <v>Acceptable</v>
      </c>
      <c r="P332">
        <f t="shared" si="59"/>
        <v>0.1045</v>
      </c>
      <c r="Q332">
        <f t="shared" si="60"/>
        <v>1</v>
      </c>
      <c r="R332">
        <f t="shared" si="61"/>
        <v>2</v>
      </c>
      <c r="S332">
        <f t="shared" si="62"/>
        <v>3</v>
      </c>
    </row>
    <row r="333" spans="1:19" ht="15" thickBot="1" x14ac:dyDescent="0.35">
      <c r="A333" s="1">
        <v>332</v>
      </c>
      <c r="B333" s="2">
        <v>40558</v>
      </c>
      <c r="C333" s="1">
        <v>1</v>
      </c>
      <c r="D333" s="1">
        <v>7</v>
      </c>
      <c r="E333" s="3" t="b">
        <v>0</v>
      </c>
      <c r="F333" s="5">
        <v>6</v>
      </c>
      <c r="G333" s="18" t="str">
        <f t="shared" si="63"/>
        <v>Yes</v>
      </c>
      <c r="H333" s="1">
        <v>1</v>
      </c>
      <c r="I333" s="21" t="str">
        <f t="shared" si="64"/>
        <v>Clean</v>
      </c>
      <c r="J333" s="1">
        <v>0.14000000000000001</v>
      </c>
      <c r="K333" s="23" t="str">
        <f t="shared" si="65"/>
        <v>Safe</v>
      </c>
      <c r="L333">
        <f t="shared" si="55"/>
        <v>0.21210000000000001</v>
      </c>
      <c r="M333" s="20">
        <f t="shared" si="56"/>
        <v>0.21210000000000001</v>
      </c>
      <c r="N333">
        <f t="shared" si="57"/>
        <v>0.63</v>
      </c>
      <c r="O333" s="20" t="str">
        <f t="shared" si="58"/>
        <v>Acceptable</v>
      </c>
      <c r="P333">
        <f t="shared" si="59"/>
        <v>0</v>
      </c>
      <c r="Q333">
        <f t="shared" si="60"/>
        <v>1</v>
      </c>
      <c r="R333">
        <f t="shared" si="61"/>
        <v>9</v>
      </c>
      <c r="S333">
        <f t="shared" si="62"/>
        <v>10</v>
      </c>
    </row>
    <row r="334" spans="1:19" ht="15" thickBot="1" x14ac:dyDescent="0.35">
      <c r="A334" s="1">
        <v>333</v>
      </c>
      <c r="B334" s="2">
        <v>40558</v>
      </c>
      <c r="C334" s="1">
        <v>1</v>
      </c>
      <c r="D334" s="1">
        <v>8</v>
      </c>
      <c r="E334" s="3" t="b">
        <v>0</v>
      </c>
      <c r="F334" s="5">
        <v>6</v>
      </c>
      <c r="G334" s="18" t="str">
        <f t="shared" si="63"/>
        <v>Yes</v>
      </c>
      <c r="H334" s="1">
        <v>1</v>
      </c>
      <c r="I334" s="21" t="str">
        <f t="shared" si="64"/>
        <v>Clean</v>
      </c>
      <c r="J334" s="1">
        <v>0.14000000000000001</v>
      </c>
      <c r="K334" s="23" t="str">
        <f t="shared" si="65"/>
        <v>Safe</v>
      </c>
      <c r="L334">
        <f t="shared" si="55"/>
        <v>0.1515</v>
      </c>
      <c r="M334" s="20">
        <f t="shared" si="56"/>
        <v>0.1515</v>
      </c>
      <c r="N334">
        <f t="shared" si="57"/>
        <v>0.63</v>
      </c>
      <c r="O334" s="20" t="str">
        <f t="shared" si="58"/>
        <v>Acceptable</v>
      </c>
      <c r="P334">
        <f t="shared" si="59"/>
        <v>0.1343</v>
      </c>
      <c r="Q334">
        <f t="shared" si="60"/>
        <v>1</v>
      </c>
      <c r="R334">
        <f t="shared" si="61"/>
        <v>22</v>
      </c>
      <c r="S334">
        <f t="shared" si="62"/>
        <v>23</v>
      </c>
    </row>
    <row r="335" spans="1:19" ht="15" thickBot="1" x14ac:dyDescent="0.35">
      <c r="A335" s="1">
        <v>334</v>
      </c>
      <c r="B335" s="2">
        <v>40558</v>
      </c>
      <c r="C335" s="1">
        <v>1</v>
      </c>
      <c r="D335" s="1">
        <v>9</v>
      </c>
      <c r="E335" s="3" t="b">
        <v>0</v>
      </c>
      <c r="F335" s="5">
        <v>6</v>
      </c>
      <c r="G335" s="18" t="str">
        <f t="shared" si="63"/>
        <v>Yes</v>
      </c>
      <c r="H335" s="1">
        <v>1</v>
      </c>
      <c r="I335" s="21" t="str">
        <f t="shared" si="64"/>
        <v>Clean</v>
      </c>
      <c r="J335" s="1">
        <v>0.16</v>
      </c>
      <c r="K335" s="23" t="str">
        <f t="shared" si="65"/>
        <v>Safe</v>
      </c>
      <c r="L335">
        <f t="shared" si="55"/>
        <v>0.18179999999999999</v>
      </c>
      <c r="M335" s="20">
        <f t="shared" si="56"/>
        <v>0.18179999999999999</v>
      </c>
      <c r="N335">
        <f t="shared" si="57"/>
        <v>0.64</v>
      </c>
      <c r="O335" s="20" t="str">
        <f t="shared" si="58"/>
        <v>Acceptable</v>
      </c>
      <c r="P335">
        <f t="shared" si="59"/>
        <v>0.1343</v>
      </c>
      <c r="Q335">
        <f t="shared" si="60"/>
        <v>2</v>
      </c>
      <c r="R335">
        <f t="shared" si="61"/>
        <v>31</v>
      </c>
      <c r="S335">
        <f t="shared" si="62"/>
        <v>33</v>
      </c>
    </row>
    <row r="336" spans="1:19" ht="15" thickBot="1" x14ac:dyDescent="0.35">
      <c r="A336" s="1">
        <v>335</v>
      </c>
      <c r="B336" s="2">
        <v>40558</v>
      </c>
      <c r="C336" s="1">
        <v>1</v>
      </c>
      <c r="D336" s="1">
        <v>10</v>
      </c>
      <c r="E336" s="3" t="b">
        <v>0</v>
      </c>
      <c r="F336" s="5">
        <v>6</v>
      </c>
      <c r="G336" s="18" t="str">
        <f t="shared" si="63"/>
        <v>Yes</v>
      </c>
      <c r="H336" s="1">
        <v>1</v>
      </c>
      <c r="I336" s="21" t="str">
        <f t="shared" si="64"/>
        <v>Clean</v>
      </c>
      <c r="J336" s="1">
        <v>0.18</v>
      </c>
      <c r="K336" s="23" t="str">
        <f t="shared" si="65"/>
        <v>Safe</v>
      </c>
      <c r="L336">
        <f t="shared" si="55"/>
        <v>0.19700000000000001</v>
      </c>
      <c r="M336" s="20">
        <f t="shared" si="56"/>
        <v>0.19700000000000001</v>
      </c>
      <c r="N336">
        <f t="shared" si="57"/>
        <v>0.59</v>
      </c>
      <c r="O336" s="20" t="str">
        <f t="shared" si="58"/>
        <v>Acceptable</v>
      </c>
      <c r="P336">
        <f t="shared" si="59"/>
        <v>0.16420000000000001</v>
      </c>
      <c r="Q336">
        <f t="shared" si="60"/>
        <v>2</v>
      </c>
      <c r="R336">
        <f t="shared" si="61"/>
        <v>57</v>
      </c>
      <c r="S336">
        <f t="shared" si="62"/>
        <v>59</v>
      </c>
    </row>
    <row r="337" spans="1:19" ht="15" thickBot="1" x14ac:dyDescent="0.35">
      <c r="A337" s="1">
        <v>336</v>
      </c>
      <c r="B337" s="2">
        <v>40558</v>
      </c>
      <c r="C337" s="1">
        <v>1</v>
      </c>
      <c r="D337" s="1">
        <v>11</v>
      </c>
      <c r="E337" s="3" t="b">
        <v>0</v>
      </c>
      <c r="F337" s="5">
        <v>6</v>
      </c>
      <c r="G337" s="18" t="str">
        <f t="shared" si="63"/>
        <v>Yes</v>
      </c>
      <c r="H337" s="1">
        <v>1</v>
      </c>
      <c r="I337" s="21" t="str">
        <f t="shared" si="64"/>
        <v>Clean</v>
      </c>
      <c r="J337" s="1">
        <v>0.2</v>
      </c>
      <c r="K337" s="23" t="str">
        <f t="shared" si="65"/>
        <v>Safe</v>
      </c>
      <c r="L337">
        <f t="shared" si="55"/>
        <v>0.19700000000000001</v>
      </c>
      <c r="M337" s="20">
        <f t="shared" si="56"/>
        <v>0.19700000000000001</v>
      </c>
      <c r="N337">
        <f t="shared" si="57"/>
        <v>0.55000000000000004</v>
      </c>
      <c r="O337" s="20" t="str">
        <f t="shared" si="58"/>
        <v>Acceptable</v>
      </c>
      <c r="P337">
        <f t="shared" si="59"/>
        <v>0.22389999999999999</v>
      </c>
      <c r="Q337">
        <f t="shared" si="60"/>
        <v>18</v>
      </c>
      <c r="R337">
        <f t="shared" si="61"/>
        <v>54</v>
      </c>
      <c r="S337">
        <f t="shared" si="62"/>
        <v>72</v>
      </c>
    </row>
    <row r="338" spans="1:19" ht="15" thickBot="1" x14ac:dyDescent="0.35">
      <c r="A338" s="1">
        <v>337</v>
      </c>
      <c r="B338" s="2">
        <v>40558</v>
      </c>
      <c r="C338" s="1">
        <v>1</v>
      </c>
      <c r="D338" s="1">
        <v>12</v>
      </c>
      <c r="E338" s="3" t="b">
        <v>0</v>
      </c>
      <c r="F338" s="5">
        <v>6</v>
      </c>
      <c r="G338" s="18" t="str">
        <f t="shared" si="63"/>
        <v>Yes</v>
      </c>
      <c r="H338" s="1">
        <v>1</v>
      </c>
      <c r="I338" s="21" t="str">
        <f t="shared" si="64"/>
        <v>Clean</v>
      </c>
      <c r="J338" s="1">
        <v>0.24</v>
      </c>
      <c r="K338" s="23" t="str">
        <f t="shared" si="65"/>
        <v>Safe</v>
      </c>
      <c r="L338">
        <f t="shared" si="55"/>
        <v>0.2273</v>
      </c>
      <c r="M338" s="20">
        <f t="shared" si="56"/>
        <v>0.2273</v>
      </c>
      <c r="N338">
        <f t="shared" si="57"/>
        <v>0.48</v>
      </c>
      <c r="O338" s="20" t="str">
        <f t="shared" si="58"/>
        <v>Acceptable</v>
      </c>
      <c r="P338">
        <f t="shared" si="59"/>
        <v>0.22389999999999999</v>
      </c>
      <c r="Q338">
        <f t="shared" si="60"/>
        <v>15</v>
      </c>
      <c r="R338">
        <f t="shared" si="61"/>
        <v>74</v>
      </c>
      <c r="S338">
        <f t="shared" si="62"/>
        <v>89</v>
      </c>
    </row>
    <row r="339" spans="1:19" ht="15" thickBot="1" x14ac:dyDescent="0.35">
      <c r="A339" s="1">
        <v>338</v>
      </c>
      <c r="B339" s="2">
        <v>40558</v>
      </c>
      <c r="C339" s="1">
        <v>1</v>
      </c>
      <c r="D339" s="1">
        <v>13</v>
      </c>
      <c r="E339" s="3" t="b">
        <v>0</v>
      </c>
      <c r="F339" s="5">
        <v>6</v>
      </c>
      <c r="G339" s="18" t="str">
        <f t="shared" si="63"/>
        <v>Yes</v>
      </c>
      <c r="H339" s="1">
        <v>1</v>
      </c>
      <c r="I339" s="21" t="str">
        <f t="shared" si="64"/>
        <v>Clean</v>
      </c>
      <c r="J339" s="1">
        <v>0.28000000000000003</v>
      </c>
      <c r="K339" s="23" t="str">
        <f t="shared" si="65"/>
        <v>Safe</v>
      </c>
      <c r="L339">
        <f t="shared" si="55"/>
        <v>0.2576</v>
      </c>
      <c r="M339" s="20">
        <f t="shared" si="56"/>
        <v>0.2576</v>
      </c>
      <c r="N339">
        <f t="shared" si="57"/>
        <v>0.38</v>
      </c>
      <c r="O339" s="20" t="str">
        <f t="shared" si="58"/>
        <v>Acceptable</v>
      </c>
      <c r="P339">
        <f t="shared" si="59"/>
        <v>0.29849999999999999</v>
      </c>
      <c r="Q339">
        <f t="shared" si="60"/>
        <v>21</v>
      </c>
      <c r="R339">
        <f t="shared" si="61"/>
        <v>80</v>
      </c>
      <c r="S339">
        <f t="shared" si="62"/>
        <v>101</v>
      </c>
    </row>
    <row r="340" spans="1:19" ht="15" thickBot="1" x14ac:dyDescent="0.35">
      <c r="A340" s="1">
        <v>339</v>
      </c>
      <c r="B340" s="2">
        <v>40558</v>
      </c>
      <c r="C340" s="1">
        <v>1</v>
      </c>
      <c r="D340" s="1">
        <v>14</v>
      </c>
      <c r="E340" s="3" t="b">
        <v>0</v>
      </c>
      <c r="F340" s="5">
        <v>6</v>
      </c>
      <c r="G340" s="18" t="str">
        <f t="shared" si="63"/>
        <v>Yes</v>
      </c>
      <c r="H340" s="1">
        <v>1</v>
      </c>
      <c r="I340" s="21" t="str">
        <f t="shared" si="64"/>
        <v>Clean</v>
      </c>
      <c r="J340" s="1">
        <v>0.3</v>
      </c>
      <c r="K340" s="23" t="str">
        <f t="shared" si="65"/>
        <v>Safe</v>
      </c>
      <c r="L340">
        <f t="shared" si="55"/>
        <v>0.28789999999999999</v>
      </c>
      <c r="M340" s="20">
        <f t="shared" si="56"/>
        <v>0.28789999999999999</v>
      </c>
      <c r="N340">
        <f t="shared" si="57"/>
        <v>0.39</v>
      </c>
      <c r="O340" s="20" t="str">
        <f t="shared" si="58"/>
        <v>Acceptable</v>
      </c>
      <c r="P340">
        <f t="shared" si="59"/>
        <v>0.28360000000000002</v>
      </c>
      <c r="Q340">
        <f t="shared" si="60"/>
        <v>26</v>
      </c>
      <c r="R340">
        <f t="shared" si="61"/>
        <v>92</v>
      </c>
      <c r="S340">
        <f t="shared" si="62"/>
        <v>118</v>
      </c>
    </row>
    <row r="341" spans="1:19" ht="15" thickBot="1" x14ac:dyDescent="0.35">
      <c r="A341" s="1">
        <v>340</v>
      </c>
      <c r="B341" s="2">
        <v>40558</v>
      </c>
      <c r="C341" s="1">
        <v>1</v>
      </c>
      <c r="D341" s="1">
        <v>15</v>
      </c>
      <c r="E341" s="3" t="b">
        <v>0</v>
      </c>
      <c r="F341" s="5">
        <v>6</v>
      </c>
      <c r="G341" s="18" t="str">
        <f t="shared" si="63"/>
        <v>Yes</v>
      </c>
      <c r="H341" s="1">
        <v>2</v>
      </c>
      <c r="I341" s="21" t="str">
        <f t="shared" si="64"/>
        <v>Misty</v>
      </c>
      <c r="J341" s="1">
        <v>0.32</v>
      </c>
      <c r="K341" s="23" t="str">
        <f t="shared" si="65"/>
        <v>Safe</v>
      </c>
      <c r="L341">
        <f t="shared" si="55"/>
        <v>0.31819999999999998</v>
      </c>
      <c r="M341" s="20">
        <f t="shared" si="56"/>
        <v>0.31819999999999998</v>
      </c>
      <c r="N341">
        <f t="shared" si="57"/>
        <v>0.36</v>
      </c>
      <c r="O341" s="20" t="str">
        <f t="shared" si="58"/>
        <v>Acceptable</v>
      </c>
      <c r="P341">
        <f t="shared" si="59"/>
        <v>0.19400000000000001</v>
      </c>
      <c r="Q341">
        <f t="shared" si="60"/>
        <v>21</v>
      </c>
      <c r="R341">
        <f t="shared" si="61"/>
        <v>108</v>
      </c>
      <c r="S341">
        <f t="shared" si="62"/>
        <v>129</v>
      </c>
    </row>
    <row r="342" spans="1:19" ht="15" thickBot="1" x14ac:dyDescent="0.35">
      <c r="A342" s="1">
        <v>341</v>
      </c>
      <c r="B342" s="2">
        <v>40558</v>
      </c>
      <c r="C342" s="1">
        <v>1</v>
      </c>
      <c r="D342" s="1">
        <v>16</v>
      </c>
      <c r="E342" s="3" t="b">
        <v>0</v>
      </c>
      <c r="F342" s="5">
        <v>6</v>
      </c>
      <c r="G342" s="18" t="str">
        <f t="shared" si="63"/>
        <v>Yes</v>
      </c>
      <c r="H342" s="1">
        <v>2</v>
      </c>
      <c r="I342" s="21" t="str">
        <f t="shared" si="64"/>
        <v>Misty</v>
      </c>
      <c r="J342" s="1">
        <v>0.34</v>
      </c>
      <c r="K342" s="23" t="str">
        <f t="shared" si="65"/>
        <v>Safe</v>
      </c>
      <c r="L342">
        <f t="shared" si="55"/>
        <v>0.33329999999999999</v>
      </c>
      <c r="M342" s="20">
        <f t="shared" si="56"/>
        <v>0.33329999999999999</v>
      </c>
      <c r="N342">
        <f t="shared" si="57"/>
        <v>0.34</v>
      </c>
      <c r="O342" s="20" t="str">
        <f t="shared" si="58"/>
        <v>Acceptable</v>
      </c>
      <c r="P342">
        <f t="shared" si="59"/>
        <v>0.19400000000000001</v>
      </c>
      <c r="Q342">
        <f t="shared" si="60"/>
        <v>33</v>
      </c>
      <c r="R342">
        <f t="shared" si="61"/>
        <v>95</v>
      </c>
      <c r="S342">
        <f t="shared" si="62"/>
        <v>128</v>
      </c>
    </row>
    <row r="343" spans="1:19" ht="15" thickBot="1" x14ac:dyDescent="0.35">
      <c r="A343" s="1">
        <v>342</v>
      </c>
      <c r="B343" s="2">
        <v>40558</v>
      </c>
      <c r="C343" s="1">
        <v>1</v>
      </c>
      <c r="D343" s="1">
        <v>17</v>
      </c>
      <c r="E343" s="3" t="b">
        <v>0</v>
      </c>
      <c r="F343" s="5">
        <v>6</v>
      </c>
      <c r="G343" s="18" t="str">
        <f t="shared" si="63"/>
        <v>Yes</v>
      </c>
      <c r="H343" s="1">
        <v>2</v>
      </c>
      <c r="I343" s="21" t="str">
        <f t="shared" si="64"/>
        <v>Misty</v>
      </c>
      <c r="J343" s="1">
        <v>0.32</v>
      </c>
      <c r="K343" s="23" t="str">
        <f t="shared" si="65"/>
        <v>Safe</v>
      </c>
      <c r="L343">
        <f t="shared" si="55"/>
        <v>0.30299999999999999</v>
      </c>
      <c r="M343" s="20">
        <f t="shared" si="56"/>
        <v>0.30299999999999999</v>
      </c>
      <c r="N343">
        <f t="shared" si="57"/>
        <v>0.36</v>
      </c>
      <c r="O343" s="20" t="str">
        <f t="shared" si="58"/>
        <v>Acceptable</v>
      </c>
      <c r="P343">
        <f t="shared" si="59"/>
        <v>0.28360000000000002</v>
      </c>
      <c r="Q343">
        <f t="shared" si="60"/>
        <v>29</v>
      </c>
      <c r="R343">
        <f t="shared" si="61"/>
        <v>54</v>
      </c>
      <c r="S343">
        <f t="shared" si="62"/>
        <v>83</v>
      </c>
    </row>
    <row r="344" spans="1:19" ht="15" thickBot="1" x14ac:dyDescent="0.35">
      <c r="A344" s="1">
        <v>343</v>
      </c>
      <c r="B344" s="2">
        <v>40558</v>
      </c>
      <c r="C344" s="1">
        <v>1</v>
      </c>
      <c r="D344" s="1">
        <v>18</v>
      </c>
      <c r="E344" s="3" t="b">
        <v>0</v>
      </c>
      <c r="F344" s="5">
        <v>6</v>
      </c>
      <c r="G344" s="18" t="str">
        <f t="shared" si="63"/>
        <v>Yes</v>
      </c>
      <c r="H344" s="1">
        <v>2</v>
      </c>
      <c r="I344" s="21" t="str">
        <f t="shared" si="64"/>
        <v>Misty</v>
      </c>
      <c r="J344" s="1">
        <v>0.3</v>
      </c>
      <c r="K344" s="23" t="str">
        <f t="shared" si="65"/>
        <v>Safe</v>
      </c>
      <c r="L344">
        <f t="shared" si="55"/>
        <v>0.28789999999999999</v>
      </c>
      <c r="M344" s="20">
        <f t="shared" si="56"/>
        <v>0.28789999999999999</v>
      </c>
      <c r="N344">
        <f t="shared" si="57"/>
        <v>0.45</v>
      </c>
      <c r="O344" s="20" t="str">
        <f t="shared" si="58"/>
        <v>Acceptable</v>
      </c>
      <c r="P344">
        <f t="shared" si="59"/>
        <v>0.25369999999999998</v>
      </c>
      <c r="Q344">
        <f t="shared" si="60"/>
        <v>15</v>
      </c>
      <c r="R344">
        <f t="shared" si="61"/>
        <v>69</v>
      </c>
      <c r="S344">
        <f t="shared" si="62"/>
        <v>84</v>
      </c>
    </row>
    <row r="345" spans="1:19" ht="15" thickBot="1" x14ac:dyDescent="0.35">
      <c r="A345" s="1">
        <v>344</v>
      </c>
      <c r="B345" s="2">
        <v>40558</v>
      </c>
      <c r="C345" s="1">
        <v>1</v>
      </c>
      <c r="D345" s="1">
        <v>19</v>
      </c>
      <c r="E345" s="3" t="b">
        <v>0</v>
      </c>
      <c r="F345" s="5">
        <v>6</v>
      </c>
      <c r="G345" s="18" t="str">
        <f t="shared" si="63"/>
        <v>Yes</v>
      </c>
      <c r="H345" s="1">
        <v>2</v>
      </c>
      <c r="I345" s="21" t="str">
        <f t="shared" si="64"/>
        <v>Misty</v>
      </c>
      <c r="J345" s="1">
        <v>0.32</v>
      </c>
      <c r="K345" s="23" t="str">
        <f t="shared" si="65"/>
        <v>Safe</v>
      </c>
      <c r="L345">
        <f t="shared" si="55"/>
        <v>0.30299999999999999</v>
      </c>
      <c r="M345" s="20">
        <f t="shared" si="56"/>
        <v>0.30299999999999999</v>
      </c>
      <c r="N345">
        <f t="shared" si="57"/>
        <v>0.39</v>
      </c>
      <c r="O345" s="20" t="str">
        <f t="shared" si="58"/>
        <v>Acceptable</v>
      </c>
      <c r="P345">
        <f t="shared" si="59"/>
        <v>0.25369999999999998</v>
      </c>
      <c r="Q345">
        <f t="shared" si="60"/>
        <v>14</v>
      </c>
      <c r="R345">
        <f t="shared" si="61"/>
        <v>60</v>
      </c>
      <c r="S345">
        <f t="shared" si="62"/>
        <v>74</v>
      </c>
    </row>
    <row r="346" spans="1:19" ht="15" thickBot="1" x14ac:dyDescent="0.35">
      <c r="A346" s="1">
        <v>345</v>
      </c>
      <c r="B346" s="2">
        <v>40558</v>
      </c>
      <c r="C346" s="1">
        <v>1</v>
      </c>
      <c r="D346" s="1">
        <v>20</v>
      </c>
      <c r="E346" s="3" t="b">
        <v>0</v>
      </c>
      <c r="F346" s="5">
        <v>6</v>
      </c>
      <c r="G346" s="18" t="str">
        <f t="shared" si="63"/>
        <v>Yes</v>
      </c>
      <c r="H346" s="1">
        <v>2</v>
      </c>
      <c r="I346" s="21" t="str">
        <f t="shared" si="64"/>
        <v>Misty</v>
      </c>
      <c r="J346" s="1">
        <v>0.32</v>
      </c>
      <c r="K346" s="23" t="str">
        <f t="shared" si="65"/>
        <v>Safe</v>
      </c>
      <c r="L346">
        <f t="shared" si="55"/>
        <v>0.30299999999999999</v>
      </c>
      <c r="M346" s="20">
        <f t="shared" si="56"/>
        <v>0.30299999999999999</v>
      </c>
      <c r="N346">
        <f t="shared" si="57"/>
        <v>0.39</v>
      </c>
      <c r="O346" s="20" t="str">
        <f t="shared" si="58"/>
        <v>Acceptable</v>
      </c>
      <c r="P346">
        <f t="shared" si="59"/>
        <v>0.25369999999999998</v>
      </c>
      <c r="Q346">
        <f t="shared" si="60"/>
        <v>6</v>
      </c>
      <c r="R346">
        <f t="shared" si="61"/>
        <v>35</v>
      </c>
      <c r="S346">
        <f t="shared" si="62"/>
        <v>41</v>
      </c>
    </row>
    <row r="347" spans="1:19" ht="15" thickBot="1" x14ac:dyDescent="0.35">
      <c r="A347" s="1">
        <v>346</v>
      </c>
      <c r="B347" s="2">
        <v>40558</v>
      </c>
      <c r="C347" s="1">
        <v>1</v>
      </c>
      <c r="D347" s="1">
        <v>21</v>
      </c>
      <c r="E347" s="3" t="b">
        <v>0</v>
      </c>
      <c r="F347" s="5">
        <v>6</v>
      </c>
      <c r="G347" s="18" t="str">
        <f t="shared" si="63"/>
        <v>Yes</v>
      </c>
      <c r="H347" s="1">
        <v>2</v>
      </c>
      <c r="I347" s="21" t="str">
        <f t="shared" si="64"/>
        <v>Misty</v>
      </c>
      <c r="J347" s="1">
        <v>0.32</v>
      </c>
      <c r="K347" s="23" t="str">
        <f t="shared" si="65"/>
        <v>Safe</v>
      </c>
      <c r="L347">
        <f t="shared" si="55"/>
        <v>0.30299999999999999</v>
      </c>
      <c r="M347" s="20">
        <f t="shared" si="56"/>
        <v>0.30299999999999999</v>
      </c>
      <c r="N347">
        <f t="shared" si="57"/>
        <v>0.39</v>
      </c>
      <c r="O347" s="20" t="str">
        <f t="shared" si="58"/>
        <v>Acceptable</v>
      </c>
      <c r="P347">
        <f t="shared" si="59"/>
        <v>0.22389999999999999</v>
      </c>
      <c r="Q347">
        <f t="shared" si="60"/>
        <v>6</v>
      </c>
      <c r="R347">
        <f t="shared" si="61"/>
        <v>51</v>
      </c>
      <c r="S347">
        <f t="shared" si="62"/>
        <v>57</v>
      </c>
    </row>
    <row r="348" spans="1:19" ht="15" thickBot="1" x14ac:dyDescent="0.35">
      <c r="A348" s="1">
        <v>347</v>
      </c>
      <c r="B348" s="2">
        <v>40558</v>
      </c>
      <c r="C348" s="1">
        <v>1</v>
      </c>
      <c r="D348" s="1">
        <v>22</v>
      </c>
      <c r="E348" s="3" t="b">
        <v>0</v>
      </c>
      <c r="F348" s="5">
        <v>6</v>
      </c>
      <c r="G348" s="18" t="str">
        <f t="shared" si="63"/>
        <v>Yes</v>
      </c>
      <c r="H348" s="1">
        <v>2</v>
      </c>
      <c r="I348" s="21" t="str">
        <f t="shared" si="64"/>
        <v>Misty</v>
      </c>
      <c r="J348" s="1">
        <v>0.3</v>
      </c>
      <c r="K348" s="23" t="str">
        <f t="shared" si="65"/>
        <v>Safe</v>
      </c>
      <c r="L348">
        <f t="shared" si="55"/>
        <v>0.31819999999999998</v>
      </c>
      <c r="M348" s="20">
        <f t="shared" si="56"/>
        <v>0.31819999999999998</v>
      </c>
      <c r="N348">
        <f t="shared" si="57"/>
        <v>0.42</v>
      </c>
      <c r="O348" s="20" t="str">
        <f t="shared" si="58"/>
        <v>Acceptable</v>
      </c>
      <c r="P348">
        <f t="shared" si="59"/>
        <v>0.1045</v>
      </c>
      <c r="Q348">
        <f t="shared" si="60"/>
        <v>0</v>
      </c>
      <c r="R348">
        <f t="shared" si="61"/>
        <v>26</v>
      </c>
      <c r="S348">
        <f t="shared" si="62"/>
        <v>26</v>
      </c>
    </row>
    <row r="349" spans="1:19" ht="15" thickBot="1" x14ac:dyDescent="0.35">
      <c r="A349" s="1">
        <v>348</v>
      </c>
      <c r="B349" s="2">
        <v>40558</v>
      </c>
      <c r="C349" s="1">
        <v>1</v>
      </c>
      <c r="D349" s="1">
        <v>23</v>
      </c>
      <c r="E349" s="3" t="b">
        <v>0</v>
      </c>
      <c r="F349" s="5">
        <v>6</v>
      </c>
      <c r="G349" s="18" t="str">
        <f t="shared" si="63"/>
        <v>Yes</v>
      </c>
      <c r="H349" s="1">
        <v>1</v>
      </c>
      <c r="I349" s="21" t="str">
        <f t="shared" si="64"/>
        <v>Clean</v>
      </c>
      <c r="J349" s="1">
        <v>0.3</v>
      </c>
      <c r="K349" s="23" t="str">
        <f t="shared" si="65"/>
        <v>Safe</v>
      </c>
      <c r="L349">
        <f t="shared" si="55"/>
        <v>0.28789999999999999</v>
      </c>
      <c r="M349" s="20">
        <f t="shared" si="56"/>
        <v>0.28789999999999999</v>
      </c>
      <c r="N349">
        <f t="shared" si="57"/>
        <v>0.45</v>
      </c>
      <c r="O349" s="20" t="str">
        <f t="shared" si="58"/>
        <v>Acceptable</v>
      </c>
      <c r="P349">
        <f t="shared" si="59"/>
        <v>0.28360000000000002</v>
      </c>
      <c r="Q349">
        <f t="shared" si="60"/>
        <v>5</v>
      </c>
      <c r="R349">
        <f t="shared" si="61"/>
        <v>39</v>
      </c>
      <c r="S349">
        <f t="shared" si="62"/>
        <v>44</v>
      </c>
    </row>
    <row r="350" spans="1:19" ht="15" thickBot="1" x14ac:dyDescent="0.35">
      <c r="A350" s="1">
        <v>349</v>
      </c>
      <c r="B350" s="2">
        <v>40559</v>
      </c>
      <c r="C350" s="1">
        <v>1</v>
      </c>
      <c r="D350" s="1">
        <v>0</v>
      </c>
      <c r="E350" s="3" t="b">
        <v>0</v>
      </c>
      <c r="F350" s="5">
        <v>0</v>
      </c>
      <c r="G350" s="18" t="str">
        <f t="shared" si="63"/>
        <v>Yes</v>
      </c>
      <c r="H350" s="1">
        <v>1</v>
      </c>
      <c r="I350" s="21" t="str">
        <f t="shared" si="64"/>
        <v>Clean</v>
      </c>
      <c r="J350" s="1">
        <v>0.26</v>
      </c>
      <c r="K350" s="23" t="str">
        <f t="shared" si="65"/>
        <v>Safe</v>
      </c>
      <c r="L350">
        <f t="shared" si="55"/>
        <v>0.30299999999999999</v>
      </c>
      <c r="M350" s="20">
        <f t="shared" si="56"/>
        <v>0.30299999999999999</v>
      </c>
      <c r="N350">
        <f t="shared" si="57"/>
        <v>0.56000000000000005</v>
      </c>
      <c r="O350" s="20" t="str">
        <f t="shared" si="58"/>
        <v>Acceptable</v>
      </c>
      <c r="P350">
        <f t="shared" si="59"/>
        <v>0</v>
      </c>
      <c r="Q350">
        <f t="shared" si="60"/>
        <v>6</v>
      </c>
      <c r="R350">
        <f t="shared" si="61"/>
        <v>33</v>
      </c>
      <c r="S350">
        <f t="shared" si="62"/>
        <v>39</v>
      </c>
    </row>
    <row r="351" spans="1:19" ht="15" thickBot="1" x14ac:dyDescent="0.35">
      <c r="A351" s="1">
        <v>350</v>
      </c>
      <c r="B351" s="2">
        <v>40559</v>
      </c>
      <c r="C351" s="1">
        <v>1</v>
      </c>
      <c r="D351" s="1">
        <v>1</v>
      </c>
      <c r="E351" s="3" t="b">
        <v>0</v>
      </c>
      <c r="F351" s="5">
        <v>0</v>
      </c>
      <c r="G351" s="18" t="str">
        <f t="shared" si="63"/>
        <v>Yes</v>
      </c>
      <c r="H351" s="1">
        <v>1</v>
      </c>
      <c r="I351" s="21" t="str">
        <f t="shared" si="64"/>
        <v>Clean</v>
      </c>
      <c r="J351" s="1">
        <v>0.26</v>
      </c>
      <c r="K351" s="23" t="str">
        <f t="shared" si="65"/>
        <v>Safe</v>
      </c>
      <c r="L351">
        <f t="shared" si="55"/>
        <v>0.2727</v>
      </c>
      <c r="M351" s="20">
        <f t="shared" si="56"/>
        <v>0.2727</v>
      </c>
      <c r="N351">
        <f t="shared" si="57"/>
        <v>0.56000000000000005</v>
      </c>
      <c r="O351" s="20" t="str">
        <f t="shared" si="58"/>
        <v>Acceptable</v>
      </c>
      <c r="P351">
        <f t="shared" si="59"/>
        <v>0.1343</v>
      </c>
      <c r="Q351">
        <f t="shared" si="60"/>
        <v>4</v>
      </c>
      <c r="R351">
        <f t="shared" si="61"/>
        <v>19</v>
      </c>
      <c r="S351">
        <f t="shared" si="62"/>
        <v>23</v>
      </c>
    </row>
    <row r="352" spans="1:19" ht="15" thickBot="1" x14ac:dyDescent="0.35">
      <c r="A352" s="1">
        <v>351</v>
      </c>
      <c r="B352" s="2">
        <v>40559</v>
      </c>
      <c r="C352" s="1">
        <v>1</v>
      </c>
      <c r="D352" s="1">
        <v>2</v>
      </c>
      <c r="E352" s="3" t="b">
        <v>0</v>
      </c>
      <c r="F352" s="5">
        <v>0</v>
      </c>
      <c r="G352" s="18" t="str">
        <f t="shared" si="63"/>
        <v>Yes</v>
      </c>
      <c r="H352" s="1">
        <v>1</v>
      </c>
      <c r="I352" s="21" t="str">
        <f t="shared" si="64"/>
        <v>Clean</v>
      </c>
      <c r="J352" s="1">
        <v>0.26</v>
      </c>
      <c r="K352" s="23" t="str">
        <f t="shared" si="65"/>
        <v>Safe</v>
      </c>
      <c r="L352">
        <f t="shared" si="55"/>
        <v>0.28789999999999999</v>
      </c>
      <c r="M352" s="20">
        <f t="shared" si="56"/>
        <v>0.28789999999999999</v>
      </c>
      <c r="N352">
        <f t="shared" si="57"/>
        <v>0.56000000000000005</v>
      </c>
      <c r="O352" s="20" t="str">
        <f t="shared" si="58"/>
        <v>Acceptable</v>
      </c>
      <c r="P352">
        <f t="shared" si="59"/>
        <v>8.9599999999999999E-2</v>
      </c>
      <c r="Q352">
        <f t="shared" si="60"/>
        <v>3</v>
      </c>
      <c r="R352">
        <f t="shared" si="61"/>
        <v>13</v>
      </c>
      <c r="S352">
        <f t="shared" si="62"/>
        <v>16</v>
      </c>
    </row>
    <row r="353" spans="1:19" ht="15" thickBot="1" x14ac:dyDescent="0.35">
      <c r="A353" s="1">
        <v>352</v>
      </c>
      <c r="B353" s="2">
        <v>40559</v>
      </c>
      <c r="C353" s="1">
        <v>1</v>
      </c>
      <c r="D353" s="1">
        <v>3</v>
      </c>
      <c r="E353" s="3" t="b">
        <v>0</v>
      </c>
      <c r="F353" s="5">
        <v>0</v>
      </c>
      <c r="G353" s="18" t="str">
        <f t="shared" si="63"/>
        <v>Yes</v>
      </c>
      <c r="H353" s="1">
        <v>1</v>
      </c>
      <c r="I353" s="21" t="str">
        <f t="shared" si="64"/>
        <v>Clean</v>
      </c>
      <c r="J353" s="1">
        <v>0.22</v>
      </c>
      <c r="K353" s="23" t="str">
        <f t="shared" si="65"/>
        <v>Safe</v>
      </c>
      <c r="L353">
        <f t="shared" si="55"/>
        <v>0.2727</v>
      </c>
      <c r="M353" s="20">
        <f t="shared" si="56"/>
        <v>0.2727</v>
      </c>
      <c r="N353">
        <f t="shared" si="57"/>
        <v>0.69</v>
      </c>
      <c r="O353" s="20" t="str">
        <f t="shared" si="58"/>
        <v>Acceptable</v>
      </c>
      <c r="P353">
        <f t="shared" si="59"/>
        <v>0</v>
      </c>
      <c r="Q353">
        <f t="shared" si="60"/>
        <v>9</v>
      </c>
      <c r="R353">
        <f t="shared" si="61"/>
        <v>6</v>
      </c>
      <c r="S353">
        <f t="shared" si="62"/>
        <v>15</v>
      </c>
    </row>
    <row r="354" spans="1:19" ht="15" thickBot="1" x14ac:dyDescent="0.35">
      <c r="A354" s="1">
        <v>353</v>
      </c>
      <c r="B354" s="2">
        <v>40559</v>
      </c>
      <c r="C354" s="1">
        <v>1</v>
      </c>
      <c r="D354" s="1">
        <v>4</v>
      </c>
      <c r="E354" s="3" t="b">
        <v>0</v>
      </c>
      <c r="F354" s="5">
        <v>0</v>
      </c>
      <c r="G354" s="18" t="str">
        <f t="shared" si="63"/>
        <v>Yes</v>
      </c>
      <c r="H354" s="1">
        <v>1</v>
      </c>
      <c r="I354" s="21" t="str">
        <f t="shared" si="64"/>
        <v>Clean</v>
      </c>
      <c r="J354" s="1">
        <v>0.26</v>
      </c>
      <c r="K354" s="23" t="str">
        <f t="shared" si="65"/>
        <v>Safe</v>
      </c>
      <c r="L354">
        <f t="shared" si="55"/>
        <v>0.2576</v>
      </c>
      <c r="M354" s="20">
        <f t="shared" si="56"/>
        <v>0.2576</v>
      </c>
      <c r="N354">
        <f t="shared" si="57"/>
        <v>0.56000000000000005</v>
      </c>
      <c r="O354" s="20" t="str">
        <f t="shared" si="58"/>
        <v>Acceptable</v>
      </c>
      <c r="P354">
        <f t="shared" si="59"/>
        <v>0.16420000000000001</v>
      </c>
      <c r="Q354">
        <f t="shared" si="60"/>
        <v>0</v>
      </c>
      <c r="R354">
        <f t="shared" si="61"/>
        <v>1</v>
      </c>
      <c r="S354">
        <f t="shared" si="62"/>
        <v>1</v>
      </c>
    </row>
    <row r="355" spans="1:19" ht="15" thickBot="1" x14ac:dyDescent="0.35">
      <c r="A355" s="1">
        <v>354</v>
      </c>
      <c r="B355" s="2">
        <v>40559</v>
      </c>
      <c r="C355" s="1">
        <v>1</v>
      </c>
      <c r="D355" s="1">
        <v>5</v>
      </c>
      <c r="E355" s="3" t="b">
        <v>0</v>
      </c>
      <c r="F355" s="5">
        <v>0</v>
      </c>
      <c r="G355" s="18" t="str">
        <f t="shared" si="63"/>
        <v>Yes</v>
      </c>
      <c r="H355" s="1">
        <v>2</v>
      </c>
      <c r="I355" s="21" t="str">
        <f t="shared" si="64"/>
        <v>Misty</v>
      </c>
      <c r="J355" s="1">
        <v>0.26</v>
      </c>
      <c r="K355" s="23" t="str">
        <f t="shared" si="65"/>
        <v>Safe</v>
      </c>
      <c r="L355">
        <f t="shared" si="55"/>
        <v>0.2576</v>
      </c>
      <c r="M355" s="20">
        <f t="shared" si="56"/>
        <v>0.2576</v>
      </c>
      <c r="N355">
        <f t="shared" si="57"/>
        <v>0.56000000000000005</v>
      </c>
      <c r="O355" s="20" t="str">
        <f t="shared" si="58"/>
        <v>Acceptable</v>
      </c>
      <c r="P355">
        <f t="shared" si="59"/>
        <v>0.16420000000000001</v>
      </c>
      <c r="Q355">
        <f t="shared" si="60"/>
        <v>1</v>
      </c>
      <c r="R355">
        <f t="shared" si="61"/>
        <v>1</v>
      </c>
      <c r="S355">
        <f t="shared" si="62"/>
        <v>2</v>
      </c>
    </row>
    <row r="356" spans="1:19" ht="15" thickBot="1" x14ac:dyDescent="0.35">
      <c r="A356" s="1">
        <v>355</v>
      </c>
      <c r="B356" s="2">
        <v>40559</v>
      </c>
      <c r="C356" s="1">
        <v>1</v>
      </c>
      <c r="D356" s="1">
        <v>6</v>
      </c>
      <c r="E356" s="3" t="b">
        <v>0</v>
      </c>
      <c r="F356" s="5">
        <v>0</v>
      </c>
      <c r="G356" s="18" t="str">
        <f t="shared" si="63"/>
        <v>Yes</v>
      </c>
      <c r="H356" s="1">
        <v>2</v>
      </c>
      <c r="I356" s="21" t="str">
        <f t="shared" si="64"/>
        <v>Misty</v>
      </c>
      <c r="J356" s="1">
        <v>0.26</v>
      </c>
      <c r="K356" s="23" t="str">
        <f t="shared" si="65"/>
        <v>Safe</v>
      </c>
      <c r="L356">
        <f t="shared" si="55"/>
        <v>0.2576</v>
      </c>
      <c r="M356" s="20">
        <f t="shared" si="56"/>
        <v>0.2576</v>
      </c>
      <c r="N356">
        <f t="shared" si="57"/>
        <v>0.56000000000000005</v>
      </c>
      <c r="O356" s="20" t="str">
        <f t="shared" si="58"/>
        <v>Acceptable</v>
      </c>
      <c r="P356">
        <f t="shared" si="59"/>
        <v>0.16420000000000001</v>
      </c>
      <c r="Q356">
        <f t="shared" si="60"/>
        <v>0</v>
      </c>
      <c r="R356">
        <f t="shared" si="61"/>
        <v>1</v>
      </c>
      <c r="S356">
        <f t="shared" si="62"/>
        <v>1</v>
      </c>
    </row>
    <row r="357" spans="1:19" ht="15" thickBot="1" x14ac:dyDescent="0.35">
      <c r="A357" s="1">
        <v>356</v>
      </c>
      <c r="B357" s="2">
        <v>40559</v>
      </c>
      <c r="C357" s="1">
        <v>1</v>
      </c>
      <c r="D357" s="1">
        <v>7</v>
      </c>
      <c r="E357" s="3" t="b">
        <v>0</v>
      </c>
      <c r="F357" s="5">
        <v>0</v>
      </c>
      <c r="G357" s="18" t="str">
        <f t="shared" si="63"/>
        <v>Yes</v>
      </c>
      <c r="H357" s="1">
        <v>2</v>
      </c>
      <c r="I357" s="21" t="str">
        <f t="shared" si="64"/>
        <v>Misty</v>
      </c>
      <c r="J357" s="1">
        <v>0.24</v>
      </c>
      <c r="K357" s="23" t="str">
        <f t="shared" si="65"/>
        <v>Safe</v>
      </c>
      <c r="L357">
        <f t="shared" si="55"/>
        <v>0.21210000000000001</v>
      </c>
      <c r="M357" s="20">
        <f t="shared" si="56"/>
        <v>0.21210000000000001</v>
      </c>
      <c r="N357">
        <f t="shared" si="57"/>
        <v>0.56000000000000005</v>
      </c>
      <c r="O357" s="20" t="str">
        <f t="shared" si="58"/>
        <v>Acceptable</v>
      </c>
      <c r="P357">
        <f t="shared" si="59"/>
        <v>0.29849999999999999</v>
      </c>
      <c r="Q357">
        <f t="shared" si="60"/>
        <v>0</v>
      </c>
      <c r="R357">
        <f t="shared" si="61"/>
        <v>3</v>
      </c>
      <c r="S357">
        <f t="shared" si="62"/>
        <v>3</v>
      </c>
    </row>
    <row r="358" spans="1:19" ht="15" thickBot="1" x14ac:dyDescent="0.35">
      <c r="A358" s="1">
        <v>357</v>
      </c>
      <c r="B358" s="2">
        <v>40559</v>
      </c>
      <c r="C358" s="1">
        <v>1</v>
      </c>
      <c r="D358" s="1">
        <v>8</v>
      </c>
      <c r="E358" s="3" t="b">
        <v>0</v>
      </c>
      <c r="F358" s="5">
        <v>0</v>
      </c>
      <c r="G358" s="18" t="str">
        <f t="shared" si="63"/>
        <v>Yes</v>
      </c>
      <c r="H358" s="1">
        <v>1</v>
      </c>
      <c r="I358" s="21" t="str">
        <f t="shared" si="64"/>
        <v>Clean</v>
      </c>
      <c r="J358" s="1">
        <v>0.22</v>
      </c>
      <c r="K358" s="23" t="str">
        <f t="shared" si="65"/>
        <v>Safe</v>
      </c>
      <c r="L358">
        <f t="shared" si="55"/>
        <v>0.21210000000000001</v>
      </c>
      <c r="M358" s="20">
        <f t="shared" si="56"/>
        <v>0.21210000000000001</v>
      </c>
      <c r="N358">
        <f t="shared" si="57"/>
        <v>0.55000000000000004</v>
      </c>
      <c r="O358" s="20" t="str">
        <f t="shared" si="58"/>
        <v>Acceptable</v>
      </c>
      <c r="P358">
        <f t="shared" si="59"/>
        <v>0.28360000000000002</v>
      </c>
      <c r="Q358">
        <f t="shared" si="60"/>
        <v>0</v>
      </c>
      <c r="R358">
        <f t="shared" si="61"/>
        <v>18</v>
      </c>
      <c r="S358">
        <f t="shared" si="62"/>
        <v>18</v>
      </c>
    </row>
    <row r="359" spans="1:19" ht="15" thickBot="1" x14ac:dyDescent="0.35">
      <c r="A359" s="1">
        <v>358</v>
      </c>
      <c r="B359" s="2">
        <v>40559</v>
      </c>
      <c r="C359" s="1">
        <v>1</v>
      </c>
      <c r="D359" s="1">
        <v>9</v>
      </c>
      <c r="E359" s="3" t="b">
        <v>0</v>
      </c>
      <c r="F359" s="5">
        <v>0</v>
      </c>
      <c r="G359" s="18" t="str">
        <f t="shared" si="63"/>
        <v>Yes</v>
      </c>
      <c r="H359" s="1">
        <v>1</v>
      </c>
      <c r="I359" s="21" t="str">
        <f t="shared" si="64"/>
        <v>Clean</v>
      </c>
      <c r="J359" s="1">
        <v>0.22</v>
      </c>
      <c r="K359" s="23" t="str">
        <f t="shared" si="65"/>
        <v>Safe</v>
      </c>
      <c r="L359">
        <f t="shared" si="55"/>
        <v>0.21210000000000001</v>
      </c>
      <c r="M359" s="20">
        <f t="shared" si="56"/>
        <v>0.21210000000000001</v>
      </c>
      <c r="N359">
        <f t="shared" si="57"/>
        <v>0.51</v>
      </c>
      <c r="O359" s="20" t="str">
        <f t="shared" si="58"/>
        <v>Acceptable</v>
      </c>
      <c r="P359">
        <f t="shared" si="59"/>
        <v>0.25369999999999998</v>
      </c>
      <c r="Q359">
        <f t="shared" si="60"/>
        <v>3</v>
      </c>
      <c r="R359">
        <f t="shared" si="61"/>
        <v>29</v>
      </c>
      <c r="S359">
        <f t="shared" si="62"/>
        <v>32</v>
      </c>
    </row>
    <row r="360" spans="1:19" ht="15" thickBot="1" x14ac:dyDescent="0.35">
      <c r="A360" s="1">
        <v>359</v>
      </c>
      <c r="B360" s="2">
        <v>40559</v>
      </c>
      <c r="C360" s="1">
        <v>1</v>
      </c>
      <c r="D360" s="1">
        <v>10</v>
      </c>
      <c r="E360" s="3" t="b">
        <v>0</v>
      </c>
      <c r="F360" s="5">
        <v>0</v>
      </c>
      <c r="G360" s="18" t="str">
        <f t="shared" si="63"/>
        <v>Yes</v>
      </c>
      <c r="H360" s="1">
        <v>1</v>
      </c>
      <c r="I360" s="21" t="str">
        <f t="shared" si="64"/>
        <v>Clean</v>
      </c>
      <c r="J360" s="1">
        <v>0.22</v>
      </c>
      <c r="K360" s="23" t="str">
        <f t="shared" si="65"/>
        <v>Safe</v>
      </c>
      <c r="L360">
        <f t="shared" si="55"/>
        <v>0.21210000000000001</v>
      </c>
      <c r="M360" s="20">
        <f t="shared" si="56"/>
        <v>0.21210000000000001</v>
      </c>
      <c r="N360">
        <f t="shared" si="57"/>
        <v>0.51</v>
      </c>
      <c r="O360" s="20" t="str">
        <f t="shared" si="58"/>
        <v>Acceptable</v>
      </c>
      <c r="P360">
        <f t="shared" si="59"/>
        <v>0.28360000000000002</v>
      </c>
      <c r="Q360">
        <f t="shared" si="60"/>
        <v>8</v>
      </c>
      <c r="R360">
        <f t="shared" si="61"/>
        <v>71</v>
      </c>
      <c r="S360">
        <f t="shared" si="62"/>
        <v>79</v>
      </c>
    </row>
    <row r="361" spans="1:19" ht="15" thickBot="1" x14ac:dyDescent="0.35">
      <c r="A361" s="1">
        <v>360</v>
      </c>
      <c r="B361" s="2">
        <v>40559</v>
      </c>
      <c r="C361" s="1">
        <v>1</v>
      </c>
      <c r="D361" s="1">
        <v>11</v>
      </c>
      <c r="E361" s="3" t="b">
        <v>0</v>
      </c>
      <c r="F361" s="5">
        <v>0</v>
      </c>
      <c r="G361" s="18" t="str">
        <f t="shared" si="63"/>
        <v>Yes</v>
      </c>
      <c r="H361" s="1">
        <v>1</v>
      </c>
      <c r="I361" s="21" t="str">
        <f t="shared" si="64"/>
        <v>Clean</v>
      </c>
      <c r="J361" s="1">
        <v>0.24</v>
      </c>
      <c r="K361" s="23" t="str">
        <f t="shared" si="65"/>
        <v>Safe</v>
      </c>
      <c r="L361">
        <f t="shared" si="55"/>
        <v>0.2273</v>
      </c>
      <c r="M361" s="20">
        <f t="shared" si="56"/>
        <v>0.2273</v>
      </c>
      <c r="N361">
        <f t="shared" si="57"/>
        <v>0.44</v>
      </c>
      <c r="O361" s="20" t="str">
        <f t="shared" si="58"/>
        <v>Acceptable</v>
      </c>
      <c r="P361">
        <f t="shared" si="59"/>
        <v>0.25369999999999998</v>
      </c>
      <c r="Q361">
        <f t="shared" si="60"/>
        <v>23</v>
      </c>
      <c r="R361">
        <f t="shared" si="61"/>
        <v>70</v>
      </c>
      <c r="S361">
        <f t="shared" si="62"/>
        <v>93</v>
      </c>
    </row>
    <row r="362" spans="1:19" ht="15" thickBot="1" x14ac:dyDescent="0.35">
      <c r="A362" s="1">
        <v>361</v>
      </c>
      <c r="B362" s="2">
        <v>40559</v>
      </c>
      <c r="C362" s="1">
        <v>1</v>
      </c>
      <c r="D362" s="1">
        <v>12</v>
      </c>
      <c r="E362" s="3" t="b">
        <v>0</v>
      </c>
      <c r="F362" s="5">
        <v>0</v>
      </c>
      <c r="G362" s="18" t="str">
        <f t="shared" si="63"/>
        <v>Yes</v>
      </c>
      <c r="H362" s="1">
        <v>1</v>
      </c>
      <c r="I362" s="21" t="str">
        <f t="shared" si="64"/>
        <v>Clean</v>
      </c>
      <c r="J362" s="1">
        <v>0.24</v>
      </c>
      <c r="K362" s="23" t="str">
        <f t="shared" si="65"/>
        <v>Safe</v>
      </c>
      <c r="L362">
        <f t="shared" si="55"/>
        <v>0.21210000000000001</v>
      </c>
      <c r="M362" s="20">
        <f t="shared" si="56"/>
        <v>0.21210000000000001</v>
      </c>
      <c r="N362">
        <f t="shared" si="57"/>
        <v>0.41</v>
      </c>
      <c r="O362" s="20" t="str">
        <f t="shared" si="58"/>
        <v>Acceptable</v>
      </c>
      <c r="P362">
        <f t="shared" si="59"/>
        <v>0.28360000000000002</v>
      </c>
      <c r="Q362">
        <f t="shared" si="60"/>
        <v>29</v>
      </c>
      <c r="R362">
        <f t="shared" si="61"/>
        <v>75</v>
      </c>
      <c r="S362">
        <f t="shared" si="62"/>
        <v>104</v>
      </c>
    </row>
    <row r="363" spans="1:19" ht="15" thickBot="1" x14ac:dyDescent="0.35">
      <c r="A363" s="1">
        <v>362</v>
      </c>
      <c r="B363" s="2">
        <v>40559</v>
      </c>
      <c r="C363" s="1">
        <v>1</v>
      </c>
      <c r="D363" s="1">
        <v>13</v>
      </c>
      <c r="E363" s="3" t="b">
        <v>0</v>
      </c>
      <c r="F363" s="5">
        <v>0</v>
      </c>
      <c r="G363" s="18" t="str">
        <f t="shared" si="63"/>
        <v>Yes</v>
      </c>
      <c r="H363" s="1">
        <v>1</v>
      </c>
      <c r="I363" s="21" t="str">
        <f t="shared" si="64"/>
        <v>Clean</v>
      </c>
      <c r="J363" s="1">
        <v>0.26</v>
      </c>
      <c r="K363" s="23" t="str">
        <f t="shared" si="65"/>
        <v>Safe</v>
      </c>
      <c r="L363">
        <f t="shared" si="55"/>
        <v>0.2273</v>
      </c>
      <c r="M363" s="20">
        <f t="shared" si="56"/>
        <v>0.2273</v>
      </c>
      <c r="N363">
        <f t="shared" si="57"/>
        <v>0.35</v>
      </c>
      <c r="O363" s="20" t="str">
        <f t="shared" si="58"/>
        <v>Acceptable</v>
      </c>
      <c r="P363">
        <f t="shared" si="59"/>
        <v>0.29849999999999999</v>
      </c>
      <c r="Q363">
        <f t="shared" si="60"/>
        <v>23</v>
      </c>
      <c r="R363">
        <f t="shared" si="61"/>
        <v>95</v>
      </c>
      <c r="S363">
        <f t="shared" si="62"/>
        <v>118</v>
      </c>
    </row>
    <row r="364" spans="1:19" ht="15" thickBot="1" x14ac:dyDescent="0.35">
      <c r="A364" s="1">
        <v>363</v>
      </c>
      <c r="B364" s="2">
        <v>40559</v>
      </c>
      <c r="C364" s="1">
        <v>1</v>
      </c>
      <c r="D364" s="1">
        <v>14</v>
      </c>
      <c r="E364" s="3" t="b">
        <v>0</v>
      </c>
      <c r="F364" s="5">
        <v>0</v>
      </c>
      <c r="G364" s="18" t="str">
        <f t="shared" si="63"/>
        <v>Yes</v>
      </c>
      <c r="H364" s="1">
        <v>1</v>
      </c>
      <c r="I364" s="21" t="str">
        <f t="shared" si="64"/>
        <v>Clean</v>
      </c>
      <c r="J364" s="1">
        <v>0.28000000000000003</v>
      </c>
      <c r="K364" s="23" t="str">
        <f t="shared" si="65"/>
        <v>Safe</v>
      </c>
      <c r="L364">
        <f t="shared" si="55"/>
        <v>0.2727</v>
      </c>
      <c r="M364" s="20">
        <f t="shared" si="56"/>
        <v>0.2727</v>
      </c>
      <c r="N364">
        <f t="shared" si="57"/>
        <v>0.36</v>
      </c>
      <c r="O364" s="20" t="str">
        <f t="shared" si="58"/>
        <v>Acceptable</v>
      </c>
      <c r="P364">
        <f t="shared" si="59"/>
        <v>0.25369999999999998</v>
      </c>
      <c r="Q364">
        <f t="shared" si="60"/>
        <v>22</v>
      </c>
      <c r="R364">
        <f t="shared" si="61"/>
        <v>69</v>
      </c>
      <c r="S364">
        <f t="shared" si="62"/>
        <v>91</v>
      </c>
    </row>
    <row r="365" spans="1:19" ht="15" thickBot="1" x14ac:dyDescent="0.35">
      <c r="A365" s="1">
        <v>364</v>
      </c>
      <c r="B365" s="2">
        <v>40559</v>
      </c>
      <c r="C365" s="1">
        <v>1</v>
      </c>
      <c r="D365" s="1">
        <v>15</v>
      </c>
      <c r="E365" s="3" t="b">
        <v>0</v>
      </c>
      <c r="F365" s="5">
        <v>0</v>
      </c>
      <c r="G365" s="18" t="str">
        <f t="shared" si="63"/>
        <v>Yes</v>
      </c>
      <c r="H365" s="1">
        <v>1</v>
      </c>
      <c r="I365" s="21" t="str">
        <f t="shared" si="64"/>
        <v>Clean</v>
      </c>
      <c r="J365" s="1">
        <v>0.26</v>
      </c>
      <c r="K365" s="23" t="str">
        <f t="shared" si="65"/>
        <v>Safe</v>
      </c>
      <c r="L365">
        <f t="shared" si="55"/>
        <v>0.2424</v>
      </c>
      <c r="M365" s="20">
        <f t="shared" si="56"/>
        <v>0.2424</v>
      </c>
      <c r="N365">
        <f t="shared" si="57"/>
        <v>0.38</v>
      </c>
      <c r="O365" s="20" t="str">
        <f t="shared" si="58"/>
        <v>Acceptable</v>
      </c>
      <c r="P365">
        <f t="shared" si="59"/>
        <v>0.25369999999999998</v>
      </c>
      <c r="Q365">
        <f t="shared" si="60"/>
        <v>35</v>
      </c>
      <c r="R365">
        <f t="shared" si="61"/>
        <v>78</v>
      </c>
      <c r="S365">
        <f t="shared" si="62"/>
        <v>113</v>
      </c>
    </row>
    <row r="366" spans="1:19" ht="15" thickBot="1" x14ac:dyDescent="0.35">
      <c r="A366" s="1">
        <v>365</v>
      </c>
      <c r="B366" s="2">
        <v>40559</v>
      </c>
      <c r="C366" s="1">
        <v>1</v>
      </c>
      <c r="D366" s="1">
        <v>16</v>
      </c>
      <c r="E366" s="3" t="b">
        <v>0</v>
      </c>
      <c r="F366" s="5">
        <v>0</v>
      </c>
      <c r="G366" s="18" t="str">
        <f t="shared" si="63"/>
        <v>Yes</v>
      </c>
      <c r="H366" s="1">
        <v>1</v>
      </c>
      <c r="I366" s="21" t="str">
        <f t="shared" si="64"/>
        <v>Clean</v>
      </c>
      <c r="J366" s="1">
        <v>0.24</v>
      </c>
      <c r="K366" s="23" t="str">
        <f t="shared" si="65"/>
        <v>Safe</v>
      </c>
      <c r="L366">
        <f t="shared" si="55"/>
        <v>0.2273</v>
      </c>
      <c r="M366" s="20">
        <f t="shared" si="56"/>
        <v>0.2273</v>
      </c>
      <c r="N366">
        <f t="shared" si="57"/>
        <v>0.38</v>
      </c>
      <c r="O366" s="20" t="str">
        <f t="shared" si="58"/>
        <v>Acceptable</v>
      </c>
      <c r="P366">
        <f t="shared" si="59"/>
        <v>0.22389999999999999</v>
      </c>
      <c r="Q366">
        <f t="shared" si="60"/>
        <v>22</v>
      </c>
      <c r="R366">
        <f t="shared" si="61"/>
        <v>77</v>
      </c>
      <c r="S366">
        <f t="shared" si="62"/>
        <v>99</v>
      </c>
    </row>
    <row r="367" spans="1:19" ht="15" thickBot="1" x14ac:dyDescent="0.35">
      <c r="A367" s="1">
        <v>366</v>
      </c>
      <c r="B367" s="2">
        <v>40559</v>
      </c>
      <c r="C367" s="1">
        <v>1</v>
      </c>
      <c r="D367" s="1">
        <v>17</v>
      </c>
      <c r="E367" s="3" t="b">
        <v>0</v>
      </c>
      <c r="F367" s="5">
        <v>0</v>
      </c>
      <c r="G367" s="18" t="str">
        <f t="shared" si="63"/>
        <v>Yes</v>
      </c>
      <c r="H367" s="1">
        <v>1</v>
      </c>
      <c r="I367" s="21" t="str">
        <f t="shared" si="64"/>
        <v>Clean</v>
      </c>
      <c r="J367" s="1">
        <v>0.22</v>
      </c>
      <c r="K367" s="23" t="str">
        <f t="shared" si="65"/>
        <v>Safe</v>
      </c>
      <c r="L367">
        <f t="shared" si="55"/>
        <v>0.21210000000000001</v>
      </c>
      <c r="M367" s="20">
        <f t="shared" si="56"/>
        <v>0.21210000000000001</v>
      </c>
      <c r="N367">
        <f t="shared" si="57"/>
        <v>0.37</v>
      </c>
      <c r="O367" s="20" t="str">
        <f t="shared" si="58"/>
        <v>Acceptable</v>
      </c>
      <c r="P367">
        <f t="shared" si="59"/>
        <v>0.25369999999999998</v>
      </c>
      <c r="Q367">
        <f t="shared" si="60"/>
        <v>23</v>
      </c>
      <c r="R367">
        <f t="shared" si="61"/>
        <v>82</v>
      </c>
      <c r="S367">
        <f t="shared" si="62"/>
        <v>105</v>
      </c>
    </row>
    <row r="368" spans="1:19" ht="15" thickBot="1" x14ac:dyDescent="0.35">
      <c r="A368" s="1">
        <v>367</v>
      </c>
      <c r="B368" s="2">
        <v>40559</v>
      </c>
      <c r="C368" s="1">
        <v>1</v>
      </c>
      <c r="D368" s="1">
        <v>18</v>
      </c>
      <c r="E368" s="3" t="b">
        <v>0</v>
      </c>
      <c r="F368" s="5">
        <v>0</v>
      </c>
      <c r="G368" s="18" t="str">
        <f t="shared" si="63"/>
        <v>Yes</v>
      </c>
      <c r="H368" s="1">
        <v>1</v>
      </c>
      <c r="I368" s="21" t="str">
        <f t="shared" si="64"/>
        <v>Clean</v>
      </c>
      <c r="J368" s="1">
        <v>0.2</v>
      </c>
      <c r="K368" s="23" t="str">
        <f t="shared" si="65"/>
        <v>Safe</v>
      </c>
      <c r="L368">
        <f t="shared" si="55"/>
        <v>0.21210000000000001</v>
      </c>
      <c r="M368" s="20">
        <f t="shared" si="56"/>
        <v>0.21210000000000001</v>
      </c>
      <c r="N368">
        <f t="shared" si="57"/>
        <v>0.4</v>
      </c>
      <c r="O368" s="20" t="str">
        <f t="shared" si="58"/>
        <v>Acceptable</v>
      </c>
      <c r="P368">
        <f t="shared" si="59"/>
        <v>0.16420000000000001</v>
      </c>
      <c r="Q368">
        <f t="shared" si="60"/>
        <v>11</v>
      </c>
      <c r="R368">
        <f t="shared" si="61"/>
        <v>56</v>
      </c>
      <c r="S368">
        <f t="shared" si="62"/>
        <v>67</v>
      </c>
    </row>
    <row r="369" spans="1:19" ht="15" thickBot="1" x14ac:dyDescent="0.35">
      <c r="A369" s="1">
        <v>368</v>
      </c>
      <c r="B369" s="2">
        <v>40559</v>
      </c>
      <c r="C369" s="1">
        <v>1</v>
      </c>
      <c r="D369" s="1">
        <v>19</v>
      </c>
      <c r="E369" s="3" t="b">
        <v>0</v>
      </c>
      <c r="F369" s="5">
        <v>0</v>
      </c>
      <c r="G369" s="18" t="str">
        <f t="shared" si="63"/>
        <v>Yes</v>
      </c>
      <c r="H369" s="1">
        <v>1</v>
      </c>
      <c r="I369" s="21" t="str">
        <f t="shared" si="64"/>
        <v>Clean</v>
      </c>
      <c r="J369" s="1">
        <v>0.18</v>
      </c>
      <c r="K369" s="23" t="str">
        <f t="shared" si="65"/>
        <v>Safe</v>
      </c>
      <c r="L369">
        <f t="shared" si="55"/>
        <v>0.19700000000000001</v>
      </c>
      <c r="M369" s="20">
        <f t="shared" si="56"/>
        <v>0.19700000000000001</v>
      </c>
      <c r="N369">
        <f t="shared" si="57"/>
        <v>0.47</v>
      </c>
      <c r="O369" s="20" t="str">
        <f t="shared" si="58"/>
        <v>Acceptable</v>
      </c>
      <c r="P369">
        <f t="shared" si="59"/>
        <v>0.1343</v>
      </c>
      <c r="Q369">
        <f t="shared" si="60"/>
        <v>14</v>
      </c>
      <c r="R369">
        <f t="shared" si="61"/>
        <v>47</v>
      </c>
      <c r="S369">
        <f t="shared" si="62"/>
        <v>61</v>
      </c>
    </row>
    <row r="370" spans="1:19" ht="15" thickBot="1" x14ac:dyDescent="0.35">
      <c r="A370" s="1">
        <v>369</v>
      </c>
      <c r="B370" s="2">
        <v>40559</v>
      </c>
      <c r="C370" s="1">
        <v>1</v>
      </c>
      <c r="D370" s="1">
        <v>20</v>
      </c>
      <c r="E370" s="3" t="b">
        <v>0</v>
      </c>
      <c r="F370" s="5">
        <v>0</v>
      </c>
      <c r="G370" s="18" t="str">
        <f t="shared" si="63"/>
        <v>Yes</v>
      </c>
      <c r="H370" s="1">
        <v>1</v>
      </c>
      <c r="I370" s="21" t="str">
        <f t="shared" si="64"/>
        <v>Clean</v>
      </c>
      <c r="J370" s="1">
        <v>0.18</v>
      </c>
      <c r="K370" s="23" t="str">
        <f t="shared" si="65"/>
        <v>Safe</v>
      </c>
      <c r="L370">
        <f t="shared" si="55"/>
        <v>0.19700000000000001</v>
      </c>
      <c r="M370" s="20">
        <f t="shared" si="56"/>
        <v>0.19700000000000001</v>
      </c>
      <c r="N370">
        <f t="shared" si="57"/>
        <v>0.47</v>
      </c>
      <c r="O370" s="20" t="str">
        <f t="shared" si="58"/>
        <v>Acceptable</v>
      </c>
      <c r="P370">
        <f t="shared" si="59"/>
        <v>0.16420000000000001</v>
      </c>
      <c r="Q370">
        <f t="shared" si="60"/>
        <v>7</v>
      </c>
      <c r="R370">
        <f t="shared" si="61"/>
        <v>50</v>
      </c>
      <c r="S370">
        <f t="shared" si="62"/>
        <v>57</v>
      </c>
    </row>
    <row r="371" spans="1:19" ht="15" thickBot="1" x14ac:dyDescent="0.35">
      <c r="A371" s="1">
        <v>370</v>
      </c>
      <c r="B371" s="2">
        <v>40559</v>
      </c>
      <c r="C371" s="1">
        <v>1</v>
      </c>
      <c r="D371" s="1">
        <v>21</v>
      </c>
      <c r="E371" s="3" t="b">
        <v>0</v>
      </c>
      <c r="F371" s="5">
        <v>0</v>
      </c>
      <c r="G371" s="18" t="str">
        <f t="shared" si="63"/>
        <v>Yes</v>
      </c>
      <c r="H371" s="1">
        <v>1</v>
      </c>
      <c r="I371" s="21" t="str">
        <f t="shared" si="64"/>
        <v>Clean</v>
      </c>
      <c r="J371" s="1">
        <v>0.18</v>
      </c>
      <c r="K371" s="23" t="str">
        <f t="shared" si="65"/>
        <v>Safe</v>
      </c>
      <c r="L371">
        <f t="shared" si="55"/>
        <v>0.19700000000000001</v>
      </c>
      <c r="M371" s="20">
        <f t="shared" si="56"/>
        <v>0.19700000000000001</v>
      </c>
      <c r="N371">
        <f t="shared" si="57"/>
        <v>0.51</v>
      </c>
      <c r="O371" s="20" t="str">
        <f t="shared" si="58"/>
        <v>Acceptable</v>
      </c>
      <c r="P371">
        <f t="shared" si="59"/>
        <v>0.16420000000000001</v>
      </c>
      <c r="Q371">
        <f t="shared" si="60"/>
        <v>6</v>
      </c>
      <c r="R371">
        <f t="shared" si="61"/>
        <v>22</v>
      </c>
      <c r="S371">
        <f t="shared" si="62"/>
        <v>28</v>
      </c>
    </row>
    <row r="372" spans="1:19" ht="15" thickBot="1" x14ac:dyDescent="0.35">
      <c r="A372" s="1">
        <v>371</v>
      </c>
      <c r="B372" s="2">
        <v>40559</v>
      </c>
      <c r="C372" s="1">
        <v>1</v>
      </c>
      <c r="D372" s="1">
        <v>22</v>
      </c>
      <c r="E372" s="3" t="b">
        <v>0</v>
      </c>
      <c r="F372" s="5">
        <v>0</v>
      </c>
      <c r="G372" s="18" t="str">
        <f t="shared" si="63"/>
        <v>Yes</v>
      </c>
      <c r="H372" s="1">
        <v>2</v>
      </c>
      <c r="I372" s="21" t="str">
        <f t="shared" si="64"/>
        <v>Misty</v>
      </c>
      <c r="J372" s="1">
        <v>0.2</v>
      </c>
      <c r="K372" s="23" t="str">
        <f t="shared" si="65"/>
        <v>Safe</v>
      </c>
      <c r="L372">
        <f t="shared" si="55"/>
        <v>0.21210000000000001</v>
      </c>
      <c r="M372" s="20">
        <f t="shared" si="56"/>
        <v>0.21210000000000001</v>
      </c>
      <c r="N372">
        <f t="shared" si="57"/>
        <v>0.49</v>
      </c>
      <c r="O372" s="20" t="str">
        <f t="shared" si="58"/>
        <v>Acceptable</v>
      </c>
      <c r="P372">
        <f t="shared" si="59"/>
        <v>0.1343</v>
      </c>
      <c r="Q372">
        <f t="shared" si="60"/>
        <v>2</v>
      </c>
      <c r="R372">
        <f t="shared" si="61"/>
        <v>19</v>
      </c>
      <c r="S372">
        <f t="shared" si="62"/>
        <v>21</v>
      </c>
    </row>
    <row r="373" spans="1:19" ht="15" thickBot="1" x14ac:dyDescent="0.35">
      <c r="A373" s="1">
        <v>372</v>
      </c>
      <c r="B373" s="2">
        <v>40559</v>
      </c>
      <c r="C373" s="1">
        <v>1</v>
      </c>
      <c r="D373" s="1">
        <v>23</v>
      </c>
      <c r="E373" s="3" t="b">
        <v>0</v>
      </c>
      <c r="F373" s="5">
        <v>0</v>
      </c>
      <c r="G373" s="18" t="str">
        <f t="shared" si="63"/>
        <v>Yes</v>
      </c>
      <c r="H373" s="1">
        <v>2</v>
      </c>
      <c r="I373" s="21" t="str">
        <f t="shared" si="64"/>
        <v>Misty</v>
      </c>
      <c r="J373" s="1">
        <v>0.2</v>
      </c>
      <c r="K373" s="23" t="str">
        <f t="shared" si="65"/>
        <v>Safe</v>
      </c>
      <c r="L373">
        <f t="shared" si="55"/>
        <v>0.2273</v>
      </c>
      <c r="M373" s="20">
        <f t="shared" si="56"/>
        <v>0.2273</v>
      </c>
      <c r="N373">
        <f t="shared" si="57"/>
        <v>0.4</v>
      </c>
      <c r="O373" s="20" t="str">
        <f t="shared" si="58"/>
        <v>Acceptable</v>
      </c>
      <c r="P373">
        <f t="shared" si="59"/>
        <v>0.1045</v>
      </c>
      <c r="Q373">
        <f t="shared" si="60"/>
        <v>0</v>
      </c>
      <c r="R373">
        <f t="shared" si="61"/>
        <v>18</v>
      </c>
      <c r="S373">
        <f t="shared" si="62"/>
        <v>18</v>
      </c>
    </row>
    <row r="374" spans="1:19" ht="15" thickBot="1" x14ac:dyDescent="0.35">
      <c r="A374" s="1">
        <v>373</v>
      </c>
      <c r="B374" s="2">
        <v>40560</v>
      </c>
      <c r="C374" s="1">
        <v>1</v>
      </c>
      <c r="D374" s="1">
        <v>0</v>
      </c>
      <c r="E374" s="3" t="b">
        <v>1</v>
      </c>
      <c r="F374" s="5">
        <v>1</v>
      </c>
      <c r="G374" s="18" t="str">
        <f t="shared" si="63"/>
        <v>No</v>
      </c>
      <c r="H374" s="1">
        <v>2</v>
      </c>
      <c r="I374" s="21" t="str">
        <f t="shared" si="64"/>
        <v>Misty</v>
      </c>
      <c r="J374" s="1">
        <v>0.2</v>
      </c>
      <c r="K374" s="23" t="str">
        <f t="shared" si="65"/>
        <v>Safe</v>
      </c>
      <c r="L374">
        <f t="shared" si="55"/>
        <v>0.19700000000000001</v>
      </c>
      <c r="M374" s="20">
        <f t="shared" si="56"/>
        <v>0.19700000000000001</v>
      </c>
      <c r="N374">
        <f t="shared" si="57"/>
        <v>0.47</v>
      </c>
      <c r="O374" s="20" t="str">
        <f t="shared" si="58"/>
        <v>Acceptable</v>
      </c>
      <c r="P374">
        <f t="shared" si="59"/>
        <v>0.22389999999999999</v>
      </c>
      <c r="Q374">
        <f t="shared" si="60"/>
        <v>1</v>
      </c>
      <c r="R374">
        <f t="shared" si="61"/>
        <v>16</v>
      </c>
      <c r="S374">
        <f t="shared" si="62"/>
        <v>17</v>
      </c>
    </row>
    <row r="375" spans="1:19" ht="15" thickBot="1" x14ac:dyDescent="0.35">
      <c r="A375" s="1">
        <v>374</v>
      </c>
      <c r="B375" s="2">
        <v>40560</v>
      </c>
      <c r="C375" s="1">
        <v>1</v>
      </c>
      <c r="D375" s="1">
        <v>1</v>
      </c>
      <c r="E375" s="3" t="b">
        <v>1</v>
      </c>
      <c r="F375" s="5">
        <v>1</v>
      </c>
      <c r="G375" s="18" t="str">
        <f t="shared" si="63"/>
        <v>No</v>
      </c>
      <c r="H375" s="1">
        <v>2</v>
      </c>
      <c r="I375" s="21" t="str">
        <f t="shared" si="64"/>
        <v>Misty</v>
      </c>
      <c r="J375" s="1">
        <v>0.2</v>
      </c>
      <c r="K375" s="23" t="str">
        <f t="shared" si="65"/>
        <v>Safe</v>
      </c>
      <c r="L375">
        <f t="shared" si="55"/>
        <v>0.19700000000000001</v>
      </c>
      <c r="M375" s="20">
        <f t="shared" si="56"/>
        <v>0.19700000000000001</v>
      </c>
      <c r="N375">
        <f t="shared" si="57"/>
        <v>0.44</v>
      </c>
      <c r="O375" s="20" t="str">
        <f t="shared" si="58"/>
        <v>Acceptable</v>
      </c>
      <c r="P375">
        <f t="shared" si="59"/>
        <v>0.19400000000000001</v>
      </c>
      <c r="Q375">
        <f t="shared" si="60"/>
        <v>1</v>
      </c>
      <c r="R375">
        <f t="shared" si="61"/>
        <v>15</v>
      </c>
      <c r="S375">
        <f t="shared" si="62"/>
        <v>16</v>
      </c>
    </row>
    <row r="376" spans="1:19" ht="15" thickBot="1" x14ac:dyDescent="0.35">
      <c r="A376" s="1">
        <v>375</v>
      </c>
      <c r="B376" s="2">
        <v>40560</v>
      </c>
      <c r="C376" s="1">
        <v>1</v>
      </c>
      <c r="D376" s="1">
        <v>2</v>
      </c>
      <c r="E376" s="3" t="b">
        <v>1</v>
      </c>
      <c r="F376" s="5">
        <v>1</v>
      </c>
      <c r="G376" s="18" t="str">
        <f t="shared" si="63"/>
        <v>No</v>
      </c>
      <c r="H376" s="1">
        <v>2</v>
      </c>
      <c r="I376" s="21" t="str">
        <f t="shared" si="64"/>
        <v>Misty</v>
      </c>
      <c r="J376" s="1">
        <v>0.18</v>
      </c>
      <c r="K376" s="23" t="str">
        <f t="shared" si="65"/>
        <v>Safe</v>
      </c>
      <c r="L376">
        <f t="shared" si="55"/>
        <v>0.16669999999999999</v>
      </c>
      <c r="M376" s="20">
        <f t="shared" si="56"/>
        <v>0.16669999999999999</v>
      </c>
      <c r="N376">
        <f t="shared" si="57"/>
        <v>0.43</v>
      </c>
      <c r="O376" s="20" t="str">
        <f t="shared" si="58"/>
        <v>Acceptable</v>
      </c>
      <c r="P376">
        <f t="shared" si="59"/>
        <v>0.25369999999999998</v>
      </c>
      <c r="Q376">
        <f t="shared" si="60"/>
        <v>0</v>
      </c>
      <c r="R376">
        <f t="shared" si="61"/>
        <v>8</v>
      </c>
      <c r="S376">
        <f t="shared" si="62"/>
        <v>8</v>
      </c>
    </row>
    <row r="377" spans="1:19" ht="15" thickBot="1" x14ac:dyDescent="0.35">
      <c r="A377" s="1">
        <v>376</v>
      </c>
      <c r="B377" s="2">
        <v>40560</v>
      </c>
      <c r="C377" s="1">
        <v>1</v>
      </c>
      <c r="D377" s="1">
        <v>3</v>
      </c>
      <c r="E377" s="3" t="b">
        <v>1</v>
      </c>
      <c r="F377" s="5">
        <v>1</v>
      </c>
      <c r="G377" s="18" t="str">
        <f t="shared" si="63"/>
        <v>No</v>
      </c>
      <c r="H377" s="1">
        <v>2</v>
      </c>
      <c r="I377" s="21" t="str">
        <f t="shared" si="64"/>
        <v>Misty</v>
      </c>
      <c r="J377" s="1">
        <v>0.18</v>
      </c>
      <c r="K377" s="23" t="str">
        <f t="shared" si="65"/>
        <v>Safe</v>
      </c>
      <c r="L377">
        <f t="shared" si="55"/>
        <v>0.18179999999999999</v>
      </c>
      <c r="M377" s="20">
        <f t="shared" si="56"/>
        <v>0.18179999999999999</v>
      </c>
      <c r="N377">
        <f t="shared" si="57"/>
        <v>0.43</v>
      </c>
      <c r="O377" s="20" t="str">
        <f t="shared" si="58"/>
        <v>Acceptable</v>
      </c>
      <c r="P377">
        <f t="shared" si="59"/>
        <v>0.19400000000000001</v>
      </c>
      <c r="Q377">
        <f t="shared" si="60"/>
        <v>0</v>
      </c>
      <c r="R377">
        <f t="shared" si="61"/>
        <v>2</v>
      </c>
      <c r="S377">
        <f t="shared" si="62"/>
        <v>2</v>
      </c>
    </row>
    <row r="378" spans="1:19" ht="15" thickBot="1" x14ac:dyDescent="0.35">
      <c r="A378" s="1">
        <v>377</v>
      </c>
      <c r="B378" s="2">
        <v>40560</v>
      </c>
      <c r="C378" s="1">
        <v>1</v>
      </c>
      <c r="D378" s="1">
        <v>4</v>
      </c>
      <c r="E378" s="3" t="b">
        <v>1</v>
      </c>
      <c r="F378" s="5">
        <v>1</v>
      </c>
      <c r="G378" s="18" t="str">
        <f t="shared" si="63"/>
        <v>No</v>
      </c>
      <c r="H378" s="1">
        <v>2</v>
      </c>
      <c r="I378" s="21" t="str">
        <f t="shared" si="64"/>
        <v>Misty</v>
      </c>
      <c r="J378" s="1">
        <v>0.18</v>
      </c>
      <c r="K378" s="23" t="str">
        <f t="shared" si="65"/>
        <v>Safe</v>
      </c>
      <c r="L378">
        <f t="shared" si="55"/>
        <v>0.19700000000000001</v>
      </c>
      <c r="M378" s="20">
        <f t="shared" si="56"/>
        <v>0.19700000000000001</v>
      </c>
      <c r="N378">
        <f t="shared" si="57"/>
        <v>0.43</v>
      </c>
      <c r="O378" s="20" t="str">
        <f t="shared" si="58"/>
        <v>Acceptable</v>
      </c>
      <c r="P378">
        <f t="shared" si="59"/>
        <v>0.1343</v>
      </c>
      <c r="Q378">
        <f t="shared" si="60"/>
        <v>1</v>
      </c>
      <c r="R378">
        <f t="shared" si="61"/>
        <v>2</v>
      </c>
      <c r="S378">
        <f t="shared" si="62"/>
        <v>3</v>
      </c>
    </row>
    <row r="379" spans="1:19" ht="15" thickBot="1" x14ac:dyDescent="0.35">
      <c r="A379" s="1">
        <v>378</v>
      </c>
      <c r="B379" s="2">
        <v>40560</v>
      </c>
      <c r="C379" s="1">
        <v>1</v>
      </c>
      <c r="D379" s="1">
        <v>5</v>
      </c>
      <c r="E379" s="3" t="b">
        <v>1</v>
      </c>
      <c r="F379" s="5">
        <v>1</v>
      </c>
      <c r="G379" s="18" t="str">
        <f t="shared" si="63"/>
        <v>No</v>
      </c>
      <c r="H379" s="1">
        <v>2</v>
      </c>
      <c r="I379" s="21" t="str">
        <f t="shared" si="64"/>
        <v>Misty</v>
      </c>
      <c r="J379" s="1">
        <v>0.18</v>
      </c>
      <c r="K379" s="23" t="str">
        <f t="shared" si="65"/>
        <v>Safe</v>
      </c>
      <c r="L379">
        <f t="shared" si="55"/>
        <v>0.19700000000000001</v>
      </c>
      <c r="M379" s="20">
        <f t="shared" si="56"/>
        <v>0.19700000000000001</v>
      </c>
      <c r="N379">
        <f t="shared" si="57"/>
        <v>0.43</v>
      </c>
      <c r="O379" s="20" t="str">
        <f t="shared" si="58"/>
        <v>Acceptable</v>
      </c>
      <c r="P379">
        <f t="shared" si="59"/>
        <v>0.16420000000000001</v>
      </c>
      <c r="Q379">
        <f t="shared" si="60"/>
        <v>0</v>
      </c>
      <c r="R379">
        <f t="shared" si="61"/>
        <v>1</v>
      </c>
      <c r="S379">
        <f t="shared" si="62"/>
        <v>1</v>
      </c>
    </row>
    <row r="380" spans="1:19" ht="15" thickBot="1" x14ac:dyDescent="0.35">
      <c r="A380" s="1">
        <v>379</v>
      </c>
      <c r="B380" s="2">
        <v>40560</v>
      </c>
      <c r="C380" s="1">
        <v>1</v>
      </c>
      <c r="D380" s="1">
        <v>6</v>
      </c>
      <c r="E380" s="3" t="b">
        <v>1</v>
      </c>
      <c r="F380" s="5">
        <v>1</v>
      </c>
      <c r="G380" s="18" t="str">
        <f t="shared" si="63"/>
        <v>No</v>
      </c>
      <c r="H380" s="1">
        <v>2</v>
      </c>
      <c r="I380" s="21" t="str">
        <f t="shared" si="64"/>
        <v>Misty</v>
      </c>
      <c r="J380" s="1">
        <v>0.18</v>
      </c>
      <c r="K380" s="23" t="str">
        <f t="shared" si="65"/>
        <v>Safe</v>
      </c>
      <c r="L380">
        <f t="shared" si="55"/>
        <v>0.18179999999999999</v>
      </c>
      <c r="M380" s="20">
        <f t="shared" si="56"/>
        <v>0.18179999999999999</v>
      </c>
      <c r="N380">
        <f t="shared" si="57"/>
        <v>0.43</v>
      </c>
      <c r="O380" s="20" t="str">
        <f t="shared" si="58"/>
        <v>Acceptable</v>
      </c>
      <c r="P380">
        <f t="shared" si="59"/>
        <v>0.19400000000000001</v>
      </c>
      <c r="Q380">
        <f t="shared" si="60"/>
        <v>0</v>
      </c>
      <c r="R380">
        <f t="shared" si="61"/>
        <v>5</v>
      </c>
      <c r="S380">
        <f t="shared" si="62"/>
        <v>5</v>
      </c>
    </row>
    <row r="381" spans="1:19" ht="15" thickBot="1" x14ac:dyDescent="0.35">
      <c r="A381" s="1">
        <v>380</v>
      </c>
      <c r="B381" s="2">
        <v>40560</v>
      </c>
      <c r="C381" s="1">
        <v>1</v>
      </c>
      <c r="D381" s="1">
        <v>7</v>
      </c>
      <c r="E381" s="3" t="b">
        <v>1</v>
      </c>
      <c r="F381" s="5">
        <v>1</v>
      </c>
      <c r="G381" s="18" t="str">
        <f t="shared" si="63"/>
        <v>No</v>
      </c>
      <c r="H381" s="1">
        <v>2</v>
      </c>
      <c r="I381" s="21" t="str">
        <f t="shared" si="64"/>
        <v>Misty</v>
      </c>
      <c r="J381" s="1">
        <v>0.16</v>
      </c>
      <c r="K381" s="23" t="str">
        <f t="shared" si="65"/>
        <v>Safe</v>
      </c>
      <c r="L381">
        <f t="shared" si="55"/>
        <v>0.18179999999999999</v>
      </c>
      <c r="M381" s="20">
        <f t="shared" si="56"/>
        <v>0.18179999999999999</v>
      </c>
      <c r="N381">
        <f t="shared" si="57"/>
        <v>0.5</v>
      </c>
      <c r="O381" s="20" t="str">
        <f t="shared" si="58"/>
        <v>Acceptable</v>
      </c>
      <c r="P381">
        <f t="shared" si="59"/>
        <v>0.1343</v>
      </c>
      <c r="Q381">
        <f t="shared" si="60"/>
        <v>4</v>
      </c>
      <c r="R381">
        <f t="shared" si="61"/>
        <v>9</v>
      </c>
      <c r="S381">
        <f t="shared" si="62"/>
        <v>13</v>
      </c>
    </row>
    <row r="382" spans="1:19" ht="15" thickBot="1" x14ac:dyDescent="0.35">
      <c r="A382" s="1">
        <v>381</v>
      </c>
      <c r="B382" s="2">
        <v>40560</v>
      </c>
      <c r="C382" s="1">
        <v>1</v>
      </c>
      <c r="D382" s="1">
        <v>8</v>
      </c>
      <c r="E382" s="3" t="b">
        <v>1</v>
      </c>
      <c r="F382" s="5">
        <v>1</v>
      </c>
      <c r="G382" s="18" t="str">
        <f t="shared" si="63"/>
        <v>No</v>
      </c>
      <c r="H382" s="1">
        <v>2</v>
      </c>
      <c r="I382" s="21" t="str">
        <f t="shared" si="64"/>
        <v>Misty</v>
      </c>
      <c r="J382" s="1">
        <v>0.16</v>
      </c>
      <c r="K382" s="23" t="str">
        <f t="shared" si="65"/>
        <v>Safe</v>
      </c>
      <c r="L382">
        <f t="shared" si="55"/>
        <v>0.1515</v>
      </c>
      <c r="M382" s="20">
        <f t="shared" si="56"/>
        <v>0.1515</v>
      </c>
      <c r="N382">
        <f t="shared" si="57"/>
        <v>0.47</v>
      </c>
      <c r="O382" s="20" t="str">
        <f t="shared" si="58"/>
        <v>Acceptable</v>
      </c>
      <c r="P382">
        <f t="shared" si="59"/>
        <v>0.22389999999999999</v>
      </c>
      <c r="Q382">
        <f t="shared" si="60"/>
        <v>3</v>
      </c>
      <c r="R382">
        <f t="shared" si="61"/>
        <v>30</v>
      </c>
      <c r="S382">
        <f t="shared" si="62"/>
        <v>33</v>
      </c>
    </row>
    <row r="383" spans="1:19" ht="15" thickBot="1" x14ac:dyDescent="0.35">
      <c r="A383" s="1">
        <v>382</v>
      </c>
      <c r="B383" s="2">
        <v>40560</v>
      </c>
      <c r="C383" s="1">
        <v>1</v>
      </c>
      <c r="D383" s="1">
        <v>9</v>
      </c>
      <c r="E383" s="3" t="b">
        <v>1</v>
      </c>
      <c r="F383" s="5">
        <v>1</v>
      </c>
      <c r="G383" s="18" t="str">
        <f t="shared" si="63"/>
        <v>No</v>
      </c>
      <c r="H383" s="1">
        <v>2</v>
      </c>
      <c r="I383" s="21" t="str">
        <f t="shared" si="64"/>
        <v>Misty</v>
      </c>
      <c r="J383" s="1">
        <v>0.16</v>
      </c>
      <c r="K383" s="23" t="str">
        <f t="shared" si="65"/>
        <v>Safe</v>
      </c>
      <c r="L383">
        <f t="shared" si="55"/>
        <v>0.1515</v>
      </c>
      <c r="M383" s="20">
        <f t="shared" si="56"/>
        <v>0.1515</v>
      </c>
      <c r="N383">
        <f t="shared" si="57"/>
        <v>0.47</v>
      </c>
      <c r="O383" s="20" t="str">
        <f t="shared" si="58"/>
        <v>Acceptable</v>
      </c>
      <c r="P383">
        <f t="shared" si="59"/>
        <v>0.22389999999999999</v>
      </c>
      <c r="Q383">
        <f t="shared" si="60"/>
        <v>8</v>
      </c>
      <c r="R383">
        <f t="shared" si="61"/>
        <v>39</v>
      </c>
      <c r="S383">
        <f t="shared" si="62"/>
        <v>47</v>
      </c>
    </row>
    <row r="384" spans="1:19" ht="15" thickBot="1" x14ac:dyDescent="0.35">
      <c r="A384" s="1">
        <v>383</v>
      </c>
      <c r="B384" s="2">
        <v>40560</v>
      </c>
      <c r="C384" s="1">
        <v>1</v>
      </c>
      <c r="D384" s="1">
        <v>10</v>
      </c>
      <c r="E384" s="3" t="b">
        <v>1</v>
      </c>
      <c r="F384" s="5">
        <v>1</v>
      </c>
      <c r="G384" s="18" t="str">
        <f t="shared" si="63"/>
        <v>No</v>
      </c>
      <c r="H384" s="1">
        <v>2</v>
      </c>
      <c r="I384" s="21" t="str">
        <f t="shared" si="64"/>
        <v>Misty</v>
      </c>
      <c r="J384" s="1">
        <v>0.16</v>
      </c>
      <c r="K384" s="23" t="str">
        <f t="shared" si="65"/>
        <v>Safe</v>
      </c>
      <c r="L384">
        <f t="shared" si="55"/>
        <v>0.1515</v>
      </c>
      <c r="M384" s="20">
        <f t="shared" si="56"/>
        <v>0.1515</v>
      </c>
      <c r="N384">
        <f t="shared" si="57"/>
        <v>0.5</v>
      </c>
      <c r="O384" s="20" t="str">
        <f t="shared" si="58"/>
        <v>Acceptable</v>
      </c>
      <c r="P384">
        <f t="shared" si="59"/>
        <v>0.25369999999999998</v>
      </c>
      <c r="Q384">
        <f t="shared" si="60"/>
        <v>7</v>
      </c>
      <c r="R384">
        <f t="shared" si="61"/>
        <v>50</v>
      </c>
      <c r="S384">
        <f t="shared" si="62"/>
        <v>57</v>
      </c>
    </row>
    <row r="385" spans="1:19" ht="15" thickBot="1" x14ac:dyDescent="0.35">
      <c r="A385" s="1">
        <v>384</v>
      </c>
      <c r="B385" s="2">
        <v>40560</v>
      </c>
      <c r="C385" s="1">
        <v>1</v>
      </c>
      <c r="D385" s="1">
        <v>11</v>
      </c>
      <c r="E385" s="3" t="b">
        <v>1</v>
      </c>
      <c r="F385" s="5">
        <v>1</v>
      </c>
      <c r="G385" s="18" t="str">
        <f t="shared" si="63"/>
        <v>No</v>
      </c>
      <c r="H385" s="1">
        <v>2</v>
      </c>
      <c r="I385" s="21" t="str">
        <f t="shared" si="64"/>
        <v>Misty</v>
      </c>
      <c r="J385" s="1">
        <v>0.16</v>
      </c>
      <c r="K385" s="23" t="str">
        <f t="shared" si="65"/>
        <v>Safe</v>
      </c>
      <c r="L385">
        <f t="shared" si="55"/>
        <v>0.1515</v>
      </c>
      <c r="M385" s="20">
        <f t="shared" si="56"/>
        <v>0.1515</v>
      </c>
      <c r="N385">
        <f t="shared" si="57"/>
        <v>0.55000000000000004</v>
      </c>
      <c r="O385" s="20" t="str">
        <f t="shared" si="58"/>
        <v>Acceptable</v>
      </c>
      <c r="P385">
        <f t="shared" si="59"/>
        <v>0.19400000000000001</v>
      </c>
      <c r="Q385">
        <f t="shared" si="60"/>
        <v>9</v>
      </c>
      <c r="R385">
        <f t="shared" si="61"/>
        <v>55</v>
      </c>
      <c r="S385">
        <f t="shared" si="62"/>
        <v>64</v>
      </c>
    </row>
    <row r="386" spans="1:19" ht="15" thickBot="1" x14ac:dyDescent="0.35">
      <c r="A386" s="1">
        <v>385</v>
      </c>
      <c r="B386" s="2">
        <v>40560</v>
      </c>
      <c r="C386" s="1">
        <v>1</v>
      </c>
      <c r="D386" s="1">
        <v>12</v>
      </c>
      <c r="E386" s="3" t="b">
        <v>1</v>
      </c>
      <c r="F386" s="5">
        <v>1</v>
      </c>
      <c r="G386" s="18" t="str">
        <f t="shared" si="63"/>
        <v>No</v>
      </c>
      <c r="H386" s="1">
        <v>2</v>
      </c>
      <c r="I386" s="21" t="str">
        <f t="shared" si="64"/>
        <v>Misty</v>
      </c>
      <c r="J386" s="1">
        <v>0.18</v>
      </c>
      <c r="K386" s="23" t="str">
        <f t="shared" si="65"/>
        <v>Safe</v>
      </c>
      <c r="L386">
        <f t="shared" ref="L386:L449" si="66">VLOOKUP($A386,list2,2,FALSE)</f>
        <v>0.19700000000000001</v>
      </c>
      <c r="M386" s="20">
        <f t="shared" ref="M386:M449" si="67">VLOOKUP($A386,list2,3,FALSE)</f>
        <v>0.19700000000000001</v>
      </c>
      <c r="N386">
        <f t="shared" ref="N386:N449" si="68">VLOOKUP($A386,list2,4,FALSE)</f>
        <v>0.47</v>
      </c>
      <c r="O386" s="20" t="str">
        <f t="shared" ref="O386:O449" si="69">VLOOKUP($A386,list2,5,FALSE)</f>
        <v>Acceptable</v>
      </c>
      <c r="P386">
        <f t="shared" ref="P386:P449" si="70">VLOOKUP($A386,list2,6,FALSE)</f>
        <v>0.1343</v>
      </c>
      <c r="Q386">
        <f t="shared" ref="Q386:Q449" si="71">VLOOKUP($A386,list2,7,FALSE)</f>
        <v>10</v>
      </c>
      <c r="R386">
        <f t="shared" ref="R386:R449" si="72">VLOOKUP($A386,list2,8,FALSE)</f>
        <v>70</v>
      </c>
      <c r="S386">
        <f t="shared" ref="S386:S449" si="73">VLOOKUP($A386,list2,9,FALSE)</f>
        <v>80</v>
      </c>
    </row>
    <row r="387" spans="1:19" ht="15" thickBot="1" x14ac:dyDescent="0.35">
      <c r="A387" s="1">
        <v>386</v>
      </c>
      <c r="B387" s="2">
        <v>40560</v>
      </c>
      <c r="C387" s="1">
        <v>1</v>
      </c>
      <c r="D387" s="1">
        <v>13</v>
      </c>
      <c r="E387" s="3" t="b">
        <v>1</v>
      </c>
      <c r="F387" s="5">
        <v>1</v>
      </c>
      <c r="G387" s="18" t="str">
        <f t="shared" ref="G387:G450" si="74">_xlfn.IFS(F387=0,"Yes",F387=6,"Yes",F387&gt;0,"No")</f>
        <v>No</v>
      </c>
      <c r="H387" s="1">
        <v>2</v>
      </c>
      <c r="I387" s="21" t="str">
        <f t="shared" ref="I387:I450" si="75">_xlfn.IFS(H387=1,"Clean",H387=2,"Misty",H387=3,"Light Rain",H387=4,"Heavy Rain")</f>
        <v>Misty</v>
      </c>
      <c r="J387" s="1">
        <v>0.18</v>
      </c>
      <c r="K387" s="23" t="str">
        <f t="shared" ref="K387:K450" si="76">_xlfn.IFS(J387&lt;0.1,"Risky",J387&lt;0.35,"Safe",J387&gt;0.35,"Risky")</f>
        <v>Safe</v>
      </c>
      <c r="L387">
        <f t="shared" si="66"/>
        <v>0.19700000000000001</v>
      </c>
      <c r="M387" s="20">
        <f t="shared" si="67"/>
        <v>0.19700000000000001</v>
      </c>
      <c r="N387">
        <f t="shared" si="68"/>
        <v>0.47</v>
      </c>
      <c r="O387" s="20" t="str">
        <f t="shared" si="69"/>
        <v>Acceptable</v>
      </c>
      <c r="P387">
        <f t="shared" si="70"/>
        <v>0.1343</v>
      </c>
      <c r="Q387">
        <f t="shared" si="71"/>
        <v>13</v>
      </c>
      <c r="R387">
        <f t="shared" si="72"/>
        <v>80</v>
      </c>
      <c r="S387">
        <f t="shared" si="73"/>
        <v>93</v>
      </c>
    </row>
    <row r="388" spans="1:19" ht="15" thickBot="1" x14ac:dyDescent="0.35">
      <c r="A388" s="1">
        <v>387</v>
      </c>
      <c r="B388" s="2">
        <v>40560</v>
      </c>
      <c r="C388" s="1">
        <v>1</v>
      </c>
      <c r="D388" s="1">
        <v>14</v>
      </c>
      <c r="E388" s="3" t="b">
        <v>1</v>
      </c>
      <c r="F388" s="5">
        <v>1</v>
      </c>
      <c r="G388" s="18" t="str">
        <f t="shared" si="74"/>
        <v>No</v>
      </c>
      <c r="H388" s="1">
        <v>2</v>
      </c>
      <c r="I388" s="21" t="str">
        <f t="shared" si="75"/>
        <v>Misty</v>
      </c>
      <c r="J388" s="1">
        <v>0.18</v>
      </c>
      <c r="K388" s="23" t="str">
        <f t="shared" si="76"/>
        <v>Safe</v>
      </c>
      <c r="L388">
        <f t="shared" si="66"/>
        <v>0.21210000000000001</v>
      </c>
      <c r="M388" s="20">
        <f t="shared" si="67"/>
        <v>0.21210000000000001</v>
      </c>
      <c r="N388">
        <f t="shared" si="68"/>
        <v>0.43</v>
      </c>
      <c r="O388" s="20" t="str">
        <f t="shared" si="69"/>
        <v>Acceptable</v>
      </c>
      <c r="P388">
        <f t="shared" si="70"/>
        <v>0.1045</v>
      </c>
      <c r="Q388">
        <f t="shared" si="71"/>
        <v>12</v>
      </c>
      <c r="R388">
        <f t="shared" si="72"/>
        <v>74</v>
      </c>
      <c r="S388">
        <f t="shared" si="73"/>
        <v>86</v>
      </c>
    </row>
    <row r="389" spans="1:19" ht="15" thickBot="1" x14ac:dyDescent="0.35">
      <c r="A389" s="1">
        <v>388</v>
      </c>
      <c r="B389" s="2">
        <v>40560</v>
      </c>
      <c r="C389" s="1">
        <v>1</v>
      </c>
      <c r="D389" s="1">
        <v>15</v>
      </c>
      <c r="E389" s="3" t="b">
        <v>1</v>
      </c>
      <c r="F389" s="5">
        <v>1</v>
      </c>
      <c r="G389" s="18" t="str">
        <f t="shared" si="74"/>
        <v>No</v>
      </c>
      <c r="H389" s="1">
        <v>2</v>
      </c>
      <c r="I389" s="21" t="str">
        <f t="shared" si="75"/>
        <v>Misty</v>
      </c>
      <c r="J389" s="1">
        <v>0.2</v>
      </c>
      <c r="K389" s="23" t="str">
        <f t="shared" si="76"/>
        <v>Safe</v>
      </c>
      <c r="L389">
        <f t="shared" si="66"/>
        <v>0.21210000000000001</v>
      </c>
      <c r="M389" s="20">
        <f t="shared" si="67"/>
        <v>0.21210000000000001</v>
      </c>
      <c r="N389">
        <f t="shared" si="68"/>
        <v>0.47</v>
      </c>
      <c r="O389" s="20" t="str">
        <f t="shared" si="69"/>
        <v>Acceptable</v>
      </c>
      <c r="P389">
        <f t="shared" si="70"/>
        <v>0.16420000000000001</v>
      </c>
      <c r="Q389">
        <f t="shared" si="71"/>
        <v>21</v>
      </c>
      <c r="R389">
        <f t="shared" si="72"/>
        <v>72</v>
      </c>
      <c r="S389">
        <f t="shared" si="73"/>
        <v>93</v>
      </c>
    </row>
    <row r="390" spans="1:19" ht="15" thickBot="1" x14ac:dyDescent="0.35">
      <c r="A390" s="1">
        <v>389</v>
      </c>
      <c r="B390" s="2">
        <v>40560</v>
      </c>
      <c r="C390" s="1">
        <v>1</v>
      </c>
      <c r="D390" s="1">
        <v>16</v>
      </c>
      <c r="E390" s="3" t="b">
        <v>1</v>
      </c>
      <c r="F390" s="5">
        <v>1</v>
      </c>
      <c r="G390" s="18" t="str">
        <f t="shared" si="74"/>
        <v>No</v>
      </c>
      <c r="H390" s="1">
        <v>2</v>
      </c>
      <c r="I390" s="21" t="str">
        <f t="shared" si="75"/>
        <v>Misty</v>
      </c>
      <c r="J390" s="1">
        <v>0.2</v>
      </c>
      <c r="K390" s="23" t="str">
        <f t="shared" si="76"/>
        <v>Safe</v>
      </c>
      <c r="L390">
        <f t="shared" si="66"/>
        <v>0.21210000000000001</v>
      </c>
      <c r="M390" s="20">
        <f t="shared" si="67"/>
        <v>0.21210000000000001</v>
      </c>
      <c r="N390">
        <f t="shared" si="68"/>
        <v>0.47</v>
      </c>
      <c r="O390" s="20" t="str">
        <f t="shared" si="69"/>
        <v>Acceptable</v>
      </c>
      <c r="P390">
        <f t="shared" si="70"/>
        <v>0.16420000000000001</v>
      </c>
      <c r="Q390">
        <f t="shared" si="71"/>
        <v>6</v>
      </c>
      <c r="R390">
        <f t="shared" si="72"/>
        <v>76</v>
      </c>
      <c r="S390">
        <f t="shared" si="73"/>
        <v>82</v>
      </c>
    </row>
    <row r="391" spans="1:19" ht="15" thickBot="1" x14ac:dyDescent="0.35">
      <c r="A391" s="1">
        <v>390</v>
      </c>
      <c r="B391" s="2">
        <v>40560</v>
      </c>
      <c r="C391" s="1">
        <v>1</v>
      </c>
      <c r="D391" s="1">
        <v>17</v>
      </c>
      <c r="E391" s="3" t="b">
        <v>1</v>
      </c>
      <c r="F391" s="5">
        <v>1</v>
      </c>
      <c r="G391" s="18" t="str">
        <f t="shared" si="74"/>
        <v>No</v>
      </c>
      <c r="H391" s="1">
        <v>1</v>
      </c>
      <c r="I391" s="21" t="str">
        <f t="shared" si="75"/>
        <v>Clean</v>
      </c>
      <c r="J391" s="1">
        <v>0.2</v>
      </c>
      <c r="K391" s="23" t="str">
        <f t="shared" si="76"/>
        <v>Safe</v>
      </c>
      <c r="L391">
        <f t="shared" si="66"/>
        <v>0.19700000000000001</v>
      </c>
      <c r="M391" s="20">
        <f t="shared" si="67"/>
        <v>0.19700000000000001</v>
      </c>
      <c r="N391">
        <f t="shared" si="68"/>
        <v>0.51</v>
      </c>
      <c r="O391" s="20" t="str">
        <f t="shared" si="69"/>
        <v>Acceptable</v>
      </c>
      <c r="P391">
        <f t="shared" si="70"/>
        <v>0.19400000000000001</v>
      </c>
      <c r="Q391">
        <f t="shared" si="71"/>
        <v>4</v>
      </c>
      <c r="R391">
        <f t="shared" si="72"/>
        <v>67</v>
      </c>
      <c r="S391">
        <f t="shared" si="73"/>
        <v>71</v>
      </c>
    </row>
    <row r="392" spans="1:19" ht="15" thickBot="1" x14ac:dyDescent="0.35">
      <c r="A392" s="1">
        <v>391</v>
      </c>
      <c r="B392" s="2">
        <v>40560</v>
      </c>
      <c r="C392" s="1">
        <v>1</v>
      </c>
      <c r="D392" s="1">
        <v>18</v>
      </c>
      <c r="E392" s="3" t="b">
        <v>1</v>
      </c>
      <c r="F392" s="5">
        <v>1</v>
      </c>
      <c r="G392" s="18" t="str">
        <f t="shared" si="74"/>
        <v>No</v>
      </c>
      <c r="H392" s="1">
        <v>2</v>
      </c>
      <c r="I392" s="21" t="str">
        <f t="shared" si="75"/>
        <v>Misty</v>
      </c>
      <c r="J392" s="1">
        <v>0.18</v>
      </c>
      <c r="K392" s="23" t="str">
        <f t="shared" si="76"/>
        <v>Safe</v>
      </c>
      <c r="L392">
        <f t="shared" si="66"/>
        <v>0.16669999999999999</v>
      </c>
      <c r="M392" s="20">
        <f t="shared" si="67"/>
        <v>0.16669999999999999</v>
      </c>
      <c r="N392">
        <f t="shared" si="68"/>
        <v>0.55000000000000004</v>
      </c>
      <c r="O392" s="20" t="str">
        <f t="shared" si="69"/>
        <v>Acceptable</v>
      </c>
      <c r="P392">
        <f t="shared" si="70"/>
        <v>0.25369999999999998</v>
      </c>
      <c r="Q392">
        <f t="shared" si="71"/>
        <v>7</v>
      </c>
      <c r="R392">
        <f t="shared" si="72"/>
        <v>85</v>
      </c>
      <c r="S392">
        <f t="shared" si="73"/>
        <v>92</v>
      </c>
    </row>
    <row r="393" spans="1:19" ht="27.6" thickBot="1" x14ac:dyDescent="0.35">
      <c r="A393" s="1">
        <v>392</v>
      </c>
      <c r="B393" s="2">
        <v>40560</v>
      </c>
      <c r="C393" s="1">
        <v>1</v>
      </c>
      <c r="D393" s="1">
        <v>19</v>
      </c>
      <c r="E393" s="3" t="b">
        <v>1</v>
      </c>
      <c r="F393" s="5">
        <v>1</v>
      </c>
      <c r="G393" s="18" t="str">
        <f t="shared" si="74"/>
        <v>No</v>
      </c>
      <c r="H393" s="1">
        <v>3</v>
      </c>
      <c r="I393" s="21" t="str">
        <f t="shared" si="75"/>
        <v>Light Rain</v>
      </c>
      <c r="J393" s="1">
        <v>0.18</v>
      </c>
      <c r="K393" s="23" t="str">
        <f t="shared" si="76"/>
        <v>Safe</v>
      </c>
      <c r="L393">
        <f t="shared" si="66"/>
        <v>0.18179999999999999</v>
      </c>
      <c r="M393" s="20">
        <f t="shared" si="67"/>
        <v>0.18179999999999999</v>
      </c>
      <c r="N393">
        <f t="shared" si="68"/>
        <v>0.59</v>
      </c>
      <c r="O393" s="20" t="str">
        <f t="shared" si="69"/>
        <v>Acceptable</v>
      </c>
      <c r="P393">
        <f t="shared" si="70"/>
        <v>0.19400000000000001</v>
      </c>
      <c r="Q393">
        <f t="shared" si="71"/>
        <v>2</v>
      </c>
      <c r="R393">
        <f t="shared" si="72"/>
        <v>58</v>
      </c>
      <c r="S393">
        <f t="shared" si="73"/>
        <v>60</v>
      </c>
    </row>
    <row r="394" spans="1:19" ht="27.6" thickBot="1" x14ac:dyDescent="0.35">
      <c r="A394" s="1">
        <v>393</v>
      </c>
      <c r="B394" s="2">
        <v>40560</v>
      </c>
      <c r="C394" s="1">
        <v>1</v>
      </c>
      <c r="D394" s="1">
        <v>20</v>
      </c>
      <c r="E394" s="3" t="b">
        <v>1</v>
      </c>
      <c r="F394" s="5">
        <v>1</v>
      </c>
      <c r="G394" s="18" t="str">
        <f t="shared" si="74"/>
        <v>No</v>
      </c>
      <c r="H394" s="1">
        <v>3</v>
      </c>
      <c r="I394" s="21" t="str">
        <f t="shared" si="75"/>
        <v>Light Rain</v>
      </c>
      <c r="J394" s="1">
        <v>0.16</v>
      </c>
      <c r="K394" s="23" t="str">
        <f t="shared" si="76"/>
        <v>Safe</v>
      </c>
      <c r="L394">
        <f t="shared" si="66"/>
        <v>0.1515</v>
      </c>
      <c r="M394" s="20">
        <f t="shared" si="67"/>
        <v>0.1515</v>
      </c>
      <c r="N394">
        <f t="shared" si="68"/>
        <v>0.8</v>
      </c>
      <c r="O394" s="20" t="str">
        <f t="shared" si="69"/>
        <v>Risky</v>
      </c>
      <c r="P394">
        <f t="shared" si="70"/>
        <v>0.19400000000000001</v>
      </c>
      <c r="Q394">
        <f t="shared" si="71"/>
        <v>4</v>
      </c>
      <c r="R394">
        <f t="shared" si="72"/>
        <v>29</v>
      </c>
      <c r="S394">
        <f t="shared" si="73"/>
        <v>33</v>
      </c>
    </row>
    <row r="395" spans="1:19" ht="27.6" thickBot="1" x14ac:dyDescent="0.35">
      <c r="A395" s="1">
        <v>394</v>
      </c>
      <c r="B395" s="2">
        <v>40560</v>
      </c>
      <c r="C395" s="1">
        <v>1</v>
      </c>
      <c r="D395" s="1">
        <v>21</v>
      </c>
      <c r="E395" s="3" t="b">
        <v>1</v>
      </c>
      <c r="F395" s="5">
        <v>1</v>
      </c>
      <c r="G395" s="18" t="str">
        <f t="shared" si="74"/>
        <v>No</v>
      </c>
      <c r="H395" s="1">
        <v>3</v>
      </c>
      <c r="I395" s="21" t="str">
        <f t="shared" si="75"/>
        <v>Light Rain</v>
      </c>
      <c r="J395" s="1">
        <v>0.16</v>
      </c>
      <c r="K395" s="23" t="str">
        <f t="shared" si="76"/>
        <v>Safe</v>
      </c>
      <c r="L395">
        <f t="shared" si="66"/>
        <v>0.1515</v>
      </c>
      <c r="M395" s="20">
        <f t="shared" si="67"/>
        <v>0.1515</v>
      </c>
      <c r="N395">
        <f t="shared" si="68"/>
        <v>0.8</v>
      </c>
      <c r="O395" s="20" t="str">
        <f t="shared" si="69"/>
        <v>Risky</v>
      </c>
      <c r="P395">
        <f t="shared" si="70"/>
        <v>0.19400000000000001</v>
      </c>
      <c r="Q395">
        <f t="shared" si="71"/>
        <v>3</v>
      </c>
      <c r="R395">
        <f t="shared" si="72"/>
        <v>24</v>
      </c>
      <c r="S395">
        <f t="shared" si="73"/>
        <v>27</v>
      </c>
    </row>
    <row r="396" spans="1:19" ht="27.6" thickBot="1" x14ac:dyDescent="0.35">
      <c r="A396" s="1">
        <v>395</v>
      </c>
      <c r="B396" s="2">
        <v>40560</v>
      </c>
      <c r="C396" s="1">
        <v>1</v>
      </c>
      <c r="D396" s="1">
        <v>22</v>
      </c>
      <c r="E396" s="3" t="b">
        <v>1</v>
      </c>
      <c r="F396" s="5">
        <v>1</v>
      </c>
      <c r="G396" s="18" t="str">
        <f t="shared" si="74"/>
        <v>No</v>
      </c>
      <c r="H396" s="1">
        <v>3</v>
      </c>
      <c r="I396" s="21" t="str">
        <f t="shared" si="75"/>
        <v>Light Rain</v>
      </c>
      <c r="J396" s="1">
        <v>0.14000000000000001</v>
      </c>
      <c r="K396" s="23" t="str">
        <f t="shared" si="76"/>
        <v>Safe</v>
      </c>
      <c r="L396">
        <f t="shared" si="66"/>
        <v>0.1212</v>
      </c>
      <c r="M396" s="20">
        <f t="shared" si="67"/>
        <v>0.1212</v>
      </c>
      <c r="N396">
        <f t="shared" si="68"/>
        <v>0.93</v>
      </c>
      <c r="O396" s="20" t="str">
        <f t="shared" si="69"/>
        <v>Risky</v>
      </c>
      <c r="P396">
        <f t="shared" si="70"/>
        <v>0.25369999999999998</v>
      </c>
      <c r="Q396">
        <f t="shared" si="71"/>
        <v>0</v>
      </c>
      <c r="R396">
        <f t="shared" si="72"/>
        <v>13</v>
      </c>
      <c r="S396">
        <f t="shared" si="73"/>
        <v>13</v>
      </c>
    </row>
    <row r="397" spans="1:19" ht="27.6" thickBot="1" x14ac:dyDescent="0.35">
      <c r="A397" s="1">
        <v>396</v>
      </c>
      <c r="B397" s="2">
        <v>40560</v>
      </c>
      <c r="C397" s="1">
        <v>1</v>
      </c>
      <c r="D397" s="1">
        <v>23</v>
      </c>
      <c r="E397" s="3" t="b">
        <v>1</v>
      </c>
      <c r="F397" s="5">
        <v>1</v>
      </c>
      <c r="G397" s="18" t="str">
        <f t="shared" si="74"/>
        <v>No</v>
      </c>
      <c r="H397" s="1">
        <v>3</v>
      </c>
      <c r="I397" s="21" t="str">
        <f t="shared" si="75"/>
        <v>Light Rain</v>
      </c>
      <c r="J397" s="1">
        <v>0.16</v>
      </c>
      <c r="K397" s="23" t="str">
        <f t="shared" si="76"/>
        <v>Safe</v>
      </c>
      <c r="L397">
        <f t="shared" si="66"/>
        <v>0.13639999999999999</v>
      </c>
      <c r="M397" s="20">
        <f t="shared" si="67"/>
        <v>0.13639999999999999</v>
      </c>
      <c r="N397">
        <f t="shared" si="68"/>
        <v>0.86</v>
      </c>
      <c r="O397" s="20" t="str">
        <f t="shared" si="69"/>
        <v>Risky</v>
      </c>
      <c r="P397">
        <f t="shared" si="70"/>
        <v>0.28360000000000002</v>
      </c>
      <c r="Q397">
        <f t="shared" si="71"/>
        <v>1</v>
      </c>
      <c r="R397">
        <f t="shared" si="72"/>
        <v>3</v>
      </c>
      <c r="S397">
        <f t="shared" si="73"/>
        <v>4</v>
      </c>
    </row>
    <row r="398" spans="1:19" ht="15" thickBot="1" x14ac:dyDescent="0.35">
      <c r="A398" s="1">
        <v>397</v>
      </c>
      <c r="B398" s="2">
        <v>40561</v>
      </c>
      <c r="C398" s="1">
        <v>1</v>
      </c>
      <c r="D398" s="1">
        <v>12</v>
      </c>
      <c r="E398" s="3" t="b">
        <v>0</v>
      </c>
      <c r="F398" s="5">
        <v>2</v>
      </c>
      <c r="G398" s="18" t="str">
        <f t="shared" si="74"/>
        <v>No</v>
      </c>
      <c r="H398" s="1">
        <v>2</v>
      </c>
      <c r="I398" s="21" t="str">
        <f t="shared" si="75"/>
        <v>Misty</v>
      </c>
      <c r="J398" s="1">
        <v>0.2</v>
      </c>
      <c r="K398" s="23" t="str">
        <f t="shared" si="76"/>
        <v>Safe</v>
      </c>
      <c r="L398">
        <f t="shared" si="66"/>
        <v>0.18179999999999999</v>
      </c>
      <c r="M398" s="20">
        <f t="shared" si="67"/>
        <v>0.18179999999999999</v>
      </c>
      <c r="N398">
        <f t="shared" si="68"/>
        <v>0.86</v>
      </c>
      <c r="O398" s="20" t="str">
        <f t="shared" si="69"/>
        <v>Risky</v>
      </c>
      <c r="P398">
        <f t="shared" si="70"/>
        <v>0.32840000000000003</v>
      </c>
      <c r="Q398">
        <f t="shared" si="71"/>
        <v>0</v>
      </c>
      <c r="R398">
        <f t="shared" si="72"/>
        <v>3</v>
      </c>
      <c r="S398">
        <f t="shared" si="73"/>
        <v>3</v>
      </c>
    </row>
    <row r="399" spans="1:19" ht="15" thickBot="1" x14ac:dyDescent="0.35">
      <c r="A399" s="1">
        <v>398</v>
      </c>
      <c r="B399" s="2">
        <v>40561</v>
      </c>
      <c r="C399" s="1">
        <v>1</v>
      </c>
      <c r="D399" s="1">
        <v>13</v>
      </c>
      <c r="E399" s="3" t="b">
        <v>0</v>
      </c>
      <c r="F399" s="5">
        <v>2</v>
      </c>
      <c r="G399" s="18" t="str">
        <f t="shared" si="74"/>
        <v>No</v>
      </c>
      <c r="H399" s="1">
        <v>2</v>
      </c>
      <c r="I399" s="21" t="str">
        <f t="shared" si="75"/>
        <v>Misty</v>
      </c>
      <c r="J399" s="1">
        <v>0.2</v>
      </c>
      <c r="K399" s="23" t="str">
        <f t="shared" si="76"/>
        <v>Safe</v>
      </c>
      <c r="L399">
        <f t="shared" si="66"/>
        <v>0.19700000000000001</v>
      </c>
      <c r="M399" s="20">
        <f t="shared" si="67"/>
        <v>0.19700000000000001</v>
      </c>
      <c r="N399">
        <f t="shared" si="68"/>
        <v>0.86</v>
      </c>
      <c r="O399" s="20" t="str">
        <f t="shared" si="69"/>
        <v>Risky</v>
      </c>
      <c r="P399">
        <f t="shared" si="70"/>
        <v>0.22389999999999999</v>
      </c>
      <c r="Q399">
        <f t="shared" si="71"/>
        <v>0</v>
      </c>
      <c r="R399">
        <f t="shared" si="72"/>
        <v>22</v>
      </c>
      <c r="S399">
        <f t="shared" si="73"/>
        <v>22</v>
      </c>
    </row>
    <row r="400" spans="1:19" ht="15" thickBot="1" x14ac:dyDescent="0.35">
      <c r="A400" s="1">
        <v>399</v>
      </c>
      <c r="B400" s="2">
        <v>40561</v>
      </c>
      <c r="C400" s="1">
        <v>1</v>
      </c>
      <c r="D400" s="1">
        <v>14</v>
      </c>
      <c r="E400" s="3" t="b">
        <v>0</v>
      </c>
      <c r="F400" s="5">
        <v>2</v>
      </c>
      <c r="G400" s="18" t="str">
        <f t="shared" si="74"/>
        <v>No</v>
      </c>
      <c r="H400" s="1">
        <v>2</v>
      </c>
      <c r="I400" s="21" t="str">
        <f t="shared" si="75"/>
        <v>Misty</v>
      </c>
      <c r="J400" s="1">
        <v>0.22</v>
      </c>
      <c r="K400" s="23" t="str">
        <f t="shared" si="76"/>
        <v>Safe</v>
      </c>
      <c r="L400">
        <f t="shared" si="66"/>
        <v>0.2273</v>
      </c>
      <c r="M400" s="20">
        <f t="shared" si="67"/>
        <v>0.2273</v>
      </c>
      <c r="N400">
        <f t="shared" si="68"/>
        <v>0.8</v>
      </c>
      <c r="O400" s="20" t="str">
        <f t="shared" si="69"/>
        <v>Risky</v>
      </c>
      <c r="P400">
        <f t="shared" si="70"/>
        <v>0.16420000000000001</v>
      </c>
      <c r="Q400">
        <f t="shared" si="71"/>
        <v>2</v>
      </c>
      <c r="R400">
        <f t="shared" si="72"/>
        <v>26</v>
      </c>
      <c r="S400">
        <f t="shared" si="73"/>
        <v>28</v>
      </c>
    </row>
    <row r="401" spans="1:19" ht="15" thickBot="1" x14ac:dyDescent="0.35">
      <c r="A401" s="1">
        <v>400</v>
      </c>
      <c r="B401" s="2">
        <v>40561</v>
      </c>
      <c r="C401" s="1">
        <v>1</v>
      </c>
      <c r="D401" s="1">
        <v>15</v>
      </c>
      <c r="E401" s="3" t="b">
        <v>0</v>
      </c>
      <c r="F401" s="5">
        <v>2</v>
      </c>
      <c r="G401" s="18" t="str">
        <f t="shared" si="74"/>
        <v>No</v>
      </c>
      <c r="H401" s="1">
        <v>2</v>
      </c>
      <c r="I401" s="21" t="str">
        <f t="shared" si="75"/>
        <v>Misty</v>
      </c>
      <c r="J401" s="1">
        <v>0.22</v>
      </c>
      <c r="K401" s="23" t="str">
        <f t="shared" si="76"/>
        <v>Safe</v>
      </c>
      <c r="L401">
        <f t="shared" si="66"/>
        <v>0.2273</v>
      </c>
      <c r="M401" s="20">
        <f t="shared" si="67"/>
        <v>0.2273</v>
      </c>
      <c r="N401">
        <f t="shared" si="68"/>
        <v>0.87</v>
      </c>
      <c r="O401" s="20" t="str">
        <f t="shared" si="69"/>
        <v>Risky</v>
      </c>
      <c r="P401">
        <f t="shared" si="70"/>
        <v>0.16420000000000001</v>
      </c>
      <c r="Q401">
        <f t="shared" si="71"/>
        <v>3</v>
      </c>
      <c r="R401">
        <f t="shared" si="72"/>
        <v>32</v>
      </c>
      <c r="S401">
        <f t="shared" si="73"/>
        <v>35</v>
      </c>
    </row>
    <row r="402" spans="1:19" ht="15" thickBot="1" x14ac:dyDescent="0.35">
      <c r="A402" s="1">
        <v>401</v>
      </c>
      <c r="B402" s="2">
        <v>40561</v>
      </c>
      <c r="C402" s="1">
        <v>1</v>
      </c>
      <c r="D402" s="1">
        <v>16</v>
      </c>
      <c r="E402" s="3" t="b">
        <v>0</v>
      </c>
      <c r="F402" s="5">
        <v>2</v>
      </c>
      <c r="G402" s="18" t="str">
        <f t="shared" si="74"/>
        <v>No</v>
      </c>
      <c r="H402" s="1">
        <v>2</v>
      </c>
      <c r="I402" s="21" t="str">
        <f t="shared" si="75"/>
        <v>Misty</v>
      </c>
      <c r="J402" s="1">
        <v>0.22</v>
      </c>
      <c r="K402" s="23" t="str">
        <f t="shared" si="76"/>
        <v>Safe</v>
      </c>
      <c r="L402">
        <f t="shared" si="66"/>
        <v>0.2273</v>
      </c>
      <c r="M402" s="20">
        <f t="shared" si="67"/>
        <v>0.2273</v>
      </c>
      <c r="N402">
        <f t="shared" si="68"/>
        <v>0.87</v>
      </c>
      <c r="O402" s="20" t="str">
        <f t="shared" si="69"/>
        <v>Risky</v>
      </c>
      <c r="P402">
        <f t="shared" si="70"/>
        <v>0.19400000000000001</v>
      </c>
      <c r="Q402">
        <f t="shared" si="71"/>
        <v>0</v>
      </c>
      <c r="R402">
        <f t="shared" si="72"/>
        <v>61</v>
      </c>
      <c r="S402">
        <f t="shared" si="73"/>
        <v>61</v>
      </c>
    </row>
    <row r="403" spans="1:19" ht="15" thickBot="1" x14ac:dyDescent="0.35">
      <c r="A403" s="1">
        <v>402</v>
      </c>
      <c r="B403" s="2">
        <v>40561</v>
      </c>
      <c r="C403" s="1">
        <v>1</v>
      </c>
      <c r="D403" s="1">
        <v>17</v>
      </c>
      <c r="E403" s="3" t="b">
        <v>0</v>
      </c>
      <c r="F403" s="5">
        <v>2</v>
      </c>
      <c r="G403" s="18" t="str">
        <f t="shared" si="74"/>
        <v>No</v>
      </c>
      <c r="H403" s="1">
        <v>2</v>
      </c>
      <c r="I403" s="21" t="str">
        <f t="shared" si="75"/>
        <v>Misty</v>
      </c>
      <c r="J403" s="1">
        <v>0.22</v>
      </c>
      <c r="K403" s="23" t="str">
        <f t="shared" si="76"/>
        <v>Safe</v>
      </c>
      <c r="L403">
        <f t="shared" si="66"/>
        <v>0.2273</v>
      </c>
      <c r="M403" s="20">
        <f t="shared" si="67"/>
        <v>0.2273</v>
      </c>
      <c r="N403">
        <f t="shared" si="68"/>
        <v>0.82</v>
      </c>
      <c r="O403" s="20" t="str">
        <f t="shared" si="69"/>
        <v>Risky</v>
      </c>
      <c r="P403">
        <f t="shared" si="70"/>
        <v>0.19400000000000001</v>
      </c>
      <c r="Q403">
        <f t="shared" si="71"/>
        <v>1</v>
      </c>
      <c r="R403">
        <f t="shared" si="72"/>
        <v>124</v>
      </c>
      <c r="S403">
        <f t="shared" si="73"/>
        <v>125</v>
      </c>
    </row>
    <row r="404" spans="1:19" ht="15" thickBot="1" x14ac:dyDescent="0.35">
      <c r="A404" s="1">
        <v>403</v>
      </c>
      <c r="B404" s="2">
        <v>40561</v>
      </c>
      <c r="C404" s="1">
        <v>1</v>
      </c>
      <c r="D404" s="1">
        <v>18</v>
      </c>
      <c r="E404" s="3" t="b">
        <v>0</v>
      </c>
      <c r="F404" s="5">
        <v>2</v>
      </c>
      <c r="G404" s="18" t="str">
        <f t="shared" si="74"/>
        <v>No</v>
      </c>
      <c r="H404" s="1">
        <v>2</v>
      </c>
      <c r="I404" s="21" t="str">
        <f t="shared" si="75"/>
        <v>Misty</v>
      </c>
      <c r="J404" s="1">
        <v>0.22</v>
      </c>
      <c r="K404" s="23" t="str">
        <f t="shared" si="76"/>
        <v>Safe</v>
      </c>
      <c r="L404">
        <f t="shared" si="66"/>
        <v>0.2273</v>
      </c>
      <c r="M404" s="20">
        <f t="shared" si="67"/>
        <v>0.2273</v>
      </c>
      <c r="N404">
        <f t="shared" si="68"/>
        <v>0.8</v>
      </c>
      <c r="O404" s="20" t="str">
        <f t="shared" si="69"/>
        <v>Risky</v>
      </c>
      <c r="P404">
        <f t="shared" si="70"/>
        <v>0.16420000000000001</v>
      </c>
      <c r="Q404">
        <f t="shared" si="71"/>
        <v>1</v>
      </c>
      <c r="R404">
        <f t="shared" si="72"/>
        <v>132</v>
      </c>
      <c r="S404">
        <f t="shared" si="73"/>
        <v>133</v>
      </c>
    </row>
    <row r="405" spans="1:19" ht="15" thickBot="1" x14ac:dyDescent="0.35">
      <c r="A405" s="1">
        <v>404</v>
      </c>
      <c r="B405" s="2">
        <v>40561</v>
      </c>
      <c r="C405" s="1">
        <v>1</v>
      </c>
      <c r="D405" s="1">
        <v>19</v>
      </c>
      <c r="E405" s="3" t="b">
        <v>0</v>
      </c>
      <c r="F405" s="5">
        <v>2</v>
      </c>
      <c r="G405" s="18" t="str">
        <f t="shared" si="74"/>
        <v>No</v>
      </c>
      <c r="H405" s="1">
        <v>2</v>
      </c>
      <c r="I405" s="21" t="str">
        <f t="shared" si="75"/>
        <v>Misty</v>
      </c>
      <c r="J405" s="1">
        <v>0.22</v>
      </c>
      <c r="K405" s="23" t="str">
        <f t="shared" si="76"/>
        <v>Safe</v>
      </c>
      <c r="L405">
        <f t="shared" si="66"/>
        <v>0.2273</v>
      </c>
      <c r="M405" s="20">
        <f t="shared" si="67"/>
        <v>0.2273</v>
      </c>
      <c r="N405">
        <f t="shared" si="68"/>
        <v>0.8</v>
      </c>
      <c r="O405" s="20" t="str">
        <f t="shared" si="69"/>
        <v>Risky</v>
      </c>
      <c r="P405">
        <f t="shared" si="70"/>
        <v>0.1343</v>
      </c>
      <c r="Q405">
        <f t="shared" si="71"/>
        <v>1</v>
      </c>
      <c r="R405">
        <f t="shared" si="72"/>
        <v>98</v>
      </c>
      <c r="S405">
        <f t="shared" si="73"/>
        <v>99</v>
      </c>
    </row>
    <row r="406" spans="1:19" ht="15" thickBot="1" x14ac:dyDescent="0.35">
      <c r="A406" s="1">
        <v>405</v>
      </c>
      <c r="B406" s="2">
        <v>40561</v>
      </c>
      <c r="C406" s="1">
        <v>1</v>
      </c>
      <c r="D406" s="1">
        <v>20</v>
      </c>
      <c r="E406" s="3" t="b">
        <v>0</v>
      </c>
      <c r="F406" s="5">
        <v>2</v>
      </c>
      <c r="G406" s="18" t="str">
        <f t="shared" si="74"/>
        <v>No</v>
      </c>
      <c r="H406" s="1">
        <v>2</v>
      </c>
      <c r="I406" s="21" t="str">
        <f t="shared" si="75"/>
        <v>Misty</v>
      </c>
      <c r="J406" s="1">
        <v>0.22</v>
      </c>
      <c r="K406" s="23" t="str">
        <f t="shared" si="76"/>
        <v>Safe</v>
      </c>
      <c r="L406">
        <f t="shared" si="66"/>
        <v>0.2727</v>
      </c>
      <c r="M406" s="20">
        <f t="shared" si="67"/>
        <v>0.2727</v>
      </c>
      <c r="N406">
        <f t="shared" si="68"/>
        <v>0.87</v>
      </c>
      <c r="O406" s="20" t="str">
        <f t="shared" si="69"/>
        <v>Risky</v>
      </c>
      <c r="P406">
        <f t="shared" si="70"/>
        <v>0</v>
      </c>
      <c r="Q406">
        <f t="shared" si="71"/>
        <v>0</v>
      </c>
      <c r="R406">
        <f t="shared" si="72"/>
        <v>83</v>
      </c>
      <c r="S406">
        <f t="shared" si="73"/>
        <v>83</v>
      </c>
    </row>
    <row r="407" spans="1:19" ht="15" thickBot="1" x14ac:dyDescent="0.35">
      <c r="A407" s="1">
        <v>406</v>
      </c>
      <c r="B407" s="2">
        <v>40561</v>
      </c>
      <c r="C407" s="1">
        <v>1</v>
      </c>
      <c r="D407" s="1">
        <v>21</v>
      </c>
      <c r="E407" s="3" t="b">
        <v>0</v>
      </c>
      <c r="F407" s="5">
        <v>2</v>
      </c>
      <c r="G407" s="18" t="str">
        <f t="shared" si="74"/>
        <v>No</v>
      </c>
      <c r="H407" s="1">
        <v>2</v>
      </c>
      <c r="I407" s="21" t="str">
        <f t="shared" si="75"/>
        <v>Misty</v>
      </c>
      <c r="J407" s="1">
        <v>0.22</v>
      </c>
      <c r="K407" s="23" t="str">
        <f t="shared" si="76"/>
        <v>Safe</v>
      </c>
      <c r="L407">
        <f t="shared" si="66"/>
        <v>0.2424</v>
      </c>
      <c r="M407" s="20">
        <f t="shared" si="67"/>
        <v>0.2424</v>
      </c>
      <c r="N407">
        <f t="shared" si="68"/>
        <v>0.93</v>
      </c>
      <c r="O407" s="20" t="str">
        <f t="shared" si="69"/>
        <v>Risky</v>
      </c>
      <c r="P407">
        <f t="shared" si="70"/>
        <v>0.1045</v>
      </c>
      <c r="Q407">
        <f t="shared" si="71"/>
        <v>0</v>
      </c>
      <c r="R407">
        <f t="shared" si="72"/>
        <v>41</v>
      </c>
      <c r="S407">
        <f t="shared" si="73"/>
        <v>41</v>
      </c>
    </row>
    <row r="408" spans="1:19" ht="15" thickBot="1" x14ac:dyDescent="0.35">
      <c r="A408" s="1">
        <v>407</v>
      </c>
      <c r="B408" s="2">
        <v>40561</v>
      </c>
      <c r="C408" s="1">
        <v>1</v>
      </c>
      <c r="D408" s="1">
        <v>22</v>
      </c>
      <c r="E408" s="3" t="b">
        <v>0</v>
      </c>
      <c r="F408" s="5">
        <v>2</v>
      </c>
      <c r="G408" s="18" t="str">
        <f t="shared" si="74"/>
        <v>No</v>
      </c>
      <c r="H408" s="1">
        <v>2</v>
      </c>
      <c r="I408" s="21" t="str">
        <f t="shared" si="75"/>
        <v>Misty</v>
      </c>
      <c r="J408" s="1">
        <v>0.22</v>
      </c>
      <c r="K408" s="23" t="str">
        <f t="shared" si="76"/>
        <v>Safe</v>
      </c>
      <c r="L408">
        <f t="shared" si="66"/>
        <v>0.2576</v>
      </c>
      <c r="M408" s="20">
        <f t="shared" si="67"/>
        <v>0.2576</v>
      </c>
      <c r="N408">
        <f t="shared" si="68"/>
        <v>0.93</v>
      </c>
      <c r="O408" s="20" t="str">
        <f t="shared" si="69"/>
        <v>Risky</v>
      </c>
      <c r="P408">
        <f t="shared" si="70"/>
        <v>8.9599999999999999E-2</v>
      </c>
      <c r="Q408">
        <f t="shared" si="71"/>
        <v>0</v>
      </c>
      <c r="R408">
        <f t="shared" si="72"/>
        <v>33</v>
      </c>
      <c r="S408">
        <f t="shared" si="73"/>
        <v>33</v>
      </c>
    </row>
    <row r="409" spans="1:19" ht="15" thickBot="1" x14ac:dyDescent="0.35">
      <c r="A409" s="1">
        <v>408</v>
      </c>
      <c r="B409" s="2">
        <v>40561</v>
      </c>
      <c r="C409" s="1">
        <v>1</v>
      </c>
      <c r="D409" s="1">
        <v>23</v>
      </c>
      <c r="E409" s="3" t="b">
        <v>0</v>
      </c>
      <c r="F409" s="5">
        <v>2</v>
      </c>
      <c r="G409" s="18" t="str">
        <f t="shared" si="74"/>
        <v>No</v>
      </c>
      <c r="H409" s="1">
        <v>2</v>
      </c>
      <c r="I409" s="21" t="str">
        <f t="shared" si="75"/>
        <v>Misty</v>
      </c>
      <c r="J409" s="1">
        <v>0.22</v>
      </c>
      <c r="K409" s="23" t="str">
        <f t="shared" si="76"/>
        <v>Safe</v>
      </c>
      <c r="L409">
        <f t="shared" si="66"/>
        <v>0.2727</v>
      </c>
      <c r="M409" s="20">
        <f t="shared" si="67"/>
        <v>0.2727</v>
      </c>
      <c r="N409">
        <f t="shared" si="68"/>
        <v>0.93</v>
      </c>
      <c r="O409" s="20" t="str">
        <f t="shared" si="69"/>
        <v>Risky</v>
      </c>
      <c r="P409">
        <f t="shared" si="70"/>
        <v>0</v>
      </c>
      <c r="Q409">
        <f t="shared" si="71"/>
        <v>1</v>
      </c>
      <c r="R409">
        <f t="shared" si="72"/>
        <v>19</v>
      </c>
      <c r="S409">
        <f t="shared" si="73"/>
        <v>20</v>
      </c>
    </row>
    <row r="410" spans="1:19" ht="15" thickBot="1" x14ac:dyDescent="0.35">
      <c r="A410" s="1">
        <v>409</v>
      </c>
      <c r="B410" s="2">
        <v>40562</v>
      </c>
      <c r="C410" s="1">
        <v>1</v>
      </c>
      <c r="D410" s="1">
        <v>0</v>
      </c>
      <c r="E410" s="3" t="b">
        <v>0</v>
      </c>
      <c r="F410" s="5">
        <v>3</v>
      </c>
      <c r="G410" s="18" t="str">
        <f t="shared" si="74"/>
        <v>No</v>
      </c>
      <c r="H410" s="1">
        <v>2</v>
      </c>
      <c r="I410" s="21" t="str">
        <f t="shared" si="75"/>
        <v>Misty</v>
      </c>
      <c r="J410" s="1">
        <v>0.22</v>
      </c>
      <c r="K410" s="23" t="str">
        <f t="shared" si="76"/>
        <v>Safe</v>
      </c>
      <c r="L410">
        <f t="shared" si="66"/>
        <v>0.2727</v>
      </c>
      <c r="M410" s="20">
        <f t="shared" si="67"/>
        <v>0.2727</v>
      </c>
      <c r="N410">
        <f t="shared" si="68"/>
        <v>0.93</v>
      </c>
      <c r="O410" s="20" t="str">
        <f t="shared" si="69"/>
        <v>Risky</v>
      </c>
      <c r="P410">
        <f t="shared" si="70"/>
        <v>0</v>
      </c>
      <c r="Q410">
        <f t="shared" si="71"/>
        <v>0</v>
      </c>
      <c r="R410">
        <f t="shared" si="72"/>
        <v>3</v>
      </c>
      <c r="S410">
        <f t="shared" si="73"/>
        <v>3</v>
      </c>
    </row>
    <row r="411" spans="1:19" ht="27.6" thickBot="1" x14ac:dyDescent="0.35">
      <c r="A411" s="1">
        <v>410</v>
      </c>
      <c r="B411" s="2">
        <v>40562</v>
      </c>
      <c r="C411" s="1">
        <v>1</v>
      </c>
      <c r="D411" s="1">
        <v>1</v>
      </c>
      <c r="E411" s="3" t="b">
        <v>0</v>
      </c>
      <c r="F411" s="5">
        <v>3</v>
      </c>
      <c r="G411" s="18" t="str">
        <f t="shared" si="74"/>
        <v>No</v>
      </c>
      <c r="H411" s="1">
        <v>3</v>
      </c>
      <c r="I411" s="21" t="str">
        <f t="shared" si="75"/>
        <v>Light Rain</v>
      </c>
      <c r="J411" s="1">
        <v>0.22</v>
      </c>
      <c r="K411" s="23" t="str">
        <f t="shared" si="76"/>
        <v>Safe</v>
      </c>
      <c r="L411">
        <f t="shared" si="66"/>
        <v>0.2273</v>
      </c>
      <c r="M411" s="20">
        <f t="shared" si="67"/>
        <v>0.2273</v>
      </c>
      <c r="N411">
        <f t="shared" si="68"/>
        <v>0.93</v>
      </c>
      <c r="O411" s="20" t="str">
        <f t="shared" si="69"/>
        <v>Risky</v>
      </c>
      <c r="P411">
        <f t="shared" si="70"/>
        <v>0.1343</v>
      </c>
      <c r="Q411">
        <f t="shared" si="71"/>
        <v>1</v>
      </c>
      <c r="R411">
        <f t="shared" si="72"/>
        <v>6</v>
      </c>
      <c r="S411">
        <f t="shared" si="73"/>
        <v>7</v>
      </c>
    </row>
    <row r="412" spans="1:19" ht="27.6" thickBot="1" x14ac:dyDescent="0.35">
      <c r="A412" s="1">
        <v>411</v>
      </c>
      <c r="B412" s="2">
        <v>40562</v>
      </c>
      <c r="C412" s="1">
        <v>1</v>
      </c>
      <c r="D412" s="1">
        <v>2</v>
      </c>
      <c r="E412" s="3" t="b">
        <v>0</v>
      </c>
      <c r="F412" s="5">
        <v>3</v>
      </c>
      <c r="G412" s="18" t="str">
        <f t="shared" si="74"/>
        <v>No</v>
      </c>
      <c r="H412" s="1">
        <v>3</v>
      </c>
      <c r="I412" s="21" t="str">
        <f t="shared" si="75"/>
        <v>Light Rain</v>
      </c>
      <c r="J412" s="1">
        <v>0.22</v>
      </c>
      <c r="K412" s="23" t="str">
        <f t="shared" si="76"/>
        <v>Safe</v>
      </c>
      <c r="L412">
        <f t="shared" si="66"/>
        <v>0.2273</v>
      </c>
      <c r="M412" s="20">
        <f t="shared" si="67"/>
        <v>0.2273</v>
      </c>
      <c r="N412">
        <f t="shared" si="68"/>
        <v>0.93</v>
      </c>
      <c r="O412" s="20" t="str">
        <f t="shared" si="69"/>
        <v>Risky</v>
      </c>
      <c r="P412">
        <f t="shared" si="70"/>
        <v>0.1343</v>
      </c>
      <c r="Q412">
        <f t="shared" si="71"/>
        <v>0</v>
      </c>
      <c r="R412">
        <f t="shared" si="72"/>
        <v>3</v>
      </c>
      <c r="S412">
        <f t="shared" si="73"/>
        <v>3</v>
      </c>
    </row>
    <row r="413" spans="1:19" ht="27.6" thickBot="1" x14ac:dyDescent="0.35">
      <c r="A413" s="1">
        <v>412</v>
      </c>
      <c r="B413" s="2">
        <v>40562</v>
      </c>
      <c r="C413" s="1">
        <v>1</v>
      </c>
      <c r="D413" s="1">
        <v>4</v>
      </c>
      <c r="E413" s="3" t="b">
        <v>0</v>
      </c>
      <c r="F413" s="5">
        <v>3</v>
      </c>
      <c r="G413" s="18" t="str">
        <f t="shared" si="74"/>
        <v>No</v>
      </c>
      <c r="H413" s="1">
        <v>3</v>
      </c>
      <c r="I413" s="21" t="str">
        <f t="shared" si="75"/>
        <v>Light Rain</v>
      </c>
      <c r="J413" s="1">
        <v>0.22</v>
      </c>
      <c r="K413" s="23" t="str">
        <f t="shared" si="76"/>
        <v>Safe</v>
      </c>
      <c r="L413">
        <f t="shared" si="66"/>
        <v>0.2273</v>
      </c>
      <c r="M413" s="20">
        <f t="shared" si="67"/>
        <v>0.2273</v>
      </c>
      <c r="N413">
        <f t="shared" si="68"/>
        <v>0.93</v>
      </c>
      <c r="O413" s="20" t="str">
        <f t="shared" si="69"/>
        <v>Risky</v>
      </c>
      <c r="P413">
        <f t="shared" si="70"/>
        <v>0.1343</v>
      </c>
      <c r="Q413">
        <f t="shared" si="71"/>
        <v>1</v>
      </c>
      <c r="R413">
        <f t="shared" si="72"/>
        <v>1</v>
      </c>
      <c r="S413">
        <f t="shared" si="73"/>
        <v>2</v>
      </c>
    </row>
    <row r="414" spans="1:19" ht="15" thickBot="1" x14ac:dyDescent="0.35">
      <c r="A414" s="1">
        <v>413</v>
      </c>
      <c r="B414" s="2">
        <v>40562</v>
      </c>
      <c r="C414" s="1">
        <v>1</v>
      </c>
      <c r="D414" s="1">
        <v>5</v>
      </c>
      <c r="E414" s="3" t="b">
        <v>0</v>
      </c>
      <c r="F414" s="5">
        <v>3</v>
      </c>
      <c r="G414" s="18" t="str">
        <f t="shared" si="74"/>
        <v>No</v>
      </c>
      <c r="H414" s="1">
        <v>2</v>
      </c>
      <c r="I414" s="21" t="str">
        <f t="shared" si="75"/>
        <v>Misty</v>
      </c>
      <c r="J414" s="1">
        <v>0.22</v>
      </c>
      <c r="K414" s="23" t="str">
        <f t="shared" si="76"/>
        <v>Safe</v>
      </c>
      <c r="L414">
        <f t="shared" si="66"/>
        <v>0.2576</v>
      </c>
      <c r="M414" s="20">
        <f t="shared" si="67"/>
        <v>0.2576</v>
      </c>
      <c r="N414">
        <f t="shared" si="68"/>
        <v>0.93</v>
      </c>
      <c r="O414" s="20" t="str">
        <f t="shared" si="69"/>
        <v>Risky</v>
      </c>
      <c r="P414">
        <f t="shared" si="70"/>
        <v>8.9599999999999999E-2</v>
      </c>
      <c r="Q414">
        <f t="shared" si="71"/>
        <v>0</v>
      </c>
      <c r="R414">
        <f t="shared" si="72"/>
        <v>7</v>
      </c>
      <c r="S414">
        <f t="shared" si="73"/>
        <v>7</v>
      </c>
    </row>
    <row r="415" spans="1:19" ht="15" thickBot="1" x14ac:dyDescent="0.35">
      <c r="A415" s="1">
        <v>414</v>
      </c>
      <c r="B415" s="2">
        <v>40562</v>
      </c>
      <c r="C415" s="1">
        <v>1</v>
      </c>
      <c r="D415" s="1">
        <v>6</v>
      </c>
      <c r="E415" s="3" t="b">
        <v>0</v>
      </c>
      <c r="F415" s="5">
        <v>3</v>
      </c>
      <c r="G415" s="18" t="str">
        <f t="shared" si="74"/>
        <v>No</v>
      </c>
      <c r="H415" s="1">
        <v>2</v>
      </c>
      <c r="I415" s="21" t="str">
        <f t="shared" si="75"/>
        <v>Misty</v>
      </c>
      <c r="J415" s="1">
        <v>0.22</v>
      </c>
      <c r="K415" s="23" t="str">
        <f t="shared" si="76"/>
        <v>Safe</v>
      </c>
      <c r="L415">
        <f t="shared" si="66"/>
        <v>0.2576</v>
      </c>
      <c r="M415" s="20">
        <f t="shared" si="67"/>
        <v>0.2576</v>
      </c>
      <c r="N415">
        <f t="shared" si="68"/>
        <v>0.93</v>
      </c>
      <c r="O415" s="20" t="str">
        <f t="shared" si="69"/>
        <v>Risky</v>
      </c>
      <c r="P415">
        <f t="shared" si="70"/>
        <v>8.9599999999999999E-2</v>
      </c>
      <c r="Q415">
        <f t="shared" si="71"/>
        <v>0</v>
      </c>
      <c r="R415">
        <f t="shared" si="72"/>
        <v>32</v>
      </c>
      <c r="S415">
        <f t="shared" si="73"/>
        <v>32</v>
      </c>
    </row>
    <row r="416" spans="1:19" ht="15" thickBot="1" x14ac:dyDescent="0.35">
      <c r="A416" s="1">
        <v>415</v>
      </c>
      <c r="B416" s="2">
        <v>40562</v>
      </c>
      <c r="C416" s="1">
        <v>1</v>
      </c>
      <c r="D416" s="1">
        <v>7</v>
      </c>
      <c r="E416" s="3" t="b">
        <v>0</v>
      </c>
      <c r="F416" s="5">
        <v>3</v>
      </c>
      <c r="G416" s="18" t="str">
        <f t="shared" si="74"/>
        <v>No</v>
      </c>
      <c r="H416" s="1">
        <v>2</v>
      </c>
      <c r="I416" s="21" t="str">
        <f t="shared" si="75"/>
        <v>Misty</v>
      </c>
      <c r="J416" s="1">
        <v>0.24</v>
      </c>
      <c r="K416" s="23" t="str">
        <f t="shared" si="76"/>
        <v>Safe</v>
      </c>
      <c r="L416">
        <f t="shared" si="66"/>
        <v>0.2576</v>
      </c>
      <c r="M416" s="20">
        <f t="shared" si="67"/>
        <v>0.2576</v>
      </c>
      <c r="N416">
        <f t="shared" si="68"/>
        <v>0.92</v>
      </c>
      <c r="O416" s="20" t="str">
        <f t="shared" si="69"/>
        <v>Risky</v>
      </c>
      <c r="P416">
        <f t="shared" si="70"/>
        <v>0.1045</v>
      </c>
      <c r="Q416">
        <f t="shared" si="71"/>
        <v>1</v>
      </c>
      <c r="R416">
        <f t="shared" si="72"/>
        <v>89</v>
      </c>
      <c r="S416">
        <f t="shared" si="73"/>
        <v>90</v>
      </c>
    </row>
    <row r="417" spans="1:19" ht="15" thickBot="1" x14ac:dyDescent="0.35">
      <c r="A417" s="1">
        <v>416</v>
      </c>
      <c r="B417" s="2">
        <v>40562</v>
      </c>
      <c r="C417" s="1">
        <v>1</v>
      </c>
      <c r="D417" s="1">
        <v>8</v>
      </c>
      <c r="E417" s="3" t="b">
        <v>0</v>
      </c>
      <c r="F417" s="5">
        <v>3</v>
      </c>
      <c r="G417" s="18" t="str">
        <f t="shared" si="74"/>
        <v>No</v>
      </c>
      <c r="H417" s="1">
        <v>2</v>
      </c>
      <c r="I417" s="21" t="str">
        <f t="shared" si="75"/>
        <v>Misty</v>
      </c>
      <c r="J417" s="1">
        <v>0.24</v>
      </c>
      <c r="K417" s="23" t="str">
        <f t="shared" si="76"/>
        <v>Safe</v>
      </c>
      <c r="L417">
        <f t="shared" si="66"/>
        <v>0.2576</v>
      </c>
      <c r="M417" s="20">
        <f t="shared" si="67"/>
        <v>0.2576</v>
      </c>
      <c r="N417">
        <f t="shared" si="68"/>
        <v>0.93</v>
      </c>
      <c r="O417" s="20" t="str">
        <f t="shared" si="69"/>
        <v>Risky</v>
      </c>
      <c r="P417">
        <f t="shared" si="70"/>
        <v>0.1045</v>
      </c>
      <c r="Q417">
        <f t="shared" si="71"/>
        <v>1</v>
      </c>
      <c r="R417">
        <f t="shared" si="72"/>
        <v>196</v>
      </c>
      <c r="S417">
        <f t="shared" si="73"/>
        <v>197</v>
      </c>
    </row>
    <row r="418" spans="1:19" ht="15" thickBot="1" x14ac:dyDescent="0.35">
      <c r="A418" s="1">
        <v>417</v>
      </c>
      <c r="B418" s="2">
        <v>40562</v>
      </c>
      <c r="C418" s="1">
        <v>1</v>
      </c>
      <c r="D418" s="1">
        <v>9</v>
      </c>
      <c r="E418" s="3" t="b">
        <v>0</v>
      </c>
      <c r="F418" s="5">
        <v>3</v>
      </c>
      <c r="G418" s="18" t="str">
        <f t="shared" si="74"/>
        <v>No</v>
      </c>
      <c r="H418" s="1">
        <v>2</v>
      </c>
      <c r="I418" s="21" t="str">
        <f t="shared" si="75"/>
        <v>Misty</v>
      </c>
      <c r="J418" s="1">
        <v>0.24</v>
      </c>
      <c r="K418" s="23" t="str">
        <f t="shared" si="76"/>
        <v>Safe</v>
      </c>
      <c r="L418">
        <f t="shared" si="66"/>
        <v>0.2576</v>
      </c>
      <c r="M418" s="20">
        <f t="shared" si="67"/>
        <v>0.2576</v>
      </c>
      <c r="N418">
        <f t="shared" si="68"/>
        <v>0.93</v>
      </c>
      <c r="O418" s="20" t="str">
        <f t="shared" si="69"/>
        <v>Risky</v>
      </c>
      <c r="P418">
        <f t="shared" si="70"/>
        <v>0.1045</v>
      </c>
      <c r="Q418">
        <f t="shared" si="71"/>
        <v>2</v>
      </c>
      <c r="R418">
        <f t="shared" si="72"/>
        <v>107</v>
      </c>
      <c r="S418">
        <f t="shared" si="73"/>
        <v>109</v>
      </c>
    </row>
    <row r="419" spans="1:19" ht="15" thickBot="1" x14ac:dyDescent="0.35">
      <c r="A419" s="1">
        <v>418</v>
      </c>
      <c r="B419" s="2">
        <v>40562</v>
      </c>
      <c r="C419" s="1">
        <v>1</v>
      </c>
      <c r="D419" s="1">
        <v>10</v>
      </c>
      <c r="E419" s="3" t="b">
        <v>0</v>
      </c>
      <c r="F419" s="5">
        <v>3</v>
      </c>
      <c r="G419" s="18" t="str">
        <f t="shared" si="74"/>
        <v>No</v>
      </c>
      <c r="H419" s="1">
        <v>2</v>
      </c>
      <c r="I419" s="21" t="str">
        <f t="shared" si="75"/>
        <v>Misty</v>
      </c>
      <c r="J419" s="1">
        <v>0.26</v>
      </c>
      <c r="K419" s="23" t="str">
        <f t="shared" si="76"/>
        <v>Safe</v>
      </c>
      <c r="L419">
        <f t="shared" si="66"/>
        <v>0.2727</v>
      </c>
      <c r="M419" s="20">
        <f t="shared" si="67"/>
        <v>0.2727</v>
      </c>
      <c r="N419">
        <f t="shared" si="68"/>
        <v>0.93</v>
      </c>
      <c r="O419" s="20" t="str">
        <f t="shared" si="69"/>
        <v>Risky</v>
      </c>
      <c r="P419">
        <f t="shared" si="70"/>
        <v>0.1343</v>
      </c>
      <c r="Q419">
        <f t="shared" si="71"/>
        <v>1</v>
      </c>
      <c r="R419">
        <f t="shared" si="72"/>
        <v>46</v>
      </c>
      <c r="S419">
        <f t="shared" si="73"/>
        <v>47</v>
      </c>
    </row>
    <row r="420" spans="1:19" ht="15" thickBot="1" x14ac:dyDescent="0.35">
      <c r="A420" s="1">
        <v>419</v>
      </c>
      <c r="B420" s="2">
        <v>40562</v>
      </c>
      <c r="C420" s="1">
        <v>1</v>
      </c>
      <c r="D420" s="1">
        <v>11</v>
      </c>
      <c r="E420" s="3" t="b">
        <v>0</v>
      </c>
      <c r="F420" s="5">
        <v>3</v>
      </c>
      <c r="G420" s="18" t="str">
        <f t="shared" si="74"/>
        <v>No</v>
      </c>
      <c r="H420" s="1">
        <v>2</v>
      </c>
      <c r="I420" s="21" t="str">
        <f t="shared" si="75"/>
        <v>Misty</v>
      </c>
      <c r="J420" s="1">
        <v>0.28000000000000003</v>
      </c>
      <c r="K420" s="23" t="str">
        <f t="shared" si="76"/>
        <v>Safe</v>
      </c>
      <c r="L420">
        <f t="shared" si="66"/>
        <v>0.30299999999999999</v>
      </c>
      <c r="M420" s="20">
        <f t="shared" si="67"/>
        <v>0.30299999999999999</v>
      </c>
      <c r="N420">
        <f t="shared" si="68"/>
        <v>0.87</v>
      </c>
      <c r="O420" s="20" t="str">
        <f t="shared" si="69"/>
        <v>Risky</v>
      </c>
      <c r="P420">
        <f t="shared" si="70"/>
        <v>8.9599999999999999E-2</v>
      </c>
      <c r="Q420">
        <f t="shared" si="71"/>
        <v>5</v>
      </c>
      <c r="R420">
        <f t="shared" si="72"/>
        <v>47</v>
      </c>
      <c r="S420">
        <f t="shared" si="73"/>
        <v>52</v>
      </c>
    </row>
    <row r="421" spans="1:19" ht="15" thickBot="1" x14ac:dyDescent="0.35">
      <c r="A421" s="1">
        <v>420</v>
      </c>
      <c r="B421" s="2">
        <v>40562</v>
      </c>
      <c r="C421" s="1">
        <v>1</v>
      </c>
      <c r="D421" s="1">
        <v>12</v>
      </c>
      <c r="E421" s="3" t="b">
        <v>0</v>
      </c>
      <c r="F421" s="5">
        <v>3</v>
      </c>
      <c r="G421" s="18" t="str">
        <f t="shared" si="74"/>
        <v>No</v>
      </c>
      <c r="H421" s="1">
        <v>2</v>
      </c>
      <c r="I421" s="21" t="str">
        <f t="shared" si="75"/>
        <v>Misty</v>
      </c>
      <c r="J421" s="1">
        <v>0.3</v>
      </c>
      <c r="K421" s="23" t="str">
        <f t="shared" si="76"/>
        <v>Safe</v>
      </c>
      <c r="L421">
        <f t="shared" si="66"/>
        <v>0.31819999999999998</v>
      </c>
      <c r="M421" s="20">
        <f t="shared" si="67"/>
        <v>0.31819999999999998</v>
      </c>
      <c r="N421">
        <f t="shared" si="68"/>
        <v>0.81</v>
      </c>
      <c r="O421" s="20" t="str">
        <f t="shared" si="69"/>
        <v>Risky</v>
      </c>
      <c r="P421">
        <f t="shared" si="70"/>
        <v>8.9599999999999999E-2</v>
      </c>
      <c r="Q421">
        <f t="shared" si="71"/>
        <v>5</v>
      </c>
      <c r="R421">
        <f t="shared" si="72"/>
        <v>65</v>
      </c>
      <c r="S421">
        <f t="shared" si="73"/>
        <v>70</v>
      </c>
    </row>
    <row r="422" spans="1:19" ht="15" thickBot="1" x14ac:dyDescent="0.35">
      <c r="A422" s="1">
        <v>421</v>
      </c>
      <c r="B422" s="2">
        <v>40562</v>
      </c>
      <c r="C422" s="1">
        <v>1</v>
      </c>
      <c r="D422" s="1">
        <v>13</v>
      </c>
      <c r="E422" s="3" t="b">
        <v>0</v>
      </c>
      <c r="F422" s="5">
        <v>3</v>
      </c>
      <c r="G422" s="18" t="str">
        <f t="shared" si="74"/>
        <v>No</v>
      </c>
      <c r="H422" s="1">
        <v>1</v>
      </c>
      <c r="I422" s="21" t="str">
        <f t="shared" si="75"/>
        <v>Clean</v>
      </c>
      <c r="J422" s="1">
        <v>0.4</v>
      </c>
      <c r="K422" s="23" t="str">
        <f t="shared" si="76"/>
        <v>Risky</v>
      </c>
      <c r="L422">
        <f t="shared" si="66"/>
        <v>0.40910000000000002</v>
      </c>
      <c r="M422" s="20">
        <f t="shared" si="67"/>
        <v>0.40910000000000002</v>
      </c>
      <c r="N422">
        <f t="shared" si="68"/>
        <v>0.62</v>
      </c>
      <c r="O422" s="20" t="str">
        <f t="shared" si="69"/>
        <v>Acceptable</v>
      </c>
      <c r="P422">
        <f t="shared" si="70"/>
        <v>0.28360000000000002</v>
      </c>
      <c r="Q422">
        <f t="shared" si="71"/>
        <v>11</v>
      </c>
      <c r="R422">
        <f t="shared" si="72"/>
        <v>67</v>
      </c>
      <c r="S422">
        <f t="shared" si="73"/>
        <v>78</v>
      </c>
    </row>
    <row r="423" spans="1:19" ht="15" thickBot="1" x14ac:dyDescent="0.35">
      <c r="A423" s="1">
        <v>422</v>
      </c>
      <c r="B423" s="2">
        <v>40562</v>
      </c>
      <c r="C423" s="1">
        <v>1</v>
      </c>
      <c r="D423" s="1">
        <v>14</v>
      </c>
      <c r="E423" s="3" t="b">
        <v>0</v>
      </c>
      <c r="F423" s="5">
        <v>3</v>
      </c>
      <c r="G423" s="18" t="str">
        <f t="shared" si="74"/>
        <v>No</v>
      </c>
      <c r="H423" s="1">
        <v>1</v>
      </c>
      <c r="I423" s="21" t="str">
        <f t="shared" si="75"/>
        <v>Clean</v>
      </c>
      <c r="J423" s="1">
        <v>0.4</v>
      </c>
      <c r="K423" s="23" t="str">
        <f t="shared" si="76"/>
        <v>Risky</v>
      </c>
      <c r="L423">
        <f t="shared" si="66"/>
        <v>0.40910000000000002</v>
      </c>
      <c r="M423" s="20">
        <f t="shared" si="67"/>
        <v>0.40910000000000002</v>
      </c>
      <c r="N423">
        <f t="shared" si="68"/>
        <v>0.57999999999999996</v>
      </c>
      <c r="O423" s="20" t="str">
        <f t="shared" si="69"/>
        <v>Acceptable</v>
      </c>
      <c r="P423">
        <f t="shared" si="70"/>
        <v>0.25369999999999998</v>
      </c>
      <c r="Q423">
        <f t="shared" si="71"/>
        <v>7</v>
      </c>
      <c r="R423">
        <f t="shared" si="72"/>
        <v>68</v>
      </c>
      <c r="S423">
        <f t="shared" si="73"/>
        <v>75</v>
      </c>
    </row>
    <row r="424" spans="1:19" ht="15" thickBot="1" x14ac:dyDescent="0.35">
      <c r="A424" s="1">
        <v>423</v>
      </c>
      <c r="B424" s="2">
        <v>40562</v>
      </c>
      <c r="C424" s="1">
        <v>1</v>
      </c>
      <c r="D424" s="1">
        <v>15</v>
      </c>
      <c r="E424" s="3" t="b">
        <v>0</v>
      </c>
      <c r="F424" s="5">
        <v>3</v>
      </c>
      <c r="G424" s="18" t="str">
        <f t="shared" si="74"/>
        <v>No</v>
      </c>
      <c r="H424" s="1">
        <v>1</v>
      </c>
      <c r="I424" s="21" t="str">
        <f t="shared" si="75"/>
        <v>Clean</v>
      </c>
      <c r="J424" s="1">
        <v>0.4</v>
      </c>
      <c r="K424" s="23" t="str">
        <f t="shared" si="76"/>
        <v>Risky</v>
      </c>
      <c r="L424">
        <f t="shared" si="66"/>
        <v>0.40910000000000002</v>
      </c>
      <c r="M424" s="20">
        <f t="shared" si="67"/>
        <v>0.40910000000000002</v>
      </c>
      <c r="N424">
        <f t="shared" si="68"/>
        <v>0.54</v>
      </c>
      <c r="O424" s="20" t="str">
        <f t="shared" si="69"/>
        <v>Acceptable</v>
      </c>
      <c r="P424">
        <f t="shared" si="70"/>
        <v>0.28360000000000002</v>
      </c>
      <c r="Q424">
        <f t="shared" si="71"/>
        <v>4</v>
      </c>
      <c r="R424">
        <f t="shared" si="72"/>
        <v>78</v>
      </c>
      <c r="S424">
        <f t="shared" si="73"/>
        <v>82</v>
      </c>
    </row>
    <row r="425" spans="1:19" ht="15" thickBot="1" x14ac:dyDescent="0.35">
      <c r="A425" s="1">
        <v>424</v>
      </c>
      <c r="B425" s="2">
        <v>40562</v>
      </c>
      <c r="C425" s="1">
        <v>1</v>
      </c>
      <c r="D425" s="1">
        <v>16</v>
      </c>
      <c r="E425" s="3" t="b">
        <v>0</v>
      </c>
      <c r="F425" s="5">
        <v>3</v>
      </c>
      <c r="G425" s="18" t="str">
        <f t="shared" si="74"/>
        <v>No</v>
      </c>
      <c r="H425" s="1">
        <v>1</v>
      </c>
      <c r="I425" s="21" t="str">
        <f t="shared" si="75"/>
        <v>Clean</v>
      </c>
      <c r="J425" s="1">
        <v>0.38</v>
      </c>
      <c r="K425" s="23" t="str">
        <f t="shared" si="76"/>
        <v>Risky</v>
      </c>
      <c r="L425">
        <f t="shared" si="66"/>
        <v>0.39389999999999997</v>
      </c>
      <c r="M425" s="20">
        <f t="shared" si="67"/>
        <v>0.39389999999999997</v>
      </c>
      <c r="N425">
        <f t="shared" si="68"/>
        <v>0.57999999999999996</v>
      </c>
      <c r="O425" s="20" t="str">
        <f t="shared" si="69"/>
        <v>Acceptable</v>
      </c>
      <c r="P425">
        <f t="shared" si="70"/>
        <v>0.3881</v>
      </c>
      <c r="Q425">
        <f t="shared" si="71"/>
        <v>10</v>
      </c>
      <c r="R425">
        <f t="shared" si="72"/>
        <v>94</v>
      </c>
      <c r="S425">
        <f t="shared" si="73"/>
        <v>104</v>
      </c>
    </row>
    <row r="426" spans="1:19" ht="15" thickBot="1" x14ac:dyDescent="0.35">
      <c r="A426" s="1">
        <v>425</v>
      </c>
      <c r="B426" s="2">
        <v>40562</v>
      </c>
      <c r="C426" s="1">
        <v>1</v>
      </c>
      <c r="D426" s="1">
        <v>17</v>
      </c>
      <c r="E426" s="3" t="b">
        <v>0</v>
      </c>
      <c r="F426" s="5">
        <v>3</v>
      </c>
      <c r="G426" s="18" t="str">
        <f t="shared" si="74"/>
        <v>No</v>
      </c>
      <c r="H426" s="1">
        <v>1</v>
      </c>
      <c r="I426" s="21" t="str">
        <f t="shared" si="75"/>
        <v>Clean</v>
      </c>
      <c r="J426" s="1">
        <v>0.36</v>
      </c>
      <c r="K426" s="23" t="str">
        <f t="shared" si="76"/>
        <v>Risky</v>
      </c>
      <c r="L426">
        <f t="shared" si="66"/>
        <v>0.33329999999999999</v>
      </c>
      <c r="M426" s="20">
        <f t="shared" si="67"/>
        <v>0.33329999999999999</v>
      </c>
      <c r="N426">
        <f t="shared" si="68"/>
        <v>0.56999999999999995</v>
      </c>
      <c r="O426" s="20" t="str">
        <f t="shared" si="69"/>
        <v>Acceptable</v>
      </c>
      <c r="P426">
        <f t="shared" si="70"/>
        <v>0.32840000000000003</v>
      </c>
      <c r="Q426">
        <f t="shared" si="71"/>
        <v>7</v>
      </c>
      <c r="R426">
        <f t="shared" si="72"/>
        <v>190</v>
      </c>
      <c r="S426">
        <f t="shared" si="73"/>
        <v>197</v>
      </c>
    </row>
    <row r="427" spans="1:19" ht="15" thickBot="1" x14ac:dyDescent="0.35">
      <c r="A427" s="1">
        <v>426</v>
      </c>
      <c r="B427" s="2">
        <v>40562</v>
      </c>
      <c r="C427" s="1">
        <v>1</v>
      </c>
      <c r="D427" s="1">
        <v>18</v>
      </c>
      <c r="E427" s="3" t="b">
        <v>0</v>
      </c>
      <c r="F427" s="5">
        <v>3</v>
      </c>
      <c r="G427" s="18" t="str">
        <f t="shared" si="74"/>
        <v>No</v>
      </c>
      <c r="H427" s="1">
        <v>1</v>
      </c>
      <c r="I427" s="21" t="str">
        <f t="shared" si="75"/>
        <v>Clean</v>
      </c>
      <c r="J427" s="1">
        <v>0.34</v>
      </c>
      <c r="K427" s="23" t="str">
        <f t="shared" si="76"/>
        <v>Safe</v>
      </c>
      <c r="L427">
        <f t="shared" si="66"/>
        <v>0.31819999999999998</v>
      </c>
      <c r="M427" s="20">
        <f t="shared" si="67"/>
        <v>0.31819999999999998</v>
      </c>
      <c r="N427">
        <f t="shared" si="68"/>
        <v>0.61</v>
      </c>
      <c r="O427" s="20" t="str">
        <f t="shared" si="69"/>
        <v>Acceptable</v>
      </c>
      <c r="P427">
        <f t="shared" si="70"/>
        <v>0.28360000000000002</v>
      </c>
      <c r="Q427">
        <f t="shared" si="71"/>
        <v>5</v>
      </c>
      <c r="R427">
        <f t="shared" si="72"/>
        <v>156</v>
      </c>
      <c r="S427">
        <f t="shared" si="73"/>
        <v>161</v>
      </c>
    </row>
    <row r="428" spans="1:19" ht="15" thickBot="1" x14ac:dyDescent="0.35">
      <c r="A428" s="1">
        <v>427</v>
      </c>
      <c r="B428" s="2">
        <v>40562</v>
      </c>
      <c r="C428" s="1">
        <v>1</v>
      </c>
      <c r="D428" s="1">
        <v>19</v>
      </c>
      <c r="E428" s="3" t="b">
        <v>0</v>
      </c>
      <c r="F428" s="5">
        <v>3</v>
      </c>
      <c r="G428" s="18" t="str">
        <f t="shared" si="74"/>
        <v>No</v>
      </c>
      <c r="H428" s="1">
        <v>1</v>
      </c>
      <c r="I428" s="21" t="str">
        <f t="shared" si="75"/>
        <v>Clean</v>
      </c>
      <c r="J428" s="1">
        <v>0.32</v>
      </c>
      <c r="K428" s="23" t="str">
        <f t="shared" si="76"/>
        <v>Safe</v>
      </c>
      <c r="L428">
        <f t="shared" si="66"/>
        <v>0.28789999999999999</v>
      </c>
      <c r="M428" s="20">
        <f t="shared" si="67"/>
        <v>0.28789999999999999</v>
      </c>
      <c r="N428">
        <f t="shared" si="68"/>
        <v>0.56999999999999995</v>
      </c>
      <c r="O428" s="20" t="str">
        <f t="shared" si="69"/>
        <v>Acceptable</v>
      </c>
      <c r="P428">
        <f t="shared" si="70"/>
        <v>0.41789999999999999</v>
      </c>
      <c r="Q428">
        <f t="shared" si="71"/>
        <v>4</v>
      </c>
      <c r="R428">
        <f t="shared" si="72"/>
        <v>108</v>
      </c>
      <c r="S428">
        <f t="shared" si="73"/>
        <v>112</v>
      </c>
    </row>
    <row r="429" spans="1:19" ht="15" thickBot="1" x14ac:dyDescent="0.35">
      <c r="A429" s="1">
        <v>428</v>
      </c>
      <c r="B429" s="2">
        <v>40562</v>
      </c>
      <c r="C429" s="1">
        <v>1</v>
      </c>
      <c r="D429" s="1">
        <v>20</v>
      </c>
      <c r="E429" s="3" t="b">
        <v>0</v>
      </c>
      <c r="F429" s="5">
        <v>3</v>
      </c>
      <c r="G429" s="18" t="str">
        <f t="shared" si="74"/>
        <v>No</v>
      </c>
      <c r="H429" s="1">
        <v>1</v>
      </c>
      <c r="I429" s="21" t="str">
        <f t="shared" si="75"/>
        <v>Clean</v>
      </c>
      <c r="J429" s="1">
        <v>0.32</v>
      </c>
      <c r="K429" s="23" t="str">
        <f t="shared" si="76"/>
        <v>Safe</v>
      </c>
      <c r="L429">
        <f t="shared" si="66"/>
        <v>0.30299999999999999</v>
      </c>
      <c r="M429" s="20">
        <f t="shared" si="67"/>
        <v>0.30299999999999999</v>
      </c>
      <c r="N429">
        <f t="shared" si="68"/>
        <v>0.49</v>
      </c>
      <c r="O429" s="20" t="str">
        <f t="shared" si="69"/>
        <v>Acceptable</v>
      </c>
      <c r="P429">
        <f t="shared" si="70"/>
        <v>0.29849999999999999</v>
      </c>
      <c r="Q429">
        <f t="shared" si="71"/>
        <v>2</v>
      </c>
      <c r="R429">
        <f t="shared" si="72"/>
        <v>74</v>
      </c>
      <c r="S429">
        <f t="shared" si="73"/>
        <v>76</v>
      </c>
    </row>
    <row r="430" spans="1:19" ht="15" thickBot="1" x14ac:dyDescent="0.35">
      <c r="A430" s="1">
        <v>429</v>
      </c>
      <c r="B430" s="2">
        <v>40562</v>
      </c>
      <c r="C430" s="1">
        <v>1</v>
      </c>
      <c r="D430" s="1">
        <v>21</v>
      </c>
      <c r="E430" s="3" t="b">
        <v>0</v>
      </c>
      <c r="F430" s="5">
        <v>3</v>
      </c>
      <c r="G430" s="18" t="str">
        <f t="shared" si="74"/>
        <v>No</v>
      </c>
      <c r="H430" s="1">
        <v>1</v>
      </c>
      <c r="I430" s="21" t="str">
        <f t="shared" si="75"/>
        <v>Clean</v>
      </c>
      <c r="J430" s="1">
        <v>0.32</v>
      </c>
      <c r="K430" s="23" t="str">
        <f t="shared" si="76"/>
        <v>Safe</v>
      </c>
      <c r="L430">
        <f t="shared" si="66"/>
        <v>0.28789999999999999</v>
      </c>
      <c r="M430" s="20">
        <f t="shared" si="67"/>
        <v>0.28789999999999999</v>
      </c>
      <c r="N430">
        <f t="shared" si="68"/>
        <v>0.49</v>
      </c>
      <c r="O430" s="20" t="str">
        <f t="shared" si="69"/>
        <v>Acceptable</v>
      </c>
      <c r="P430">
        <f t="shared" si="70"/>
        <v>0.41789999999999999</v>
      </c>
      <c r="Q430">
        <f t="shared" si="71"/>
        <v>4</v>
      </c>
      <c r="R430">
        <f t="shared" si="72"/>
        <v>55</v>
      </c>
      <c r="S430">
        <f t="shared" si="73"/>
        <v>59</v>
      </c>
    </row>
    <row r="431" spans="1:19" ht="15" thickBot="1" x14ac:dyDescent="0.35">
      <c r="A431" s="1">
        <v>430</v>
      </c>
      <c r="B431" s="2">
        <v>40562</v>
      </c>
      <c r="C431" s="1">
        <v>1</v>
      </c>
      <c r="D431" s="1">
        <v>22</v>
      </c>
      <c r="E431" s="3" t="b">
        <v>0</v>
      </c>
      <c r="F431" s="5">
        <v>3</v>
      </c>
      <c r="G431" s="18" t="str">
        <f t="shared" si="74"/>
        <v>No</v>
      </c>
      <c r="H431" s="1">
        <v>1</v>
      </c>
      <c r="I431" s="21" t="str">
        <f t="shared" si="75"/>
        <v>Clean</v>
      </c>
      <c r="J431" s="1">
        <v>0.3</v>
      </c>
      <c r="K431" s="23" t="str">
        <f t="shared" si="76"/>
        <v>Safe</v>
      </c>
      <c r="L431">
        <f t="shared" si="66"/>
        <v>0.30299999999999999</v>
      </c>
      <c r="M431" s="20">
        <f t="shared" si="67"/>
        <v>0.30299999999999999</v>
      </c>
      <c r="N431">
        <f t="shared" si="68"/>
        <v>0.52</v>
      </c>
      <c r="O431" s="20" t="str">
        <f t="shared" si="69"/>
        <v>Acceptable</v>
      </c>
      <c r="P431">
        <f t="shared" si="70"/>
        <v>0.16420000000000001</v>
      </c>
      <c r="Q431">
        <f t="shared" si="71"/>
        <v>6</v>
      </c>
      <c r="R431">
        <f t="shared" si="72"/>
        <v>53</v>
      </c>
      <c r="S431">
        <f t="shared" si="73"/>
        <v>59</v>
      </c>
    </row>
    <row r="432" spans="1:19" ht="15" thickBot="1" x14ac:dyDescent="0.35">
      <c r="A432" s="1">
        <v>431</v>
      </c>
      <c r="B432" s="2">
        <v>40562</v>
      </c>
      <c r="C432" s="1">
        <v>1</v>
      </c>
      <c r="D432" s="1">
        <v>23</v>
      </c>
      <c r="E432" s="3" t="b">
        <v>0</v>
      </c>
      <c r="F432" s="5">
        <v>3</v>
      </c>
      <c r="G432" s="18" t="str">
        <f t="shared" si="74"/>
        <v>No</v>
      </c>
      <c r="H432" s="1">
        <v>1</v>
      </c>
      <c r="I432" s="21" t="str">
        <f t="shared" si="75"/>
        <v>Clean</v>
      </c>
      <c r="J432" s="1">
        <v>0.3</v>
      </c>
      <c r="K432" s="23" t="str">
        <f t="shared" si="76"/>
        <v>Safe</v>
      </c>
      <c r="L432">
        <f t="shared" si="66"/>
        <v>0.2727</v>
      </c>
      <c r="M432" s="20">
        <f t="shared" si="67"/>
        <v>0.2727</v>
      </c>
      <c r="N432">
        <f t="shared" si="68"/>
        <v>0.52</v>
      </c>
      <c r="O432" s="20" t="str">
        <f t="shared" si="69"/>
        <v>Acceptable</v>
      </c>
      <c r="P432">
        <f t="shared" si="70"/>
        <v>0.4627</v>
      </c>
      <c r="Q432">
        <f t="shared" si="71"/>
        <v>1</v>
      </c>
      <c r="R432">
        <f t="shared" si="72"/>
        <v>27</v>
      </c>
      <c r="S432">
        <f t="shared" si="73"/>
        <v>28</v>
      </c>
    </row>
    <row r="433" spans="1:19" ht="15" thickBot="1" x14ac:dyDescent="0.35">
      <c r="A433" s="1">
        <v>432</v>
      </c>
      <c r="B433" s="2">
        <v>40563</v>
      </c>
      <c r="C433" s="1">
        <v>1</v>
      </c>
      <c r="D433" s="1">
        <v>0</v>
      </c>
      <c r="E433" s="3" t="b">
        <v>0</v>
      </c>
      <c r="F433" s="5">
        <v>4</v>
      </c>
      <c r="G433" s="18" t="str">
        <f t="shared" si="74"/>
        <v>No</v>
      </c>
      <c r="H433" s="1">
        <v>1</v>
      </c>
      <c r="I433" s="21" t="str">
        <f t="shared" si="75"/>
        <v>Clean</v>
      </c>
      <c r="J433" s="1">
        <v>0.26</v>
      </c>
      <c r="K433" s="23" t="str">
        <f t="shared" si="76"/>
        <v>Safe</v>
      </c>
      <c r="L433">
        <f t="shared" si="66"/>
        <v>0.2273</v>
      </c>
      <c r="M433" s="20">
        <f t="shared" si="67"/>
        <v>0.2273</v>
      </c>
      <c r="N433">
        <f t="shared" si="68"/>
        <v>0.56000000000000005</v>
      </c>
      <c r="O433" s="20" t="str">
        <f t="shared" si="69"/>
        <v>Acceptable</v>
      </c>
      <c r="P433">
        <f t="shared" si="70"/>
        <v>0.3881</v>
      </c>
      <c r="Q433">
        <f t="shared" si="71"/>
        <v>5</v>
      </c>
      <c r="R433">
        <f t="shared" si="72"/>
        <v>8</v>
      </c>
      <c r="S433">
        <f t="shared" si="73"/>
        <v>13</v>
      </c>
    </row>
    <row r="434" spans="1:19" ht="15" thickBot="1" x14ac:dyDescent="0.35">
      <c r="A434" s="1">
        <v>433</v>
      </c>
      <c r="B434" s="2">
        <v>40563</v>
      </c>
      <c r="C434" s="1">
        <v>1</v>
      </c>
      <c r="D434" s="1">
        <v>1</v>
      </c>
      <c r="E434" s="3" t="b">
        <v>0</v>
      </c>
      <c r="F434" s="5">
        <v>4</v>
      </c>
      <c r="G434" s="18" t="str">
        <f t="shared" si="74"/>
        <v>No</v>
      </c>
      <c r="H434" s="1">
        <v>1</v>
      </c>
      <c r="I434" s="21" t="str">
        <f t="shared" si="75"/>
        <v>Clean</v>
      </c>
      <c r="J434" s="1">
        <v>0.26</v>
      </c>
      <c r="K434" s="23" t="str">
        <f t="shared" si="76"/>
        <v>Safe</v>
      </c>
      <c r="L434">
        <f t="shared" si="66"/>
        <v>0.2727</v>
      </c>
      <c r="M434" s="20">
        <f t="shared" si="67"/>
        <v>0.2727</v>
      </c>
      <c r="N434">
        <f t="shared" si="68"/>
        <v>0.56000000000000005</v>
      </c>
      <c r="O434" s="20" t="str">
        <f t="shared" si="69"/>
        <v>Acceptable</v>
      </c>
      <c r="P434">
        <f t="shared" si="70"/>
        <v>0</v>
      </c>
      <c r="Q434">
        <f t="shared" si="71"/>
        <v>2</v>
      </c>
      <c r="R434">
        <f t="shared" si="72"/>
        <v>3</v>
      </c>
      <c r="S434">
        <f t="shared" si="73"/>
        <v>5</v>
      </c>
    </row>
    <row r="435" spans="1:19" ht="15" thickBot="1" x14ac:dyDescent="0.35">
      <c r="A435" s="1">
        <v>434</v>
      </c>
      <c r="B435" s="2">
        <v>40563</v>
      </c>
      <c r="C435" s="1">
        <v>1</v>
      </c>
      <c r="D435" s="1">
        <v>2</v>
      </c>
      <c r="E435" s="3" t="b">
        <v>0</v>
      </c>
      <c r="F435" s="5">
        <v>4</v>
      </c>
      <c r="G435" s="18" t="str">
        <f t="shared" si="74"/>
        <v>No</v>
      </c>
      <c r="H435" s="1">
        <v>1</v>
      </c>
      <c r="I435" s="21" t="str">
        <f t="shared" si="75"/>
        <v>Clean</v>
      </c>
      <c r="J435" s="1">
        <v>0.26</v>
      </c>
      <c r="K435" s="23" t="str">
        <f t="shared" si="76"/>
        <v>Safe</v>
      </c>
      <c r="L435">
        <f t="shared" si="66"/>
        <v>0.2727</v>
      </c>
      <c r="M435" s="20">
        <f t="shared" si="67"/>
        <v>0.2727</v>
      </c>
      <c r="N435">
        <f t="shared" si="68"/>
        <v>0.56000000000000005</v>
      </c>
      <c r="O435" s="20" t="str">
        <f t="shared" si="69"/>
        <v>Acceptable</v>
      </c>
      <c r="P435">
        <f t="shared" si="70"/>
        <v>0</v>
      </c>
      <c r="Q435">
        <f t="shared" si="71"/>
        <v>0</v>
      </c>
      <c r="R435">
        <f t="shared" si="72"/>
        <v>2</v>
      </c>
      <c r="S435">
        <f t="shared" si="73"/>
        <v>2</v>
      </c>
    </row>
    <row r="436" spans="1:19" ht="15" thickBot="1" x14ac:dyDescent="0.35">
      <c r="A436" s="1">
        <v>435</v>
      </c>
      <c r="B436" s="2">
        <v>40563</v>
      </c>
      <c r="C436" s="1">
        <v>1</v>
      </c>
      <c r="D436" s="1">
        <v>3</v>
      </c>
      <c r="E436" s="3" t="b">
        <v>0</v>
      </c>
      <c r="F436" s="5">
        <v>4</v>
      </c>
      <c r="G436" s="18" t="str">
        <f t="shared" si="74"/>
        <v>No</v>
      </c>
      <c r="H436" s="1">
        <v>1</v>
      </c>
      <c r="I436" s="21" t="str">
        <f t="shared" si="75"/>
        <v>Clean</v>
      </c>
      <c r="J436" s="1">
        <v>0.26</v>
      </c>
      <c r="K436" s="23" t="str">
        <f t="shared" si="76"/>
        <v>Safe</v>
      </c>
      <c r="L436">
        <f t="shared" si="66"/>
        <v>0.2576</v>
      </c>
      <c r="M436" s="20">
        <f t="shared" si="67"/>
        <v>0.2576</v>
      </c>
      <c r="N436">
        <f t="shared" si="68"/>
        <v>0.56000000000000005</v>
      </c>
      <c r="O436" s="20" t="str">
        <f t="shared" si="69"/>
        <v>Acceptable</v>
      </c>
      <c r="P436">
        <f t="shared" si="70"/>
        <v>0.16420000000000001</v>
      </c>
      <c r="Q436">
        <f t="shared" si="71"/>
        <v>0</v>
      </c>
      <c r="R436">
        <f t="shared" si="72"/>
        <v>1</v>
      </c>
      <c r="S436">
        <f t="shared" si="73"/>
        <v>1</v>
      </c>
    </row>
    <row r="437" spans="1:19" ht="15" thickBot="1" x14ac:dyDescent="0.35">
      <c r="A437" s="1">
        <v>436</v>
      </c>
      <c r="B437" s="2">
        <v>40563</v>
      </c>
      <c r="C437" s="1">
        <v>1</v>
      </c>
      <c r="D437" s="1">
        <v>4</v>
      </c>
      <c r="E437" s="3" t="b">
        <v>0</v>
      </c>
      <c r="F437" s="5">
        <v>4</v>
      </c>
      <c r="G437" s="18" t="str">
        <f t="shared" si="74"/>
        <v>No</v>
      </c>
      <c r="H437" s="1">
        <v>1</v>
      </c>
      <c r="I437" s="21" t="str">
        <f t="shared" si="75"/>
        <v>Clean</v>
      </c>
      <c r="J437" s="1">
        <v>0.26</v>
      </c>
      <c r="K437" s="23" t="str">
        <f t="shared" si="76"/>
        <v>Safe</v>
      </c>
      <c r="L437">
        <f t="shared" si="66"/>
        <v>0.2576</v>
      </c>
      <c r="M437" s="20">
        <f t="shared" si="67"/>
        <v>0.2576</v>
      </c>
      <c r="N437">
        <f t="shared" si="68"/>
        <v>0.56000000000000005</v>
      </c>
      <c r="O437" s="20" t="str">
        <f t="shared" si="69"/>
        <v>Acceptable</v>
      </c>
      <c r="P437">
        <f t="shared" si="70"/>
        <v>0.16420000000000001</v>
      </c>
      <c r="Q437">
        <f t="shared" si="71"/>
        <v>0</v>
      </c>
      <c r="R437">
        <f t="shared" si="72"/>
        <v>1</v>
      </c>
      <c r="S437">
        <f t="shared" si="73"/>
        <v>1</v>
      </c>
    </row>
    <row r="438" spans="1:19" ht="15" thickBot="1" x14ac:dyDescent="0.35">
      <c r="A438" s="1">
        <v>437</v>
      </c>
      <c r="B438" s="2">
        <v>40563</v>
      </c>
      <c r="C438" s="1">
        <v>1</v>
      </c>
      <c r="D438" s="1">
        <v>5</v>
      </c>
      <c r="E438" s="3" t="b">
        <v>0</v>
      </c>
      <c r="F438" s="5">
        <v>4</v>
      </c>
      <c r="G438" s="18" t="str">
        <f t="shared" si="74"/>
        <v>No</v>
      </c>
      <c r="H438" s="1">
        <v>1</v>
      </c>
      <c r="I438" s="21" t="str">
        <f t="shared" si="75"/>
        <v>Clean</v>
      </c>
      <c r="J438" s="1">
        <v>0.24</v>
      </c>
      <c r="K438" s="23" t="str">
        <f t="shared" si="76"/>
        <v>Safe</v>
      </c>
      <c r="L438">
        <f t="shared" si="66"/>
        <v>0.2273</v>
      </c>
      <c r="M438" s="20">
        <f t="shared" si="67"/>
        <v>0.2273</v>
      </c>
      <c r="N438">
        <f t="shared" si="68"/>
        <v>0.6</v>
      </c>
      <c r="O438" s="20" t="str">
        <f t="shared" si="69"/>
        <v>Acceptable</v>
      </c>
      <c r="P438">
        <f t="shared" si="70"/>
        <v>0.22389999999999999</v>
      </c>
      <c r="Q438">
        <f t="shared" si="71"/>
        <v>0</v>
      </c>
      <c r="R438">
        <f t="shared" si="72"/>
        <v>6</v>
      </c>
      <c r="S438">
        <f t="shared" si="73"/>
        <v>6</v>
      </c>
    </row>
    <row r="439" spans="1:19" ht="15" thickBot="1" x14ac:dyDescent="0.35">
      <c r="A439" s="1">
        <v>438</v>
      </c>
      <c r="B439" s="2">
        <v>40563</v>
      </c>
      <c r="C439" s="1">
        <v>1</v>
      </c>
      <c r="D439" s="1">
        <v>6</v>
      </c>
      <c r="E439" s="3" t="b">
        <v>0</v>
      </c>
      <c r="F439" s="5">
        <v>4</v>
      </c>
      <c r="G439" s="18" t="str">
        <f t="shared" si="74"/>
        <v>No</v>
      </c>
      <c r="H439" s="1">
        <v>1</v>
      </c>
      <c r="I439" s="21" t="str">
        <f t="shared" si="75"/>
        <v>Clean</v>
      </c>
      <c r="J439" s="1">
        <v>0.22</v>
      </c>
      <c r="K439" s="23" t="str">
        <f t="shared" si="76"/>
        <v>Safe</v>
      </c>
      <c r="L439">
        <f t="shared" si="66"/>
        <v>0.21210000000000001</v>
      </c>
      <c r="M439" s="20">
        <f t="shared" si="67"/>
        <v>0.21210000000000001</v>
      </c>
      <c r="N439">
        <f t="shared" si="68"/>
        <v>0.6</v>
      </c>
      <c r="O439" s="20" t="str">
        <f t="shared" si="69"/>
        <v>Acceptable</v>
      </c>
      <c r="P439">
        <f t="shared" si="70"/>
        <v>0.22389999999999999</v>
      </c>
      <c r="Q439">
        <f t="shared" si="71"/>
        <v>0</v>
      </c>
      <c r="R439">
        <f t="shared" si="72"/>
        <v>35</v>
      </c>
      <c r="S439">
        <f t="shared" si="73"/>
        <v>35</v>
      </c>
    </row>
    <row r="440" spans="1:19" ht="15" thickBot="1" x14ac:dyDescent="0.35">
      <c r="A440" s="1">
        <v>439</v>
      </c>
      <c r="B440" s="2">
        <v>40563</v>
      </c>
      <c r="C440" s="1">
        <v>1</v>
      </c>
      <c r="D440" s="1">
        <v>7</v>
      </c>
      <c r="E440" s="3" t="b">
        <v>0</v>
      </c>
      <c r="F440" s="5">
        <v>4</v>
      </c>
      <c r="G440" s="18" t="str">
        <f t="shared" si="74"/>
        <v>No</v>
      </c>
      <c r="H440" s="1">
        <v>1</v>
      </c>
      <c r="I440" s="21" t="str">
        <f t="shared" si="75"/>
        <v>Clean</v>
      </c>
      <c r="J440" s="1">
        <v>0.22</v>
      </c>
      <c r="K440" s="23" t="str">
        <f t="shared" si="76"/>
        <v>Safe</v>
      </c>
      <c r="L440">
        <f t="shared" si="66"/>
        <v>0.21210000000000001</v>
      </c>
      <c r="M440" s="20">
        <f t="shared" si="67"/>
        <v>0.21210000000000001</v>
      </c>
      <c r="N440">
        <f t="shared" si="68"/>
        <v>0.55000000000000004</v>
      </c>
      <c r="O440" s="20" t="str">
        <f t="shared" si="69"/>
        <v>Acceptable</v>
      </c>
      <c r="P440">
        <f t="shared" si="70"/>
        <v>0.22389999999999999</v>
      </c>
      <c r="Q440">
        <f t="shared" si="71"/>
        <v>1</v>
      </c>
      <c r="R440">
        <f t="shared" si="72"/>
        <v>100</v>
      </c>
      <c r="S440">
        <f t="shared" si="73"/>
        <v>101</v>
      </c>
    </row>
    <row r="441" spans="1:19" ht="15" thickBot="1" x14ac:dyDescent="0.35">
      <c r="A441" s="1">
        <v>440</v>
      </c>
      <c r="B441" s="2">
        <v>40563</v>
      </c>
      <c r="C441" s="1">
        <v>1</v>
      </c>
      <c r="D441" s="1">
        <v>8</v>
      </c>
      <c r="E441" s="3" t="b">
        <v>0</v>
      </c>
      <c r="F441" s="5">
        <v>4</v>
      </c>
      <c r="G441" s="18" t="str">
        <f t="shared" si="74"/>
        <v>No</v>
      </c>
      <c r="H441" s="1">
        <v>1</v>
      </c>
      <c r="I441" s="21" t="str">
        <f t="shared" si="75"/>
        <v>Clean</v>
      </c>
      <c r="J441" s="1">
        <v>0.22</v>
      </c>
      <c r="K441" s="23" t="str">
        <f t="shared" si="76"/>
        <v>Safe</v>
      </c>
      <c r="L441">
        <f t="shared" si="66"/>
        <v>0.21210000000000001</v>
      </c>
      <c r="M441" s="20">
        <f t="shared" si="67"/>
        <v>0.21210000000000001</v>
      </c>
      <c r="N441">
        <f t="shared" si="68"/>
        <v>0.55000000000000004</v>
      </c>
      <c r="O441" s="20" t="str">
        <f t="shared" si="69"/>
        <v>Acceptable</v>
      </c>
      <c r="P441">
        <f t="shared" si="70"/>
        <v>0.28360000000000002</v>
      </c>
      <c r="Q441">
        <f t="shared" si="71"/>
        <v>2</v>
      </c>
      <c r="R441">
        <f t="shared" si="72"/>
        <v>247</v>
      </c>
      <c r="S441">
        <f t="shared" si="73"/>
        <v>249</v>
      </c>
    </row>
    <row r="442" spans="1:19" ht="15" thickBot="1" x14ac:dyDescent="0.35">
      <c r="A442" s="1">
        <v>441</v>
      </c>
      <c r="B442" s="2">
        <v>40563</v>
      </c>
      <c r="C442" s="1">
        <v>1</v>
      </c>
      <c r="D442" s="1">
        <v>9</v>
      </c>
      <c r="E442" s="3" t="b">
        <v>0</v>
      </c>
      <c r="F442" s="5">
        <v>4</v>
      </c>
      <c r="G442" s="18" t="str">
        <f t="shared" si="74"/>
        <v>No</v>
      </c>
      <c r="H442" s="1">
        <v>2</v>
      </c>
      <c r="I442" s="21" t="str">
        <f t="shared" si="75"/>
        <v>Misty</v>
      </c>
      <c r="J442" s="1">
        <v>0.24</v>
      </c>
      <c r="K442" s="23" t="str">
        <f t="shared" si="76"/>
        <v>Safe</v>
      </c>
      <c r="L442">
        <f t="shared" si="66"/>
        <v>0.2273</v>
      </c>
      <c r="M442" s="20">
        <f t="shared" si="67"/>
        <v>0.2273</v>
      </c>
      <c r="N442">
        <f t="shared" si="68"/>
        <v>0.52</v>
      </c>
      <c r="O442" s="20" t="str">
        <f t="shared" si="69"/>
        <v>Acceptable</v>
      </c>
      <c r="P442">
        <f t="shared" si="70"/>
        <v>0.22389999999999999</v>
      </c>
      <c r="Q442">
        <f t="shared" si="71"/>
        <v>3</v>
      </c>
      <c r="R442">
        <f t="shared" si="72"/>
        <v>140</v>
      </c>
      <c r="S442">
        <f t="shared" si="73"/>
        <v>143</v>
      </c>
    </row>
    <row r="443" spans="1:19" ht="15" thickBot="1" x14ac:dyDescent="0.35">
      <c r="A443" s="1">
        <v>442</v>
      </c>
      <c r="B443" s="2">
        <v>40563</v>
      </c>
      <c r="C443" s="1">
        <v>1</v>
      </c>
      <c r="D443" s="1">
        <v>10</v>
      </c>
      <c r="E443" s="3" t="b">
        <v>0</v>
      </c>
      <c r="F443" s="5">
        <v>4</v>
      </c>
      <c r="G443" s="18" t="str">
        <f t="shared" si="74"/>
        <v>No</v>
      </c>
      <c r="H443" s="1">
        <v>1</v>
      </c>
      <c r="I443" s="21" t="str">
        <f t="shared" si="75"/>
        <v>Clean</v>
      </c>
      <c r="J443" s="1">
        <v>0.26</v>
      </c>
      <c r="K443" s="23" t="str">
        <f t="shared" si="76"/>
        <v>Safe</v>
      </c>
      <c r="L443">
        <f t="shared" si="66"/>
        <v>0.2273</v>
      </c>
      <c r="M443" s="20">
        <f t="shared" si="67"/>
        <v>0.2273</v>
      </c>
      <c r="N443">
        <f t="shared" si="68"/>
        <v>0.48</v>
      </c>
      <c r="O443" s="20" t="str">
        <f t="shared" si="69"/>
        <v>Acceptable</v>
      </c>
      <c r="P443">
        <f t="shared" si="70"/>
        <v>0.29849999999999999</v>
      </c>
      <c r="Q443">
        <f t="shared" si="71"/>
        <v>1</v>
      </c>
      <c r="R443">
        <f t="shared" si="72"/>
        <v>56</v>
      </c>
      <c r="S443">
        <f t="shared" si="73"/>
        <v>57</v>
      </c>
    </row>
    <row r="444" spans="1:19" ht="15" thickBot="1" x14ac:dyDescent="0.35">
      <c r="A444" s="1">
        <v>443</v>
      </c>
      <c r="B444" s="2">
        <v>40563</v>
      </c>
      <c r="C444" s="1">
        <v>1</v>
      </c>
      <c r="D444" s="1">
        <v>11</v>
      </c>
      <c r="E444" s="3" t="b">
        <v>0</v>
      </c>
      <c r="F444" s="5">
        <v>4</v>
      </c>
      <c r="G444" s="18" t="str">
        <f t="shared" si="74"/>
        <v>No</v>
      </c>
      <c r="H444" s="1">
        <v>2</v>
      </c>
      <c r="I444" s="21" t="str">
        <f t="shared" si="75"/>
        <v>Misty</v>
      </c>
      <c r="J444" s="1">
        <v>0.28000000000000003</v>
      </c>
      <c r="K444" s="23" t="str">
        <f t="shared" si="76"/>
        <v>Safe</v>
      </c>
      <c r="L444">
        <f t="shared" si="66"/>
        <v>0.2727</v>
      </c>
      <c r="M444" s="20">
        <f t="shared" si="67"/>
        <v>0.2727</v>
      </c>
      <c r="N444">
        <f t="shared" si="68"/>
        <v>0.45</v>
      </c>
      <c r="O444" s="20" t="str">
        <f t="shared" si="69"/>
        <v>Acceptable</v>
      </c>
      <c r="P444">
        <f t="shared" si="70"/>
        <v>0.16420000000000001</v>
      </c>
      <c r="Q444">
        <f t="shared" si="71"/>
        <v>5</v>
      </c>
      <c r="R444">
        <f t="shared" si="72"/>
        <v>63</v>
      </c>
      <c r="S444">
        <f t="shared" si="73"/>
        <v>68</v>
      </c>
    </row>
    <row r="445" spans="1:19" ht="15" thickBot="1" x14ac:dyDescent="0.35">
      <c r="A445" s="1">
        <v>444</v>
      </c>
      <c r="B445" s="2">
        <v>40563</v>
      </c>
      <c r="C445" s="1">
        <v>1</v>
      </c>
      <c r="D445" s="1">
        <v>12</v>
      </c>
      <c r="E445" s="3" t="b">
        <v>0</v>
      </c>
      <c r="F445" s="5">
        <v>4</v>
      </c>
      <c r="G445" s="18" t="str">
        <f t="shared" si="74"/>
        <v>No</v>
      </c>
      <c r="H445" s="1">
        <v>2</v>
      </c>
      <c r="I445" s="21" t="str">
        <f t="shared" si="75"/>
        <v>Misty</v>
      </c>
      <c r="J445" s="1">
        <v>0.3</v>
      </c>
      <c r="K445" s="23" t="str">
        <f t="shared" si="76"/>
        <v>Safe</v>
      </c>
      <c r="L445">
        <f t="shared" si="66"/>
        <v>0.33329999999999999</v>
      </c>
      <c r="M445" s="20">
        <f t="shared" si="67"/>
        <v>0.33329999999999999</v>
      </c>
      <c r="N445">
        <f t="shared" si="68"/>
        <v>0.42</v>
      </c>
      <c r="O445" s="20" t="str">
        <f t="shared" si="69"/>
        <v>Acceptable</v>
      </c>
      <c r="P445">
        <f t="shared" si="70"/>
        <v>0</v>
      </c>
      <c r="Q445">
        <f t="shared" si="71"/>
        <v>7</v>
      </c>
      <c r="R445">
        <f t="shared" si="72"/>
        <v>77</v>
      </c>
      <c r="S445">
        <f t="shared" si="73"/>
        <v>84</v>
      </c>
    </row>
    <row r="446" spans="1:19" ht="15" thickBot="1" x14ac:dyDescent="0.35">
      <c r="A446" s="1">
        <v>445</v>
      </c>
      <c r="B446" s="2">
        <v>40563</v>
      </c>
      <c r="C446" s="1">
        <v>1</v>
      </c>
      <c r="D446" s="1">
        <v>13</v>
      </c>
      <c r="E446" s="3" t="b">
        <v>0</v>
      </c>
      <c r="F446" s="5">
        <v>4</v>
      </c>
      <c r="G446" s="18" t="str">
        <f t="shared" si="74"/>
        <v>No</v>
      </c>
      <c r="H446" s="1">
        <v>2</v>
      </c>
      <c r="I446" s="21" t="str">
        <f t="shared" si="75"/>
        <v>Misty</v>
      </c>
      <c r="J446" s="1">
        <v>0.28000000000000003</v>
      </c>
      <c r="K446" s="23" t="str">
        <f t="shared" si="76"/>
        <v>Safe</v>
      </c>
      <c r="L446">
        <f t="shared" si="66"/>
        <v>0.28789999999999999</v>
      </c>
      <c r="M446" s="20">
        <f t="shared" si="67"/>
        <v>0.28789999999999999</v>
      </c>
      <c r="N446">
        <f t="shared" si="68"/>
        <v>0.45</v>
      </c>
      <c r="O446" s="20" t="str">
        <f t="shared" si="69"/>
        <v>Acceptable</v>
      </c>
      <c r="P446">
        <f t="shared" si="70"/>
        <v>0.1045</v>
      </c>
      <c r="Q446">
        <f t="shared" si="71"/>
        <v>12</v>
      </c>
      <c r="R446">
        <f t="shared" si="72"/>
        <v>86</v>
      </c>
      <c r="S446">
        <f t="shared" si="73"/>
        <v>98</v>
      </c>
    </row>
    <row r="447" spans="1:19" ht="15" thickBot="1" x14ac:dyDescent="0.35">
      <c r="A447" s="1">
        <v>446</v>
      </c>
      <c r="B447" s="2">
        <v>40563</v>
      </c>
      <c r="C447" s="1">
        <v>1</v>
      </c>
      <c r="D447" s="1">
        <v>14</v>
      </c>
      <c r="E447" s="3" t="b">
        <v>0</v>
      </c>
      <c r="F447" s="5">
        <v>4</v>
      </c>
      <c r="G447" s="18" t="str">
        <f t="shared" si="74"/>
        <v>No</v>
      </c>
      <c r="H447" s="1">
        <v>2</v>
      </c>
      <c r="I447" s="21" t="str">
        <f t="shared" si="75"/>
        <v>Misty</v>
      </c>
      <c r="J447" s="1">
        <v>0.3</v>
      </c>
      <c r="K447" s="23" t="str">
        <f t="shared" si="76"/>
        <v>Safe</v>
      </c>
      <c r="L447">
        <f t="shared" si="66"/>
        <v>0.30299999999999999</v>
      </c>
      <c r="M447" s="20">
        <f t="shared" si="67"/>
        <v>0.30299999999999999</v>
      </c>
      <c r="N447">
        <f t="shared" si="68"/>
        <v>0.45</v>
      </c>
      <c r="O447" s="20" t="str">
        <f t="shared" si="69"/>
        <v>Acceptable</v>
      </c>
      <c r="P447">
        <f t="shared" si="70"/>
        <v>0.1343</v>
      </c>
      <c r="Q447">
        <f t="shared" si="71"/>
        <v>6</v>
      </c>
      <c r="R447">
        <f t="shared" si="72"/>
        <v>75</v>
      </c>
      <c r="S447">
        <f t="shared" si="73"/>
        <v>81</v>
      </c>
    </row>
    <row r="448" spans="1:19" ht="15" thickBot="1" x14ac:dyDescent="0.35">
      <c r="A448" s="1">
        <v>447</v>
      </c>
      <c r="B448" s="2">
        <v>40563</v>
      </c>
      <c r="C448" s="1">
        <v>1</v>
      </c>
      <c r="D448" s="1">
        <v>15</v>
      </c>
      <c r="E448" s="3" t="b">
        <v>0</v>
      </c>
      <c r="F448" s="5">
        <v>4</v>
      </c>
      <c r="G448" s="18" t="str">
        <f t="shared" si="74"/>
        <v>No</v>
      </c>
      <c r="H448" s="1">
        <v>2</v>
      </c>
      <c r="I448" s="21" t="str">
        <f t="shared" si="75"/>
        <v>Misty</v>
      </c>
      <c r="J448" s="1">
        <v>0.32</v>
      </c>
      <c r="K448" s="23" t="str">
        <f t="shared" si="76"/>
        <v>Safe</v>
      </c>
      <c r="L448">
        <f t="shared" si="66"/>
        <v>0.31819999999999998</v>
      </c>
      <c r="M448" s="20">
        <f t="shared" si="67"/>
        <v>0.31819999999999998</v>
      </c>
      <c r="N448">
        <f t="shared" si="68"/>
        <v>0.45</v>
      </c>
      <c r="O448" s="20" t="str">
        <f t="shared" si="69"/>
        <v>Acceptable</v>
      </c>
      <c r="P448">
        <f t="shared" si="70"/>
        <v>0.19400000000000001</v>
      </c>
      <c r="Q448">
        <f t="shared" si="71"/>
        <v>8</v>
      </c>
      <c r="R448">
        <f t="shared" si="72"/>
        <v>62</v>
      </c>
      <c r="S448">
        <f t="shared" si="73"/>
        <v>70</v>
      </c>
    </row>
    <row r="449" spans="1:19" ht="15" thickBot="1" x14ac:dyDescent="0.35">
      <c r="A449" s="1">
        <v>448</v>
      </c>
      <c r="B449" s="2">
        <v>40563</v>
      </c>
      <c r="C449" s="1">
        <v>1</v>
      </c>
      <c r="D449" s="1">
        <v>16</v>
      </c>
      <c r="E449" s="3" t="b">
        <v>0</v>
      </c>
      <c r="F449" s="5">
        <v>4</v>
      </c>
      <c r="G449" s="18" t="str">
        <f t="shared" si="74"/>
        <v>No</v>
      </c>
      <c r="H449" s="1">
        <v>2</v>
      </c>
      <c r="I449" s="21" t="str">
        <f t="shared" si="75"/>
        <v>Misty</v>
      </c>
      <c r="J449" s="1">
        <v>0.3</v>
      </c>
      <c r="K449" s="23" t="str">
        <f t="shared" si="76"/>
        <v>Safe</v>
      </c>
      <c r="L449">
        <f t="shared" si="66"/>
        <v>0.30299999999999999</v>
      </c>
      <c r="M449" s="20">
        <f t="shared" si="67"/>
        <v>0.30299999999999999</v>
      </c>
      <c r="N449">
        <f t="shared" si="68"/>
        <v>0.49</v>
      </c>
      <c r="O449" s="20" t="str">
        <f t="shared" si="69"/>
        <v>Acceptable</v>
      </c>
      <c r="P449">
        <f t="shared" si="70"/>
        <v>0.1343</v>
      </c>
      <c r="Q449">
        <f t="shared" si="71"/>
        <v>8</v>
      </c>
      <c r="R449">
        <f t="shared" si="72"/>
        <v>83</v>
      </c>
      <c r="S449">
        <f t="shared" si="73"/>
        <v>91</v>
      </c>
    </row>
    <row r="450" spans="1:19" ht="15" thickBot="1" x14ac:dyDescent="0.35">
      <c r="A450" s="1">
        <v>449</v>
      </c>
      <c r="B450" s="2">
        <v>40563</v>
      </c>
      <c r="C450" s="1">
        <v>1</v>
      </c>
      <c r="D450" s="1">
        <v>17</v>
      </c>
      <c r="E450" s="3" t="b">
        <v>0</v>
      </c>
      <c r="F450" s="5">
        <v>4</v>
      </c>
      <c r="G450" s="18" t="str">
        <f t="shared" si="74"/>
        <v>No</v>
      </c>
      <c r="H450" s="1">
        <v>2</v>
      </c>
      <c r="I450" s="21" t="str">
        <f t="shared" si="75"/>
        <v>Misty</v>
      </c>
      <c r="J450" s="1">
        <v>0.3</v>
      </c>
      <c r="K450" s="23" t="str">
        <f t="shared" si="76"/>
        <v>Safe</v>
      </c>
      <c r="L450">
        <f t="shared" ref="L450:L513" si="77">VLOOKUP($A450,list2,2,FALSE)</f>
        <v>0.31819999999999998</v>
      </c>
      <c r="M450" s="20">
        <f t="shared" ref="M450:M513" si="78">VLOOKUP($A450,list2,3,FALSE)</f>
        <v>0.31819999999999998</v>
      </c>
      <c r="N450">
        <f t="shared" ref="N450:N513" si="79">VLOOKUP($A450,list2,4,FALSE)</f>
        <v>0.49</v>
      </c>
      <c r="O450" s="20" t="str">
        <f t="shared" ref="O450:O513" si="80">VLOOKUP($A450,list2,5,FALSE)</f>
        <v>Acceptable</v>
      </c>
      <c r="P450">
        <f t="shared" ref="P450:P513" si="81">VLOOKUP($A450,list2,6,FALSE)</f>
        <v>0.1045</v>
      </c>
      <c r="Q450">
        <f t="shared" ref="Q450:Q513" si="82">VLOOKUP($A450,list2,7,FALSE)</f>
        <v>8</v>
      </c>
      <c r="R450">
        <f t="shared" ref="R450:R513" si="83">VLOOKUP($A450,list2,8,FALSE)</f>
        <v>207</v>
      </c>
      <c r="S450">
        <f t="shared" ref="S450:S513" si="84">VLOOKUP($A450,list2,9,FALSE)</f>
        <v>215</v>
      </c>
    </row>
    <row r="451" spans="1:19" ht="15" thickBot="1" x14ac:dyDescent="0.35">
      <c r="A451" s="1">
        <v>450</v>
      </c>
      <c r="B451" s="2">
        <v>40563</v>
      </c>
      <c r="C451" s="1">
        <v>1</v>
      </c>
      <c r="D451" s="1">
        <v>18</v>
      </c>
      <c r="E451" s="3" t="b">
        <v>0</v>
      </c>
      <c r="F451" s="5">
        <v>4</v>
      </c>
      <c r="G451" s="18" t="str">
        <f t="shared" ref="G451:G514" si="85">_xlfn.IFS(F451=0,"Yes",F451=6,"Yes",F451&gt;0,"No")</f>
        <v>No</v>
      </c>
      <c r="H451" s="1">
        <v>2</v>
      </c>
      <c r="I451" s="21" t="str">
        <f t="shared" ref="I451:I514" si="86">_xlfn.IFS(H451=1,"Clean",H451=2,"Misty",H451=3,"Light Rain",H451=4,"Heavy Rain")</f>
        <v>Misty</v>
      </c>
      <c r="J451" s="1">
        <v>0.26</v>
      </c>
      <c r="K451" s="23" t="str">
        <f t="shared" ref="K451:K514" si="87">_xlfn.IFS(J451&lt;0.1,"Risky",J451&lt;0.35,"Safe",J451&gt;0.35,"Risky")</f>
        <v>Safe</v>
      </c>
      <c r="L451">
        <f t="shared" si="77"/>
        <v>0.2576</v>
      </c>
      <c r="M451" s="20">
        <f t="shared" si="78"/>
        <v>0.2576</v>
      </c>
      <c r="N451">
        <f t="shared" si="79"/>
        <v>0.56000000000000005</v>
      </c>
      <c r="O451" s="20" t="str">
        <f t="shared" si="80"/>
        <v>Acceptable</v>
      </c>
      <c r="P451">
        <f t="shared" si="81"/>
        <v>0.19400000000000001</v>
      </c>
      <c r="Q451">
        <f t="shared" si="82"/>
        <v>1</v>
      </c>
      <c r="R451">
        <f t="shared" si="83"/>
        <v>184</v>
      </c>
      <c r="S451">
        <f t="shared" si="84"/>
        <v>185</v>
      </c>
    </row>
    <row r="452" spans="1:19" ht="15" thickBot="1" x14ac:dyDescent="0.35">
      <c r="A452" s="1">
        <v>451</v>
      </c>
      <c r="B452" s="2">
        <v>40563</v>
      </c>
      <c r="C452" s="1">
        <v>1</v>
      </c>
      <c r="D452" s="1">
        <v>19</v>
      </c>
      <c r="E452" s="3" t="b">
        <v>0</v>
      </c>
      <c r="F452" s="5">
        <v>4</v>
      </c>
      <c r="G452" s="18" t="str">
        <f t="shared" si="85"/>
        <v>No</v>
      </c>
      <c r="H452" s="1">
        <v>1</v>
      </c>
      <c r="I452" s="21" t="str">
        <f t="shared" si="86"/>
        <v>Clean</v>
      </c>
      <c r="J452" s="1">
        <v>0.26</v>
      </c>
      <c r="K452" s="23" t="str">
        <f t="shared" si="87"/>
        <v>Safe</v>
      </c>
      <c r="L452">
        <f t="shared" si="77"/>
        <v>0.2273</v>
      </c>
      <c r="M452" s="20">
        <f t="shared" si="78"/>
        <v>0.2273</v>
      </c>
      <c r="N452">
        <f t="shared" si="79"/>
        <v>0.56000000000000005</v>
      </c>
      <c r="O452" s="20" t="str">
        <f t="shared" si="80"/>
        <v>Acceptable</v>
      </c>
      <c r="P452">
        <f t="shared" si="81"/>
        <v>0.32840000000000003</v>
      </c>
      <c r="Q452">
        <f t="shared" si="82"/>
        <v>6</v>
      </c>
      <c r="R452">
        <f t="shared" si="83"/>
        <v>146</v>
      </c>
      <c r="S452">
        <f t="shared" si="84"/>
        <v>152</v>
      </c>
    </row>
    <row r="453" spans="1:19" ht="15" thickBot="1" x14ac:dyDescent="0.35">
      <c r="A453" s="1">
        <v>452</v>
      </c>
      <c r="B453" s="2">
        <v>40563</v>
      </c>
      <c r="C453" s="1">
        <v>1</v>
      </c>
      <c r="D453" s="1">
        <v>20</v>
      </c>
      <c r="E453" s="3" t="b">
        <v>0</v>
      </c>
      <c r="F453" s="5">
        <v>4</v>
      </c>
      <c r="G453" s="18" t="str">
        <f t="shared" si="85"/>
        <v>No</v>
      </c>
      <c r="H453" s="1">
        <v>2</v>
      </c>
      <c r="I453" s="21" t="str">
        <f t="shared" si="86"/>
        <v>Misty</v>
      </c>
      <c r="J453" s="1">
        <v>0.26</v>
      </c>
      <c r="K453" s="23" t="str">
        <f t="shared" si="87"/>
        <v>Safe</v>
      </c>
      <c r="L453">
        <f t="shared" si="77"/>
        <v>0.2424</v>
      </c>
      <c r="M453" s="20">
        <f t="shared" si="78"/>
        <v>0.2424</v>
      </c>
      <c r="N453">
        <f t="shared" si="79"/>
        <v>0.6</v>
      </c>
      <c r="O453" s="20" t="str">
        <f t="shared" si="80"/>
        <v>Acceptable</v>
      </c>
      <c r="P453">
        <f t="shared" si="81"/>
        <v>0.28360000000000002</v>
      </c>
      <c r="Q453">
        <f t="shared" si="82"/>
        <v>2</v>
      </c>
      <c r="R453">
        <f t="shared" si="83"/>
        <v>124</v>
      </c>
      <c r="S453">
        <f t="shared" si="84"/>
        <v>126</v>
      </c>
    </row>
    <row r="454" spans="1:19" ht="15" thickBot="1" x14ac:dyDescent="0.35">
      <c r="A454" s="1">
        <v>453</v>
      </c>
      <c r="B454" s="2">
        <v>40563</v>
      </c>
      <c r="C454" s="1">
        <v>1</v>
      </c>
      <c r="D454" s="1">
        <v>21</v>
      </c>
      <c r="E454" s="3" t="b">
        <v>0</v>
      </c>
      <c r="F454" s="5">
        <v>4</v>
      </c>
      <c r="G454" s="18" t="str">
        <f t="shared" si="85"/>
        <v>No</v>
      </c>
      <c r="H454" s="1">
        <v>2</v>
      </c>
      <c r="I454" s="21" t="str">
        <f t="shared" si="86"/>
        <v>Misty</v>
      </c>
      <c r="J454" s="1">
        <v>0.24</v>
      </c>
      <c r="K454" s="23" t="str">
        <f t="shared" si="87"/>
        <v>Safe</v>
      </c>
      <c r="L454">
        <f t="shared" si="77"/>
        <v>0.2273</v>
      </c>
      <c r="M454" s="20">
        <f t="shared" si="78"/>
        <v>0.2273</v>
      </c>
      <c r="N454">
        <f t="shared" si="79"/>
        <v>0.6</v>
      </c>
      <c r="O454" s="20" t="str">
        <f t="shared" si="80"/>
        <v>Acceptable</v>
      </c>
      <c r="P454">
        <f t="shared" si="81"/>
        <v>0.25369999999999998</v>
      </c>
      <c r="Q454">
        <f t="shared" si="82"/>
        <v>3</v>
      </c>
      <c r="R454">
        <f t="shared" si="83"/>
        <v>54</v>
      </c>
      <c r="S454">
        <f t="shared" si="84"/>
        <v>57</v>
      </c>
    </row>
    <row r="455" spans="1:19" ht="15" thickBot="1" x14ac:dyDescent="0.35">
      <c r="A455" s="1">
        <v>454</v>
      </c>
      <c r="B455" s="2">
        <v>40563</v>
      </c>
      <c r="C455" s="1">
        <v>1</v>
      </c>
      <c r="D455" s="1">
        <v>22</v>
      </c>
      <c r="E455" s="3" t="b">
        <v>0</v>
      </c>
      <c r="F455" s="5">
        <v>4</v>
      </c>
      <c r="G455" s="18" t="str">
        <f t="shared" si="85"/>
        <v>No</v>
      </c>
      <c r="H455" s="1">
        <v>2</v>
      </c>
      <c r="I455" s="21" t="str">
        <f t="shared" si="86"/>
        <v>Misty</v>
      </c>
      <c r="J455" s="1">
        <v>0.24</v>
      </c>
      <c r="K455" s="23" t="str">
        <f t="shared" si="87"/>
        <v>Safe</v>
      </c>
      <c r="L455">
        <f t="shared" si="77"/>
        <v>0.21210000000000001</v>
      </c>
      <c r="M455" s="20">
        <f t="shared" si="78"/>
        <v>0.21210000000000001</v>
      </c>
      <c r="N455">
        <f t="shared" si="79"/>
        <v>0.65</v>
      </c>
      <c r="O455" s="20" t="str">
        <f t="shared" si="80"/>
        <v>Acceptable</v>
      </c>
      <c r="P455">
        <f t="shared" si="81"/>
        <v>0.28360000000000002</v>
      </c>
      <c r="Q455">
        <f t="shared" si="82"/>
        <v>0</v>
      </c>
      <c r="R455">
        <f t="shared" si="83"/>
        <v>56</v>
      </c>
      <c r="S455">
        <f t="shared" si="84"/>
        <v>56</v>
      </c>
    </row>
    <row r="456" spans="1:19" ht="15" thickBot="1" x14ac:dyDescent="0.35">
      <c r="A456" s="1">
        <v>455</v>
      </c>
      <c r="B456" s="2">
        <v>40563</v>
      </c>
      <c r="C456" s="1">
        <v>1</v>
      </c>
      <c r="D456" s="1">
        <v>23</v>
      </c>
      <c r="E456" s="3" t="b">
        <v>0</v>
      </c>
      <c r="F456" s="5">
        <v>4</v>
      </c>
      <c r="G456" s="18" t="str">
        <f t="shared" si="85"/>
        <v>No</v>
      </c>
      <c r="H456" s="1">
        <v>2</v>
      </c>
      <c r="I456" s="21" t="str">
        <f t="shared" si="86"/>
        <v>Misty</v>
      </c>
      <c r="J456" s="1">
        <v>0.24</v>
      </c>
      <c r="K456" s="23" t="str">
        <f t="shared" si="87"/>
        <v>Safe</v>
      </c>
      <c r="L456">
        <f t="shared" si="77"/>
        <v>0.21210000000000001</v>
      </c>
      <c r="M456" s="20">
        <f t="shared" si="78"/>
        <v>0.21210000000000001</v>
      </c>
      <c r="N456">
        <f t="shared" si="79"/>
        <v>0.65</v>
      </c>
      <c r="O456" s="20" t="str">
        <f t="shared" si="80"/>
        <v>Acceptable</v>
      </c>
      <c r="P456">
        <f t="shared" si="81"/>
        <v>0.32840000000000003</v>
      </c>
      <c r="Q456">
        <f t="shared" si="82"/>
        <v>3</v>
      </c>
      <c r="R456">
        <f t="shared" si="83"/>
        <v>28</v>
      </c>
      <c r="S456">
        <f t="shared" si="84"/>
        <v>31</v>
      </c>
    </row>
    <row r="457" spans="1:19" ht="15" thickBot="1" x14ac:dyDescent="0.35">
      <c r="A457" s="1">
        <v>456</v>
      </c>
      <c r="B457" s="2">
        <v>40564</v>
      </c>
      <c r="C457" s="1">
        <v>1</v>
      </c>
      <c r="D457" s="1">
        <v>0</v>
      </c>
      <c r="E457" s="3" t="b">
        <v>0</v>
      </c>
      <c r="F457" s="5">
        <v>5</v>
      </c>
      <c r="G457" s="18" t="str">
        <f t="shared" si="85"/>
        <v>No</v>
      </c>
      <c r="H457" s="1">
        <v>2</v>
      </c>
      <c r="I457" s="21" t="str">
        <f t="shared" si="86"/>
        <v>Misty</v>
      </c>
      <c r="J457" s="1">
        <v>0.24</v>
      </c>
      <c r="K457" s="23" t="str">
        <f t="shared" si="87"/>
        <v>Safe</v>
      </c>
      <c r="L457">
        <f t="shared" si="77"/>
        <v>0.2273</v>
      </c>
      <c r="M457" s="20">
        <f t="shared" si="78"/>
        <v>0.2273</v>
      </c>
      <c r="N457">
        <f t="shared" si="79"/>
        <v>0.7</v>
      </c>
      <c r="O457" s="20" t="str">
        <f t="shared" si="80"/>
        <v>Risky</v>
      </c>
      <c r="P457">
        <f t="shared" si="81"/>
        <v>0.25369999999999998</v>
      </c>
      <c r="Q457">
        <f t="shared" si="82"/>
        <v>1</v>
      </c>
      <c r="R457">
        <f t="shared" si="83"/>
        <v>20</v>
      </c>
      <c r="S457">
        <f t="shared" si="84"/>
        <v>21</v>
      </c>
    </row>
    <row r="458" spans="1:19" ht="15" thickBot="1" x14ac:dyDescent="0.35">
      <c r="A458" s="1">
        <v>457</v>
      </c>
      <c r="B458" s="2">
        <v>40564</v>
      </c>
      <c r="C458" s="1">
        <v>1</v>
      </c>
      <c r="D458" s="1">
        <v>1</v>
      </c>
      <c r="E458" s="3" t="b">
        <v>0</v>
      </c>
      <c r="F458" s="5">
        <v>5</v>
      </c>
      <c r="G458" s="18" t="str">
        <f t="shared" si="85"/>
        <v>No</v>
      </c>
      <c r="H458" s="1">
        <v>2</v>
      </c>
      <c r="I458" s="21" t="str">
        <f t="shared" si="86"/>
        <v>Misty</v>
      </c>
      <c r="J458" s="1">
        <v>0.24</v>
      </c>
      <c r="K458" s="23" t="str">
        <f t="shared" si="87"/>
        <v>Safe</v>
      </c>
      <c r="L458">
        <f t="shared" si="77"/>
        <v>0.2273</v>
      </c>
      <c r="M458" s="20">
        <f t="shared" si="78"/>
        <v>0.2273</v>
      </c>
      <c r="N458">
        <f t="shared" si="79"/>
        <v>0.7</v>
      </c>
      <c r="O458" s="20" t="str">
        <f t="shared" si="80"/>
        <v>Risky</v>
      </c>
      <c r="P458">
        <f t="shared" si="81"/>
        <v>0.25369999999999998</v>
      </c>
      <c r="Q458">
        <f t="shared" si="82"/>
        <v>0</v>
      </c>
      <c r="R458">
        <f t="shared" si="83"/>
        <v>6</v>
      </c>
      <c r="S458">
        <f t="shared" si="84"/>
        <v>6</v>
      </c>
    </row>
    <row r="459" spans="1:19" ht="27.6" thickBot="1" x14ac:dyDescent="0.35">
      <c r="A459" s="1">
        <v>458</v>
      </c>
      <c r="B459" s="2">
        <v>40564</v>
      </c>
      <c r="C459" s="1">
        <v>1</v>
      </c>
      <c r="D459" s="1">
        <v>2</v>
      </c>
      <c r="E459" s="3" t="b">
        <v>0</v>
      </c>
      <c r="F459" s="5">
        <v>5</v>
      </c>
      <c r="G459" s="18" t="str">
        <f t="shared" si="85"/>
        <v>No</v>
      </c>
      <c r="H459" s="1">
        <v>3</v>
      </c>
      <c r="I459" s="21" t="str">
        <f t="shared" si="86"/>
        <v>Light Rain</v>
      </c>
      <c r="J459" s="1">
        <v>0.24</v>
      </c>
      <c r="K459" s="23" t="str">
        <f t="shared" si="87"/>
        <v>Safe</v>
      </c>
      <c r="L459">
        <f t="shared" si="77"/>
        <v>0.2424</v>
      </c>
      <c r="M459" s="20">
        <f t="shared" si="78"/>
        <v>0.2424</v>
      </c>
      <c r="N459">
        <f t="shared" si="79"/>
        <v>0.75</v>
      </c>
      <c r="O459" s="20" t="str">
        <f t="shared" si="80"/>
        <v>Risky</v>
      </c>
      <c r="P459">
        <f t="shared" si="81"/>
        <v>0.16420000000000001</v>
      </c>
      <c r="Q459">
        <f t="shared" si="82"/>
        <v>0</v>
      </c>
      <c r="R459">
        <f t="shared" si="83"/>
        <v>2</v>
      </c>
      <c r="S459">
        <f t="shared" si="84"/>
        <v>2</v>
      </c>
    </row>
    <row r="460" spans="1:19" ht="27.6" thickBot="1" x14ac:dyDescent="0.35">
      <c r="A460" s="1">
        <v>459</v>
      </c>
      <c r="B460" s="2">
        <v>40564</v>
      </c>
      <c r="C460" s="1">
        <v>1</v>
      </c>
      <c r="D460" s="1">
        <v>3</v>
      </c>
      <c r="E460" s="3" t="b">
        <v>0</v>
      </c>
      <c r="F460" s="5">
        <v>5</v>
      </c>
      <c r="G460" s="18" t="str">
        <f t="shared" si="85"/>
        <v>No</v>
      </c>
      <c r="H460" s="1">
        <v>3</v>
      </c>
      <c r="I460" s="21" t="str">
        <f t="shared" si="86"/>
        <v>Light Rain</v>
      </c>
      <c r="J460" s="1">
        <v>0.22</v>
      </c>
      <c r="K460" s="23" t="str">
        <f t="shared" si="87"/>
        <v>Safe</v>
      </c>
      <c r="L460">
        <f t="shared" si="77"/>
        <v>0.21210000000000001</v>
      </c>
      <c r="M460" s="20">
        <f t="shared" si="78"/>
        <v>0.21210000000000001</v>
      </c>
      <c r="N460">
        <f t="shared" si="79"/>
        <v>0.8</v>
      </c>
      <c r="O460" s="20" t="str">
        <f t="shared" si="80"/>
        <v>Risky</v>
      </c>
      <c r="P460">
        <f t="shared" si="81"/>
        <v>0.29849999999999999</v>
      </c>
      <c r="Q460">
        <f t="shared" si="82"/>
        <v>0</v>
      </c>
      <c r="R460">
        <f t="shared" si="83"/>
        <v>1</v>
      </c>
      <c r="S460">
        <f t="shared" si="84"/>
        <v>1</v>
      </c>
    </row>
    <row r="461" spans="1:19" ht="15" thickBot="1" x14ac:dyDescent="0.35">
      <c r="A461" s="1">
        <v>460</v>
      </c>
      <c r="B461" s="2">
        <v>40564</v>
      </c>
      <c r="C461" s="1">
        <v>1</v>
      </c>
      <c r="D461" s="1">
        <v>4</v>
      </c>
      <c r="E461" s="3" t="b">
        <v>0</v>
      </c>
      <c r="F461" s="5">
        <v>5</v>
      </c>
      <c r="G461" s="18" t="str">
        <f t="shared" si="85"/>
        <v>No</v>
      </c>
      <c r="H461" s="1">
        <v>2</v>
      </c>
      <c r="I461" s="21" t="str">
        <f t="shared" si="86"/>
        <v>Misty</v>
      </c>
      <c r="J461" s="1">
        <v>0.22</v>
      </c>
      <c r="K461" s="23" t="str">
        <f t="shared" si="87"/>
        <v>Safe</v>
      </c>
      <c r="L461">
        <f t="shared" si="77"/>
        <v>0.2576</v>
      </c>
      <c r="M461" s="20">
        <f t="shared" si="78"/>
        <v>0.2576</v>
      </c>
      <c r="N461">
        <f t="shared" si="79"/>
        <v>0.87</v>
      </c>
      <c r="O461" s="20" t="str">
        <f t="shared" si="80"/>
        <v>Risky</v>
      </c>
      <c r="P461">
        <f t="shared" si="81"/>
        <v>8.9599999999999999E-2</v>
      </c>
      <c r="Q461">
        <f t="shared" si="82"/>
        <v>0</v>
      </c>
      <c r="R461">
        <f t="shared" si="83"/>
        <v>1</v>
      </c>
      <c r="S461">
        <f t="shared" si="84"/>
        <v>1</v>
      </c>
    </row>
    <row r="462" spans="1:19" ht="15" thickBot="1" x14ac:dyDescent="0.35">
      <c r="A462" s="1">
        <v>461</v>
      </c>
      <c r="B462" s="2">
        <v>40564</v>
      </c>
      <c r="C462" s="1">
        <v>1</v>
      </c>
      <c r="D462" s="1">
        <v>5</v>
      </c>
      <c r="E462" s="3" t="b">
        <v>0</v>
      </c>
      <c r="F462" s="5">
        <v>5</v>
      </c>
      <c r="G462" s="18" t="str">
        <f t="shared" si="85"/>
        <v>No</v>
      </c>
      <c r="H462" s="1">
        <v>1</v>
      </c>
      <c r="I462" s="21" t="str">
        <f t="shared" si="86"/>
        <v>Clean</v>
      </c>
      <c r="J462" s="1">
        <v>0.24</v>
      </c>
      <c r="K462" s="23" t="str">
        <f t="shared" si="87"/>
        <v>Safe</v>
      </c>
      <c r="L462">
        <f t="shared" si="77"/>
        <v>0.19700000000000001</v>
      </c>
      <c r="M462" s="20">
        <f t="shared" si="78"/>
        <v>0.19700000000000001</v>
      </c>
      <c r="N462">
        <f t="shared" si="79"/>
        <v>0.6</v>
      </c>
      <c r="O462" s="20" t="str">
        <f t="shared" si="80"/>
        <v>Acceptable</v>
      </c>
      <c r="P462">
        <f t="shared" si="81"/>
        <v>0.41789999999999999</v>
      </c>
      <c r="Q462">
        <f t="shared" si="82"/>
        <v>1</v>
      </c>
      <c r="R462">
        <f t="shared" si="83"/>
        <v>4</v>
      </c>
      <c r="S462">
        <f t="shared" si="84"/>
        <v>5</v>
      </c>
    </row>
    <row r="463" spans="1:19" ht="15" thickBot="1" x14ac:dyDescent="0.35">
      <c r="A463" s="1">
        <v>462</v>
      </c>
      <c r="B463" s="2">
        <v>40564</v>
      </c>
      <c r="C463" s="1">
        <v>1</v>
      </c>
      <c r="D463" s="1">
        <v>6</v>
      </c>
      <c r="E463" s="3" t="b">
        <v>0</v>
      </c>
      <c r="F463" s="5">
        <v>5</v>
      </c>
      <c r="G463" s="18" t="str">
        <f t="shared" si="85"/>
        <v>No</v>
      </c>
      <c r="H463" s="1">
        <v>1</v>
      </c>
      <c r="I463" s="21" t="str">
        <f t="shared" si="86"/>
        <v>Clean</v>
      </c>
      <c r="J463" s="1">
        <v>0.22</v>
      </c>
      <c r="K463" s="23" t="str">
        <f t="shared" si="87"/>
        <v>Safe</v>
      </c>
      <c r="L463">
        <f t="shared" si="77"/>
        <v>0.21210000000000001</v>
      </c>
      <c r="M463" s="20">
        <f t="shared" si="78"/>
        <v>0.21210000000000001</v>
      </c>
      <c r="N463">
        <f t="shared" si="79"/>
        <v>0.55000000000000004</v>
      </c>
      <c r="O463" s="20" t="str">
        <f t="shared" si="80"/>
        <v>Acceptable</v>
      </c>
      <c r="P463">
        <f t="shared" si="81"/>
        <v>0.25369999999999998</v>
      </c>
      <c r="Q463">
        <f t="shared" si="82"/>
        <v>0</v>
      </c>
      <c r="R463">
        <f t="shared" si="83"/>
        <v>27</v>
      </c>
      <c r="S463">
        <f t="shared" si="84"/>
        <v>27</v>
      </c>
    </row>
    <row r="464" spans="1:19" ht="15" thickBot="1" x14ac:dyDescent="0.35">
      <c r="A464" s="1">
        <v>463</v>
      </c>
      <c r="B464" s="2">
        <v>40564</v>
      </c>
      <c r="C464" s="1">
        <v>1</v>
      </c>
      <c r="D464" s="1">
        <v>7</v>
      </c>
      <c r="E464" s="3" t="b">
        <v>0</v>
      </c>
      <c r="F464" s="5">
        <v>5</v>
      </c>
      <c r="G464" s="18" t="str">
        <f t="shared" si="85"/>
        <v>No</v>
      </c>
      <c r="H464" s="1">
        <v>1</v>
      </c>
      <c r="I464" s="21" t="str">
        <f t="shared" si="86"/>
        <v>Clean</v>
      </c>
      <c r="J464" s="1">
        <v>0.2</v>
      </c>
      <c r="K464" s="23" t="str">
        <f t="shared" si="87"/>
        <v>Safe</v>
      </c>
      <c r="L464">
        <f t="shared" si="77"/>
        <v>0.18179999999999999</v>
      </c>
      <c r="M464" s="20">
        <f t="shared" si="78"/>
        <v>0.18179999999999999</v>
      </c>
      <c r="N464">
        <f t="shared" si="79"/>
        <v>0.51</v>
      </c>
      <c r="O464" s="20" t="str">
        <f t="shared" si="80"/>
        <v>Acceptable</v>
      </c>
      <c r="P464">
        <f t="shared" si="81"/>
        <v>0.28360000000000002</v>
      </c>
      <c r="Q464">
        <f t="shared" si="82"/>
        <v>2</v>
      </c>
      <c r="R464">
        <f t="shared" si="83"/>
        <v>66</v>
      </c>
      <c r="S464">
        <f t="shared" si="84"/>
        <v>68</v>
      </c>
    </row>
    <row r="465" spans="1:19" ht="15" thickBot="1" x14ac:dyDescent="0.35">
      <c r="A465" s="1">
        <v>464</v>
      </c>
      <c r="B465" s="2">
        <v>40564</v>
      </c>
      <c r="C465" s="1">
        <v>1</v>
      </c>
      <c r="D465" s="1">
        <v>8</v>
      </c>
      <c r="E465" s="3" t="b">
        <v>0</v>
      </c>
      <c r="F465" s="5">
        <v>5</v>
      </c>
      <c r="G465" s="18" t="str">
        <f t="shared" si="85"/>
        <v>No</v>
      </c>
      <c r="H465" s="1">
        <v>1</v>
      </c>
      <c r="I465" s="21" t="str">
        <f t="shared" si="86"/>
        <v>Clean</v>
      </c>
      <c r="J465" s="1">
        <v>0.2</v>
      </c>
      <c r="K465" s="23" t="str">
        <f t="shared" si="87"/>
        <v>Safe</v>
      </c>
      <c r="L465">
        <f t="shared" si="77"/>
        <v>0.18179999999999999</v>
      </c>
      <c r="M465" s="20">
        <f t="shared" si="78"/>
        <v>0.18179999999999999</v>
      </c>
      <c r="N465">
        <f t="shared" si="79"/>
        <v>0.47</v>
      </c>
      <c r="O465" s="20" t="str">
        <f t="shared" si="80"/>
        <v>Acceptable</v>
      </c>
      <c r="P465">
        <f t="shared" si="81"/>
        <v>0.32840000000000003</v>
      </c>
      <c r="Q465">
        <f t="shared" si="82"/>
        <v>7</v>
      </c>
      <c r="R465">
        <f t="shared" si="83"/>
        <v>210</v>
      </c>
      <c r="S465">
        <f t="shared" si="84"/>
        <v>217</v>
      </c>
    </row>
    <row r="466" spans="1:19" ht="15" thickBot="1" x14ac:dyDescent="0.35">
      <c r="A466" s="1">
        <v>465</v>
      </c>
      <c r="B466" s="2">
        <v>40564</v>
      </c>
      <c r="C466" s="1">
        <v>1</v>
      </c>
      <c r="D466" s="1">
        <v>9</v>
      </c>
      <c r="E466" s="3" t="b">
        <v>0</v>
      </c>
      <c r="F466" s="5">
        <v>5</v>
      </c>
      <c r="G466" s="18" t="str">
        <f t="shared" si="85"/>
        <v>No</v>
      </c>
      <c r="H466" s="1">
        <v>1</v>
      </c>
      <c r="I466" s="21" t="str">
        <f t="shared" si="86"/>
        <v>Clean</v>
      </c>
      <c r="J466" s="1">
        <v>0.2</v>
      </c>
      <c r="K466" s="23" t="str">
        <f t="shared" si="87"/>
        <v>Safe</v>
      </c>
      <c r="L466">
        <f t="shared" si="77"/>
        <v>0.18179999999999999</v>
      </c>
      <c r="M466" s="20">
        <f t="shared" si="78"/>
        <v>0.18179999999999999</v>
      </c>
      <c r="N466">
        <f t="shared" si="79"/>
        <v>0.51</v>
      </c>
      <c r="O466" s="20" t="str">
        <f t="shared" si="80"/>
        <v>Acceptable</v>
      </c>
      <c r="P466">
        <f t="shared" si="81"/>
        <v>0.35820000000000002</v>
      </c>
      <c r="Q466">
        <f t="shared" si="82"/>
        <v>7</v>
      </c>
      <c r="R466">
        <f t="shared" si="83"/>
        <v>159</v>
      </c>
      <c r="S466">
        <f t="shared" si="84"/>
        <v>166</v>
      </c>
    </row>
    <row r="467" spans="1:19" ht="15" thickBot="1" x14ac:dyDescent="0.35">
      <c r="A467" s="1">
        <v>466</v>
      </c>
      <c r="B467" s="2">
        <v>40564</v>
      </c>
      <c r="C467" s="1">
        <v>1</v>
      </c>
      <c r="D467" s="1">
        <v>10</v>
      </c>
      <c r="E467" s="3" t="b">
        <v>0</v>
      </c>
      <c r="F467" s="5">
        <v>5</v>
      </c>
      <c r="G467" s="18" t="str">
        <f t="shared" si="85"/>
        <v>No</v>
      </c>
      <c r="H467" s="1">
        <v>1</v>
      </c>
      <c r="I467" s="21" t="str">
        <f t="shared" si="86"/>
        <v>Clean</v>
      </c>
      <c r="J467" s="1">
        <v>0.2</v>
      </c>
      <c r="K467" s="23" t="str">
        <f t="shared" si="87"/>
        <v>Safe</v>
      </c>
      <c r="L467">
        <f t="shared" si="77"/>
        <v>0.16669999999999999</v>
      </c>
      <c r="M467" s="20">
        <f t="shared" si="78"/>
        <v>0.16669999999999999</v>
      </c>
      <c r="N467">
        <f t="shared" si="79"/>
        <v>0.47</v>
      </c>
      <c r="O467" s="20" t="str">
        <f t="shared" si="80"/>
        <v>Acceptable</v>
      </c>
      <c r="P467">
        <f t="shared" si="81"/>
        <v>0.4627</v>
      </c>
      <c r="Q467">
        <f t="shared" si="82"/>
        <v>6</v>
      </c>
      <c r="R467">
        <f t="shared" si="83"/>
        <v>57</v>
      </c>
      <c r="S467">
        <f t="shared" si="84"/>
        <v>63</v>
      </c>
    </row>
    <row r="468" spans="1:19" ht="15" thickBot="1" x14ac:dyDescent="0.35">
      <c r="A468" s="1">
        <v>467</v>
      </c>
      <c r="B468" s="2">
        <v>40564</v>
      </c>
      <c r="C468" s="1">
        <v>1</v>
      </c>
      <c r="D468" s="1">
        <v>11</v>
      </c>
      <c r="E468" s="3" t="b">
        <v>0</v>
      </c>
      <c r="F468" s="5">
        <v>5</v>
      </c>
      <c r="G468" s="18" t="str">
        <f t="shared" si="85"/>
        <v>No</v>
      </c>
      <c r="H468" s="1">
        <v>1</v>
      </c>
      <c r="I468" s="21" t="str">
        <f t="shared" si="86"/>
        <v>Clean</v>
      </c>
      <c r="J468" s="1">
        <v>0.22</v>
      </c>
      <c r="K468" s="23" t="str">
        <f t="shared" si="87"/>
        <v>Safe</v>
      </c>
      <c r="L468">
        <f t="shared" si="77"/>
        <v>0.18179999999999999</v>
      </c>
      <c r="M468" s="20">
        <f t="shared" si="78"/>
        <v>0.18179999999999999</v>
      </c>
      <c r="N468">
        <f t="shared" si="79"/>
        <v>0.41</v>
      </c>
      <c r="O468" s="20" t="str">
        <f t="shared" si="80"/>
        <v>Acceptable</v>
      </c>
      <c r="P468">
        <f t="shared" si="81"/>
        <v>0.4627</v>
      </c>
      <c r="Q468">
        <f t="shared" si="82"/>
        <v>6</v>
      </c>
      <c r="R468">
        <f t="shared" si="83"/>
        <v>53</v>
      </c>
      <c r="S468">
        <f t="shared" si="84"/>
        <v>59</v>
      </c>
    </row>
    <row r="469" spans="1:19" ht="15" thickBot="1" x14ac:dyDescent="0.35">
      <c r="A469" s="1">
        <v>468</v>
      </c>
      <c r="B469" s="2">
        <v>40564</v>
      </c>
      <c r="C469" s="1">
        <v>1</v>
      </c>
      <c r="D469" s="1">
        <v>12</v>
      </c>
      <c r="E469" s="3" t="b">
        <v>0</v>
      </c>
      <c r="F469" s="5">
        <v>5</v>
      </c>
      <c r="G469" s="18" t="str">
        <f t="shared" si="85"/>
        <v>No</v>
      </c>
      <c r="H469" s="1">
        <v>1</v>
      </c>
      <c r="I469" s="21" t="str">
        <f t="shared" si="86"/>
        <v>Clean</v>
      </c>
      <c r="J469" s="1">
        <v>0.22</v>
      </c>
      <c r="K469" s="23" t="str">
        <f t="shared" si="87"/>
        <v>Safe</v>
      </c>
      <c r="L469">
        <f t="shared" si="77"/>
        <v>0.18179999999999999</v>
      </c>
      <c r="M469" s="20">
        <f t="shared" si="78"/>
        <v>0.18179999999999999</v>
      </c>
      <c r="N469">
        <f t="shared" si="79"/>
        <v>0.27</v>
      </c>
      <c r="O469" s="20" t="str">
        <f t="shared" si="80"/>
        <v>Acceptable</v>
      </c>
      <c r="P469">
        <f t="shared" si="81"/>
        <v>0.58209999999999995</v>
      </c>
      <c r="Q469">
        <f t="shared" si="82"/>
        <v>11</v>
      </c>
      <c r="R469">
        <f t="shared" si="83"/>
        <v>67</v>
      </c>
      <c r="S469">
        <f t="shared" si="84"/>
        <v>78</v>
      </c>
    </row>
    <row r="470" spans="1:19" ht="15" thickBot="1" x14ac:dyDescent="0.35">
      <c r="A470" s="1">
        <v>469</v>
      </c>
      <c r="B470" s="2">
        <v>40564</v>
      </c>
      <c r="C470" s="1">
        <v>1</v>
      </c>
      <c r="D470" s="1">
        <v>13</v>
      </c>
      <c r="E470" s="3" t="b">
        <v>0</v>
      </c>
      <c r="F470" s="5">
        <v>5</v>
      </c>
      <c r="G470" s="18" t="str">
        <f t="shared" si="85"/>
        <v>No</v>
      </c>
      <c r="H470" s="1">
        <v>1</v>
      </c>
      <c r="I470" s="21" t="str">
        <f t="shared" si="86"/>
        <v>Clean</v>
      </c>
      <c r="J470" s="1">
        <v>0.2</v>
      </c>
      <c r="K470" s="23" t="str">
        <f t="shared" si="87"/>
        <v>Safe</v>
      </c>
      <c r="L470">
        <f t="shared" si="77"/>
        <v>0.1515</v>
      </c>
      <c r="M470" s="20">
        <f t="shared" si="78"/>
        <v>0.1515</v>
      </c>
      <c r="N470">
        <f t="shared" si="79"/>
        <v>0.21</v>
      </c>
      <c r="O470" s="20" t="str">
        <f t="shared" si="80"/>
        <v>Acceptable</v>
      </c>
      <c r="P470">
        <f t="shared" si="81"/>
        <v>0.58209999999999995</v>
      </c>
      <c r="Q470">
        <f t="shared" si="82"/>
        <v>8</v>
      </c>
      <c r="R470">
        <f t="shared" si="83"/>
        <v>65</v>
      </c>
      <c r="S470">
        <f t="shared" si="84"/>
        <v>73</v>
      </c>
    </row>
    <row r="471" spans="1:19" ht="15" thickBot="1" x14ac:dyDescent="0.35">
      <c r="A471" s="1">
        <v>470</v>
      </c>
      <c r="B471" s="2">
        <v>40564</v>
      </c>
      <c r="C471" s="1">
        <v>1</v>
      </c>
      <c r="D471" s="1">
        <v>14</v>
      </c>
      <c r="E471" s="3" t="b">
        <v>0</v>
      </c>
      <c r="F471" s="5">
        <v>5</v>
      </c>
      <c r="G471" s="18" t="str">
        <f t="shared" si="85"/>
        <v>No</v>
      </c>
      <c r="H471" s="1">
        <v>1</v>
      </c>
      <c r="I471" s="21" t="str">
        <f t="shared" si="86"/>
        <v>Clean</v>
      </c>
      <c r="J471" s="1">
        <v>0.2</v>
      </c>
      <c r="K471" s="23" t="str">
        <f t="shared" si="87"/>
        <v>Safe</v>
      </c>
      <c r="L471">
        <f t="shared" si="77"/>
        <v>0.1515</v>
      </c>
      <c r="M471" s="20">
        <f t="shared" si="78"/>
        <v>0.1515</v>
      </c>
      <c r="N471">
        <f t="shared" si="79"/>
        <v>0.25</v>
      </c>
      <c r="O471" s="20" t="str">
        <f t="shared" si="80"/>
        <v>Acceptable</v>
      </c>
      <c r="P471">
        <f t="shared" si="81"/>
        <v>0.52239999999999998</v>
      </c>
      <c r="Q471">
        <f t="shared" si="82"/>
        <v>6</v>
      </c>
      <c r="R471">
        <f t="shared" si="83"/>
        <v>56</v>
      </c>
      <c r="S471">
        <f t="shared" si="84"/>
        <v>62</v>
      </c>
    </row>
    <row r="472" spans="1:19" ht="15" thickBot="1" x14ac:dyDescent="0.35">
      <c r="A472" s="1">
        <v>471</v>
      </c>
      <c r="B472" s="2">
        <v>40564</v>
      </c>
      <c r="C472" s="1">
        <v>1</v>
      </c>
      <c r="D472" s="1">
        <v>15</v>
      </c>
      <c r="E472" s="3" t="b">
        <v>0</v>
      </c>
      <c r="F472" s="5">
        <v>5</v>
      </c>
      <c r="G472" s="18" t="str">
        <f t="shared" si="85"/>
        <v>No</v>
      </c>
      <c r="H472" s="1">
        <v>1</v>
      </c>
      <c r="I472" s="21" t="str">
        <f t="shared" si="86"/>
        <v>Clean</v>
      </c>
      <c r="J472" s="1">
        <v>0.16</v>
      </c>
      <c r="K472" s="23" t="str">
        <f t="shared" si="87"/>
        <v>Safe</v>
      </c>
      <c r="L472">
        <f t="shared" si="77"/>
        <v>0.1212</v>
      </c>
      <c r="M472" s="20">
        <f t="shared" si="78"/>
        <v>0.1212</v>
      </c>
      <c r="N472">
        <f t="shared" si="79"/>
        <v>0.26</v>
      </c>
      <c r="O472" s="20" t="str">
        <f t="shared" si="80"/>
        <v>Acceptable</v>
      </c>
      <c r="P472">
        <f t="shared" si="81"/>
        <v>0.44779999999999998</v>
      </c>
      <c r="Q472">
        <f t="shared" si="82"/>
        <v>4</v>
      </c>
      <c r="R472">
        <f t="shared" si="83"/>
        <v>61</v>
      </c>
      <c r="S472">
        <f t="shared" si="84"/>
        <v>65</v>
      </c>
    </row>
    <row r="473" spans="1:19" ht="15" thickBot="1" x14ac:dyDescent="0.35">
      <c r="A473" s="1">
        <v>472</v>
      </c>
      <c r="B473" s="2">
        <v>40564</v>
      </c>
      <c r="C473" s="1">
        <v>1</v>
      </c>
      <c r="D473" s="1">
        <v>16</v>
      </c>
      <c r="E473" s="3" t="b">
        <v>0</v>
      </c>
      <c r="F473" s="5">
        <v>5</v>
      </c>
      <c r="G473" s="18" t="str">
        <f t="shared" si="85"/>
        <v>No</v>
      </c>
      <c r="H473" s="1">
        <v>1</v>
      </c>
      <c r="I473" s="21" t="str">
        <f t="shared" si="86"/>
        <v>Clean</v>
      </c>
      <c r="J473" s="1">
        <v>0.16</v>
      </c>
      <c r="K473" s="23" t="str">
        <f t="shared" si="87"/>
        <v>Safe</v>
      </c>
      <c r="L473">
        <f t="shared" si="77"/>
        <v>0.13639999999999999</v>
      </c>
      <c r="M473" s="20">
        <f t="shared" si="78"/>
        <v>0.13639999999999999</v>
      </c>
      <c r="N473">
        <f t="shared" si="79"/>
        <v>0.26</v>
      </c>
      <c r="O473" s="20" t="str">
        <f t="shared" si="80"/>
        <v>Acceptable</v>
      </c>
      <c r="P473">
        <f t="shared" si="81"/>
        <v>0.35820000000000002</v>
      </c>
      <c r="Q473">
        <f t="shared" si="82"/>
        <v>0</v>
      </c>
      <c r="R473">
        <f t="shared" si="83"/>
        <v>97</v>
      </c>
      <c r="S473">
        <f t="shared" si="84"/>
        <v>97</v>
      </c>
    </row>
    <row r="474" spans="1:19" ht="15" thickBot="1" x14ac:dyDescent="0.35">
      <c r="A474" s="1">
        <v>473</v>
      </c>
      <c r="B474" s="2">
        <v>40564</v>
      </c>
      <c r="C474" s="1">
        <v>1</v>
      </c>
      <c r="D474" s="1">
        <v>17</v>
      </c>
      <c r="E474" s="3" t="b">
        <v>0</v>
      </c>
      <c r="F474" s="5">
        <v>5</v>
      </c>
      <c r="G474" s="18" t="str">
        <f t="shared" si="85"/>
        <v>No</v>
      </c>
      <c r="H474" s="1">
        <v>1</v>
      </c>
      <c r="I474" s="21" t="str">
        <f t="shared" si="86"/>
        <v>Clean</v>
      </c>
      <c r="J474" s="1">
        <v>0.14000000000000001</v>
      </c>
      <c r="K474" s="23" t="str">
        <f t="shared" si="87"/>
        <v>Safe</v>
      </c>
      <c r="L474">
        <f t="shared" si="77"/>
        <v>0.1212</v>
      </c>
      <c r="M474" s="20">
        <f t="shared" si="78"/>
        <v>0.1212</v>
      </c>
      <c r="N474">
        <f t="shared" si="79"/>
        <v>0.28000000000000003</v>
      </c>
      <c r="O474" s="20" t="str">
        <f t="shared" si="80"/>
        <v>Acceptable</v>
      </c>
      <c r="P474">
        <f t="shared" si="81"/>
        <v>0.35820000000000002</v>
      </c>
      <c r="Q474">
        <f t="shared" si="82"/>
        <v>10</v>
      </c>
      <c r="R474">
        <f t="shared" si="83"/>
        <v>151</v>
      </c>
      <c r="S474">
        <f t="shared" si="84"/>
        <v>161</v>
      </c>
    </row>
    <row r="475" spans="1:19" ht="15" thickBot="1" x14ac:dyDescent="0.35">
      <c r="A475" s="1">
        <v>474</v>
      </c>
      <c r="B475" s="2">
        <v>40564</v>
      </c>
      <c r="C475" s="1">
        <v>1</v>
      </c>
      <c r="D475" s="1">
        <v>18</v>
      </c>
      <c r="E475" s="3" t="b">
        <v>0</v>
      </c>
      <c r="F475" s="5">
        <v>5</v>
      </c>
      <c r="G475" s="18" t="str">
        <f t="shared" si="85"/>
        <v>No</v>
      </c>
      <c r="H475" s="1">
        <v>1</v>
      </c>
      <c r="I475" s="21" t="str">
        <f t="shared" si="86"/>
        <v>Clean</v>
      </c>
      <c r="J475" s="1">
        <v>0.12</v>
      </c>
      <c r="K475" s="23" t="str">
        <f t="shared" si="87"/>
        <v>Safe</v>
      </c>
      <c r="L475">
        <f t="shared" si="77"/>
        <v>0.1212</v>
      </c>
      <c r="M475" s="20">
        <f t="shared" si="78"/>
        <v>0.1212</v>
      </c>
      <c r="N475">
        <f t="shared" si="79"/>
        <v>0.3</v>
      </c>
      <c r="O475" s="20" t="str">
        <f t="shared" si="80"/>
        <v>Acceptable</v>
      </c>
      <c r="P475">
        <f t="shared" si="81"/>
        <v>0.25369999999999998</v>
      </c>
      <c r="Q475">
        <f t="shared" si="82"/>
        <v>1</v>
      </c>
      <c r="R475">
        <f t="shared" si="83"/>
        <v>119</v>
      </c>
      <c r="S475">
        <f t="shared" si="84"/>
        <v>120</v>
      </c>
    </row>
    <row r="476" spans="1:19" ht="15" thickBot="1" x14ac:dyDescent="0.35">
      <c r="A476" s="1">
        <v>475</v>
      </c>
      <c r="B476" s="2">
        <v>40564</v>
      </c>
      <c r="C476" s="1">
        <v>1</v>
      </c>
      <c r="D476" s="1">
        <v>19</v>
      </c>
      <c r="E476" s="3" t="b">
        <v>0</v>
      </c>
      <c r="F476" s="5">
        <v>5</v>
      </c>
      <c r="G476" s="18" t="str">
        <f t="shared" si="85"/>
        <v>No</v>
      </c>
      <c r="H476" s="1">
        <v>1</v>
      </c>
      <c r="I476" s="21" t="str">
        <f t="shared" si="86"/>
        <v>Clean</v>
      </c>
      <c r="J476" s="1">
        <v>0.12</v>
      </c>
      <c r="K476" s="23" t="str">
        <f t="shared" si="87"/>
        <v>Safe</v>
      </c>
      <c r="L476">
        <f t="shared" si="77"/>
        <v>0.1061</v>
      </c>
      <c r="M476" s="20">
        <f t="shared" si="78"/>
        <v>0.1061</v>
      </c>
      <c r="N476">
        <f t="shared" si="79"/>
        <v>0.3</v>
      </c>
      <c r="O476" s="20" t="str">
        <f t="shared" si="80"/>
        <v>Acceptable</v>
      </c>
      <c r="P476">
        <f t="shared" si="81"/>
        <v>0.32840000000000003</v>
      </c>
      <c r="Q476">
        <f t="shared" si="82"/>
        <v>3</v>
      </c>
      <c r="R476">
        <f t="shared" si="83"/>
        <v>93</v>
      </c>
      <c r="S476">
        <f t="shared" si="84"/>
        <v>96</v>
      </c>
    </row>
    <row r="477" spans="1:19" ht="15" thickBot="1" x14ac:dyDescent="0.35">
      <c r="A477" s="1">
        <v>476</v>
      </c>
      <c r="B477" s="2">
        <v>40564</v>
      </c>
      <c r="C477" s="1">
        <v>1</v>
      </c>
      <c r="D477" s="1">
        <v>20</v>
      </c>
      <c r="E477" s="3" t="b">
        <v>0</v>
      </c>
      <c r="F477" s="5">
        <v>5</v>
      </c>
      <c r="G477" s="18" t="str">
        <f t="shared" si="85"/>
        <v>No</v>
      </c>
      <c r="H477" s="1">
        <v>1</v>
      </c>
      <c r="I477" s="21" t="str">
        <f t="shared" si="86"/>
        <v>Clean</v>
      </c>
      <c r="J477" s="1">
        <v>0.1</v>
      </c>
      <c r="K477" s="23" t="str">
        <f t="shared" si="87"/>
        <v>Safe</v>
      </c>
      <c r="L477">
        <f t="shared" si="77"/>
        <v>7.5800000000000006E-2</v>
      </c>
      <c r="M477" s="20">
        <f t="shared" si="78"/>
        <v>7.5800000000000006E-2</v>
      </c>
      <c r="N477">
        <f t="shared" si="79"/>
        <v>0.33</v>
      </c>
      <c r="O477" s="20" t="str">
        <f t="shared" si="80"/>
        <v>Acceptable</v>
      </c>
      <c r="P477">
        <f t="shared" si="81"/>
        <v>0.41789999999999999</v>
      </c>
      <c r="Q477">
        <f t="shared" si="82"/>
        <v>1</v>
      </c>
      <c r="R477">
        <f t="shared" si="83"/>
        <v>52</v>
      </c>
      <c r="S477">
        <f t="shared" si="84"/>
        <v>53</v>
      </c>
    </row>
    <row r="478" spans="1:19" ht="15" thickBot="1" x14ac:dyDescent="0.35">
      <c r="A478" s="1">
        <v>477</v>
      </c>
      <c r="B478" s="2">
        <v>40564</v>
      </c>
      <c r="C478" s="1">
        <v>1</v>
      </c>
      <c r="D478" s="1">
        <v>21</v>
      </c>
      <c r="E478" s="3" t="b">
        <v>0</v>
      </c>
      <c r="F478" s="5">
        <v>5</v>
      </c>
      <c r="G478" s="18" t="str">
        <f t="shared" si="85"/>
        <v>No</v>
      </c>
      <c r="H478" s="1">
        <v>1</v>
      </c>
      <c r="I478" s="21" t="str">
        <f t="shared" si="86"/>
        <v>Clean</v>
      </c>
      <c r="J478" s="1">
        <v>0.08</v>
      </c>
      <c r="K478" s="23" t="str">
        <f t="shared" si="87"/>
        <v>Risky</v>
      </c>
      <c r="L478">
        <f t="shared" si="77"/>
        <v>7.5800000000000006E-2</v>
      </c>
      <c r="M478" s="20">
        <f t="shared" si="78"/>
        <v>7.5800000000000006E-2</v>
      </c>
      <c r="N478">
        <f t="shared" si="79"/>
        <v>0.38</v>
      </c>
      <c r="O478" s="20" t="str">
        <f t="shared" si="80"/>
        <v>Acceptable</v>
      </c>
      <c r="P478">
        <f t="shared" si="81"/>
        <v>0.28360000000000002</v>
      </c>
      <c r="Q478">
        <f t="shared" si="82"/>
        <v>0</v>
      </c>
      <c r="R478">
        <f t="shared" si="83"/>
        <v>41</v>
      </c>
      <c r="S478">
        <f t="shared" si="84"/>
        <v>41</v>
      </c>
    </row>
    <row r="479" spans="1:19" ht="15" thickBot="1" x14ac:dyDescent="0.35">
      <c r="A479" s="1">
        <v>478</v>
      </c>
      <c r="B479" s="2">
        <v>40564</v>
      </c>
      <c r="C479" s="1">
        <v>1</v>
      </c>
      <c r="D479" s="1">
        <v>22</v>
      </c>
      <c r="E479" s="3" t="b">
        <v>0</v>
      </c>
      <c r="F479" s="5">
        <v>5</v>
      </c>
      <c r="G479" s="18" t="str">
        <f t="shared" si="85"/>
        <v>No</v>
      </c>
      <c r="H479" s="1">
        <v>1</v>
      </c>
      <c r="I479" s="21" t="str">
        <f t="shared" si="86"/>
        <v>Clean</v>
      </c>
      <c r="J479" s="1">
        <v>0.06</v>
      </c>
      <c r="K479" s="23" t="str">
        <f t="shared" si="87"/>
        <v>Risky</v>
      </c>
      <c r="L479">
        <f t="shared" si="77"/>
        <v>3.0300000000000001E-2</v>
      </c>
      <c r="M479" s="20">
        <f t="shared" si="78"/>
        <v>3.0300000000000001E-2</v>
      </c>
      <c r="N479">
        <f t="shared" si="79"/>
        <v>0.41</v>
      </c>
      <c r="O479" s="20" t="str">
        <f t="shared" si="80"/>
        <v>Acceptable</v>
      </c>
      <c r="P479">
        <f t="shared" si="81"/>
        <v>0.3881</v>
      </c>
      <c r="Q479">
        <f t="shared" si="82"/>
        <v>1</v>
      </c>
      <c r="R479">
        <f t="shared" si="83"/>
        <v>33</v>
      </c>
      <c r="S479">
        <f t="shared" si="84"/>
        <v>34</v>
      </c>
    </row>
    <row r="480" spans="1:19" ht="15" thickBot="1" x14ac:dyDescent="0.35">
      <c r="A480" s="1">
        <v>479</v>
      </c>
      <c r="B480" s="2">
        <v>40564</v>
      </c>
      <c r="C480" s="1">
        <v>1</v>
      </c>
      <c r="D480" s="1">
        <v>23</v>
      </c>
      <c r="E480" s="3" t="b">
        <v>0</v>
      </c>
      <c r="F480" s="5">
        <v>5</v>
      </c>
      <c r="G480" s="18" t="str">
        <f t="shared" si="85"/>
        <v>No</v>
      </c>
      <c r="H480" s="1">
        <v>1</v>
      </c>
      <c r="I480" s="21" t="str">
        <f t="shared" si="86"/>
        <v>Clean</v>
      </c>
      <c r="J480" s="1">
        <v>0.06</v>
      </c>
      <c r="K480" s="23" t="str">
        <f t="shared" si="87"/>
        <v>Risky</v>
      </c>
      <c r="L480">
        <f t="shared" si="77"/>
        <v>4.5499999999999999E-2</v>
      </c>
      <c r="M480" s="20">
        <f t="shared" si="78"/>
        <v>4.5499999999999999E-2</v>
      </c>
      <c r="N480">
        <f t="shared" si="79"/>
        <v>0.38</v>
      </c>
      <c r="O480" s="20" t="str">
        <f t="shared" si="80"/>
        <v>Acceptable</v>
      </c>
      <c r="P480">
        <f t="shared" si="81"/>
        <v>0.32840000000000003</v>
      </c>
      <c r="Q480">
        <f t="shared" si="82"/>
        <v>0</v>
      </c>
      <c r="R480">
        <f t="shared" si="83"/>
        <v>27</v>
      </c>
      <c r="S480">
        <f t="shared" si="84"/>
        <v>27</v>
      </c>
    </row>
    <row r="481" spans="1:19" ht="15" thickBot="1" x14ac:dyDescent="0.35">
      <c r="A481" s="1">
        <v>480</v>
      </c>
      <c r="B481" s="2">
        <v>40565</v>
      </c>
      <c r="C481" s="1">
        <v>1</v>
      </c>
      <c r="D481" s="1">
        <v>0</v>
      </c>
      <c r="E481" s="3" t="b">
        <v>0</v>
      </c>
      <c r="F481" s="5">
        <v>6</v>
      </c>
      <c r="G481" s="18" t="str">
        <f t="shared" si="85"/>
        <v>Yes</v>
      </c>
      <c r="H481" s="1">
        <v>1</v>
      </c>
      <c r="I481" s="21" t="str">
        <f t="shared" si="86"/>
        <v>Clean</v>
      </c>
      <c r="J481" s="1">
        <v>0.04</v>
      </c>
      <c r="K481" s="23" t="str">
        <f t="shared" si="87"/>
        <v>Risky</v>
      </c>
      <c r="L481">
        <f t="shared" si="77"/>
        <v>3.0300000000000001E-2</v>
      </c>
      <c r="M481" s="20">
        <f t="shared" si="78"/>
        <v>3.0300000000000001E-2</v>
      </c>
      <c r="N481">
        <f t="shared" si="79"/>
        <v>0.45</v>
      </c>
      <c r="O481" s="20" t="str">
        <f t="shared" si="80"/>
        <v>Acceptable</v>
      </c>
      <c r="P481">
        <f t="shared" si="81"/>
        <v>0.25369999999999998</v>
      </c>
      <c r="Q481">
        <f t="shared" si="82"/>
        <v>0</v>
      </c>
      <c r="R481">
        <f t="shared" si="83"/>
        <v>13</v>
      </c>
      <c r="S481">
        <f t="shared" si="84"/>
        <v>13</v>
      </c>
    </row>
    <row r="482" spans="1:19" ht="15" thickBot="1" x14ac:dyDescent="0.35">
      <c r="A482" s="1">
        <v>481</v>
      </c>
      <c r="B482" s="2">
        <v>40565</v>
      </c>
      <c r="C482" s="1">
        <v>1</v>
      </c>
      <c r="D482" s="1">
        <v>1</v>
      </c>
      <c r="E482" s="3" t="b">
        <v>0</v>
      </c>
      <c r="F482" s="5">
        <v>6</v>
      </c>
      <c r="G482" s="18" t="str">
        <f t="shared" si="85"/>
        <v>Yes</v>
      </c>
      <c r="H482" s="1">
        <v>2</v>
      </c>
      <c r="I482" s="21" t="str">
        <f t="shared" si="86"/>
        <v>Misty</v>
      </c>
      <c r="J482" s="1">
        <v>0.04</v>
      </c>
      <c r="K482" s="23" t="str">
        <f t="shared" si="87"/>
        <v>Risky</v>
      </c>
      <c r="L482">
        <f t="shared" si="77"/>
        <v>0</v>
      </c>
      <c r="M482" s="20">
        <f t="shared" si="78"/>
        <v>0</v>
      </c>
      <c r="N482">
        <f t="shared" si="79"/>
        <v>0.41</v>
      </c>
      <c r="O482" s="20" t="str">
        <f t="shared" si="80"/>
        <v>Acceptable</v>
      </c>
      <c r="P482">
        <f t="shared" si="81"/>
        <v>0.3881</v>
      </c>
      <c r="Q482">
        <f t="shared" si="82"/>
        <v>3</v>
      </c>
      <c r="R482">
        <f t="shared" si="83"/>
        <v>9</v>
      </c>
      <c r="S482">
        <f t="shared" si="84"/>
        <v>12</v>
      </c>
    </row>
    <row r="483" spans="1:19" ht="15" thickBot="1" x14ac:dyDescent="0.35">
      <c r="A483" s="1">
        <v>482</v>
      </c>
      <c r="B483" s="2">
        <v>40565</v>
      </c>
      <c r="C483" s="1">
        <v>1</v>
      </c>
      <c r="D483" s="1">
        <v>2</v>
      </c>
      <c r="E483" s="3" t="b">
        <v>0</v>
      </c>
      <c r="F483" s="5">
        <v>6</v>
      </c>
      <c r="G483" s="18" t="str">
        <f t="shared" si="85"/>
        <v>Yes</v>
      </c>
      <c r="H483" s="1">
        <v>2</v>
      </c>
      <c r="I483" s="21" t="str">
        <f t="shared" si="86"/>
        <v>Misty</v>
      </c>
      <c r="J483" s="1">
        <v>0.04</v>
      </c>
      <c r="K483" s="23" t="str">
        <f t="shared" si="87"/>
        <v>Risky</v>
      </c>
      <c r="L483">
        <f t="shared" si="77"/>
        <v>3.0300000000000001E-2</v>
      </c>
      <c r="M483" s="20">
        <f t="shared" si="78"/>
        <v>3.0300000000000001E-2</v>
      </c>
      <c r="N483">
        <f t="shared" si="79"/>
        <v>0.41</v>
      </c>
      <c r="O483" s="20" t="str">
        <f t="shared" si="80"/>
        <v>Acceptable</v>
      </c>
      <c r="P483">
        <f t="shared" si="81"/>
        <v>0.25369999999999998</v>
      </c>
      <c r="Q483">
        <f t="shared" si="82"/>
        <v>0</v>
      </c>
      <c r="R483">
        <f t="shared" si="83"/>
        <v>11</v>
      </c>
      <c r="S483">
        <f t="shared" si="84"/>
        <v>11</v>
      </c>
    </row>
    <row r="484" spans="1:19" ht="15" thickBot="1" x14ac:dyDescent="0.35">
      <c r="A484" s="1">
        <v>483</v>
      </c>
      <c r="B484" s="2">
        <v>40565</v>
      </c>
      <c r="C484" s="1">
        <v>1</v>
      </c>
      <c r="D484" s="1">
        <v>3</v>
      </c>
      <c r="E484" s="3" t="b">
        <v>0</v>
      </c>
      <c r="F484" s="5">
        <v>6</v>
      </c>
      <c r="G484" s="18" t="str">
        <f t="shared" si="85"/>
        <v>Yes</v>
      </c>
      <c r="H484" s="1">
        <v>2</v>
      </c>
      <c r="I484" s="21" t="str">
        <f t="shared" si="86"/>
        <v>Misty</v>
      </c>
      <c r="J484" s="1">
        <v>0.04</v>
      </c>
      <c r="K484" s="23" t="str">
        <f t="shared" si="87"/>
        <v>Risky</v>
      </c>
      <c r="L484">
        <f t="shared" si="77"/>
        <v>3.0300000000000001E-2</v>
      </c>
      <c r="M484" s="20">
        <f t="shared" si="78"/>
        <v>3.0300000000000001E-2</v>
      </c>
      <c r="N484">
        <f t="shared" si="79"/>
        <v>0.41</v>
      </c>
      <c r="O484" s="20" t="str">
        <f t="shared" si="80"/>
        <v>Acceptable</v>
      </c>
      <c r="P484">
        <f t="shared" si="81"/>
        <v>0.28360000000000002</v>
      </c>
      <c r="Q484">
        <f t="shared" si="82"/>
        <v>1</v>
      </c>
      <c r="R484">
        <f t="shared" si="83"/>
        <v>6</v>
      </c>
      <c r="S484">
        <f t="shared" si="84"/>
        <v>7</v>
      </c>
    </row>
    <row r="485" spans="1:19" ht="15" thickBot="1" x14ac:dyDescent="0.35">
      <c r="A485" s="1">
        <v>484</v>
      </c>
      <c r="B485" s="2">
        <v>40565</v>
      </c>
      <c r="C485" s="1">
        <v>1</v>
      </c>
      <c r="D485" s="1">
        <v>4</v>
      </c>
      <c r="E485" s="3" t="b">
        <v>0</v>
      </c>
      <c r="F485" s="5">
        <v>6</v>
      </c>
      <c r="G485" s="18" t="str">
        <f t="shared" si="85"/>
        <v>Yes</v>
      </c>
      <c r="H485" s="1">
        <v>2</v>
      </c>
      <c r="I485" s="21" t="str">
        <f t="shared" si="86"/>
        <v>Misty</v>
      </c>
      <c r="J485" s="1">
        <v>0.02</v>
      </c>
      <c r="K485" s="23" t="str">
        <f t="shared" si="87"/>
        <v>Risky</v>
      </c>
      <c r="L485">
        <f t="shared" si="77"/>
        <v>1.52E-2</v>
      </c>
      <c r="M485" s="20">
        <f t="shared" si="78"/>
        <v>1.52E-2</v>
      </c>
      <c r="N485">
        <f t="shared" si="79"/>
        <v>0.48</v>
      </c>
      <c r="O485" s="20" t="str">
        <f t="shared" si="80"/>
        <v>Acceptable</v>
      </c>
      <c r="P485">
        <f t="shared" si="81"/>
        <v>0.29849999999999999</v>
      </c>
      <c r="Q485">
        <f t="shared" si="82"/>
        <v>0</v>
      </c>
      <c r="R485">
        <f t="shared" si="83"/>
        <v>3</v>
      </c>
      <c r="S485">
        <f t="shared" si="84"/>
        <v>3</v>
      </c>
    </row>
    <row r="486" spans="1:19" ht="15" thickBot="1" x14ac:dyDescent="0.35">
      <c r="A486" s="1">
        <v>485</v>
      </c>
      <c r="B486" s="2">
        <v>40565</v>
      </c>
      <c r="C486" s="1">
        <v>1</v>
      </c>
      <c r="D486" s="1">
        <v>6</v>
      </c>
      <c r="E486" s="3" t="b">
        <v>0</v>
      </c>
      <c r="F486" s="5">
        <v>6</v>
      </c>
      <c r="G486" s="18" t="str">
        <f t="shared" si="85"/>
        <v>Yes</v>
      </c>
      <c r="H486" s="1">
        <v>2</v>
      </c>
      <c r="I486" s="21" t="str">
        <f t="shared" si="86"/>
        <v>Misty</v>
      </c>
      <c r="J486" s="1">
        <v>0.02</v>
      </c>
      <c r="K486" s="23" t="str">
        <f t="shared" si="87"/>
        <v>Risky</v>
      </c>
      <c r="L486">
        <f t="shared" si="77"/>
        <v>3.0300000000000001E-2</v>
      </c>
      <c r="M486" s="20">
        <f t="shared" si="78"/>
        <v>3.0300000000000001E-2</v>
      </c>
      <c r="N486">
        <f t="shared" si="79"/>
        <v>0.44</v>
      </c>
      <c r="O486" s="20" t="str">
        <f t="shared" si="80"/>
        <v>Acceptable</v>
      </c>
      <c r="P486">
        <f t="shared" si="81"/>
        <v>0.22389999999999999</v>
      </c>
      <c r="Q486">
        <f t="shared" si="82"/>
        <v>0</v>
      </c>
      <c r="R486">
        <f t="shared" si="83"/>
        <v>2</v>
      </c>
      <c r="S486">
        <f t="shared" si="84"/>
        <v>2</v>
      </c>
    </row>
    <row r="487" spans="1:19" ht="15" thickBot="1" x14ac:dyDescent="0.35">
      <c r="A487" s="1">
        <v>486</v>
      </c>
      <c r="B487" s="2">
        <v>40565</v>
      </c>
      <c r="C487" s="1">
        <v>1</v>
      </c>
      <c r="D487" s="1">
        <v>7</v>
      </c>
      <c r="E487" s="3" t="b">
        <v>0</v>
      </c>
      <c r="F487" s="5">
        <v>6</v>
      </c>
      <c r="G487" s="18" t="str">
        <f t="shared" si="85"/>
        <v>Yes</v>
      </c>
      <c r="H487" s="1">
        <v>1</v>
      </c>
      <c r="I487" s="21" t="str">
        <f t="shared" si="86"/>
        <v>Clean</v>
      </c>
      <c r="J487" s="1">
        <v>0.02</v>
      </c>
      <c r="K487" s="23" t="str">
        <f t="shared" si="87"/>
        <v>Risky</v>
      </c>
      <c r="L487">
        <f t="shared" si="77"/>
        <v>1.52E-2</v>
      </c>
      <c r="M487" s="20">
        <f t="shared" si="78"/>
        <v>1.52E-2</v>
      </c>
      <c r="N487">
        <f t="shared" si="79"/>
        <v>0.44</v>
      </c>
      <c r="O487" s="20" t="str">
        <f t="shared" si="80"/>
        <v>Acceptable</v>
      </c>
      <c r="P487">
        <f t="shared" si="81"/>
        <v>0.28360000000000002</v>
      </c>
      <c r="Q487">
        <f t="shared" si="82"/>
        <v>0</v>
      </c>
      <c r="R487">
        <f t="shared" si="83"/>
        <v>8</v>
      </c>
      <c r="S487">
        <f t="shared" si="84"/>
        <v>8</v>
      </c>
    </row>
    <row r="488" spans="1:19" ht="15" thickBot="1" x14ac:dyDescent="0.35">
      <c r="A488" s="1">
        <v>487</v>
      </c>
      <c r="B488" s="2">
        <v>40565</v>
      </c>
      <c r="C488" s="1">
        <v>1</v>
      </c>
      <c r="D488" s="1">
        <v>8</v>
      </c>
      <c r="E488" s="3" t="b">
        <v>0</v>
      </c>
      <c r="F488" s="5">
        <v>6</v>
      </c>
      <c r="G488" s="18" t="str">
        <f t="shared" si="85"/>
        <v>Yes</v>
      </c>
      <c r="H488" s="1">
        <v>1</v>
      </c>
      <c r="I488" s="21" t="str">
        <f t="shared" si="86"/>
        <v>Clean</v>
      </c>
      <c r="J488" s="1">
        <v>0.02</v>
      </c>
      <c r="K488" s="23" t="str">
        <f t="shared" si="87"/>
        <v>Risky</v>
      </c>
      <c r="L488">
        <f t="shared" si="77"/>
        <v>0</v>
      </c>
      <c r="M488" s="20">
        <f t="shared" si="78"/>
        <v>0</v>
      </c>
      <c r="N488">
        <f t="shared" si="79"/>
        <v>0.44</v>
      </c>
      <c r="O488" s="20" t="str">
        <f t="shared" si="80"/>
        <v>Acceptable</v>
      </c>
      <c r="P488">
        <f t="shared" si="81"/>
        <v>0.32840000000000003</v>
      </c>
      <c r="Q488">
        <f t="shared" si="82"/>
        <v>1</v>
      </c>
      <c r="R488">
        <f t="shared" si="83"/>
        <v>26</v>
      </c>
      <c r="S488">
        <f t="shared" si="84"/>
        <v>27</v>
      </c>
    </row>
    <row r="489" spans="1:19" ht="15" thickBot="1" x14ac:dyDescent="0.35">
      <c r="A489" s="1">
        <v>488</v>
      </c>
      <c r="B489" s="2">
        <v>40565</v>
      </c>
      <c r="C489" s="1">
        <v>1</v>
      </c>
      <c r="D489" s="1">
        <v>9</v>
      </c>
      <c r="E489" s="3" t="b">
        <v>0</v>
      </c>
      <c r="F489" s="5">
        <v>6</v>
      </c>
      <c r="G489" s="18" t="str">
        <f t="shared" si="85"/>
        <v>Yes</v>
      </c>
      <c r="H489" s="1">
        <v>1</v>
      </c>
      <c r="I489" s="21" t="str">
        <f t="shared" si="86"/>
        <v>Clean</v>
      </c>
      <c r="J489" s="1">
        <v>0.04</v>
      </c>
      <c r="K489" s="23" t="str">
        <f t="shared" si="87"/>
        <v>Risky</v>
      </c>
      <c r="L489">
        <f t="shared" si="77"/>
        <v>3.0300000000000001E-2</v>
      </c>
      <c r="M489" s="20">
        <f t="shared" si="78"/>
        <v>3.0300000000000001E-2</v>
      </c>
      <c r="N489">
        <f t="shared" si="79"/>
        <v>0.41</v>
      </c>
      <c r="O489" s="20" t="str">
        <f t="shared" si="80"/>
        <v>Acceptable</v>
      </c>
      <c r="P489">
        <f t="shared" si="81"/>
        <v>0.25369999999999998</v>
      </c>
      <c r="Q489">
        <f t="shared" si="82"/>
        <v>3</v>
      </c>
      <c r="R489">
        <f t="shared" si="83"/>
        <v>37</v>
      </c>
      <c r="S489">
        <f t="shared" si="84"/>
        <v>40</v>
      </c>
    </row>
    <row r="490" spans="1:19" ht="15" thickBot="1" x14ac:dyDescent="0.35">
      <c r="A490" s="1">
        <v>489</v>
      </c>
      <c r="B490" s="2">
        <v>40565</v>
      </c>
      <c r="C490" s="1">
        <v>1</v>
      </c>
      <c r="D490" s="1">
        <v>10</v>
      </c>
      <c r="E490" s="3" t="b">
        <v>0</v>
      </c>
      <c r="F490" s="5">
        <v>6</v>
      </c>
      <c r="G490" s="18" t="str">
        <f t="shared" si="85"/>
        <v>Yes</v>
      </c>
      <c r="H490" s="1">
        <v>2</v>
      </c>
      <c r="I490" s="21" t="str">
        <f t="shared" si="86"/>
        <v>Misty</v>
      </c>
      <c r="J490" s="1">
        <v>0.04</v>
      </c>
      <c r="K490" s="23" t="str">
        <f t="shared" si="87"/>
        <v>Risky</v>
      </c>
      <c r="L490">
        <f t="shared" si="77"/>
        <v>6.0600000000000001E-2</v>
      </c>
      <c r="M490" s="20">
        <f t="shared" si="78"/>
        <v>6.0600000000000001E-2</v>
      </c>
      <c r="N490">
        <f t="shared" si="79"/>
        <v>0.41</v>
      </c>
      <c r="O490" s="20" t="str">
        <f t="shared" si="80"/>
        <v>Acceptable</v>
      </c>
      <c r="P490">
        <f t="shared" si="81"/>
        <v>0.16420000000000001</v>
      </c>
      <c r="Q490">
        <f t="shared" si="82"/>
        <v>3</v>
      </c>
      <c r="R490">
        <f t="shared" si="83"/>
        <v>50</v>
      </c>
      <c r="S490">
        <f t="shared" si="84"/>
        <v>53</v>
      </c>
    </row>
    <row r="491" spans="1:19" ht="15" thickBot="1" x14ac:dyDescent="0.35">
      <c r="A491" s="1">
        <v>490</v>
      </c>
      <c r="B491" s="2">
        <v>40565</v>
      </c>
      <c r="C491" s="1">
        <v>1</v>
      </c>
      <c r="D491" s="1">
        <v>11</v>
      </c>
      <c r="E491" s="3" t="b">
        <v>0</v>
      </c>
      <c r="F491" s="5">
        <v>6</v>
      </c>
      <c r="G491" s="18" t="str">
        <f t="shared" si="85"/>
        <v>Yes</v>
      </c>
      <c r="H491" s="1">
        <v>2</v>
      </c>
      <c r="I491" s="21" t="str">
        <f t="shared" si="86"/>
        <v>Misty</v>
      </c>
      <c r="J491" s="1">
        <v>0.06</v>
      </c>
      <c r="K491" s="23" t="str">
        <f t="shared" si="87"/>
        <v>Risky</v>
      </c>
      <c r="L491">
        <f t="shared" si="77"/>
        <v>7.5800000000000006E-2</v>
      </c>
      <c r="M491" s="20">
        <f t="shared" si="78"/>
        <v>7.5800000000000006E-2</v>
      </c>
      <c r="N491">
        <f t="shared" si="79"/>
        <v>0.38</v>
      </c>
      <c r="O491" s="20" t="str">
        <f t="shared" si="80"/>
        <v>Acceptable</v>
      </c>
      <c r="P491">
        <f t="shared" si="81"/>
        <v>0.1343</v>
      </c>
      <c r="Q491">
        <f t="shared" si="82"/>
        <v>4</v>
      </c>
      <c r="R491">
        <f t="shared" si="83"/>
        <v>59</v>
      </c>
      <c r="S491">
        <f t="shared" si="84"/>
        <v>63</v>
      </c>
    </row>
    <row r="492" spans="1:19" ht="15" thickBot="1" x14ac:dyDescent="0.35">
      <c r="A492" s="1">
        <v>491</v>
      </c>
      <c r="B492" s="2">
        <v>40565</v>
      </c>
      <c r="C492" s="1">
        <v>1</v>
      </c>
      <c r="D492" s="1">
        <v>12</v>
      </c>
      <c r="E492" s="3" t="b">
        <v>0</v>
      </c>
      <c r="F492" s="5">
        <v>6</v>
      </c>
      <c r="G492" s="18" t="str">
        <f t="shared" si="85"/>
        <v>Yes</v>
      </c>
      <c r="H492" s="1">
        <v>2</v>
      </c>
      <c r="I492" s="21" t="str">
        <f t="shared" si="86"/>
        <v>Misty</v>
      </c>
      <c r="J492" s="1">
        <v>0.06</v>
      </c>
      <c r="K492" s="23" t="str">
        <f t="shared" si="87"/>
        <v>Risky</v>
      </c>
      <c r="L492">
        <f t="shared" si="77"/>
        <v>0.1061</v>
      </c>
      <c r="M492" s="20">
        <f t="shared" si="78"/>
        <v>0.1061</v>
      </c>
      <c r="N492">
        <f t="shared" si="79"/>
        <v>0.38</v>
      </c>
      <c r="O492" s="20" t="str">
        <f t="shared" si="80"/>
        <v>Acceptable</v>
      </c>
      <c r="P492">
        <f t="shared" si="81"/>
        <v>0.1045</v>
      </c>
      <c r="Q492">
        <f t="shared" si="82"/>
        <v>10</v>
      </c>
      <c r="R492">
        <f t="shared" si="83"/>
        <v>60</v>
      </c>
      <c r="S492">
        <f t="shared" si="84"/>
        <v>70</v>
      </c>
    </row>
    <row r="493" spans="1:19" ht="15" thickBot="1" x14ac:dyDescent="0.35">
      <c r="A493" s="1">
        <v>492</v>
      </c>
      <c r="B493" s="2">
        <v>40565</v>
      </c>
      <c r="C493" s="1">
        <v>1</v>
      </c>
      <c r="D493" s="1">
        <v>13</v>
      </c>
      <c r="E493" s="3" t="b">
        <v>0</v>
      </c>
      <c r="F493" s="5">
        <v>6</v>
      </c>
      <c r="G493" s="18" t="str">
        <f t="shared" si="85"/>
        <v>Yes</v>
      </c>
      <c r="H493" s="1">
        <v>1</v>
      </c>
      <c r="I493" s="21" t="str">
        <f t="shared" si="86"/>
        <v>Clean</v>
      </c>
      <c r="J493" s="1">
        <v>0.08</v>
      </c>
      <c r="K493" s="23" t="str">
        <f t="shared" si="87"/>
        <v>Risky</v>
      </c>
      <c r="L493">
        <f t="shared" si="77"/>
        <v>0.16669999999999999</v>
      </c>
      <c r="M493" s="20">
        <f t="shared" si="78"/>
        <v>0.16669999999999999</v>
      </c>
      <c r="N493">
        <f t="shared" si="79"/>
        <v>0.35</v>
      </c>
      <c r="O493" s="20" t="str">
        <f t="shared" si="80"/>
        <v>Acceptable</v>
      </c>
      <c r="P493">
        <f t="shared" si="81"/>
        <v>0</v>
      </c>
      <c r="Q493">
        <f t="shared" si="82"/>
        <v>12</v>
      </c>
      <c r="R493">
        <f t="shared" si="83"/>
        <v>72</v>
      </c>
      <c r="S493">
        <f t="shared" si="84"/>
        <v>84</v>
      </c>
    </row>
    <row r="494" spans="1:19" ht="15" thickBot="1" x14ac:dyDescent="0.35">
      <c r="A494" s="1">
        <v>493</v>
      </c>
      <c r="B494" s="2">
        <v>40565</v>
      </c>
      <c r="C494" s="1">
        <v>1</v>
      </c>
      <c r="D494" s="1">
        <v>14</v>
      </c>
      <c r="E494" s="3" t="b">
        <v>0</v>
      </c>
      <c r="F494" s="5">
        <v>6</v>
      </c>
      <c r="G494" s="18" t="str">
        <f t="shared" si="85"/>
        <v>Yes</v>
      </c>
      <c r="H494" s="1">
        <v>1</v>
      </c>
      <c r="I494" s="21" t="str">
        <f t="shared" si="86"/>
        <v>Clean</v>
      </c>
      <c r="J494" s="1">
        <v>0.1</v>
      </c>
      <c r="K494" s="23" t="str">
        <f t="shared" si="87"/>
        <v>Safe</v>
      </c>
      <c r="L494">
        <f t="shared" si="77"/>
        <v>0.13639999999999999</v>
      </c>
      <c r="M494" s="20">
        <f t="shared" si="78"/>
        <v>0.13639999999999999</v>
      </c>
      <c r="N494">
        <f t="shared" si="79"/>
        <v>0.33</v>
      </c>
      <c r="O494" s="20" t="str">
        <f t="shared" si="80"/>
        <v>Acceptable</v>
      </c>
      <c r="P494">
        <f t="shared" si="81"/>
        <v>0.1045</v>
      </c>
      <c r="Q494">
        <f t="shared" si="82"/>
        <v>11</v>
      </c>
      <c r="R494">
        <f t="shared" si="83"/>
        <v>64</v>
      </c>
      <c r="S494">
        <f t="shared" si="84"/>
        <v>75</v>
      </c>
    </row>
    <row r="495" spans="1:19" ht="15" thickBot="1" x14ac:dyDescent="0.35">
      <c r="A495" s="1">
        <v>494</v>
      </c>
      <c r="B495" s="2">
        <v>40565</v>
      </c>
      <c r="C495" s="1">
        <v>1</v>
      </c>
      <c r="D495" s="1">
        <v>15</v>
      </c>
      <c r="E495" s="3" t="b">
        <v>0</v>
      </c>
      <c r="F495" s="5">
        <v>6</v>
      </c>
      <c r="G495" s="18" t="str">
        <f t="shared" si="85"/>
        <v>Yes</v>
      </c>
      <c r="H495" s="1">
        <v>1</v>
      </c>
      <c r="I495" s="21" t="str">
        <f t="shared" si="86"/>
        <v>Clean</v>
      </c>
      <c r="J495" s="1">
        <v>0.12</v>
      </c>
      <c r="K495" s="23" t="str">
        <f t="shared" si="87"/>
        <v>Safe</v>
      </c>
      <c r="L495">
        <f t="shared" si="77"/>
        <v>0.1515</v>
      </c>
      <c r="M495" s="20">
        <f t="shared" si="78"/>
        <v>0.1515</v>
      </c>
      <c r="N495">
        <f t="shared" si="79"/>
        <v>0.28000000000000003</v>
      </c>
      <c r="O495" s="20" t="str">
        <f t="shared" si="80"/>
        <v>Acceptable</v>
      </c>
      <c r="P495">
        <f t="shared" si="81"/>
        <v>0</v>
      </c>
      <c r="Q495">
        <f t="shared" si="82"/>
        <v>10</v>
      </c>
      <c r="R495">
        <f t="shared" si="83"/>
        <v>93</v>
      </c>
      <c r="S495">
        <f t="shared" si="84"/>
        <v>103</v>
      </c>
    </row>
    <row r="496" spans="1:19" ht="15" thickBot="1" x14ac:dyDescent="0.35">
      <c r="A496" s="1">
        <v>495</v>
      </c>
      <c r="B496" s="2">
        <v>40565</v>
      </c>
      <c r="C496" s="1">
        <v>1</v>
      </c>
      <c r="D496" s="1">
        <v>16</v>
      </c>
      <c r="E496" s="3" t="b">
        <v>0</v>
      </c>
      <c r="F496" s="5">
        <v>6</v>
      </c>
      <c r="G496" s="18" t="str">
        <f t="shared" si="85"/>
        <v>Yes</v>
      </c>
      <c r="H496" s="1">
        <v>1</v>
      </c>
      <c r="I496" s="21" t="str">
        <f t="shared" si="86"/>
        <v>Clean</v>
      </c>
      <c r="J496" s="1">
        <v>0.12</v>
      </c>
      <c r="K496" s="23" t="str">
        <f t="shared" si="87"/>
        <v>Safe</v>
      </c>
      <c r="L496">
        <f t="shared" si="77"/>
        <v>0.13639999999999999</v>
      </c>
      <c r="M496" s="20">
        <f t="shared" si="78"/>
        <v>0.13639999999999999</v>
      </c>
      <c r="N496">
        <f t="shared" si="79"/>
        <v>0.28000000000000003</v>
      </c>
      <c r="O496" s="20" t="str">
        <f t="shared" si="80"/>
        <v>Acceptable</v>
      </c>
      <c r="P496">
        <f t="shared" si="81"/>
        <v>0.19400000000000001</v>
      </c>
      <c r="Q496">
        <f t="shared" si="82"/>
        <v>11</v>
      </c>
      <c r="R496">
        <f t="shared" si="83"/>
        <v>72</v>
      </c>
      <c r="S496">
        <f t="shared" si="84"/>
        <v>83</v>
      </c>
    </row>
    <row r="497" spans="1:19" ht="15" thickBot="1" x14ac:dyDescent="0.35">
      <c r="A497" s="1">
        <v>496</v>
      </c>
      <c r="B497" s="2">
        <v>40565</v>
      </c>
      <c r="C497" s="1">
        <v>1</v>
      </c>
      <c r="D497" s="1">
        <v>17</v>
      </c>
      <c r="E497" s="3" t="b">
        <v>0</v>
      </c>
      <c r="F497" s="5">
        <v>6</v>
      </c>
      <c r="G497" s="18" t="str">
        <f t="shared" si="85"/>
        <v>Yes</v>
      </c>
      <c r="H497" s="1">
        <v>1</v>
      </c>
      <c r="I497" s="21" t="str">
        <f t="shared" si="86"/>
        <v>Clean</v>
      </c>
      <c r="J497" s="1">
        <v>0.12</v>
      </c>
      <c r="K497" s="23" t="str">
        <f t="shared" si="87"/>
        <v>Safe</v>
      </c>
      <c r="L497">
        <f t="shared" si="77"/>
        <v>0.19700000000000001</v>
      </c>
      <c r="M497" s="20">
        <f t="shared" si="78"/>
        <v>0.19700000000000001</v>
      </c>
      <c r="N497">
        <f t="shared" si="79"/>
        <v>0.28000000000000003</v>
      </c>
      <c r="O497" s="20" t="str">
        <f t="shared" si="80"/>
        <v>Acceptable</v>
      </c>
      <c r="P497">
        <f t="shared" si="81"/>
        <v>0</v>
      </c>
      <c r="Q497">
        <f t="shared" si="82"/>
        <v>8</v>
      </c>
      <c r="R497">
        <f t="shared" si="83"/>
        <v>59</v>
      </c>
      <c r="S497">
        <f t="shared" si="84"/>
        <v>67</v>
      </c>
    </row>
    <row r="498" spans="1:19" ht="15" thickBot="1" x14ac:dyDescent="0.35">
      <c r="A498" s="1">
        <v>497</v>
      </c>
      <c r="B498" s="2">
        <v>40565</v>
      </c>
      <c r="C498" s="1">
        <v>1</v>
      </c>
      <c r="D498" s="1">
        <v>18</v>
      </c>
      <c r="E498" s="3" t="b">
        <v>0</v>
      </c>
      <c r="F498" s="5">
        <v>6</v>
      </c>
      <c r="G498" s="18" t="str">
        <f t="shared" si="85"/>
        <v>Yes</v>
      </c>
      <c r="H498" s="1">
        <v>1</v>
      </c>
      <c r="I498" s="21" t="str">
        <f t="shared" si="86"/>
        <v>Clean</v>
      </c>
      <c r="J498" s="1">
        <v>0.08</v>
      </c>
      <c r="K498" s="23" t="str">
        <f t="shared" si="87"/>
        <v>Risky</v>
      </c>
      <c r="L498">
        <f t="shared" si="77"/>
        <v>9.0899999999999995E-2</v>
      </c>
      <c r="M498" s="20">
        <f t="shared" si="78"/>
        <v>9.0899999999999995E-2</v>
      </c>
      <c r="N498">
        <f t="shared" si="79"/>
        <v>0.35</v>
      </c>
      <c r="O498" s="20" t="str">
        <f t="shared" si="80"/>
        <v>Acceptable</v>
      </c>
      <c r="P498">
        <f t="shared" si="81"/>
        <v>0.19400000000000001</v>
      </c>
      <c r="Q498">
        <f t="shared" si="82"/>
        <v>0</v>
      </c>
      <c r="R498">
        <f t="shared" si="83"/>
        <v>54</v>
      </c>
      <c r="S498">
        <f t="shared" si="84"/>
        <v>54</v>
      </c>
    </row>
    <row r="499" spans="1:19" ht="15" thickBot="1" x14ac:dyDescent="0.35">
      <c r="A499" s="1">
        <v>498</v>
      </c>
      <c r="B499" s="2">
        <v>40565</v>
      </c>
      <c r="C499" s="1">
        <v>1</v>
      </c>
      <c r="D499" s="1">
        <v>19</v>
      </c>
      <c r="E499" s="3" t="b">
        <v>0</v>
      </c>
      <c r="F499" s="5">
        <v>6</v>
      </c>
      <c r="G499" s="18" t="str">
        <f t="shared" si="85"/>
        <v>Yes</v>
      </c>
      <c r="H499" s="1">
        <v>1</v>
      </c>
      <c r="I499" s="21" t="str">
        <f t="shared" si="86"/>
        <v>Clean</v>
      </c>
      <c r="J499" s="1">
        <v>0.08</v>
      </c>
      <c r="K499" s="23" t="str">
        <f t="shared" si="87"/>
        <v>Risky</v>
      </c>
      <c r="L499">
        <f t="shared" si="77"/>
        <v>0.1061</v>
      </c>
      <c r="M499" s="20">
        <f t="shared" si="78"/>
        <v>0.1061</v>
      </c>
      <c r="N499">
        <f t="shared" si="79"/>
        <v>0.35</v>
      </c>
      <c r="O499" s="20" t="str">
        <f t="shared" si="80"/>
        <v>Acceptable</v>
      </c>
      <c r="P499">
        <f t="shared" si="81"/>
        <v>0.1343</v>
      </c>
      <c r="Q499">
        <f t="shared" si="82"/>
        <v>6</v>
      </c>
      <c r="R499">
        <f t="shared" si="83"/>
        <v>53</v>
      </c>
      <c r="S499">
        <f t="shared" si="84"/>
        <v>59</v>
      </c>
    </row>
    <row r="500" spans="1:19" ht="15" thickBot="1" x14ac:dyDescent="0.35">
      <c r="A500" s="1">
        <v>499</v>
      </c>
      <c r="B500" s="2">
        <v>40565</v>
      </c>
      <c r="C500" s="1">
        <v>1</v>
      </c>
      <c r="D500" s="1">
        <v>20</v>
      </c>
      <c r="E500" s="3" t="b">
        <v>0</v>
      </c>
      <c r="F500" s="5">
        <v>6</v>
      </c>
      <c r="G500" s="18" t="str">
        <f t="shared" si="85"/>
        <v>Yes</v>
      </c>
      <c r="H500" s="1">
        <v>1</v>
      </c>
      <c r="I500" s="21" t="str">
        <f t="shared" si="86"/>
        <v>Clean</v>
      </c>
      <c r="J500" s="1">
        <v>0.06</v>
      </c>
      <c r="K500" s="23" t="str">
        <f t="shared" si="87"/>
        <v>Risky</v>
      </c>
      <c r="L500">
        <f t="shared" si="77"/>
        <v>7.5800000000000006E-2</v>
      </c>
      <c r="M500" s="20">
        <f t="shared" si="78"/>
        <v>7.5800000000000006E-2</v>
      </c>
      <c r="N500">
        <f t="shared" si="79"/>
        <v>0.45</v>
      </c>
      <c r="O500" s="20" t="str">
        <f t="shared" si="80"/>
        <v>Acceptable</v>
      </c>
      <c r="P500">
        <f t="shared" si="81"/>
        <v>0.16420000000000001</v>
      </c>
      <c r="Q500">
        <f t="shared" si="82"/>
        <v>1</v>
      </c>
      <c r="R500">
        <f t="shared" si="83"/>
        <v>44</v>
      </c>
      <c r="S500">
        <f t="shared" si="84"/>
        <v>45</v>
      </c>
    </row>
    <row r="501" spans="1:19" ht="15" thickBot="1" x14ac:dyDescent="0.35">
      <c r="A501" s="1">
        <v>500</v>
      </c>
      <c r="B501" s="2">
        <v>40565</v>
      </c>
      <c r="C501" s="1">
        <v>1</v>
      </c>
      <c r="D501" s="1">
        <v>21</v>
      </c>
      <c r="E501" s="3" t="b">
        <v>0</v>
      </c>
      <c r="F501" s="5">
        <v>6</v>
      </c>
      <c r="G501" s="18" t="str">
        <f t="shared" si="85"/>
        <v>Yes</v>
      </c>
      <c r="H501" s="1">
        <v>1</v>
      </c>
      <c r="I501" s="21" t="str">
        <f t="shared" si="86"/>
        <v>Clean</v>
      </c>
      <c r="J501" s="1">
        <v>0.06</v>
      </c>
      <c r="K501" s="23" t="str">
        <f t="shared" si="87"/>
        <v>Risky</v>
      </c>
      <c r="L501">
        <f t="shared" si="77"/>
        <v>0.1061</v>
      </c>
      <c r="M501" s="20">
        <f t="shared" si="78"/>
        <v>0.1061</v>
      </c>
      <c r="N501">
        <f t="shared" si="79"/>
        <v>0.41</v>
      </c>
      <c r="O501" s="20" t="str">
        <f t="shared" si="80"/>
        <v>Acceptable</v>
      </c>
      <c r="P501">
        <f t="shared" si="81"/>
        <v>8.9599999999999999E-2</v>
      </c>
      <c r="Q501">
        <f t="shared" si="82"/>
        <v>0</v>
      </c>
      <c r="R501">
        <f t="shared" si="83"/>
        <v>39</v>
      </c>
      <c r="S501">
        <f t="shared" si="84"/>
        <v>39</v>
      </c>
    </row>
    <row r="502" spans="1:19" ht="15" thickBot="1" x14ac:dyDescent="0.35">
      <c r="A502" s="1">
        <v>501</v>
      </c>
      <c r="B502" s="2">
        <v>40565</v>
      </c>
      <c r="C502" s="1">
        <v>1</v>
      </c>
      <c r="D502" s="1">
        <v>22</v>
      </c>
      <c r="E502" s="3" t="b">
        <v>0</v>
      </c>
      <c r="F502" s="5">
        <v>6</v>
      </c>
      <c r="G502" s="18" t="str">
        <f t="shared" si="85"/>
        <v>Yes</v>
      </c>
      <c r="H502" s="1">
        <v>1</v>
      </c>
      <c r="I502" s="21" t="str">
        <f t="shared" si="86"/>
        <v>Clean</v>
      </c>
      <c r="J502" s="1">
        <v>0.06</v>
      </c>
      <c r="K502" s="23" t="str">
        <f t="shared" si="87"/>
        <v>Risky</v>
      </c>
      <c r="L502">
        <f t="shared" si="77"/>
        <v>0.1515</v>
      </c>
      <c r="M502" s="20">
        <f t="shared" si="78"/>
        <v>0.1515</v>
      </c>
      <c r="N502">
        <f t="shared" si="79"/>
        <v>0.49</v>
      </c>
      <c r="O502" s="20" t="str">
        <f t="shared" si="80"/>
        <v>Acceptable</v>
      </c>
      <c r="P502">
        <f t="shared" si="81"/>
        <v>0</v>
      </c>
      <c r="Q502">
        <f t="shared" si="82"/>
        <v>7</v>
      </c>
      <c r="R502">
        <f t="shared" si="83"/>
        <v>23</v>
      </c>
      <c r="S502">
        <f t="shared" si="84"/>
        <v>30</v>
      </c>
    </row>
    <row r="503" spans="1:19" ht="15" thickBot="1" x14ac:dyDescent="0.35">
      <c r="A503" s="1">
        <v>502</v>
      </c>
      <c r="B503" s="2">
        <v>40565</v>
      </c>
      <c r="C503" s="1">
        <v>1</v>
      </c>
      <c r="D503" s="1">
        <v>23</v>
      </c>
      <c r="E503" s="3" t="b">
        <v>0</v>
      </c>
      <c r="F503" s="5">
        <v>6</v>
      </c>
      <c r="G503" s="18" t="str">
        <f t="shared" si="85"/>
        <v>Yes</v>
      </c>
      <c r="H503" s="1">
        <v>1</v>
      </c>
      <c r="I503" s="21" t="str">
        <f t="shared" si="86"/>
        <v>Clean</v>
      </c>
      <c r="J503" s="1">
        <v>0.04</v>
      </c>
      <c r="K503" s="23" t="str">
        <f t="shared" si="87"/>
        <v>Risky</v>
      </c>
      <c r="L503">
        <f t="shared" si="77"/>
        <v>7.5800000000000006E-2</v>
      </c>
      <c r="M503" s="20">
        <f t="shared" si="78"/>
        <v>7.5800000000000006E-2</v>
      </c>
      <c r="N503">
        <f t="shared" si="79"/>
        <v>0.56999999999999995</v>
      </c>
      <c r="O503" s="20" t="str">
        <f t="shared" si="80"/>
        <v>Acceptable</v>
      </c>
      <c r="P503">
        <f t="shared" si="81"/>
        <v>0.1045</v>
      </c>
      <c r="Q503">
        <f t="shared" si="82"/>
        <v>2</v>
      </c>
      <c r="R503">
        <f t="shared" si="83"/>
        <v>31</v>
      </c>
      <c r="S503">
        <f t="shared" si="84"/>
        <v>33</v>
      </c>
    </row>
    <row r="504" spans="1:19" ht="15" thickBot="1" x14ac:dyDescent="0.35">
      <c r="A504" s="1">
        <v>503</v>
      </c>
      <c r="B504" s="2">
        <v>40566</v>
      </c>
      <c r="C504" s="1">
        <v>1</v>
      </c>
      <c r="D504" s="1">
        <v>0</v>
      </c>
      <c r="E504" s="3" t="b">
        <v>0</v>
      </c>
      <c r="F504" s="5">
        <v>0</v>
      </c>
      <c r="G504" s="18" t="str">
        <f t="shared" si="85"/>
        <v>Yes</v>
      </c>
      <c r="H504" s="1">
        <v>1</v>
      </c>
      <c r="I504" s="21" t="str">
        <f t="shared" si="86"/>
        <v>Clean</v>
      </c>
      <c r="J504" s="1">
        <v>0.04</v>
      </c>
      <c r="K504" s="23" t="str">
        <f t="shared" si="87"/>
        <v>Risky</v>
      </c>
      <c r="L504">
        <f t="shared" si="77"/>
        <v>7.5800000000000006E-2</v>
      </c>
      <c r="M504" s="20">
        <f t="shared" si="78"/>
        <v>7.5800000000000006E-2</v>
      </c>
      <c r="N504">
        <f t="shared" si="79"/>
        <v>0.56999999999999995</v>
      </c>
      <c r="O504" s="20" t="str">
        <f t="shared" si="80"/>
        <v>Acceptable</v>
      </c>
      <c r="P504">
        <f t="shared" si="81"/>
        <v>0.1045</v>
      </c>
      <c r="Q504">
        <f t="shared" si="82"/>
        <v>2</v>
      </c>
      <c r="R504">
        <f t="shared" si="83"/>
        <v>20</v>
      </c>
      <c r="S504">
        <f t="shared" si="84"/>
        <v>22</v>
      </c>
    </row>
    <row r="505" spans="1:19" ht="15" thickBot="1" x14ac:dyDescent="0.35">
      <c r="A505" s="1">
        <v>504</v>
      </c>
      <c r="B505" s="2">
        <v>40566</v>
      </c>
      <c r="C505" s="1">
        <v>1</v>
      </c>
      <c r="D505" s="1">
        <v>1</v>
      </c>
      <c r="E505" s="3" t="b">
        <v>0</v>
      </c>
      <c r="F505" s="5">
        <v>0</v>
      </c>
      <c r="G505" s="18" t="str">
        <f t="shared" si="85"/>
        <v>Yes</v>
      </c>
      <c r="H505" s="1">
        <v>1</v>
      </c>
      <c r="I505" s="21" t="str">
        <f t="shared" si="86"/>
        <v>Clean</v>
      </c>
      <c r="J505" s="1">
        <v>0.04</v>
      </c>
      <c r="K505" s="23" t="str">
        <f t="shared" si="87"/>
        <v>Risky</v>
      </c>
      <c r="L505">
        <f t="shared" si="77"/>
        <v>7.5800000000000006E-2</v>
      </c>
      <c r="M505" s="20">
        <f t="shared" si="78"/>
        <v>7.5800000000000006E-2</v>
      </c>
      <c r="N505">
        <f t="shared" si="79"/>
        <v>0.56999999999999995</v>
      </c>
      <c r="O505" s="20" t="str">
        <f t="shared" si="80"/>
        <v>Acceptable</v>
      </c>
      <c r="P505">
        <f t="shared" si="81"/>
        <v>0.1045</v>
      </c>
      <c r="Q505">
        <f t="shared" si="82"/>
        <v>1</v>
      </c>
      <c r="R505">
        <f t="shared" si="83"/>
        <v>12</v>
      </c>
      <c r="S505">
        <f t="shared" si="84"/>
        <v>13</v>
      </c>
    </row>
    <row r="506" spans="1:19" ht="15" thickBot="1" x14ac:dyDescent="0.35">
      <c r="A506" s="1">
        <v>505</v>
      </c>
      <c r="B506" s="2">
        <v>40566</v>
      </c>
      <c r="C506" s="1">
        <v>1</v>
      </c>
      <c r="D506" s="1">
        <v>2</v>
      </c>
      <c r="E506" s="3" t="b">
        <v>0</v>
      </c>
      <c r="F506" s="5">
        <v>0</v>
      </c>
      <c r="G506" s="18" t="str">
        <f t="shared" si="85"/>
        <v>Yes</v>
      </c>
      <c r="H506" s="1">
        <v>1</v>
      </c>
      <c r="I506" s="21" t="str">
        <f t="shared" si="86"/>
        <v>Clean</v>
      </c>
      <c r="J506" s="1">
        <v>0.02</v>
      </c>
      <c r="K506" s="23" t="str">
        <f t="shared" si="87"/>
        <v>Risky</v>
      </c>
      <c r="L506">
        <f t="shared" si="77"/>
        <v>6.0600000000000001E-2</v>
      </c>
      <c r="M506" s="20">
        <f t="shared" si="78"/>
        <v>6.0600000000000001E-2</v>
      </c>
      <c r="N506">
        <f t="shared" si="79"/>
        <v>0.62</v>
      </c>
      <c r="O506" s="20" t="str">
        <f t="shared" si="80"/>
        <v>Acceptable</v>
      </c>
      <c r="P506">
        <f t="shared" si="81"/>
        <v>0.1343</v>
      </c>
      <c r="Q506">
        <f t="shared" si="82"/>
        <v>3</v>
      </c>
      <c r="R506">
        <f t="shared" si="83"/>
        <v>15</v>
      </c>
      <c r="S506">
        <f t="shared" si="84"/>
        <v>18</v>
      </c>
    </row>
    <row r="507" spans="1:19" ht="15" thickBot="1" x14ac:dyDescent="0.35">
      <c r="A507" s="1">
        <v>506</v>
      </c>
      <c r="B507" s="2">
        <v>40566</v>
      </c>
      <c r="C507" s="1">
        <v>1</v>
      </c>
      <c r="D507" s="1">
        <v>3</v>
      </c>
      <c r="E507" s="3" t="b">
        <v>0</v>
      </c>
      <c r="F507" s="5">
        <v>0</v>
      </c>
      <c r="G507" s="18" t="str">
        <f t="shared" si="85"/>
        <v>Yes</v>
      </c>
      <c r="H507" s="1">
        <v>1</v>
      </c>
      <c r="I507" s="21" t="str">
        <f t="shared" si="86"/>
        <v>Clean</v>
      </c>
      <c r="J507" s="1">
        <v>0.02</v>
      </c>
      <c r="K507" s="23" t="str">
        <f t="shared" si="87"/>
        <v>Risky</v>
      </c>
      <c r="L507">
        <f t="shared" si="77"/>
        <v>6.0600000000000001E-2</v>
      </c>
      <c r="M507" s="20">
        <f t="shared" si="78"/>
        <v>6.0600000000000001E-2</v>
      </c>
      <c r="N507">
        <f t="shared" si="79"/>
        <v>0.62</v>
      </c>
      <c r="O507" s="20" t="str">
        <f t="shared" si="80"/>
        <v>Acceptable</v>
      </c>
      <c r="P507">
        <f t="shared" si="81"/>
        <v>0.1343</v>
      </c>
      <c r="Q507">
        <f t="shared" si="82"/>
        <v>1</v>
      </c>
      <c r="R507">
        <f t="shared" si="83"/>
        <v>4</v>
      </c>
      <c r="S507">
        <f t="shared" si="84"/>
        <v>5</v>
      </c>
    </row>
    <row r="508" spans="1:19" ht="15" thickBot="1" x14ac:dyDescent="0.35">
      <c r="A508" s="1">
        <v>507</v>
      </c>
      <c r="B508" s="2">
        <v>40566</v>
      </c>
      <c r="C508" s="1">
        <v>1</v>
      </c>
      <c r="D508" s="1">
        <v>5</v>
      </c>
      <c r="E508" s="3" t="b">
        <v>0</v>
      </c>
      <c r="F508" s="5">
        <v>0</v>
      </c>
      <c r="G508" s="18" t="str">
        <f t="shared" si="85"/>
        <v>Yes</v>
      </c>
      <c r="H508" s="1">
        <v>2</v>
      </c>
      <c r="I508" s="21" t="str">
        <f t="shared" si="86"/>
        <v>Misty</v>
      </c>
      <c r="J508" s="1">
        <v>0.04</v>
      </c>
      <c r="K508" s="23" t="str">
        <f t="shared" si="87"/>
        <v>Risky</v>
      </c>
      <c r="L508">
        <f t="shared" si="77"/>
        <v>7.5800000000000006E-2</v>
      </c>
      <c r="M508" s="20">
        <f t="shared" si="78"/>
        <v>7.5800000000000006E-2</v>
      </c>
      <c r="N508">
        <f t="shared" si="79"/>
        <v>0.56999999999999995</v>
      </c>
      <c r="O508" s="20" t="str">
        <f t="shared" si="80"/>
        <v>Acceptable</v>
      </c>
      <c r="P508">
        <f t="shared" si="81"/>
        <v>0.1045</v>
      </c>
      <c r="Q508">
        <f t="shared" si="82"/>
        <v>0</v>
      </c>
      <c r="R508">
        <f t="shared" si="83"/>
        <v>3</v>
      </c>
      <c r="S508">
        <f t="shared" si="84"/>
        <v>3</v>
      </c>
    </row>
    <row r="509" spans="1:19" ht="15" thickBot="1" x14ac:dyDescent="0.35">
      <c r="A509" s="1">
        <v>508</v>
      </c>
      <c r="B509" s="2">
        <v>40566</v>
      </c>
      <c r="C509" s="1">
        <v>1</v>
      </c>
      <c r="D509" s="1">
        <v>6</v>
      </c>
      <c r="E509" s="3" t="b">
        <v>0</v>
      </c>
      <c r="F509" s="5">
        <v>0</v>
      </c>
      <c r="G509" s="18" t="str">
        <f t="shared" si="85"/>
        <v>Yes</v>
      </c>
      <c r="H509" s="1">
        <v>2</v>
      </c>
      <c r="I509" s="21" t="str">
        <f t="shared" si="86"/>
        <v>Misty</v>
      </c>
      <c r="J509" s="1">
        <v>0.04</v>
      </c>
      <c r="K509" s="23" t="str">
        <f t="shared" si="87"/>
        <v>Risky</v>
      </c>
      <c r="L509">
        <f t="shared" si="77"/>
        <v>7.5800000000000006E-2</v>
      </c>
      <c r="M509" s="20">
        <f t="shared" si="78"/>
        <v>7.5800000000000006E-2</v>
      </c>
      <c r="N509">
        <f t="shared" si="79"/>
        <v>0.56999999999999995</v>
      </c>
      <c r="O509" s="20" t="str">
        <f t="shared" si="80"/>
        <v>Acceptable</v>
      </c>
      <c r="P509">
        <f t="shared" si="81"/>
        <v>0.1045</v>
      </c>
      <c r="Q509">
        <f t="shared" si="82"/>
        <v>0</v>
      </c>
      <c r="R509">
        <f t="shared" si="83"/>
        <v>1</v>
      </c>
      <c r="S509">
        <f t="shared" si="84"/>
        <v>1</v>
      </c>
    </row>
    <row r="510" spans="1:19" ht="15" thickBot="1" x14ac:dyDescent="0.35">
      <c r="A510" s="1">
        <v>509</v>
      </c>
      <c r="B510" s="2">
        <v>40566</v>
      </c>
      <c r="C510" s="1">
        <v>1</v>
      </c>
      <c r="D510" s="1">
        <v>7</v>
      </c>
      <c r="E510" s="3" t="b">
        <v>0</v>
      </c>
      <c r="F510" s="5">
        <v>0</v>
      </c>
      <c r="G510" s="18" t="str">
        <f t="shared" si="85"/>
        <v>Yes</v>
      </c>
      <c r="H510" s="1">
        <v>1</v>
      </c>
      <c r="I510" s="21" t="str">
        <f t="shared" si="86"/>
        <v>Clean</v>
      </c>
      <c r="J510" s="1">
        <v>0.08</v>
      </c>
      <c r="K510" s="23" t="str">
        <f t="shared" si="87"/>
        <v>Risky</v>
      </c>
      <c r="L510">
        <f t="shared" si="77"/>
        <v>0.1061</v>
      </c>
      <c r="M510" s="20">
        <f t="shared" si="78"/>
        <v>0.1061</v>
      </c>
      <c r="N510">
        <f t="shared" si="79"/>
        <v>0.57999999999999996</v>
      </c>
      <c r="O510" s="20" t="str">
        <f t="shared" si="80"/>
        <v>Acceptable</v>
      </c>
      <c r="P510">
        <f t="shared" si="81"/>
        <v>0.16420000000000001</v>
      </c>
      <c r="Q510">
        <f t="shared" si="82"/>
        <v>1</v>
      </c>
      <c r="R510">
        <f t="shared" si="83"/>
        <v>1</v>
      </c>
      <c r="S510">
        <f t="shared" si="84"/>
        <v>2</v>
      </c>
    </row>
    <row r="511" spans="1:19" ht="15" thickBot="1" x14ac:dyDescent="0.35">
      <c r="A511" s="1">
        <v>510</v>
      </c>
      <c r="B511" s="2">
        <v>40566</v>
      </c>
      <c r="C511" s="1">
        <v>1</v>
      </c>
      <c r="D511" s="1">
        <v>8</v>
      </c>
      <c r="E511" s="3" t="b">
        <v>0</v>
      </c>
      <c r="F511" s="5">
        <v>0</v>
      </c>
      <c r="G511" s="18" t="str">
        <f t="shared" si="85"/>
        <v>Yes</v>
      </c>
      <c r="H511" s="1">
        <v>1</v>
      </c>
      <c r="I511" s="21" t="str">
        <f t="shared" si="86"/>
        <v>Clean</v>
      </c>
      <c r="J511" s="1">
        <v>0.06</v>
      </c>
      <c r="K511" s="23" t="str">
        <f t="shared" si="87"/>
        <v>Risky</v>
      </c>
      <c r="L511">
        <f t="shared" si="77"/>
        <v>7.5800000000000006E-2</v>
      </c>
      <c r="M511" s="20">
        <f t="shared" si="78"/>
        <v>7.5800000000000006E-2</v>
      </c>
      <c r="N511">
        <f t="shared" si="79"/>
        <v>0.62</v>
      </c>
      <c r="O511" s="20" t="str">
        <f t="shared" si="80"/>
        <v>Acceptable</v>
      </c>
      <c r="P511">
        <f t="shared" si="81"/>
        <v>0.16420000000000001</v>
      </c>
      <c r="Q511">
        <f t="shared" si="82"/>
        <v>2</v>
      </c>
      <c r="R511">
        <f t="shared" si="83"/>
        <v>17</v>
      </c>
      <c r="S511">
        <f t="shared" si="84"/>
        <v>19</v>
      </c>
    </row>
    <row r="512" spans="1:19" ht="15" thickBot="1" x14ac:dyDescent="0.35">
      <c r="A512" s="1">
        <v>511</v>
      </c>
      <c r="B512" s="2">
        <v>40566</v>
      </c>
      <c r="C512" s="1">
        <v>1</v>
      </c>
      <c r="D512" s="1">
        <v>9</v>
      </c>
      <c r="E512" s="3" t="b">
        <v>0</v>
      </c>
      <c r="F512" s="5">
        <v>0</v>
      </c>
      <c r="G512" s="18" t="str">
        <f t="shared" si="85"/>
        <v>Yes</v>
      </c>
      <c r="H512" s="1">
        <v>1</v>
      </c>
      <c r="I512" s="21" t="str">
        <f t="shared" si="86"/>
        <v>Clean</v>
      </c>
      <c r="J512" s="1">
        <v>0.1</v>
      </c>
      <c r="K512" s="23" t="str">
        <f t="shared" si="87"/>
        <v>Safe</v>
      </c>
      <c r="L512">
        <f t="shared" si="77"/>
        <v>7.5800000000000006E-2</v>
      </c>
      <c r="M512" s="20">
        <f t="shared" si="78"/>
        <v>7.5800000000000006E-2</v>
      </c>
      <c r="N512">
        <f t="shared" si="79"/>
        <v>0.54</v>
      </c>
      <c r="O512" s="20" t="str">
        <f t="shared" si="80"/>
        <v>Acceptable</v>
      </c>
      <c r="P512">
        <f t="shared" si="81"/>
        <v>0.35820000000000002</v>
      </c>
      <c r="Q512">
        <f t="shared" si="82"/>
        <v>3</v>
      </c>
      <c r="R512">
        <f t="shared" si="83"/>
        <v>25</v>
      </c>
      <c r="S512">
        <f t="shared" si="84"/>
        <v>28</v>
      </c>
    </row>
    <row r="513" spans="1:19" ht="15" thickBot="1" x14ac:dyDescent="0.35">
      <c r="A513" s="1">
        <v>512</v>
      </c>
      <c r="B513" s="2">
        <v>40566</v>
      </c>
      <c r="C513" s="1">
        <v>1</v>
      </c>
      <c r="D513" s="1">
        <v>10</v>
      </c>
      <c r="E513" s="3" t="b">
        <v>0</v>
      </c>
      <c r="F513" s="5">
        <v>0</v>
      </c>
      <c r="G513" s="18" t="str">
        <f t="shared" si="85"/>
        <v>Yes</v>
      </c>
      <c r="H513" s="1">
        <v>1</v>
      </c>
      <c r="I513" s="21" t="str">
        <f t="shared" si="86"/>
        <v>Clean</v>
      </c>
      <c r="J513" s="1">
        <v>0.14000000000000001</v>
      </c>
      <c r="K513" s="23" t="str">
        <f t="shared" si="87"/>
        <v>Safe</v>
      </c>
      <c r="L513">
        <f t="shared" si="77"/>
        <v>0.1061</v>
      </c>
      <c r="M513" s="20">
        <f t="shared" si="78"/>
        <v>0.1061</v>
      </c>
      <c r="N513">
        <f t="shared" si="79"/>
        <v>0.46</v>
      </c>
      <c r="O513" s="20" t="str">
        <f t="shared" si="80"/>
        <v>Acceptable</v>
      </c>
      <c r="P513">
        <f t="shared" si="81"/>
        <v>0.3881</v>
      </c>
      <c r="Q513">
        <f t="shared" si="82"/>
        <v>7</v>
      </c>
      <c r="R513">
        <f t="shared" si="83"/>
        <v>51</v>
      </c>
      <c r="S513">
        <f t="shared" si="84"/>
        <v>58</v>
      </c>
    </row>
    <row r="514" spans="1:19" ht="15" thickBot="1" x14ac:dyDescent="0.35">
      <c r="A514" s="1">
        <v>513</v>
      </c>
      <c r="B514" s="2">
        <v>40566</v>
      </c>
      <c r="C514" s="1">
        <v>1</v>
      </c>
      <c r="D514" s="1">
        <v>11</v>
      </c>
      <c r="E514" s="3" t="b">
        <v>0</v>
      </c>
      <c r="F514" s="5">
        <v>0</v>
      </c>
      <c r="G514" s="18" t="str">
        <f t="shared" si="85"/>
        <v>Yes</v>
      </c>
      <c r="H514" s="1">
        <v>1</v>
      </c>
      <c r="I514" s="21" t="str">
        <f t="shared" si="86"/>
        <v>Clean</v>
      </c>
      <c r="J514" s="1">
        <v>0.14000000000000001</v>
      </c>
      <c r="K514" s="23" t="str">
        <f t="shared" si="87"/>
        <v>Safe</v>
      </c>
      <c r="L514">
        <f t="shared" ref="L514:L577" si="88">VLOOKUP($A514,list2,2,FALSE)</f>
        <v>0.13639999999999999</v>
      </c>
      <c r="M514" s="20">
        <f t="shared" ref="M514:M577" si="89">VLOOKUP($A514,list2,3,FALSE)</f>
        <v>0.13639999999999999</v>
      </c>
      <c r="N514">
        <f t="shared" ref="N514:N577" si="90">VLOOKUP($A514,list2,4,FALSE)</f>
        <v>0.43</v>
      </c>
      <c r="O514" s="20" t="str">
        <f t="shared" ref="O514:O577" si="91">VLOOKUP($A514,list2,5,FALSE)</f>
        <v>Acceptable</v>
      </c>
      <c r="P514">
        <f t="shared" ref="P514:P577" si="92">VLOOKUP($A514,list2,6,FALSE)</f>
        <v>0.22389999999999999</v>
      </c>
      <c r="Q514">
        <f t="shared" ref="Q514:Q577" si="93">VLOOKUP($A514,list2,7,FALSE)</f>
        <v>22</v>
      </c>
      <c r="R514">
        <f t="shared" ref="R514:R577" si="94">VLOOKUP($A514,list2,8,FALSE)</f>
        <v>77</v>
      </c>
      <c r="S514">
        <f t="shared" ref="S514:S577" si="95">VLOOKUP($A514,list2,9,FALSE)</f>
        <v>99</v>
      </c>
    </row>
    <row r="515" spans="1:19" ht="15" thickBot="1" x14ac:dyDescent="0.35">
      <c r="A515" s="1">
        <v>514</v>
      </c>
      <c r="B515" s="2">
        <v>40566</v>
      </c>
      <c r="C515" s="1">
        <v>1</v>
      </c>
      <c r="D515" s="1">
        <v>12</v>
      </c>
      <c r="E515" s="3" t="b">
        <v>0</v>
      </c>
      <c r="F515" s="5">
        <v>0</v>
      </c>
      <c r="G515" s="18" t="str">
        <f t="shared" ref="G515:G578" si="96">_xlfn.IFS(F515=0,"Yes",F515=6,"Yes",F515&gt;0,"No")</f>
        <v>Yes</v>
      </c>
      <c r="H515" s="1">
        <v>1</v>
      </c>
      <c r="I515" s="21" t="str">
        <f t="shared" ref="I515:I578" si="97">_xlfn.IFS(H515=1,"Clean",H515=2,"Misty",H515=3,"Light Rain",H515=4,"Heavy Rain")</f>
        <v>Clean</v>
      </c>
      <c r="J515" s="1">
        <v>0.16</v>
      </c>
      <c r="K515" s="23" t="str">
        <f t="shared" ref="K515:K578" si="98">_xlfn.IFS(J515&lt;0.1,"Risky",J515&lt;0.35,"Safe",J515&gt;0.35,"Risky")</f>
        <v>Safe</v>
      </c>
      <c r="L515">
        <f t="shared" si="88"/>
        <v>0.1212</v>
      </c>
      <c r="M515" s="20">
        <f t="shared" si="89"/>
        <v>0.1212</v>
      </c>
      <c r="N515">
        <f t="shared" si="90"/>
        <v>0.37</v>
      </c>
      <c r="O515" s="20" t="str">
        <f t="shared" si="91"/>
        <v>Acceptable</v>
      </c>
      <c r="P515">
        <f t="shared" si="92"/>
        <v>0.4627</v>
      </c>
      <c r="Q515">
        <f t="shared" si="93"/>
        <v>24</v>
      </c>
      <c r="R515">
        <f t="shared" si="94"/>
        <v>92</v>
      </c>
      <c r="S515">
        <f t="shared" si="95"/>
        <v>116</v>
      </c>
    </row>
    <row r="516" spans="1:19" ht="15" thickBot="1" x14ac:dyDescent="0.35">
      <c r="A516" s="1">
        <v>515</v>
      </c>
      <c r="B516" s="2">
        <v>40566</v>
      </c>
      <c r="C516" s="1">
        <v>1</v>
      </c>
      <c r="D516" s="1">
        <v>13</v>
      </c>
      <c r="E516" s="3" t="b">
        <v>0</v>
      </c>
      <c r="F516" s="5">
        <v>0</v>
      </c>
      <c r="G516" s="18" t="str">
        <f t="shared" si="96"/>
        <v>Yes</v>
      </c>
      <c r="H516" s="1">
        <v>1</v>
      </c>
      <c r="I516" s="21" t="str">
        <f t="shared" si="97"/>
        <v>Clean</v>
      </c>
      <c r="J516" s="1">
        <v>0.14000000000000001</v>
      </c>
      <c r="K516" s="23" t="str">
        <f t="shared" si="98"/>
        <v>Safe</v>
      </c>
      <c r="L516">
        <f t="shared" si="88"/>
        <v>0.1061</v>
      </c>
      <c r="M516" s="20">
        <f t="shared" si="89"/>
        <v>0.1061</v>
      </c>
      <c r="N516">
        <f t="shared" si="90"/>
        <v>0.33</v>
      </c>
      <c r="O516" s="20" t="str">
        <f t="shared" si="91"/>
        <v>Acceptable</v>
      </c>
      <c r="P516">
        <f t="shared" si="92"/>
        <v>0.3881</v>
      </c>
      <c r="Q516">
        <f t="shared" si="93"/>
        <v>12</v>
      </c>
      <c r="R516">
        <f t="shared" si="94"/>
        <v>75</v>
      </c>
      <c r="S516">
        <f t="shared" si="95"/>
        <v>87</v>
      </c>
    </row>
    <row r="517" spans="1:19" ht="15" thickBot="1" x14ac:dyDescent="0.35">
      <c r="A517" s="1">
        <v>516</v>
      </c>
      <c r="B517" s="2">
        <v>40566</v>
      </c>
      <c r="C517" s="1">
        <v>1</v>
      </c>
      <c r="D517" s="1">
        <v>14</v>
      </c>
      <c r="E517" s="3" t="b">
        <v>0</v>
      </c>
      <c r="F517" s="5">
        <v>0</v>
      </c>
      <c r="G517" s="18" t="str">
        <f t="shared" si="96"/>
        <v>Yes</v>
      </c>
      <c r="H517" s="1">
        <v>1</v>
      </c>
      <c r="I517" s="21" t="str">
        <f t="shared" si="97"/>
        <v>Clean</v>
      </c>
      <c r="J517" s="1">
        <v>0.16</v>
      </c>
      <c r="K517" s="23" t="str">
        <f t="shared" si="98"/>
        <v>Safe</v>
      </c>
      <c r="L517">
        <f t="shared" si="88"/>
        <v>0.13639999999999999</v>
      </c>
      <c r="M517" s="20">
        <f t="shared" si="89"/>
        <v>0.13639999999999999</v>
      </c>
      <c r="N517">
        <f t="shared" si="90"/>
        <v>0.28000000000000003</v>
      </c>
      <c r="O517" s="20" t="str">
        <f t="shared" si="91"/>
        <v>Acceptable</v>
      </c>
      <c r="P517">
        <f t="shared" si="92"/>
        <v>0.35820000000000002</v>
      </c>
      <c r="Q517">
        <f t="shared" si="93"/>
        <v>17</v>
      </c>
      <c r="R517">
        <f t="shared" si="94"/>
        <v>93</v>
      </c>
      <c r="S517">
        <f t="shared" si="95"/>
        <v>110</v>
      </c>
    </row>
    <row r="518" spans="1:19" ht="15" thickBot="1" x14ac:dyDescent="0.35">
      <c r="A518" s="1">
        <v>517</v>
      </c>
      <c r="B518" s="2">
        <v>40566</v>
      </c>
      <c r="C518" s="1">
        <v>1</v>
      </c>
      <c r="D518" s="1">
        <v>15</v>
      </c>
      <c r="E518" s="3" t="b">
        <v>0</v>
      </c>
      <c r="F518" s="5">
        <v>0</v>
      </c>
      <c r="G518" s="18" t="str">
        <f t="shared" si="96"/>
        <v>Yes</v>
      </c>
      <c r="H518" s="1">
        <v>1</v>
      </c>
      <c r="I518" s="21" t="str">
        <f t="shared" si="97"/>
        <v>Clean</v>
      </c>
      <c r="J518" s="1">
        <v>0.16</v>
      </c>
      <c r="K518" s="23" t="str">
        <f t="shared" si="98"/>
        <v>Safe</v>
      </c>
      <c r="L518">
        <f t="shared" si="88"/>
        <v>0.13639999999999999</v>
      </c>
      <c r="M518" s="20">
        <f t="shared" si="89"/>
        <v>0.13639999999999999</v>
      </c>
      <c r="N518">
        <f t="shared" si="90"/>
        <v>0.28000000000000003</v>
      </c>
      <c r="O518" s="20" t="str">
        <f t="shared" si="91"/>
        <v>Acceptable</v>
      </c>
      <c r="P518">
        <f t="shared" si="92"/>
        <v>0.35820000000000002</v>
      </c>
      <c r="Q518">
        <f t="shared" si="93"/>
        <v>13</v>
      </c>
      <c r="R518">
        <f t="shared" si="94"/>
        <v>64</v>
      </c>
      <c r="S518">
        <f t="shared" si="95"/>
        <v>77</v>
      </c>
    </row>
    <row r="519" spans="1:19" ht="15" thickBot="1" x14ac:dyDescent="0.35">
      <c r="A519" s="1">
        <v>518</v>
      </c>
      <c r="B519" s="2">
        <v>40566</v>
      </c>
      <c r="C519" s="1">
        <v>1</v>
      </c>
      <c r="D519" s="1">
        <v>16</v>
      </c>
      <c r="E519" s="3" t="b">
        <v>0</v>
      </c>
      <c r="F519" s="5">
        <v>0</v>
      </c>
      <c r="G519" s="18" t="str">
        <f t="shared" si="96"/>
        <v>Yes</v>
      </c>
      <c r="H519" s="1">
        <v>1</v>
      </c>
      <c r="I519" s="21" t="str">
        <f t="shared" si="97"/>
        <v>Clean</v>
      </c>
      <c r="J519" s="1">
        <v>0.16</v>
      </c>
      <c r="K519" s="23" t="str">
        <f t="shared" si="98"/>
        <v>Safe</v>
      </c>
      <c r="L519">
        <f t="shared" si="88"/>
        <v>0.13639999999999999</v>
      </c>
      <c r="M519" s="20">
        <f t="shared" si="89"/>
        <v>0.13639999999999999</v>
      </c>
      <c r="N519">
        <f t="shared" si="90"/>
        <v>0.26</v>
      </c>
      <c r="O519" s="20" t="str">
        <f t="shared" si="91"/>
        <v>Acceptable</v>
      </c>
      <c r="P519">
        <f t="shared" si="92"/>
        <v>0.32840000000000003</v>
      </c>
      <c r="Q519">
        <f t="shared" si="93"/>
        <v>9</v>
      </c>
      <c r="R519">
        <f t="shared" si="94"/>
        <v>56</v>
      </c>
      <c r="S519">
        <f t="shared" si="95"/>
        <v>65</v>
      </c>
    </row>
    <row r="520" spans="1:19" ht="15" thickBot="1" x14ac:dyDescent="0.35">
      <c r="A520" s="1">
        <v>519</v>
      </c>
      <c r="B520" s="2">
        <v>40566</v>
      </c>
      <c r="C520" s="1">
        <v>1</v>
      </c>
      <c r="D520" s="1">
        <v>17</v>
      </c>
      <c r="E520" s="3" t="b">
        <v>0</v>
      </c>
      <c r="F520" s="5">
        <v>0</v>
      </c>
      <c r="G520" s="18" t="str">
        <f t="shared" si="96"/>
        <v>Yes</v>
      </c>
      <c r="H520" s="1">
        <v>1</v>
      </c>
      <c r="I520" s="21" t="str">
        <f t="shared" si="97"/>
        <v>Clean</v>
      </c>
      <c r="J520" s="1">
        <v>0.14000000000000001</v>
      </c>
      <c r="K520" s="23" t="str">
        <f t="shared" si="98"/>
        <v>Safe</v>
      </c>
      <c r="L520">
        <f t="shared" si="88"/>
        <v>0.1061</v>
      </c>
      <c r="M520" s="20">
        <f t="shared" si="89"/>
        <v>0.1061</v>
      </c>
      <c r="N520">
        <f t="shared" si="90"/>
        <v>0.26</v>
      </c>
      <c r="O520" s="20" t="str">
        <f t="shared" si="91"/>
        <v>Acceptable</v>
      </c>
      <c r="P520">
        <f t="shared" si="92"/>
        <v>0.3881</v>
      </c>
      <c r="Q520">
        <f t="shared" si="93"/>
        <v>5</v>
      </c>
      <c r="R520">
        <f t="shared" si="94"/>
        <v>50</v>
      </c>
      <c r="S520">
        <f t="shared" si="95"/>
        <v>55</v>
      </c>
    </row>
    <row r="521" spans="1:19" ht="15" thickBot="1" x14ac:dyDescent="0.35">
      <c r="A521" s="1">
        <v>520</v>
      </c>
      <c r="B521" s="2">
        <v>40566</v>
      </c>
      <c r="C521" s="1">
        <v>1</v>
      </c>
      <c r="D521" s="1">
        <v>18</v>
      </c>
      <c r="E521" s="3" t="b">
        <v>0</v>
      </c>
      <c r="F521" s="5">
        <v>0</v>
      </c>
      <c r="G521" s="18" t="str">
        <f t="shared" si="96"/>
        <v>Yes</v>
      </c>
      <c r="H521" s="1">
        <v>1</v>
      </c>
      <c r="I521" s="21" t="str">
        <f t="shared" si="97"/>
        <v>Clean</v>
      </c>
      <c r="J521" s="1">
        <v>0.12</v>
      </c>
      <c r="K521" s="23" t="str">
        <f t="shared" si="98"/>
        <v>Safe</v>
      </c>
      <c r="L521">
        <f t="shared" si="88"/>
        <v>0.1212</v>
      </c>
      <c r="M521" s="20">
        <f t="shared" si="89"/>
        <v>0.1212</v>
      </c>
      <c r="N521">
        <f t="shared" si="90"/>
        <v>0.3</v>
      </c>
      <c r="O521" s="20" t="str">
        <f t="shared" si="91"/>
        <v>Acceptable</v>
      </c>
      <c r="P521">
        <f t="shared" si="92"/>
        <v>0.25369999999999998</v>
      </c>
      <c r="Q521">
        <f t="shared" si="93"/>
        <v>5</v>
      </c>
      <c r="R521">
        <f t="shared" si="94"/>
        <v>44</v>
      </c>
      <c r="S521">
        <f t="shared" si="95"/>
        <v>49</v>
      </c>
    </row>
    <row r="522" spans="1:19" ht="15" thickBot="1" x14ac:dyDescent="0.35">
      <c r="A522" s="1">
        <v>521</v>
      </c>
      <c r="B522" s="2">
        <v>40566</v>
      </c>
      <c r="C522" s="1">
        <v>1</v>
      </c>
      <c r="D522" s="1">
        <v>19</v>
      </c>
      <c r="E522" s="3" t="b">
        <v>0</v>
      </c>
      <c r="F522" s="5">
        <v>0</v>
      </c>
      <c r="G522" s="18" t="str">
        <f t="shared" si="96"/>
        <v>Yes</v>
      </c>
      <c r="H522" s="1">
        <v>1</v>
      </c>
      <c r="I522" s="21" t="str">
        <f t="shared" si="97"/>
        <v>Clean</v>
      </c>
      <c r="J522" s="1">
        <v>0.12</v>
      </c>
      <c r="K522" s="23" t="str">
        <f t="shared" si="98"/>
        <v>Safe</v>
      </c>
      <c r="L522">
        <f t="shared" si="88"/>
        <v>0.1212</v>
      </c>
      <c r="M522" s="20">
        <f t="shared" si="89"/>
        <v>0.1212</v>
      </c>
      <c r="N522">
        <f t="shared" si="90"/>
        <v>0.3</v>
      </c>
      <c r="O522" s="20" t="str">
        <f t="shared" si="91"/>
        <v>Acceptable</v>
      </c>
      <c r="P522">
        <f t="shared" si="92"/>
        <v>0.28360000000000002</v>
      </c>
      <c r="Q522">
        <f t="shared" si="93"/>
        <v>5</v>
      </c>
      <c r="R522">
        <f t="shared" si="94"/>
        <v>45</v>
      </c>
      <c r="S522">
        <f t="shared" si="95"/>
        <v>50</v>
      </c>
    </row>
    <row r="523" spans="1:19" ht="15" thickBot="1" x14ac:dyDescent="0.35">
      <c r="A523" s="1">
        <v>522</v>
      </c>
      <c r="B523" s="2">
        <v>40566</v>
      </c>
      <c r="C523" s="1">
        <v>1</v>
      </c>
      <c r="D523" s="1">
        <v>20</v>
      </c>
      <c r="E523" s="3" t="b">
        <v>0</v>
      </c>
      <c r="F523" s="5">
        <v>0</v>
      </c>
      <c r="G523" s="18" t="str">
        <f t="shared" si="96"/>
        <v>Yes</v>
      </c>
      <c r="H523" s="1">
        <v>1</v>
      </c>
      <c r="I523" s="21" t="str">
        <f t="shared" si="97"/>
        <v>Clean</v>
      </c>
      <c r="J523" s="1">
        <v>0.1</v>
      </c>
      <c r="K523" s="23" t="str">
        <f t="shared" si="98"/>
        <v>Safe</v>
      </c>
      <c r="L523">
        <f t="shared" si="88"/>
        <v>0.1061</v>
      </c>
      <c r="M523" s="20">
        <f t="shared" si="89"/>
        <v>0.1061</v>
      </c>
      <c r="N523">
        <f t="shared" si="90"/>
        <v>0.36</v>
      </c>
      <c r="O523" s="20" t="str">
        <f t="shared" si="91"/>
        <v>Acceptable</v>
      </c>
      <c r="P523">
        <f t="shared" si="92"/>
        <v>0.25369999999999998</v>
      </c>
      <c r="Q523">
        <f t="shared" si="93"/>
        <v>4</v>
      </c>
      <c r="R523">
        <f t="shared" si="94"/>
        <v>31</v>
      </c>
      <c r="S523">
        <f t="shared" si="95"/>
        <v>35</v>
      </c>
    </row>
    <row r="524" spans="1:19" ht="15" thickBot="1" x14ac:dyDescent="0.35">
      <c r="A524" s="1">
        <v>523</v>
      </c>
      <c r="B524" s="2">
        <v>40566</v>
      </c>
      <c r="C524" s="1">
        <v>1</v>
      </c>
      <c r="D524" s="1">
        <v>21</v>
      </c>
      <c r="E524" s="3" t="b">
        <v>0</v>
      </c>
      <c r="F524" s="5">
        <v>0</v>
      </c>
      <c r="G524" s="18" t="str">
        <f t="shared" si="96"/>
        <v>Yes</v>
      </c>
      <c r="H524" s="1">
        <v>1</v>
      </c>
      <c r="I524" s="21" t="str">
        <f t="shared" si="97"/>
        <v>Clean</v>
      </c>
      <c r="J524" s="1">
        <v>0.1</v>
      </c>
      <c r="K524" s="23" t="str">
        <f t="shared" si="98"/>
        <v>Safe</v>
      </c>
      <c r="L524">
        <f t="shared" si="88"/>
        <v>0.1061</v>
      </c>
      <c r="M524" s="20">
        <f t="shared" si="89"/>
        <v>0.1061</v>
      </c>
      <c r="N524">
        <f t="shared" si="90"/>
        <v>0.36</v>
      </c>
      <c r="O524" s="20" t="str">
        <f t="shared" si="91"/>
        <v>Acceptable</v>
      </c>
      <c r="P524">
        <f t="shared" si="92"/>
        <v>0.19400000000000001</v>
      </c>
      <c r="Q524">
        <f t="shared" si="93"/>
        <v>5</v>
      </c>
      <c r="R524">
        <f t="shared" si="94"/>
        <v>20</v>
      </c>
      <c r="S524">
        <f t="shared" si="95"/>
        <v>25</v>
      </c>
    </row>
    <row r="525" spans="1:19" ht="15" thickBot="1" x14ac:dyDescent="0.35">
      <c r="A525" s="1">
        <v>524</v>
      </c>
      <c r="B525" s="2">
        <v>40566</v>
      </c>
      <c r="C525" s="1">
        <v>1</v>
      </c>
      <c r="D525" s="1">
        <v>22</v>
      </c>
      <c r="E525" s="3" t="b">
        <v>0</v>
      </c>
      <c r="F525" s="5">
        <v>0</v>
      </c>
      <c r="G525" s="18" t="str">
        <f t="shared" si="96"/>
        <v>Yes</v>
      </c>
      <c r="H525" s="1">
        <v>1</v>
      </c>
      <c r="I525" s="21" t="str">
        <f t="shared" si="97"/>
        <v>Clean</v>
      </c>
      <c r="J525" s="1">
        <v>0.08</v>
      </c>
      <c r="K525" s="23" t="str">
        <f t="shared" si="98"/>
        <v>Risky</v>
      </c>
      <c r="L525">
        <f t="shared" si="88"/>
        <v>9.0899999999999995E-2</v>
      </c>
      <c r="M525" s="20">
        <f t="shared" si="89"/>
        <v>9.0899999999999995E-2</v>
      </c>
      <c r="N525">
        <f t="shared" si="90"/>
        <v>0.38</v>
      </c>
      <c r="O525" s="20" t="str">
        <f t="shared" si="91"/>
        <v>Acceptable</v>
      </c>
      <c r="P525">
        <f t="shared" si="92"/>
        <v>0.19400000000000001</v>
      </c>
      <c r="Q525">
        <f t="shared" si="93"/>
        <v>5</v>
      </c>
      <c r="R525">
        <f t="shared" si="94"/>
        <v>23</v>
      </c>
      <c r="S525">
        <f t="shared" si="95"/>
        <v>28</v>
      </c>
    </row>
    <row r="526" spans="1:19" ht="15" thickBot="1" x14ac:dyDescent="0.35">
      <c r="A526" s="1">
        <v>525</v>
      </c>
      <c r="B526" s="2">
        <v>40566</v>
      </c>
      <c r="C526" s="1">
        <v>1</v>
      </c>
      <c r="D526" s="1">
        <v>23</v>
      </c>
      <c r="E526" s="3" t="b">
        <v>0</v>
      </c>
      <c r="F526" s="5">
        <v>0</v>
      </c>
      <c r="G526" s="18" t="str">
        <f t="shared" si="96"/>
        <v>Yes</v>
      </c>
      <c r="H526" s="1">
        <v>1</v>
      </c>
      <c r="I526" s="21" t="str">
        <f t="shared" si="97"/>
        <v>Clean</v>
      </c>
      <c r="J526" s="1">
        <v>0.06</v>
      </c>
      <c r="K526" s="23" t="str">
        <f t="shared" si="98"/>
        <v>Risky</v>
      </c>
      <c r="L526">
        <f t="shared" si="88"/>
        <v>6.0600000000000001E-2</v>
      </c>
      <c r="M526" s="20">
        <f t="shared" si="89"/>
        <v>6.0600000000000001E-2</v>
      </c>
      <c r="N526">
        <f t="shared" si="90"/>
        <v>0.41</v>
      </c>
      <c r="O526" s="20" t="str">
        <f t="shared" si="91"/>
        <v>Acceptable</v>
      </c>
      <c r="P526">
        <f t="shared" si="92"/>
        <v>0.22389999999999999</v>
      </c>
      <c r="Q526">
        <f t="shared" si="93"/>
        <v>4</v>
      </c>
      <c r="R526">
        <f t="shared" si="94"/>
        <v>17</v>
      </c>
      <c r="S526">
        <f t="shared" si="95"/>
        <v>21</v>
      </c>
    </row>
    <row r="527" spans="1:19" ht="15" thickBot="1" x14ac:dyDescent="0.35">
      <c r="A527" s="1">
        <v>526</v>
      </c>
      <c r="B527" s="2">
        <v>40567</v>
      </c>
      <c r="C527" s="1">
        <v>1</v>
      </c>
      <c r="D527" s="1">
        <v>0</v>
      </c>
      <c r="E527" s="3" t="b">
        <v>0</v>
      </c>
      <c r="F527" s="5">
        <v>1</v>
      </c>
      <c r="G527" s="18" t="str">
        <f t="shared" si="96"/>
        <v>No</v>
      </c>
      <c r="H527" s="1">
        <v>1</v>
      </c>
      <c r="I527" s="21" t="str">
        <f t="shared" si="97"/>
        <v>Clean</v>
      </c>
      <c r="J527" s="1">
        <v>0.06</v>
      </c>
      <c r="K527" s="23" t="str">
        <f t="shared" si="98"/>
        <v>Risky</v>
      </c>
      <c r="L527">
        <f t="shared" si="88"/>
        <v>6.0600000000000001E-2</v>
      </c>
      <c r="M527" s="20">
        <f t="shared" si="89"/>
        <v>6.0600000000000001E-2</v>
      </c>
      <c r="N527">
        <f t="shared" si="90"/>
        <v>0.41</v>
      </c>
      <c r="O527" s="20" t="str">
        <f t="shared" si="91"/>
        <v>Acceptable</v>
      </c>
      <c r="P527">
        <f t="shared" si="92"/>
        <v>0.19400000000000001</v>
      </c>
      <c r="Q527">
        <f t="shared" si="93"/>
        <v>0</v>
      </c>
      <c r="R527">
        <f t="shared" si="94"/>
        <v>7</v>
      </c>
      <c r="S527">
        <f t="shared" si="95"/>
        <v>7</v>
      </c>
    </row>
    <row r="528" spans="1:19" ht="15" thickBot="1" x14ac:dyDescent="0.35">
      <c r="A528" s="1">
        <v>527</v>
      </c>
      <c r="B528" s="2">
        <v>40567</v>
      </c>
      <c r="C528" s="1">
        <v>1</v>
      </c>
      <c r="D528" s="1">
        <v>1</v>
      </c>
      <c r="E528" s="3" t="b">
        <v>0</v>
      </c>
      <c r="F528" s="5">
        <v>1</v>
      </c>
      <c r="G528" s="18" t="str">
        <f t="shared" si="96"/>
        <v>No</v>
      </c>
      <c r="H528" s="1">
        <v>1</v>
      </c>
      <c r="I528" s="21" t="str">
        <f t="shared" si="97"/>
        <v>Clean</v>
      </c>
      <c r="J528" s="1">
        <v>0.04</v>
      </c>
      <c r="K528" s="23" t="str">
        <f t="shared" si="98"/>
        <v>Risky</v>
      </c>
      <c r="L528">
        <f t="shared" si="88"/>
        <v>4.5499999999999999E-2</v>
      </c>
      <c r="M528" s="20">
        <f t="shared" si="89"/>
        <v>4.5499999999999999E-2</v>
      </c>
      <c r="N528">
        <f t="shared" si="90"/>
        <v>0.45</v>
      </c>
      <c r="O528" s="20" t="str">
        <f t="shared" si="91"/>
        <v>Acceptable</v>
      </c>
      <c r="P528">
        <f t="shared" si="92"/>
        <v>0.19400000000000001</v>
      </c>
      <c r="Q528">
        <f t="shared" si="93"/>
        <v>0</v>
      </c>
      <c r="R528">
        <f t="shared" si="94"/>
        <v>1</v>
      </c>
      <c r="S528">
        <f t="shared" si="95"/>
        <v>1</v>
      </c>
    </row>
    <row r="529" spans="1:19" ht="15" thickBot="1" x14ac:dyDescent="0.35">
      <c r="A529" s="1">
        <v>528</v>
      </c>
      <c r="B529" s="2">
        <v>40567</v>
      </c>
      <c r="C529" s="1">
        <v>1</v>
      </c>
      <c r="D529" s="1">
        <v>3</v>
      </c>
      <c r="E529" s="3" t="b">
        <v>0</v>
      </c>
      <c r="F529" s="5">
        <v>1</v>
      </c>
      <c r="G529" s="18" t="str">
        <f t="shared" si="96"/>
        <v>No</v>
      </c>
      <c r="H529" s="1">
        <v>1</v>
      </c>
      <c r="I529" s="21" t="str">
        <f t="shared" si="97"/>
        <v>Clean</v>
      </c>
      <c r="J529" s="1">
        <v>0.04</v>
      </c>
      <c r="K529" s="23" t="str">
        <f t="shared" si="98"/>
        <v>Risky</v>
      </c>
      <c r="L529">
        <f t="shared" si="88"/>
        <v>3.0300000000000001E-2</v>
      </c>
      <c r="M529" s="20">
        <f t="shared" si="89"/>
        <v>3.0300000000000001E-2</v>
      </c>
      <c r="N529">
        <f t="shared" si="90"/>
        <v>0.45</v>
      </c>
      <c r="O529" s="20" t="str">
        <f t="shared" si="91"/>
        <v>Acceptable</v>
      </c>
      <c r="P529">
        <f t="shared" si="92"/>
        <v>0.25369999999999998</v>
      </c>
      <c r="Q529">
        <f t="shared" si="93"/>
        <v>0</v>
      </c>
      <c r="R529">
        <f t="shared" si="94"/>
        <v>1</v>
      </c>
      <c r="S529">
        <f t="shared" si="95"/>
        <v>1</v>
      </c>
    </row>
    <row r="530" spans="1:19" ht="15" thickBot="1" x14ac:dyDescent="0.35">
      <c r="A530" s="1">
        <v>529</v>
      </c>
      <c r="B530" s="2">
        <v>40567</v>
      </c>
      <c r="C530" s="1">
        <v>1</v>
      </c>
      <c r="D530" s="1">
        <v>4</v>
      </c>
      <c r="E530" s="3" t="b">
        <v>0</v>
      </c>
      <c r="F530" s="5">
        <v>1</v>
      </c>
      <c r="G530" s="18" t="str">
        <f t="shared" si="96"/>
        <v>No</v>
      </c>
      <c r="H530" s="1">
        <v>1</v>
      </c>
      <c r="I530" s="21" t="str">
        <f t="shared" si="97"/>
        <v>Clean</v>
      </c>
      <c r="J530" s="1">
        <v>0.02</v>
      </c>
      <c r="K530" s="23" t="str">
        <f t="shared" si="98"/>
        <v>Risky</v>
      </c>
      <c r="L530">
        <f t="shared" si="88"/>
        <v>6.0600000000000001E-2</v>
      </c>
      <c r="M530" s="20">
        <f t="shared" si="89"/>
        <v>6.0600000000000001E-2</v>
      </c>
      <c r="N530">
        <f t="shared" si="90"/>
        <v>0.48</v>
      </c>
      <c r="O530" s="20" t="str">
        <f t="shared" si="91"/>
        <v>Acceptable</v>
      </c>
      <c r="P530">
        <f t="shared" si="92"/>
        <v>0.1343</v>
      </c>
      <c r="Q530">
        <f t="shared" si="93"/>
        <v>0</v>
      </c>
      <c r="R530">
        <f t="shared" si="94"/>
        <v>1</v>
      </c>
      <c r="S530">
        <f t="shared" si="95"/>
        <v>1</v>
      </c>
    </row>
    <row r="531" spans="1:19" ht="15" thickBot="1" x14ac:dyDescent="0.35">
      <c r="A531" s="1">
        <v>530</v>
      </c>
      <c r="B531" s="2">
        <v>40567</v>
      </c>
      <c r="C531" s="1">
        <v>1</v>
      </c>
      <c r="D531" s="1">
        <v>5</v>
      </c>
      <c r="E531" s="3" t="b">
        <v>0</v>
      </c>
      <c r="F531" s="5">
        <v>1</v>
      </c>
      <c r="G531" s="18" t="str">
        <f t="shared" si="96"/>
        <v>No</v>
      </c>
      <c r="H531" s="1">
        <v>1</v>
      </c>
      <c r="I531" s="21" t="str">
        <f t="shared" si="97"/>
        <v>Clean</v>
      </c>
      <c r="J531" s="1">
        <v>0.02</v>
      </c>
      <c r="K531" s="23" t="str">
        <f t="shared" si="98"/>
        <v>Risky</v>
      </c>
      <c r="L531">
        <f t="shared" si="88"/>
        <v>6.0600000000000001E-2</v>
      </c>
      <c r="M531" s="20">
        <f t="shared" si="89"/>
        <v>6.0600000000000001E-2</v>
      </c>
      <c r="N531">
        <f t="shared" si="90"/>
        <v>0.48</v>
      </c>
      <c r="O531" s="20" t="str">
        <f t="shared" si="91"/>
        <v>Acceptable</v>
      </c>
      <c r="P531">
        <f t="shared" si="92"/>
        <v>0.1343</v>
      </c>
      <c r="Q531">
        <f t="shared" si="93"/>
        <v>0</v>
      </c>
      <c r="R531">
        <f t="shared" si="94"/>
        <v>5</v>
      </c>
      <c r="S531">
        <f t="shared" si="95"/>
        <v>5</v>
      </c>
    </row>
    <row r="532" spans="1:19" ht="15" thickBot="1" x14ac:dyDescent="0.35">
      <c r="A532" s="1">
        <v>531</v>
      </c>
      <c r="B532" s="2">
        <v>40567</v>
      </c>
      <c r="C532" s="1">
        <v>1</v>
      </c>
      <c r="D532" s="1">
        <v>6</v>
      </c>
      <c r="E532" s="3" t="b">
        <v>0</v>
      </c>
      <c r="F532" s="5">
        <v>1</v>
      </c>
      <c r="G532" s="18" t="str">
        <f t="shared" si="96"/>
        <v>No</v>
      </c>
      <c r="H532" s="1">
        <v>1</v>
      </c>
      <c r="I532" s="21" t="str">
        <f t="shared" si="97"/>
        <v>Clean</v>
      </c>
      <c r="J532" s="1">
        <v>0.02</v>
      </c>
      <c r="K532" s="23" t="str">
        <f t="shared" si="98"/>
        <v>Risky</v>
      </c>
      <c r="L532">
        <f t="shared" si="88"/>
        <v>7.5800000000000006E-2</v>
      </c>
      <c r="M532" s="20">
        <f t="shared" si="89"/>
        <v>7.5800000000000006E-2</v>
      </c>
      <c r="N532">
        <f t="shared" si="90"/>
        <v>0.48</v>
      </c>
      <c r="O532" s="20" t="str">
        <f t="shared" si="91"/>
        <v>Acceptable</v>
      </c>
      <c r="P532">
        <f t="shared" si="92"/>
        <v>8.9599999999999999E-2</v>
      </c>
      <c r="Q532">
        <f t="shared" si="93"/>
        <v>0</v>
      </c>
      <c r="R532">
        <f t="shared" si="94"/>
        <v>15</v>
      </c>
      <c r="S532">
        <f t="shared" si="95"/>
        <v>15</v>
      </c>
    </row>
    <row r="533" spans="1:19" ht="15" thickBot="1" x14ac:dyDescent="0.35">
      <c r="A533" s="1">
        <v>532</v>
      </c>
      <c r="B533" s="2">
        <v>40567</v>
      </c>
      <c r="C533" s="1">
        <v>1</v>
      </c>
      <c r="D533" s="1">
        <v>7</v>
      </c>
      <c r="E533" s="3" t="b">
        <v>0</v>
      </c>
      <c r="F533" s="5">
        <v>1</v>
      </c>
      <c r="G533" s="18" t="str">
        <f t="shared" si="96"/>
        <v>No</v>
      </c>
      <c r="H533" s="1">
        <v>1</v>
      </c>
      <c r="I533" s="21" t="str">
        <f t="shared" si="97"/>
        <v>Clean</v>
      </c>
      <c r="J533" s="1">
        <v>0.02</v>
      </c>
      <c r="K533" s="23" t="str">
        <f t="shared" si="98"/>
        <v>Risky</v>
      </c>
      <c r="L533">
        <f t="shared" si="88"/>
        <v>0.1212</v>
      </c>
      <c r="M533" s="20">
        <f t="shared" si="89"/>
        <v>0.1212</v>
      </c>
      <c r="N533">
        <f t="shared" si="90"/>
        <v>0.48</v>
      </c>
      <c r="O533" s="20" t="str">
        <f t="shared" si="91"/>
        <v>Acceptable</v>
      </c>
      <c r="P533">
        <f t="shared" si="92"/>
        <v>0</v>
      </c>
      <c r="Q533">
        <f t="shared" si="93"/>
        <v>5</v>
      </c>
      <c r="R533">
        <f t="shared" si="94"/>
        <v>79</v>
      </c>
      <c r="S533">
        <f t="shared" si="95"/>
        <v>84</v>
      </c>
    </row>
    <row r="534" spans="1:19" ht="15" thickBot="1" x14ac:dyDescent="0.35">
      <c r="A534" s="1">
        <v>533</v>
      </c>
      <c r="B534" s="2">
        <v>40567</v>
      </c>
      <c r="C534" s="1">
        <v>1</v>
      </c>
      <c r="D534" s="1">
        <v>8</v>
      </c>
      <c r="E534" s="3" t="b">
        <v>0</v>
      </c>
      <c r="F534" s="5">
        <v>1</v>
      </c>
      <c r="G534" s="18" t="str">
        <f t="shared" si="96"/>
        <v>No</v>
      </c>
      <c r="H534" s="1">
        <v>1</v>
      </c>
      <c r="I534" s="21" t="str">
        <f t="shared" si="97"/>
        <v>Clean</v>
      </c>
      <c r="J534" s="1">
        <v>0.04</v>
      </c>
      <c r="K534" s="23" t="str">
        <f t="shared" si="98"/>
        <v>Risky</v>
      </c>
      <c r="L534">
        <f t="shared" si="88"/>
        <v>0.13639999999999999</v>
      </c>
      <c r="M534" s="20">
        <f t="shared" si="89"/>
        <v>0.13639999999999999</v>
      </c>
      <c r="N534">
        <f t="shared" si="90"/>
        <v>0.49</v>
      </c>
      <c r="O534" s="20" t="str">
        <f t="shared" si="91"/>
        <v>Acceptable</v>
      </c>
      <c r="P534">
        <f t="shared" si="92"/>
        <v>0</v>
      </c>
      <c r="Q534">
        <f t="shared" si="93"/>
        <v>6</v>
      </c>
      <c r="R534">
        <f t="shared" si="94"/>
        <v>171</v>
      </c>
      <c r="S534">
        <f t="shared" si="95"/>
        <v>177</v>
      </c>
    </row>
    <row r="535" spans="1:19" ht="15" thickBot="1" x14ac:dyDescent="0.35">
      <c r="A535" s="1">
        <v>534</v>
      </c>
      <c r="B535" s="2">
        <v>40567</v>
      </c>
      <c r="C535" s="1">
        <v>1</v>
      </c>
      <c r="D535" s="1">
        <v>9</v>
      </c>
      <c r="E535" s="3" t="b">
        <v>0</v>
      </c>
      <c r="F535" s="5">
        <v>1</v>
      </c>
      <c r="G535" s="18" t="str">
        <f t="shared" si="96"/>
        <v>No</v>
      </c>
      <c r="H535" s="1">
        <v>1</v>
      </c>
      <c r="I535" s="21" t="str">
        <f t="shared" si="97"/>
        <v>Clean</v>
      </c>
      <c r="J535" s="1">
        <v>0.06</v>
      </c>
      <c r="K535" s="23" t="str">
        <f t="shared" si="98"/>
        <v>Risky</v>
      </c>
      <c r="L535">
        <f t="shared" si="88"/>
        <v>0.1515</v>
      </c>
      <c r="M535" s="20">
        <f t="shared" si="89"/>
        <v>0.1515</v>
      </c>
      <c r="N535">
        <f t="shared" si="90"/>
        <v>0.41</v>
      </c>
      <c r="O535" s="20" t="str">
        <f t="shared" si="91"/>
        <v>Acceptable</v>
      </c>
      <c r="P535">
        <f t="shared" si="92"/>
        <v>0</v>
      </c>
      <c r="Q535">
        <f t="shared" si="93"/>
        <v>4</v>
      </c>
      <c r="R535">
        <f t="shared" si="94"/>
        <v>98</v>
      </c>
      <c r="S535">
        <f t="shared" si="95"/>
        <v>102</v>
      </c>
    </row>
    <row r="536" spans="1:19" ht="15" thickBot="1" x14ac:dyDescent="0.35">
      <c r="A536" s="1">
        <v>535</v>
      </c>
      <c r="B536" s="2">
        <v>40567</v>
      </c>
      <c r="C536" s="1">
        <v>1</v>
      </c>
      <c r="D536" s="1">
        <v>10</v>
      </c>
      <c r="E536" s="3" t="b">
        <v>0</v>
      </c>
      <c r="F536" s="5">
        <v>1</v>
      </c>
      <c r="G536" s="18" t="str">
        <f t="shared" si="96"/>
        <v>No</v>
      </c>
      <c r="H536" s="1">
        <v>1</v>
      </c>
      <c r="I536" s="21" t="str">
        <f t="shared" si="97"/>
        <v>Clean</v>
      </c>
      <c r="J536" s="1">
        <v>0.1</v>
      </c>
      <c r="K536" s="23" t="str">
        <f t="shared" si="98"/>
        <v>Safe</v>
      </c>
      <c r="L536">
        <f t="shared" si="88"/>
        <v>0.13639999999999999</v>
      </c>
      <c r="M536" s="20">
        <f t="shared" si="89"/>
        <v>0.13639999999999999</v>
      </c>
      <c r="N536">
        <f t="shared" si="90"/>
        <v>0.42</v>
      </c>
      <c r="O536" s="20" t="str">
        <f t="shared" si="91"/>
        <v>Acceptable</v>
      </c>
      <c r="P536">
        <f t="shared" si="92"/>
        <v>0</v>
      </c>
      <c r="Q536">
        <f t="shared" si="93"/>
        <v>6</v>
      </c>
      <c r="R536">
        <f t="shared" si="94"/>
        <v>34</v>
      </c>
      <c r="S536">
        <f t="shared" si="95"/>
        <v>40</v>
      </c>
    </row>
    <row r="537" spans="1:19" ht="15" thickBot="1" x14ac:dyDescent="0.35">
      <c r="A537" s="1">
        <v>536</v>
      </c>
      <c r="B537" s="2">
        <v>40567</v>
      </c>
      <c r="C537" s="1">
        <v>1</v>
      </c>
      <c r="D537" s="1">
        <v>11</v>
      </c>
      <c r="E537" s="3" t="b">
        <v>0</v>
      </c>
      <c r="F537" s="5">
        <v>1</v>
      </c>
      <c r="G537" s="18" t="str">
        <f t="shared" si="96"/>
        <v>No</v>
      </c>
      <c r="H537" s="1">
        <v>1</v>
      </c>
      <c r="I537" s="21" t="str">
        <f t="shared" si="97"/>
        <v>Clean</v>
      </c>
      <c r="J537" s="1">
        <v>0.1</v>
      </c>
      <c r="K537" s="23" t="str">
        <f t="shared" si="98"/>
        <v>Safe</v>
      </c>
      <c r="L537">
        <f t="shared" si="88"/>
        <v>0.1212</v>
      </c>
      <c r="M537" s="20">
        <f t="shared" si="89"/>
        <v>0.1212</v>
      </c>
      <c r="N537">
        <f t="shared" si="90"/>
        <v>0.46</v>
      </c>
      <c r="O537" s="20" t="str">
        <f t="shared" si="91"/>
        <v>Acceptable</v>
      </c>
      <c r="P537">
        <f t="shared" si="92"/>
        <v>0.1343</v>
      </c>
      <c r="Q537">
        <f t="shared" si="93"/>
        <v>3</v>
      </c>
      <c r="R537">
        <f t="shared" si="94"/>
        <v>43</v>
      </c>
      <c r="S537">
        <f t="shared" si="95"/>
        <v>46</v>
      </c>
    </row>
    <row r="538" spans="1:19" ht="15" thickBot="1" x14ac:dyDescent="0.35">
      <c r="A538" s="1">
        <v>537</v>
      </c>
      <c r="B538" s="2">
        <v>40567</v>
      </c>
      <c r="C538" s="1">
        <v>1</v>
      </c>
      <c r="D538" s="1">
        <v>12</v>
      </c>
      <c r="E538" s="3" t="b">
        <v>0</v>
      </c>
      <c r="F538" s="5">
        <v>1</v>
      </c>
      <c r="G538" s="18" t="str">
        <f t="shared" si="96"/>
        <v>No</v>
      </c>
      <c r="H538" s="1">
        <v>2</v>
      </c>
      <c r="I538" s="21" t="str">
        <f t="shared" si="97"/>
        <v>Misty</v>
      </c>
      <c r="J538" s="1">
        <v>0.12</v>
      </c>
      <c r="K538" s="23" t="str">
        <f t="shared" si="98"/>
        <v>Safe</v>
      </c>
      <c r="L538">
        <f t="shared" si="88"/>
        <v>0.13639999999999999</v>
      </c>
      <c r="M538" s="20">
        <f t="shared" si="89"/>
        <v>0.13639999999999999</v>
      </c>
      <c r="N538">
        <f t="shared" si="90"/>
        <v>0.42</v>
      </c>
      <c r="O538" s="20" t="str">
        <f t="shared" si="91"/>
        <v>Acceptable</v>
      </c>
      <c r="P538">
        <f t="shared" si="92"/>
        <v>0.19400000000000001</v>
      </c>
      <c r="Q538">
        <f t="shared" si="93"/>
        <v>11</v>
      </c>
      <c r="R538">
        <f t="shared" si="94"/>
        <v>52</v>
      </c>
      <c r="S538">
        <f t="shared" si="95"/>
        <v>63</v>
      </c>
    </row>
    <row r="539" spans="1:19" ht="15" thickBot="1" x14ac:dyDescent="0.35">
      <c r="A539" s="1">
        <v>538</v>
      </c>
      <c r="B539" s="2">
        <v>40567</v>
      </c>
      <c r="C539" s="1">
        <v>1</v>
      </c>
      <c r="D539" s="1">
        <v>13</v>
      </c>
      <c r="E539" s="3" t="b">
        <v>0</v>
      </c>
      <c r="F539" s="5">
        <v>1</v>
      </c>
      <c r="G539" s="18" t="str">
        <f t="shared" si="96"/>
        <v>No</v>
      </c>
      <c r="H539" s="1">
        <v>2</v>
      </c>
      <c r="I539" s="21" t="str">
        <f t="shared" si="97"/>
        <v>Misty</v>
      </c>
      <c r="J539" s="1">
        <v>0.14000000000000001</v>
      </c>
      <c r="K539" s="23" t="str">
        <f t="shared" si="98"/>
        <v>Safe</v>
      </c>
      <c r="L539">
        <f t="shared" si="88"/>
        <v>0.13639999999999999</v>
      </c>
      <c r="M539" s="20">
        <f t="shared" si="89"/>
        <v>0.13639999999999999</v>
      </c>
      <c r="N539">
        <f t="shared" si="90"/>
        <v>0.43</v>
      </c>
      <c r="O539" s="20" t="str">
        <f t="shared" si="91"/>
        <v>Acceptable</v>
      </c>
      <c r="P539">
        <f t="shared" si="92"/>
        <v>0.22389999999999999</v>
      </c>
      <c r="Q539">
        <f t="shared" si="93"/>
        <v>6</v>
      </c>
      <c r="R539">
        <f t="shared" si="94"/>
        <v>54</v>
      </c>
      <c r="S539">
        <f t="shared" si="95"/>
        <v>60</v>
      </c>
    </row>
    <row r="540" spans="1:19" ht="15" thickBot="1" x14ac:dyDescent="0.35">
      <c r="A540" s="1">
        <v>539</v>
      </c>
      <c r="B540" s="2">
        <v>40567</v>
      </c>
      <c r="C540" s="1">
        <v>1</v>
      </c>
      <c r="D540" s="1">
        <v>14</v>
      </c>
      <c r="E540" s="3" t="b">
        <v>0</v>
      </c>
      <c r="F540" s="5">
        <v>1</v>
      </c>
      <c r="G540" s="18" t="str">
        <f t="shared" si="96"/>
        <v>No</v>
      </c>
      <c r="H540" s="1">
        <v>2</v>
      </c>
      <c r="I540" s="21" t="str">
        <f t="shared" si="97"/>
        <v>Misty</v>
      </c>
      <c r="J540" s="1">
        <v>0.14000000000000001</v>
      </c>
      <c r="K540" s="23" t="str">
        <f t="shared" si="98"/>
        <v>Safe</v>
      </c>
      <c r="L540">
        <f t="shared" si="88"/>
        <v>0.13639999999999999</v>
      </c>
      <c r="M540" s="20">
        <f t="shared" si="89"/>
        <v>0.13639999999999999</v>
      </c>
      <c r="N540">
        <f t="shared" si="90"/>
        <v>0.46</v>
      </c>
      <c r="O540" s="20" t="str">
        <f t="shared" si="91"/>
        <v>Acceptable</v>
      </c>
      <c r="P540">
        <f t="shared" si="92"/>
        <v>0.22389999999999999</v>
      </c>
      <c r="Q540">
        <f t="shared" si="93"/>
        <v>2</v>
      </c>
      <c r="R540">
        <f t="shared" si="94"/>
        <v>43</v>
      </c>
      <c r="S540">
        <f t="shared" si="95"/>
        <v>45</v>
      </c>
    </row>
    <row r="541" spans="1:19" ht="15" thickBot="1" x14ac:dyDescent="0.35">
      <c r="A541" s="1">
        <v>540</v>
      </c>
      <c r="B541" s="2">
        <v>40567</v>
      </c>
      <c r="C541" s="1">
        <v>1</v>
      </c>
      <c r="D541" s="1">
        <v>15</v>
      </c>
      <c r="E541" s="3" t="b">
        <v>0</v>
      </c>
      <c r="F541" s="5">
        <v>1</v>
      </c>
      <c r="G541" s="18" t="str">
        <f t="shared" si="96"/>
        <v>No</v>
      </c>
      <c r="H541" s="1">
        <v>1</v>
      </c>
      <c r="I541" s="21" t="str">
        <f t="shared" si="97"/>
        <v>Clean</v>
      </c>
      <c r="J541" s="1">
        <v>0.16</v>
      </c>
      <c r="K541" s="23" t="str">
        <f t="shared" si="98"/>
        <v>Safe</v>
      </c>
      <c r="L541">
        <f t="shared" si="88"/>
        <v>0.16669999999999999</v>
      </c>
      <c r="M541" s="20">
        <f t="shared" si="89"/>
        <v>0.16669999999999999</v>
      </c>
      <c r="N541">
        <f t="shared" si="90"/>
        <v>0.4</v>
      </c>
      <c r="O541" s="20" t="str">
        <f t="shared" si="91"/>
        <v>Acceptable</v>
      </c>
      <c r="P541">
        <f t="shared" si="92"/>
        <v>0.16420000000000001</v>
      </c>
      <c r="Q541">
        <f t="shared" si="93"/>
        <v>7</v>
      </c>
      <c r="R541">
        <f t="shared" si="94"/>
        <v>50</v>
      </c>
      <c r="S541">
        <f t="shared" si="95"/>
        <v>57</v>
      </c>
    </row>
    <row r="542" spans="1:19" ht="15" thickBot="1" x14ac:dyDescent="0.35">
      <c r="A542" s="1">
        <v>541</v>
      </c>
      <c r="B542" s="2">
        <v>40567</v>
      </c>
      <c r="C542" s="1">
        <v>1</v>
      </c>
      <c r="D542" s="1">
        <v>16</v>
      </c>
      <c r="E542" s="3" t="b">
        <v>0</v>
      </c>
      <c r="F542" s="5">
        <v>1</v>
      </c>
      <c r="G542" s="18" t="str">
        <f t="shared" si="96"/>
        <v>No</v>
      </c>
      <c r="H542" s="1">
        <v>1</v>
      </c>
      <c r="I542" s="21" t="str">
        <f t="shared" si="97"/>
        <v>Clean</v>
      </c>
      <c r="J542" s="1">
        <v>0.16</v>
      </c>
      <c r="K542" s="23" t="str">
        <f t="shared" si="98"/>
        <v>Safe</v>
      </c>
      <c r="L542">
        <f t="shared" si="88"/>
        <v>0.1515</v>
      </c>
      <c r="M542" s="20">
        <f t="shared" si="89"/>
        <v>0.1515</v>
      </c>
      <c r="N542">
        <f t="shared" si="90"/>
        <v>0.47</v>
      </c>
      <c r="O542" s="20" t="str">
        <f t="shared" si="91"/>
        <v>Acceptable</v>
      </c>
      <c r="P542">
        <f t="shared" si="92"/>
        <v>0.25369999999999998</v>
      </c>
      <c r="Q542">
        <f t="shared" si="93"/>
        <v>4</v>
      </c>
      <c r="R542">
        <f t="shared" si="94"/>
        <v>66</v>
      </c>
      <c r="S542">
        <f t="shared" si="95"/>
        <v>70</v>
      </c>
    </row>
    <row r="543" spans="1:19" ht="15" thickBot="1" x14ac:dyDescent="0.35">
      <c r="A543" s="1">
        <v>542</v>
      </c>
      <c r="B543" s="2">
        <v>40567</v>
      </c>
      <c r="C543" s="1">
        <v>1</v>
      </c>
      <c r="D543" s="1">
        <v>17</v>
      </c>
      <c r="E543" s="3" t="b">
        <v>0</v>
      </c>
      <c r="F543" s="5">
        <v>1</v>
      </c>
      <c r="G543" s="18" t="str">
        <f t="shared" si="96"/>
        <v>No</v>
      </c>
      <c r="H543" s="1">
        <v>1</v>
      </c>
      <c r="I543" s="21" t="str">
        <f t="shared" si="97"/>
        <v>Clean</v>
      </c>
      <c r="J543" s="1">
        <v>0.14000000000000001</v>
      </c>
      <c r="K543" s="23" t="str">
        <f t="shared" si="98"/>
        <v>Safe</v>
      </c>
      <c r="L543">
        <f t="shared" si="88"/>
        <v>0.1212</v>
      </c>
      <c r="M543" s="20">
        <f t="shared" si="89"/>
        <v>0.1212</v>
      </c>
      <c r="N543">
        <f t="shared" si="90"/>
        <v>0.5</v>
      </c>
      <c r="O543" s="20" t="str">
        <f t="shared" si="91"/>
        <v>Acceptable</v>
      </c>
      <c r="P543">
        <f t="shared" si="92"/>
        <v>0.25369999999999998</v>
      </c>
      <c r="Q543">
        <f t="shared" si="93"/>
        <v>6</v>
      </c>
      <c r="R543">
        <f t="shared" si="94"/>
        <v>178</v>
      </c>
      <c r="S543">
        <f t="shared" si="95"/>
        <v>184</v>
      </c>
    </row>
    <row r="544" spans="1:19" ht="15" thickBot="1" x14ac:dyDescent="0.35">
      <c r="A544" s="1">
        <v>543</v>
      </c>
      <c r="B544" s="2">
        <v>40567</v>
      </c>
      <c r="C544" s="1">
        <v>1</v>
      </c>
      <c r="D544" s="1">
        <v>18</v>
      </c>
      <c r="E544" s="3" t="b">
        <v>0</v>
      </c>
      <c r="F544" s="5">
        <v>1</v>
      </c>
      <c r="G544" s="18" t="str">
        <f t="shared" si="96"/>
        <v>No</v>
      </c>
      <c r="H544" s="1">
        <v>1</v>
      </c>
      <c r="I544" s="21" t="str">
        <f t="shared" si="97"/>
        <v>Clean</v>
      </c>
      <c r="J544" s="1">
        <v>0.14000000000000001</v>
      </c>
      <c r="K544" s="23" t="str">
        <f t="shared" si="98"/>
        <v>Safe</v>
      </c>
      <c r="L544">
        <f t="shared" si="88"/>
        <v>0.13639999999999999</v>
      </c>
      <c r="M544" s="20">
        <f t="shared" si="89"/>
        <v>0.13639999999999999</v>
      </c>
      <c r="N544">
        <f t="shared" si="90"/>
        <v>0.59</v>
      </c>
      <c r="O544" s="20" t="str">
        <f t="shared" si="91"/>
        <v>Acceptable</v>
      </c>
      <c r="P544">
        <f t="shared" si="92"/>
        <v>0.19400000000000001</v>
      </c>
      <c r="Q544">
        <f t="shared" si="93"/>
        <v>8</v>
      </c>
      <c r="R544">
        <f t="shared" si="94"/>
        <v>145</v>
      </c>
      <c r="S544">
        <f t="shared" si="95"/>
        <v>153</v>
      </c>
    </row>
    <row r="545" spans="1:19" ht="15" thickBot="1" x14ac:dyDescent="0.35">
      <c r="A545" s="1">
        <v>544</v>
      </c>
      <c r="B545" s="2">
        <v>40567</v>
      </c>
      <c r="C545" s="1">
        <v>1</v>
      </c>
      <c r="D545" s="1">
        <v>19</v>
      </c>
      <c r="E545" s="3" t="b">
        <v>0</v>
      </c>
      <c r="F545" s="5">
        <v>1</v>
      </c>
      <c r="G545" s="18" t="str">
        <f t="shared" si="96"/>
        <v>No</v>
      </c>
      <c r="H545" s="1">
        <v>1</v>
      </c>
      <c r="I545" s="21" t="str">
        <f t="shared" si="97"/>
        <v>Clean</v>
      </c>
      <c r="J545" s="1">
        <v>0.14000000000000001</v>
      </c>
      <c r="K545" s="23" t="str">
        <f t="shared" si="98"/>
        <v>Safe</v>
      </c>
      <c r="L545">
        <f t="shared" si="88"/>
        <v>0.1515</v>
      </c>
      <c r="M545" s="20">
        <f t="shared" si="89"/>
        <v>0.1515</v>
      </c>
      <c r="N545">
        <f t="shared" si="90"/>
        <v>0.54</v>
      </c>
      <c r="O545" s="20" t="str">
        <f t="shared" si="91"/>
        <v>Acceptable</v>
      </c>
      <c r="P545">
        <f t="shared" si="92"/>
        <v>0.16420000000000001</v>
      </c>
      <c r="Q545">
        <f t="shared" si="93"/>
        <v>5</v>
      </c>
      <c r="R545">
        <f t="shared" si="94"/>
        <v>101</v>
      </c>
      <c r="S545">
        <f t="shared" si="95"/>
        <v>106</v>
      </c>
    </row>
    <row r="546" spans="1:19" ht="15" thickBot="1" x14ac:dyDescent="0.35">
      <c r="A546" s="1">
        <v>545</v>
      </c>
      <c r="B546" s="2">
        <v>40567</v>
      </c>
      <c r="C546" s="1">
        <v>1</v>
      </c>
      <c r="D546" s="1">
        <v>20</v>
      </c>
      <c r="E546" s="3" t="b">
        <v>0</v>
      </c>
      <c r="F546" s="5">
        <v>1</v>
      </c>
      <c r="G546" s="18" t="str">
        <f t="shared" si="96"/>
        <v>No</v>
      </c>
      <c r="H546" s="1">
        <v>1</v>
      </c>
      <c r="I546" s="21" t="str">
        <f t="shared" si="97"/>
        <v>Clean</v>
      </c>
      <c r="J546" s="1">
        <v>0.14000000000000001</v>
      </c>
      <c r="K546" s="23" t="str">
        <f t="shared" si="98"/>
        <v>Safe</v>
      </c>
      <c r="L546">
        <f t="shared" si="88"/>
        <v>0.13639999999999999</v>
      </c>
      <c r="M546" s="20">
        <f t="shared" si="89"/>
        <v>0.13639999999999999</v>
      </c>
      <c r="N546">
        <f t="shared" si="90"/>
        <v>0.59</v>
      </c>
      <c r="O546" s="20" t="str">
        <f t="shared" si="91"/>
        <v>Acceptable</v>
      </c>
      <c r="P546">
        <f t="shared" si="92"/>
        <v>0.19400000000000001</v>
      </c>
      <c r="Q546">
        <f t="shared" si="93"/>
        <v>1</v>
      </c>
      <c r="R546">
        <f t="shared" si="94"/>
        <v>80</v>
      </c>
      <c r="S546">
        <f t="shared" si="95"/>
        <v>81</v>
      </c>
    </row>
    <row r="547" spans="1:19" ht="15" thickBot="1" x14ac:dyDescent="0.35">
      <c r="A547" s="1">
        <v>546</v>
      </c>
      <c r="B547" s="2">
        <v>40567</v>
      </c>
      <c r="C547" s="1">
        <v>1</v>
      </c>
      <c r="D547" s="1">
        <v>21</v>
      </c>
      <c r="E547" s="3" t="b">
        <v>0</v>
      </c>
      <c r="F547" s="5">
        <v>1</v>
      </c>
      <c r="G547" s="18" t="str">
        <f t="shared" si="96"/>
        <v>No</v>
      </c>
      <c r="H547" s="1">
        <v>1</v>
      </c>
      <c r="I547" s="21" t="str">
        <f t="shared" si="97"/>
        <v>Clean</v>
      </c>
      <c r="J547" s="1">
        <v>0.14000000000000001</v>
      </c>
      <c r="K547" s="23" t="str">
        <f t="shared" si="98"/>
        <v>Safe</v>
      </c>
      <c r="L547">
        <f t="shared" si="88"/>
        <v>0.1515</v>
      </c>
      <c r="M547" s="20">
        <f t="shared" si="89"/>
        <v>0.1515</v>
      </c>
      <c r="N547">
        <f t="shared" si="90"/>
        <v>0.63</v>
      </c>
      <c r="O547" s="20" t="str">
        <f t="shared" si="91"/>
        <v>Acceptable</v>
      </c>
      <c r="P547">
        <f t="shared" si="92"/>
        <v>0.16420000000000001</v>
      </c>
      <c r="Q547">
        <f t="shared" si="93"/>
        <v>6</v>
      </c>
      <c r="R547">
        <f t="shared" si="94"/>
        <v>53</v>
      </c>
      <c r="S547">
        <f t="shared" si="95"/>
        <v>59</v>
      </c>
    </row>
    <row r="548" spans="1:19" ht="15" thickBot="1" x14ac:dyDescent="0.35">
      <c r="A548" s="1">
        <v>547</v>
      </c>
      <c r="B548" s="2">
        <v>40567</v>
      </c>
      <c r="C548" s="1">
        <v>1</v>
      </c>
      <c r="D548" s="1">
        <v>22</v>
      </c>
      <c r="E548" s="3" t="b">
        <v>0</v>
      </c>
      <c r="F548" s="5">
        <v>1</v>
      </c>
      <c r="G548" s="18" t="str">
        <f t="shared" si="96"/>
        <v>No</v>
      </c>
      <c r="H548" s="1">
        <v>2</v>
      </c>
      <c r="I548" s="21" t="str">
        <f t="shared" si="97"/>
        <v>Misty</v>
      </c>
      <c r="J548" s="1">
        <v>0.14000000000000001</v>
      </c>
      <c r="K548" s="23" t="str">
        <f t="shared" si="98"/>
        <v>Safe</v>
      </c>
      <c r="L548">
        <f t="shared" si="88"/>
        <v>0.13639999999999999</v>
      </c>
      <c r="M548" s="20">
        <f t="shared" si="89"/>
        <v>0.13639999999999999</v>
      </c>
      <c r="N548">
        <f t="shared" si="90"/>
        <v>0.63</v>
      </c>
      <c r="O548" s="20" t="str">
        <f t="shared" si="91"/>
        <v>Acceptable</v>
      </c>
      <c r="P548">
        <f t="shared" si="92"/>
        <v>0.22389999999999999</v>
      </c>
      <c r="Q548">
        <f t="shared" si="93"/>
        <v>3</v>
      </c>
      <c r="R548">
        <f t="shared" si="94"/>
        <v>32</v>
      </c>
      <c r="S548">
        <f t="shared" si="95"/>
        <v>35</v>
      </c>
    </row>
    <row r="549" spans="1:19" ht="15" thickBot="1" x14ac:dyDescent="0.35">
      <c r="A549" s="1">
        <v>548</v>
      </c>
      <c r="B549" s="2">
        <v>40567</v>
      </c>
      <c r="C549" s="1">
        <v>1</v>
      </c>
      <c r="D549" s="1">
        <v>23</v>
      </c>
      <c r="E549" s="3" t="b">
        <v>0</v>
      </c>
      <c r="F549" s="5">
        <v>1</v>
      </c>
      <c r="G549" s="18" t="str">
        <f t="shared" si="96"/>
        <v>No</v>
      </c>
      <c r="H549" s="1">
        <v>2</v>
      </c>
      <c r="I549" s="21" t="str">
        <f t="shared" si="97"/>
        <v>Misty</v>
      </c>
      <c r="J549" s="1">
        <v>0.16</v>
      </c>
      <c r="K549" s="23" t="str">
        <f t="shared" si="98"/>
        <v>Safe</v>
      </c>
      <c r="L549">
        <f t="shared" si="88"/>
        <v>0.1515</v>
      </c>
      <c r="M549" s="20">
        <f t="shared" si="89"/>
        <v>0.1515</v>
      </c>
      <c r="N549">
        <f t="shared" si="90"/>
        <v>0.64</v>
      </c>
      <c r="O549" s="20" t="str">
        <f t="shared" si="91"/>
        <v>Acceptable</v>
      </c>
      <c r="P549">
        <f t="shared" si="92"/>
        <v>0.25369999999999998</v>
      </c>
      <c r="Q549">
        <f t="shared" si="93"/>
        <v>3</v>
      </c>
      <c r="R549">
        <f t="shared" si="94"/>
        <v>21</v>
      </c>
      <c r="S549">
        <f t="shared" si="95"/>
        <v>24</v>
      </c>
    </row>
    <row r="550" spans="1:19" ht="15" thickBot="1" x14ac:dyDescent="0.35">
      <c r="A550" s="1">
        <v>549</v>
      </c>
      <c r="B550" s="2">
        <v>40568</v>
      </c>
      <c r="C550" s="1">
        <v>1</v>
      </c>
      <c r="D550" s="1">
        <v>0</v>
      </c>
      <c r="E550" s="3" t="b">
        <v>0</v>
      </c>
      <c r="F550" s="5">
        <v>2</v>
      </c>
      <c r="G550" s="18" t="str">
        <f t="shared" si="96"/>
        <v>No</v>
      </c>
      <c r="H550" s="1">
        <v>2</v>
      </c>
      <c r="I550" s="21" t="str">
        <f t="shared" si="97"/>
        <v>Misty</v>
      </c>
      <c r="J550" s="1">
        <v>0.16</v>
      </c>
      <c r="K550" s="23" t="str">
        <f t="shared" si="98"/>
        <v>Safe</v>
      </c>
      <c r="L550">
        <f t="shared" si="88"/>
        <v>0.13639999999999999</v>
      </c>
      <c r="M550" s="20">
        <f t="shared" si="89"/>
        <v>0.13639999999999999</v>
      </c>
      <c r="N550">
        <f t="shared" si="90"/>
        <v>0.69</v>
      </c>
      <c r="O550" s="20" t="str">
        <f t="shared" si="91"/>
        <v>Acceptable</v>
      </c>
      <c r="P550">
        <f t="shared" si="92"/>
        <v>0.28360000000000002</v>
      </c>
      <c r="Q550">
        <f t="shared" si="93"/>
        <v>3</v>
      </c>
      <c r="R550">
        <f t="shared" si="94"/>
        <v>6</v>
      </c>
      <c r="S550">
        <f t="shared" si="95"/>
        <v>9</v>
      </c>
    </row>
    <row r="551" spans="1:19" ht="15" thickBot="1" x14ac:dyDescent="0.35">
      <c r="A551" s="1">
        <v>550</v>
      </c>
      <c r="B551" s="2">
        <v>40568</v>
      </c>
      <c r="C551" s="1">
        <v>1</v>
      </c>
      <c r="D551" s="1">
        <v>1</v>
      </c>
      <c r="E551" s="3" t="b">
        <v>0</v>
      </c>
      <c r="F551" s="5">
        <v>2</v>
      </c>
      <c r="G551" s="18" t="str">
        <f t="shared" si="96"/>
        <v>No</v>
      </c>
      <c r="H551" s="1">
        <v>2</v>
      </c>
      <c r="I551" s="21" t="str">
        <f t="shared" si="97"/>
        <v>Misty</v>
      </c>
      <c r="J551" s="1">
        <v>0.16</v>
      </c>
      <c r="K551" s="23" t="str">
        <f t="shared" si="98"/>
        <v>Safe</v>
      </c>
      <c r="L551">
        <f t="shared" si="88"/>
        <v>0.16669999999999999</v>
      </c>
      <c r="M551" s="20">
        <f t="shared" si="89"/>
        <v>0.16669999999999999</v>
      </c>
      <c r="N551">
        <f t="shared" si="90"/>
        <v>0.69</v>
      </c>
      <c r="O551" s="20" t="str">
        <f t="shared" si="91"/>
        <v>Acceptable</v>
      </c>
      <c r="P551">
        <f t="shared" si="92"/>
        <v>0.16420000000000001</v>
      </c>
      <c r="Q551">
        <f t="shared" si="93"/>
        <v>0</v>
      </c>
      <c r="R551">
        <f t="shared" si="94"/>
        <v>5</v>
      </c>
      <c r="S551">
        <f t="shared" si="95"/>
        <v>5</v>
      </c>
    </row>
    <row r="552" spans="1:19" ht="15" thickBot="1" x14ac:dyDescent="0.35">
      <c r="A552" s="1">
        <v>551</v>
      </c>
      <c r="B552" s="2">
        <v>40568</v>
      </c>
      <c r="C552" s="1">
        <v>1</v>
      </c>
      <c r="D552" s="1">
        <v>2</v>
      </c>
      <c r="E552" s="3" t="b">
        <v>0</v>
      </c>
      <c r="F552" s="5">
        <v>2</v>
      </c>
      <c r="G552" s="18" t="str">
        <f t="shared" si="96"/>
        <v>No</v>
      </c>
      <c r="H552" s="1">
        <v>1</v>
      </c>
      <c r="I552" s="21" t="str">
        <f t="shared" si="97"/>
        <v>Clean</v>
      </c>
      <c r="J552" s="1">
        <v>0.16</v>
      </c>
      <c r="K552" s="23" t="str">
        <f t="shared" si="98"/>
        <v>Safe</v>
      </c>
      <c r="L552">
        <f t="shared" si="88"/>
        <v>0.1515</v>
      </c>
      <c r="M552" s="20">
        <f t="shared" si="89"/>
        <v>0.1515</v>
      </c>
      <c r="N552">
        <f t="shared" si="90"/>
        <v>0.69</v>
      </c>
      <c r="O552" s="20" t="str">
        <f t="shared" si="91"/>
        <v>Acceptable</v>
      </c>
      <c r="P552">
        <f t="shared" si="92"/>
        <v>0.22389999999999999</v>
      </c>
      <c r="Q552">
        <f t="shared" si="93"/>
        <v>0</v>
      </c>
      <c r="R552">
        <f t="shared" si="94"/>
        <v>2</v>
      </c>
      <c r="S552">
        <f t="shared" si="95"/>
        <v>2</v>
      </c>
    </row>
    <row r="553" spans="1:19" ht="15" thickBot="1" x14ac:dyDescent="0.35">
      <c r="A553" s="1">
        <v>552</v>
      </c>
      <c r="B553" s="2">
        <v>40568</v>
      </c>
      <c r="C553" s="1">
        <v>1</v>
      </c>
      <c r="D553" s="1">
        <v>4</v>
      </c>
      <c r="E553" s="3" t="b">
        <v>0</v>
      </c>
      <c r="F553" s="5">
        <v>2</v>
      </c>
      <c r="G553" s="18" t="str">
        <f t="shared" si="96"/>
        <v>No</v>
      </c>
      <c r="H553" s="1">
        <v>1</v>
      </c>
      <c r="I553" s="21" t="str">
        <f t="shared" si="97"/>
        <v>Clean</v>
      </c>
      <c r="J553" s="1">
        <v>0.14000000000000001</v>
      </c>
      <c r="K553" s="23" t="str">
        <f t="shared" si="98"/>
        <v>Safe</v>
      </c>
      <c r="L553">
        <f t="shared" si="88"/>
        <v>0.16669999999999999</v>
      </c>
      <c r="M553" s="20">
        <f t="shared" si="89"/>
        <v>0.16669999999999999</v>
      </c>
      <c r="N553">
        <f t="shared" si="90"/>
        <v>0.74</v>
      </c>
      <c r="O553" s="20" t="str">
        <f t="shared" si="91"/>
        <v>Risky</v>
      </c>
      <c r="P553">
        <f t="shared" si="92"/>
        <v>0.1045</v>
      </c>
      <c r="Q553">
        <f t="shared" si="93"/>
        <v>0</v>
      </c>
      <c r="R553">
        <f t="shared" si="94"/>
        <v>1</v>
      </c>
      <c r="S553">
        <f t="shared" si="95"/>
        <v>1</v>
      </c>
    </row>
    <row r="554" spans="1:19" ht="15" thickBot="1" x14ac:dyDescent="0.35">
      <c r="A554" s="1">
        <v>553</v>
      </c>
      <c r="B554" s="2">
        <v>40568</v>
      </c>
      <c r="C554" s="1">
        <v>1</v>
      </c>
      <c r="D554" s="1">
        <v>5</v>
      </c>
      <c r="E554" s="3" t="b">
        <v>0</v>
      </c>
      <c r="F554" s="5">
        <v>2</v>
      </c>
      <c r="G554" s="18" t="str">
        <f t="shared" si="96"/>
        <v>No</v>
      </c>
      <c r="H554" s="1">
        <v>1</v>
      </c>
      <c r="I554" s="21" t="str">
        <f t="shared" si="97"/>
        <v>Clean</v>
      </c>
      <c r="J554" s="1">
        <v>0.14000000000000001</v>
      </c>
      <c r="K554" s="23" t="str">
        <f t="shared" si="98"/>
        <v>Safe</v>
      </c>
      <c r="L554">
        <f t="shared" si="88"/>
        <v>0.13639999999999999</v>
      </c>
      <c r="M554" s="20">
        <f t="shared" si="89"/>
        <v>0.13639999999999999</v>
      </c>
      <c r="N554">
        <f t="shared" si="90"/>
        <v>0.74</v>
      </c>
      <c r="O554" s="20" t="str">
        <f t="shared" si="91"/>
        <v>Risky</v>
      </c>
      <c r="P554">
        <f t="shared" si="92"/>
        <v>0.22389999999999999</v>
      </c>
      <c r="Q554">
        <f t="shared" si="93"/>
        <v>0</v>
      </c>
      <c r="R554">
        <f t="shared" si="94"/>
        <v>9</v>
      </c>
      <c r="S554">
        <f t="shared" si="95"/>
        <v>9</v>
      </c>
    </row>
    <row r="555" spans="1:19" ht="15" thickBot="1" x14ac:dyDescent="0.35">
      <c r="A555" s="1">
        <v>554</v>
      </c>
      <c r="B555" s="2">
        <v>40568</v>
      </c>
      <c r="C555" s="1">
        <v>1</v>
      </c>
      <c r="D555" s="1">
        <v>6</v>
      </c>
      <c r="E555" s="3" t="b">
        <v>0</v>
      </c>
      <c r="F555" s="5">
        <v>2</v>
      </c>
      <c r="G555" s="18" t="str">
        <f t="shared" si="96"/>
        <v>No</v>
      </c>
      <c r="H555" s="1">
        <v>1</v>
      </c>
      <c r="I555" s="21" t="str">
        <f t="shared" si="97"/>
        <v>Clean</v>
      </c>
      <c r="J555" s="1">
        <v>0.16</v>
      </c>
      <c r="K555" s="23" t="str">
        <f t="shared" si="98"/>
        <v>Safe</v>
      </c>
      <c r="L555">
        <f t="shared" si="88"/>
        <v>0.18179999999999999</v>
      </c>
      <c r="M555" s="20">
        <f t="shared" si="89"/>
        <v>0.18179999999999999</v>
      </c>
      <c r="N555">
        <f t="shared" si="90"/>
        <v>0.74</v>
      </c>
      <c r="O555" s="20" t="str">
        <f t="shared" si="91"/>
        <v>Risky</v>
      </c>
      <c r="P555">
        <f t="shared" si="92"/>
        <v>0.1045</v>
      </c>
      <c r="Q555">
        <f t="shared" si="93"/>
        <v>1</v>
      </c>
      <c r="R555">
        <f t="shared" si="94"/>
        <v>35</v>
      </c>
      <c r="S555">
        <f t="shared" si="95"/>
        <v>36</v>
      </c>
    </row>
    <row r="556" spans="1:19" ht="15" thickBot="1" x14ac:dyDescent="0.35">
      <c r="A556" s="1">
        <v>555</v>
      </c>
      <c r="B556" s="2">
        <v>40568</v>
      </c>
      <c r="C556" s="1">
        <v>1</v>
      </c>
      <c r="D556" s="1">
        <v>7</v>
      </c>
      <c r="E556" s="3" t="b">
        <v>0</v>
      </c>
      <c r="F556" s="5">
        <v>2</v>
      </c>
      <c r="G556" s="18" t="str">
        <f t="shared" si="96"/>
        <v>No</v>
      </c>
      <c r="H556" s="1">
        <v>1</v>
      </c>
      <c r="I556" s="21" t="str">
        <f t="shared" si="97"/>
        <v>Clean</v>
      </c>
      <c r="J556" s="1">
        <v>0.16</v>
      </c>
      <c r="K556" s="23" t="str">
        <f t="shared" si="98"/>
        <v>Safe</v>
      </c>
      <c r="L556">
        <f t="shared" si="88"/>
        <v>0.1515</v>
      </c>
      <c r="M556" s="20">
        <f t="shared" si="89"/>
        <v>0.1515</v>
      </c>
      <c r="N556">
        <f t="shared" si="90"/>
        <v>0.74</v>
      </c>
      <c r="O556" s="20" t="str">
        <f t="shared" si="91"/>
        <v>Risky</v>
      </c>
      <c r="P556">
        <f t="shared" si="92"/>
        <v>0.22389999999999999</v>
      </c>
      <c r="Q556">
        <f t="shared" si="93"/>
        <v>5</v>
      </c>
      <c r="R556">
        <f t="shared" si="94"/>
        <v>103</v>
      </c>
      <c r="S556">
        <f t="shared" si="95"/>
        <v>108</v>
      </c>
    </row>
    <row r="557" spans="1:19" ht="15" thickBot="1" x14ac:dyDescent="0.35">
      <c r="A557" s="1">
        <v>556</v>
      </c>
      <c r="B557" s="2">
        <v>40568</v>
      </c>
      <c r="C557" s="1">
        <v>1</v>
      </c>
      <c r="D557" s="1">
        <v>8</v>
      </c>
      <c r="E557" s="3" t="b">
        <v>0</v>
      </c>
      <c r="F557" s="5">
        <v>2</v>
      </c>
      <c r="G557" s="18" t="str">
        <f t="shared" si="96"/>
        <v>No</v>
      </c>
      <c r="H557" s="1">
        <v>2</v>
      </c>
      <c r="I557" s="21" t="str">
        <f t="shared" si="97"/>
        <v>Misty</v>
      </c>
      <c r="J557" s="1">
        <v>0.16</v>
      </c>
      <c r="K557" s="23" t="str">
        <f t="shared" si="98"/>
        <v>Safe</v>
      </c>
      <c r="L557">
        <f t="shared" si="88"/>
        <v>0.18179999999999999</v>
      </c>
      <c r="M557" s="20">
        <f t="shared" si="89"/>
        <v>0.18179999999999999</v>
      </c>
      <c r="N557">
        <f t="shared" si="90"/>
        <v>0.74</v>
      </c>
      <c r="O557" s="20" t="str">
        <f t="shared" si="91"/>
        <v>Risky</v>
      </c>
      <c r="P557">
        <f t="shared" si="92"/>
        <v>0.1343</v>
      </c>
      <c r="Q557">
        <f t="shared" si="93"/>
        <v>5</v>
      </c>
      <c r="R557">
        <f t="shared" si="94"/>
        <v>233</v>
      </c>
      <c r="S557">
        <f t="shared" si="95"/>
        <v>238</v>
      </c>
    </row>
    <row r="558" spans="1:19" ht="15" thickBot="1" x14ac:dyDescent="0.35">
      <c r="A558" s="1">
        <v>557</v>
      </c>
      <c r="B558" s="2">
        <v>40568</v>
      </c>
      <c r="C558" s="1">
        <v>1</v>
      </c>
      <c r="D558" s="1">
        <v>9</v>
      </c>
      <c r="E558" s="3" t="b">
        <v>0</v>
      </c>
      <c r="F558" s="5">
        <v>2</v>
      </c>
      <c r="G558" s="18" t="str">
        <f t="shared" si="96"/>
        <v>No</v>
      </c>
      <c r="H558" s="1">
        <v>2</v>
      </c>
      <c r="I558" s="21" t="str">
        <f t="shared" si="97"/>
        <v>Misty</v>
      </c>
      <c r="J558" s="1">
        <v>0.2</v>
      </c>
      <c r="K558" s="23" t="str">
        <f t="shared" si="98"/>
        <v>Safe</v>
      </c>
      <c r="L558">
        <f t="shared" si="88"/>
        <v>0.2273</v>
      </c>
      <c r="M558" s="20">
        <f t="shared" si="89"/>
        <v>0.2273</v>
      </c>
      <c r="N558">
        <f t="shared" si="90"/>
        <v>0.64</v>
      </c>
      <c r="O558" s="20" t="str">
        <f t="shared" si="91"/>
        <v>Acceptable</v>
      </c>
      <c r="P558">
        <f t="shared" si="92"/>
        <v>8.9599999999999999E-2</v>
      </c>
      <c r="Q558">
        <f t="shared" si="93"/>
        <v>10</v>
      </c>
      <c r="R558">
        <f t="shared" si="94"/>
        <v>134</v>
      </c>
      <c r="S558">
        <f t="shared" si="95"/>
        <v>144</v>
      </c>
    </row>
    <row r="559" spans="1:19" ht="15" thickBot="1" x14ac:dyDescent="0.35">
      <c r="A559" s="1">
        <v>558</v>
      </c>
      <c r="B559" s="2">
        <v>40568</v>
      </c>
      <c r="C559" s="1">
        <v>1</v>
      </c>
      <c r="D559" s="1">
        <v>10</v>
      </c>
      <c r="E559" s="3" t="b">
        <v>0</v>
      </c>
      <c r="F559" s="5">
        <v>2</v>
      </c>
      <c r="G559" s="18" t="str">
        <f t="shared" si="96"/>
        <v>No</v>
      </c>
      <c r="H559" s="1">
        <v>2</v>
      </c>
      <c r="I559" s="21" t="str">
        <f t="shared" si="97"/>
        <v>Misty</v>
      </c>
      <c r="J559" s="1">
        <v>0.22</v>
      </c>
      <c r="K559" s="23" t="str">
        <f t="shared" si="98"/>
        <v>Safe</v>
      </c>
      <c r="L559">
        <f t="shared" si="88"/>
        <v>0.2424</v>
      </c>
      <c r="M559" s="20">
        <f t="shared" si="89"/>
        <v>0.2424</v>
      </c>
      <c r="N559">
        <f t="shared" si="90"/>
        <v>0.6</v>
      </c>
      <c r="O559" s="20" t="str">
        <f t="shared" si="91"/>
        <v>Acceptable</v>
      </c>
      <c r="P559">
        <f t="shared" si="92"/>
        <v>0.1045</v>
      </c>
      <c r="Q559">
        <f t="shared" si="93"/>
        <v>6</v>
      </c>
      <c r="R559">
        <f t="shared" si="94"/>
        <v>49</v>
      </c>
      <c r="S559">
        <f t="shared" si="95"/>
        <v>55</v>
      </c>
    </row>
    <row r="560" spans="1:19" ht="15" thickBot="1" x14ac:dyDescent="0.35">
      <c r="A560" s="1">
        <v>559</v>
      </c>
      <c r="B560" s="2">
        <v>40568</v>
      </c>
      <c r="C560" s="1">
        <v>1</v>
      </c>
      <c r="D560" s="1">
        <v>11</v>
      </c>
      <c r="E560" s="3" t="b">
        <v>0</v>
      </c>
      <c r="F560" s="5">
        <v>2</v>
      </c>
      <c r="G560" s="18" t="str">
        <f t="shared" si="96"/>
        <v>No</v>
      </c>
      <c r="H560" s="1">
        <v>2</v>
      </c>
      <c r="I560" s="21" t="str">
        <f t="shared" si="97"/>
        <v>Misty</v>
      </c>
      <c r="J560" s="1">
        <v>0.24</v>
      </c>
      <c r="K560" s="23" t="str">
        <f t="shared" si="98"/>
        <v>Safe</v>
      </c>
      <c r="L560">
        <f t="shared" si="88"/>
        <v>0.2424</v>
      </c>
      <c r="M560" s="20">
        <f t="shared" si="89"/>
        <v>0.2424</v>
      </c>
      <c r="N560">
        <f t="shared" si="90"/>
        <v>0.6</v>
      </c>
      <c r="O560" s="20" t="str">
        <f t="shared" si="91"/>
        <v>Acceptable</v>
      </c>
      <c r="P560">
        <f t="shared" si="92"/>
        <v>0.1343</v>
      </c>
      <c r="Q560">
        <f t="shared" si="93"/>
        <v>6</v>
      </c>
      <c r="R560">
        <f t="shared" si="94"/>
        <v>55</v>
      </c>
      <c r="S560">
        <f t="shared" si="95"/>
        <v>61</v>
      </c>
    </row>
    <row r="561" spans="1:19" ht="15" thickBot="1" x14ac:dyDescent="0.35">
      <c r="A561" s="1">
        <v>560</v>
      </c>
      <c r="B561" s="2">
        <v>40568</v>
      </c>
      <c r="C561" s="1">
        <v>1</v>
      </c>
      <c r="D561" s="1">
        <v>12</v>
      </c>
      <c r="E561" s="3" t="b">
        <v>0</v>
      </c>
      <c r="F561" s="5">
        <v>2</v>
      </c>
      <c r="G561" s="18" t="str">
        <f t="shared" si="96"/>
        <v>No</v>
      </c>
      <c r="H561" s="1">
        <v>2</v>
      </c>
      <c r="I561" s="21" t="str">
        <f t="shared" si="97"/>
        <v>Misty</v>
      </c>
      <c r="J561" s="1">
        <v>0.26</v>
      </c>
      <c r="K561" s="23" t="str">
        <f t="shared" si="98"/>
        <v>Safe</v>
      </c>
      <c r="L561">
        <f t="shared" si="88"/>
        <v>0.28789999999999999</v>
      </c>
      <c r="M561" s="20">
        <f t="shared" si="89"/>
        <v>0.28789999999999999</v>
      </c>
      <c r="N561">
        <f t="shared" si="90"/>
        <v>0.56000000000000005</v>
      </c>
      <c r="O561" s="20" t="str">
        <f t="shared" si="91"/>
        <v>Acceptable</v>
      </c>
      <c r="P561">
        <f t="shared" si="92"/>
        <v>8.9599999999999999E-2</v>
      </c>
      <c r="Q561">
        <f t="shared" si="93"/>
        <v>21</v>
      </c>
      <c r="R561">
        <f t="shared" si="94"/>
        <v>85</v>
      </c>
      <c r="S561">
        <f t="shared" si="95"/>
        <v>106</v>
      </c>
    </row>
    <row r="562" spans="1:19" ht="15" thickBot="1" x14ac:dyDescent="0.35">
      <c r="A562" s="1">
        <v>561</v>
      </c>
      <c r="B562" s="2">
        <v>40568</v>
      </c>
      <c r="C562" s="1">
        <v>1</v>
      </c>
      <c r="D562" s="1">
        <v>13</v>
      </c>
      <c r="E562" s="3" t="b">
        <v>0</v>
      </c>
      <c r="F562" s="5">
        <v>2</v>
      </c>
      <c r="G562" s="18" t="str">
        <f t="shared" si="96"/>
        <v>No</v>
      </c>
      <c r="H562" s="1">
        <v>2</v>
      </c>
      <c r="I562" s="21" t="str">
        <f t="shared" si="97"/>
        <v>Misty</v>
      </c>
      <c r="J562" s="1">
        <v>0.26</v>
      </c>
      <c r="K562" s="23" t="str">
        <f t="shared" si="98"/>
        <v>Safe</v>
      </c>
      <c r="L562">
        <f t="shared" si="88"/>
        <v>0.2727</v>
      </c>
      <c r="M562" s="20">
        <f t="shared" si="89"/>
        <v>0.2727</v>
      </c>
      <c r="N562">
        <f t="shared" si="90"/>
        <v>0.56000000000000005</v>
      </c>
      <c r="O562" s="20" t="str">
        <f t="shared" si="91"/>
        <v>Acceptable</v>
      </c>
      <c r="P562">
        <f t="shared" si="92"/>
        <v>0.1343</v>
      </c>
      <c r="Q562">
        <f t="shared" si="93"/>
        <v>21</v>
      </c>
      <c r="R562">
        <f t="shared" si="94"/>
        <v>72</v>
      </c>
      <c r="S562">
        <f t="shared" si="95"/>
        <v>93</v>
      </c>
    </row>
    <row r="563" spans="1:19" ht="15" thickBot="1" x14ac:dyDescent="0.35">
      <c r="A563" s="1">
        <v>562</v>
      </c>
      <c r="B563" s="2">
        <v>40568</v>
      </c>
      <c r="C563" s="1">
        <v>1</v>
      </c>
      <c r="D563" s="1">
        <v>14</v>
      </c>
      <c r="E563" s="3" t="b">
        <v>0</v>
      </c>
      <c r="F563" s="5">
        <v>2</v>
      </c>
      <c r="G563" s="18" t="str">
        <f t="shared" si="96"/>
        <v>No</v>
      </c>
      <c r="H563" s="1">
        <v>2</v>
      </c>
      <c r="I563" s="21" t="str">
        <f t="shared" si="97"/>
        <v>Misty</v>
      </c>
      <c r="J563" s="1">
        <v>0.3</v>
      </c>
      <c r="K563" s="23" t="str">
        <f t="shared" si="98"/>
        <v>Safe</v>
      </c>
      <c r="L563">
        <f t="shared" si="88"/>
        <v>0.33329999999999999</v>
      </c>
      <c r="M563" s="20">
        <f t="shared" si="89"/>
        <v>0.33329999999999999</v>
      </c>
      <c r="N563">
        <f t="shared" si="90"/>
        <v>0.45</v>
      </c>
      <c r="O563" s="20" t="str">
        <f t="shared" si="91"/>
        <v>Acceptable</v>
      </c>
      <c r="P563">
        <f t="shared" si="92"/>
        <v>0</v>
      </c>
      <c r="Q563">
        <f t="shared" si="93"/>
        <v>11</v>
      </c>
      <c r="R563">
        <f t="shared" si="94"/>
        <v>57</v>
      </c>
      <c r="S563">
        <f t="shared" si="95"/>
        <v>68</v>
      </c>
    </row>
    <row r="564" spans="1:19" ht="15" thickBot="1" x14ac:dyDescent="0.35">
      <c r="A564" s="1">
        <v>563</v>
      </c>
      <c r="B564" s="2">
        <v>40568</v>
      </c>
      <c r="C564" s="1">
        <v>1</v>
      </c>
      <c r="D564" s="1">
        <v>15</v>
      </c>
      <c r="E564" s="3" t="b">
        <v>0</v>
      </c>
      <c r="F564" s="5">
        <v>2</v>
      </c>
      <c r="G564" s="18" t="str">
        <f t="shared" si="96"/>
        <v>No</v>
      </c>
      <c r="H564" s="1">
        <v>2</v>
      </c>
      <c r="I564" s="21" t="str">
        <f t="shared" si="97"/>
        <v>Misty</v>
      </c>
      <c r="J564" s="1">
        <v>0.32</v>
      </c>
      <c r="K564" s="23" t="str">
        <f t="shared" si="98"/>
        <v>Safe</v>
      </c>
      <c r="L564">
        <f t="shared" si="88"/>
        <v>0.34849999999999998</v>
      </c>
      <c r="M564" s="20">
        <f t="shared" si="89"/>
        <v>0.34849999999999998</v>
      </c>
      <c r="N564">
        <f t="shared" si="90"/>
        <v>0.42</v>
      </c>
      <c r="O564" s="20" t="str">
        <f t="shared" si="91"/>
        <v>Acceptable</v>
      </c>
      <c r="P564">
        <f t="shared" si="92"/>
        <v>0</v>
      </c>
      <c r="Q564">
        <f t="shared" si="93"/>
        <v>21</v>
      </c>
      <c r="R564">
        <f t="shared" si="94"/>
        <v>63</v>
      </c>
      <c r="S564">
        <f t="shared" si="95"/>
        <v>84</v>
      </c>
    </row>
    <row r="565" spans="1:19" ht="15" thickBot="1" x14ac:dyDescent="0.35">
      <c r="A565" s="1">
        <v>564</v>
      </c>
      <c r="B565" s="2">
        <v>40568</v>
      </c>
      <c r="C565" s="1">
        <v>1</v>
      </c>
      <c r="D565" s="1">
        <v>16</v>
      </c>
      <c r="E565" s="3" t="b">
        <v>0</v>
      </c>
      <c r="F565" s="5">
        <v>2</v>
      </c>
      <c r="G565" s="18" t="str">
        <f t="shared" si="96"/>
        <v>No</v>
      </c>
      <c r="H565" s="1">
        <v>2</v>
      </c>
      <c r="I565" s="21" t="str">
        <f t="shared" si="97"/>
        <v>Misty</v>
      </c>
      <c r="J565" s="1">
        <v>0.32</v>
      </c>
      <c r="K565" s="23" t="str">
        <f t="shared" si="98"/>
        <v>Safe</v>
      </c>
      <c r="L565">
        <f t="shared" si="88"/>
        <v>0.34849999999999998</v>
      </c>
      <c r="M565" s="20">
        <f t="shared" si="89"/>
        <v>0.34849999999999998</v>
      </c>
      <c r="N565">
        <f t="shared" si="90"/>
        <v>0.42</v>
      </c>
      <c r="O565" s="20" t="str">
        <f t="shared" si="91"/>
        <v>Acceptable</v>
      </c>
      <c r="P565">
        <f t="shared" si="92"/>
        <v>0</v>
      </c>
      <c r="Q565">
        <f t="shared" si="93"/>
        <v>14</v>
      </c>
      <c r="R565">
        <f t="shared" si="94"/>
        <v>102</v>
      </c>
      <c r="S565">
        <f t="shared" si="95"/>
        <v>116</v>
      </c>
    </row>
    <row r="566" spans="1:19" ht="15" thickBot="1" x14ac:dyDescent="0.35">
      <c r="A566" s="1">
        <v>565</v>
      </c>
      <c r="B566" s="2">
        <v>40568</v>
      </c>
      <c r="C566" s="1">
        <v>1</v>
      </c>
      <c r="D566" s="1">
        <v>17</v>
      </c>
      <c r="E566" s="3" t="b">
        <v>0</v>
      </c>
      <c r="F566" s="5">
        <v>2</v>
      </c>
      <c r="G566" s="18" t="str">
        <f t="shared" si="96"/>
        <v>No</v>
      </c>
      <c r="H566" s="1">
        <v>1</v>
      </c>
      <c r="I566" s="21" t="str">
        <f t="shared" si="97"/>
        <v>Clean</v>
      </c>
      <c r="J566" s="1">
        <v>0.3</v>
      </c>
      <c r="K566" s="23" t="str">
        <f t="shared" si="98"/>
        <v>Safe</v>
      </c>
      <c r="L566">
        <f t="shared" si="88"/>
        <v>0.33329999999999999</v>
      </c>
      <c r="M566" s="20">
        <f t="shared" si="89"/>
        <v>0.33329999999999999</v>
      </c>
      <c r="N566">
        <f t="shared" si="90"/>
        <v>0.45</v>
      </c>
      <c r="O566" s="20" t="str">
        <f t="shared" si="91"/>
        <v>Acceptable</v>
      </c>
      <c r="P566">
        <f t="shared" si="92"/>
        <v>0</v>
      </c>
      <c r="Q566">
        <f t="shared" si="93"/>
        <v>14</v>
      </c>
      <c r="R566">
        <f t="shared" si="94"/>
        <v>208</v>
      </c>
      <c r="S566">
        <f t="shared" si="95"/>
        <v>222</v>
      </c>
    </row>
    <row r="567" spans="1:19" ht="15" thickBot="1" x14ac:dyDescent="0.35">
      <c r="A567" s="1">
        <v>566</v>
      </c>
      <c r="B567" s="2">
        <v>40568</v>
      </c>
      <c r="C567" s="1">
        <v>1</v>
      </c>
      <c r="D567" s="1">
        <v>18</v>
      </c>
      <c r="E567" s="3" t="b">
        <v>0</v>
      </c>
      <c r="F567" s="5">
        <v>2</v>
      </c>
      <c r="G567" s="18" t="str">
        <f t="shared" si="96"/>
        <v>No</v>
      </c>
      <c r="H567" s="1">
        <v>2</v>
      </c>
      <c r="I567" s="21" t="str">
        <f t="shared" si="97"/>
        <v>Misty</v>
      </c>
      <c r="J567" s="1">
        <v>0.3</v>
      </c>
      <c r="K567" s="23" t="str">
        <f t="shared" si="98"/>
        <v>Safe</v>
      </c>
      <c r="L567">
        <f t="shared" si="88"/>
        <v>0.31819999999999998</v>
      </c>
      <c r="M567" s="20">
        <f t="shared" si="89"/>
        <v>0.31819999999999998</v>
      </c>
      <c r="N567">
        <f t="shared" si="90"/>
        <v>0.49</v>
      </c>
      <c r="O567" s="20" t="str">
        <f t="shared" si="91"/>
        <v>Acceptable</v>
      </c>
      <c r="P567">
        <f t="shared" si="92"/>
        <v>8.9599999999999999E-2</v>
      </c>
      <c r="Q567">
        <f t="shared" si="93"/>
        <v>7</v>
      </c>
      <c r="R567">
        <f t="shared" si="94"/>
        <v>218</v>
      </c>
      <c r="S567">
        <f t="shared" si="95"/>
        <v>225</v>
      </c>
    </row>
    <row r="568" spans="1:19" ht="15" thickBot="1" x14ac:dyDescent="0.35">
      <c r="A568" s="1">
        <v>567</v>
      </c>
      <c r="B568" s="2">
        <v>40568</v>
      </c>
      <c r="C568" s="1">
        <v>1</v>
      </c>
      <c r="D568" s="1">
        <v>19</v>
      </c>
      <c r="E568" s="3" t="b">
        <v>0</v>
      </c>
      <c r="F568" s="5">
        <v>2</v>
      </c>
      <c r="G568" s="18" t="str">
        <f t="shared" si="96"/>
        <v>No</v>
      </c>
      <c r="H568" s="1">
        <v>2</v>
      </c>
      <c r="I568" s="21" t="str">
        <f t="shared" si="97"/>
        <v>Misty</v>
      </c>
      <c r="J568" s="1">
        <v>0.26</v>
      </c>
      <c r="K568" s="23" t="str">
        <f t="shared" si="98"/>
        <v>Safe</v>
      </c>
      <c r="L568">
        <f t="shared" si="88"/>
        <v>0.2576</v>
      </c>
      <c r="M568" s="20">
        <f t="shared" si="89"/>
        <v>0.2576</v>
      </c>
      <c r="N568">
        <f t="shared" si="90"/>
        <v>0.65</v>
      </c>
      <c r="O568" s="20" t="str">
        <f t="shared" si="91"/>
        <v>Acceptable</v>
      </c>
      <c r="P568">
        <f t="shared" si="92"/>
        <v>0.16420000000000001</v>
      </c>
      <c r="Q568">
        <f t="shared" si="93"/>
        <v>13</v>
      </c>
      <c r="R568">
        <f t="shared" si="94"/>
        <v>133</v>
      </c>
      <c r="S568">
        <f t="shared" si="95"/>
        <v>146</v>
      </c>
    </row>
    <row r="569" spans="1:19" ht="15" thickBot="1" x14ac:dyDescent="0.35">
      <c r="A569" s="1">
        <v>568</v>
      </c>
      <c r="B569" s="2">
        <v>40568</v>
      </c>
      <c r="C569" s="1">
        <v>1</v>
      </c>
      <c r="D569" s="1">
        <v>20</v>
      </c>
      <c r="E569" s="3" t="b">
        <v>0</v>
      </c>
      <c r="F569" s="5">
        <v>2</v>
      </c>
      <c r="G569" s="18" t="str">
        <f t="shared" si="96"/>
        <v>No</v>
      </c>
      <c r="H569" s="1">
        <v>1</v>
      </c>
      <c r="I569" s="21" t="str">
        <f t="shared" si="97"/>
        <v>Clean</v>
      </c>
      <c r="J569" s="1">
        <v>0.24</v>
      </c>
      <c r="K569" s="23" t="str">
        <f t="shared" si="98"/>
        <v>Safe</v>
      </c>
      <c r="L569">
        <f t="shared" si="88"/>
        <v>0.2273</v>
      </c>
      <c r="M569" s="20">
        <f t="shared" si="89"/>
        <v>0.2273</v>
      </c>
      <c r="N569">
        <f t="shared" si="90"/>
        <v>0.65</v>
      </c>
      <c r="O569" s="20" t="str">
        <f t="shared" si="91"/>
        <v>Acceptable</v>
      </c>
      <c r="P569">
        <f t="shared" si="92"/>
        <v>0.19400000000000001</v>
      </c>
      <c r="Q569">
        <f t="shared" si="93"/>
        <v>16</v>
      </c>
      <c r="R569">
        <f t="shared" si="94"/>
        <v>103</v>
      </c>
      <c r="S569">
        <f t="shared" si="95"/>
        <v>119</v>
      </c>
    </row>
    <row r="570" spans="1:19" ht="15" thickBot="1" x14ac:dyDescent="0.35">
      <c r="A570" s="1">
        <v>569</v>
      </c>
      <c r="B570" s="2">
        <v>40568</v>
      </c>
      <c r="C570" s="1">
        <v>1</v>
      </c>
      <c r="D570" s="1">
        <v>21</v>
      </c>
      <c r="E570" s="3" t="b">
        <v>0</v>
      </c>
      <c r="F570" s="5">
        <v>2</v>
      </c>
      <c r="G570" s="18" t="str">
        <f t="shared" si="96"/>
        <v>No</v>
      </c>
      <c r="H570" s="1">
        <v>1</v>
      </c>
      <c r="I570" s="21" t="str">
        <f t="shared" si="97"/>
        <v>Clean</v>
      </c>
      <c r="J570" s="1">
        <v>0.24</v>
      </c>
      <c r="K570" s="23" t="str">
        <f t="shared" si="98"/>
        <v>Safe</v>
      </c>
      <c r="L570">
        <f t="shared" si="88"/>
        <v>0.2273</v>
      </c>
      <c r="M570" s="20">
        <f t="shared" si="89"/>
        <v>0.2273</v>
      </c>
      <c r="N570">
        <f t="shared" si="90"/>
        <v>0.65</v>
      </c>
      <c r="O570" s="20" t="str">
        <f t="shared" si="91"/>
        <v>Acceptable</v>
      </c>
      <c r="P570">
        <f t="shared" si="92"/>
        <v>0.19400000000000001</v>
      </c>
      <c r="Q570">
        <f t="shared" si="93"/>
        <v>5</v>
      </c>
      <c r="R570">
        <f t="shared" si="94"/>
        <v>40</v>
      </c>
      <c r="S570">
        <f t="shared" si="95"/>
        <v>45</v>
      </c>
    </row>
    <row r="571" spans="1:19" ht="15" thickBot="1" x14ac:dyDescent="0.35">
      <c r="A571" s="1">
        <v>570</v>
      </c>
      <c r="B571" s="2">
        <v>40568</v>
      </c>
      <c r="C571" s="1">
        <v>1</v>
      </c>
      <c r="D571" s="1">
        <v>22</v>
      </c>
      <c r="E571" s="3" t="b">
        <v>0</v>
      </c>
      <c r="F571" s="5">
        <v>2</v>
      </c>
      <c r="G571" s="18" t="str">
        <f t="shared" si="96"/>
        <v>No</v>
      </c>
      <c r="H571" s="1">
        <v>1</v>
      </c>
      <c r="I571" s="21" t="str">
        <f t="shared" si="97"/>
        <v>Clean</v>
      </c>
      <c r="J571" s="1">
        <v>0.22</v>
      </c>
      <c r="K571" s="23" t="str">
        <f t="shared" si="98"/>
        <v>Safe</v>
      </c>
      <c r="L571">
        <f t="shared" si="88"/>
        <v>0.2273</v>
      </c>
      <c r="M571" s="20">
        <f t="shared" si="89"/>
        <v>0.2273</v>
      </c>
      <c r="N571">
        <f t="shared" si="90"/>
        <v>0.64</v>
      </c>
      <c r="O571" s="20" t="str">
        <f t="shared" si="91"/>
        <v>Acceptable</v>
      </c>
      <c r="P571">
        <f t="shared" si="92"/>
        <v>0.16420000000000001</v>
      </c>
      <c r="Q571">
        <f t="shared" si="93"/>
        <v>4</v>
      </c>
      <c r="R571">
        <f t="shared" si="94"/>
        <v>49</v>
      </c>
      <c r="S571">
        <f t="shared" si="95"/>
        <v>53</v>
      </c>
    </row>
    <row r="572" spans="1:19" ht="15" thickBot="1" x14ac:dyDescent="0.35">
      <c r="A572" s="1">
        <v>571</v>
      </c>
      <c r="B572" s="2">
        <v>40568</v>
      </c>
      <c r="C572" s="1">
        <v>1</v>
      </c>
      <c r="D572" s="1">
        <v>23</v>
      </c>
      <c r="E572" s="3" t="b">
        <v>0</v>
      </c>
      <c r="F572" s="5">
        <v>2</v>
      </c>
      <c r="G572" s="18" t="str">
        <f t="shared" si="96"/>
        <v>No</v>
      </c>
      <c r="H572" s="1">
        <v>2</v>
      </c>
      <c r="I572" s="21" t="str">
        <f t="shared" si="97"/>
        <v>Misty</v>
      </c>
      <c r="J572" s="1">
        <v>0.22</v>
      </c>
      <c r="K572" s="23" t="str">
        <f t="shared" si="98"/>
        <v>Safe</v>
      </c>
      <c r="L572">
        <f t="shared" si="88"/>
        <v>0.2273</v>
      </c>
      <c r="M572" s="20">
        <f t="shared" si="89"/>
        <v>0.2273</v>
      </c>
      <c r="N572">
        <f t="shared" si="90"/>
        <v>0.64</v>
      </c>
      <c r="O572" s="20" t="str">
        <f t="shared" si="91"/>
        <v>Acceptable</v>
      </c>
      <c r="P572">
        <f t="shared" si="92"/>
        <v>0.16420000000000001</v>
      </c>
      <c r="Q572">
        <f t="shared" si="93"/>
        <v>3</v>
      </c>
      <c r="R572">
        <f t="shared" si="94"/>
        <v>37</v>
      </c>
      <c r="S572">
        <f t="shared" si="95"/>
        <v>40</v>
      </c>
    </row>
    <row r="573" spans="1:19" ht="15" thickBot="1" x14ac:dyDescent="0.35">
      <c r="A573" s="1">
        <v>572</v>
      </c>
      <c r="B573" s="2">
        <v>40569</v>
      </c>
      <c r="C573" s="1">
        <v>1</v>
      </c>
      <c r="D573" s="1">
        <v>0</v>
      </c>
      <c r="E573" s="3" t="b">
        <v>0</v>
      </c>
      <c r="F573" s="5">
        <v>3</v>
      </c>
      <c r="G573" s="18" t="str">
        <f t="shared" si="96"/>
        <v>No</v>
      </c>
      <c r="H573" s="1">
        <v>2</v>
      </c>
      <c r="I573" s="21" t="str">
        <f t="shared" si="97"/>
        <v>Misty</v>
      </c>
      <c r="J573" s="1">
        <v>0.22</v>
      </c>
      <c r="K573" s="23" t="str">
        <f t="shared" si="98"/>
        <v>Safe</v>
      </c>
      <c r="L573">
        <f t="shared" si="88"/>
        <v>0.2273</v>
      </c>
      <c r="M573" s="20">
        <f t="shared" si="89"/>
        <v>0.2273</v>
      </c>
      <c r="N573">
        <f t="shared" si="90"/>
        <v>0.69</v>
      </c>
      <c r="O573" s="20" t="str">
        <f t="shared" si="91"/>
        <v>Acceptable</v>
      </c>
      <c r="P573">
        <f t="shared" si="92"/>
        <v>0.1343</v>
      </c>
      <c r="Q573">
        <f t="shared" si="93"/>
        <v>3</v>
      </c>
      <c r="R573">
        <f t="shared" si="94"/>
        <v>14</v>
      </c>
      <c r="S573">
        <f t="shared" si="95"/>
        <v>17</v>
      </c>
    </row>
    <row r="574" spans="1:19" ht="15" thickBot="1" x14ac:dyDescent="0.35">
      <c r="A574" s="1">
        <v>573</v>
      </c>
      <c r="B574" s="2">
        <v>40569</v>
      </c>
      <c r="C574" s="1">
        <v>1</v>
      </c>
      <c r="D574" s="1">
        <v>1</v>
      </c>
      <c r="E574" s="3" t="b">
        <v>0</v>
      </c>
      <c r="F574" s="5">
        <v>3</v>
      </c>
      <c r="G574" s="18" t="str">
        <f t="shared" si="96"/>
        <v>No</v>
      </c>
      <c r="H574" s="1">
        <v>2</v>
      </c>
      <c r="I574" s="21" t="str">
        <f t="shared" si="97"/>
        <v>Misty</v>
      </c>
      <c r="J574" s="1">
        <v>0.24</v>
      </c>
      <c r="K574" s="23" t="str">
        <f t="shared" si="98"/>
        <v>Safe</v>
      </c>
      <c r="L574">
        <f t="shared" si="88"/>
        <v>0.2424</v>
      </c>
      <c r="M574" s="20">
        <f t="shared" si="89"/>
        <v>0.2424</v>
      </c>
      <c r="N574">
        <f t="shared" si="90"/>
        <v>0.65</v>
      </c>
      <c r="O574" s="20" t="str">
        <f t="shared" si="91"/>
        <v>Acceptable</v>
      </c>
      <c r="P574">
        <f t="shared" si="92"/>
        <v>0.1343</v>
      </c>
      <c r="Q574">
        <f t="shared" si="93"/>
        <v>0</v>
      </c>
      <c r="R574">
        <f t="shared" si="94"/>
        <v>5</v>
      </c>
      <c r="S574">
        <f t="shared" si="95"/>
        <v>5</v>
      </c>
    </row>
    <row r="575" spans="1:19" ht="27.6" thickBot="1" x14ac:dyDescent="0.35">
      <c r="A575" s="1">
        <v>574</v>
      </c>
      <c r="B575" s="2">
        <v>40569</v>
      </c>
      <c r="C575" s="1">
        <v>1</v>
      </c>
      <c r="D575" s="1">
        <v>2</v>
      </c>
      <c r="E575" s="3" t="b">
        <v>0</v>
      </c>
      <c r="F575" s="5">
        <v>3</v>
      </c>
      <c r="G575" s="18" t="str">
        <f t="shared" si="96"/>
        <v>No</v>
      </c>
      <c r="H575" s="1">
        <v>3</v>
      </c>
      <c r="I575" s="21" t="str">
        <f t="shared" si="97"/>
        <v>Light Rain</v>
      </c>
      <c r="J575" s="1">
        <v>0.22</v>
      </c>
      <c r="K575" s="23" t="str">
        <f t="shared" si="98"/>
        <v>Safe</v>
      </c>
      <c r="L575">
        <f t="shared" si="88"/>
        <v>0.2273</v>
      </c>
      <c r="M575" s="20">
        <f t="shared" si="89"/>
        <v>0.2273</v>
      </c>
      <c r="N575">
        <f t="shared" si="90"/>
        <v>0.69</v>
      </c>
      <c r="O575" s="20" t="str">
        <f t="shared" si="91"/>
        <v>Acceptable</v>
      </c>
      <c r="P575">
        <f t="shared" si="92"/>
        <v>0.19400000000000001</v>
      </c>
      <c r="Q575">
        <f t="shared" si="93"/>
        <v>3</v>
      </c>
      <c r="R575">
        <f t="shared" si="94"/>
        <v>7</v>
      </c>
      <c r="S575">
        <f t="shared" si="95"/>
        <v>10</v>
      </c>
    </row>
    <row r="576" spans="1:19" ht="27.6" thickBot="1" x14ac:dyDescent="0.35">
      <c r="A576" s="1">
        <v>575</v>
      </c>
      <c r="B576" s="2">
        <v>40569</v>
      </c>
      <c r="C576" s="1">
        <v>1</v>
      </c>
      <c r="D576" s="1">
        <v>5</v>
      </c>
      <c r="E576" s="3" t="b">
        <v>0</v>
      </c>
      <c r="F576" s="5">
        <v>3</v>
      </c>
      <c r="G576" s="18" t="str">
        <f t="shared" si="96"/>
        <v>No</v>
      </c>
      <c r="H576" s="1">
        <v>3</v>
      </c>
      <c r="I576" s="21" t="str">
        <f t="shared" si="97"/>
        <v>Light Rain</v>
      </c>
      <c r="J576" s="1">
        <v>0.2</v>
      </c>
      <c r="K576" s="23" t="str">
        <f t="shared" si="98"/>
        <v>Safe</v>
      </c>
      <c r="L576">
        <f t="shared" si="88"/>
        <v>0.18179999999999999</v>
      </c>
      <c r="M576" s="20">
        <f t="shared" si="89"/>
        <v>0.18179999999999999</v>
      </c>
      <c r="N576">
        <f t="shared" si="90"/>
        <v>0.86</v>
      </c>
      <c r="O576" s="20" t="str">
        <f t="shared" si="91"/>
        <v>Risky</v>
      </c>
      <c r="P576">
        <f t="shared" si="92"/>
        <v>0.28360000000000002</v>
      </c>
      <c r="Q576">
        <f t="shared" si="93"/>
        <v>0</v>
      </c>
      <c r="R576">
        <f t="shared" si="94"/>
        <v>1</v>
      </c>
      <c r="S576">
        <f t="shared" si="95"/>
        <v>1</v>
      </c>
    </row>
    <row r="577" spans="1:19" ht="27.6" thickBot="1" x14ac:dyDescent="0.35">
      <c r="A577" s="1">
        <v>576</v>
      </c>
      <c r="B577" s="2">
        <v>40569</v>
      </c>
      <c r="C577" s="1">
        <v>1</v>
      </c>
      <c r="D577" s="1">
        <v>6</v>
      </c>
      <c r="E577" s="3" t="b">
        <v>0</v>
      </c>
      <c r="F577" s="5">
        <v>3</v>
      </c>
      <c r="G577" s="18" t="str">
        <f t="shared" si="96"/>
        <v>No</v>
      </c>
      <c r="H577" s="1">
        <v>3</v>
      </c>
      <c r="I577" s="21" t="str">
        <f t="shared" si="97"/>
        <v>Light Rain</v>
      </c>
      <c r="J577" s="1">
        <v>0.2</v>
      </c>
      <c r="K577" s="23" t="str">
        <f t="shared" si="98"/>
        <v>Safe</v>
      </c>
      <c r="L577">
        <f t="shared" si="88"/>
        <v>0.18179999999999999</v>
      </c>
      <c r="M577" s="20">
        <f t="shared" si="89"/>
        <v>0.18179999999999999</v>
      </c>
      <c r="N577">
        <f t="shared" si="90"/>
        <v>0.86</v>
      </c>
      <c r="O577" s="20" t="str">
        <f t="shared" si="91"/>
        <v>Risky</v>
      </c>
      <c r="P577">
        <f t="shared" si="92"/>
        <v>0.28360000000000002</v>
      </c>
      <c r="Q577">
        <f t="shared" si="93"/>
        <v>0</v>
      </c>
      <c r="R577">
        <f t="shared" si="94"/>
        <v>8</v>
      </c>
      <c r="S577">
        <f t="shared" si="95"/>
        <v>8</v>
      </c>
    </row>
    <row r="578" spans="1:19" ht="27.6" thickBot="1" x14ac:dyDescent="0.35">
      <c r="A578" s="1">
        <v>577</v>
      </c>
      <c r="B578" s="2">
        <v>40569</v>
      </c>
      <c r="C578" s="1">
        <v>1</v>
      </c>
      <c r="D578" s="1">
        <v>7</v>
      </c>
      <c r="E578" s="3" t="b">
        <v>0</v>
      </c>
      <c r="F578" s="5">
        <v>3</v>
      </c>
      <c r="G578" s="18" t="str">
        <f t="shared" si="96"/>
        <v>No</v>
      </c>
      <c r="H578" s="1">
        <v>3</v>
      </c>
      <c r="I578" s="21" t="str">
        <f t="shared" si="97"/>
        <v>Light Rain</v>
      </c>
      <c r="J578" s="1">
        <v>0.22</v>
      </c>
      <c r="K578" s="23" t="str">
        <f t="shared" si="98"/>
        <v>Safe</v>
      </c>
      <c r="L578">
        <f t="shared" ref="L578:L611" si="99">VLOOKUP($A578,list2,2,FALSE)</f>
        <v>0.21210000000000001</v>
      </c>
      <c r="M578" s="20">
        <f t="shared" ref="M578:M611" si="100">VLOOKUP($A578,list2,3,FALSE)</f>
        <v>0.21210000000000001</v>
      </c>
      <c r="N578">
        <f t="shared" ref="N578:N611" si="101">VLOOKUP($A578,list2,4,FALSE)</f>
        <v>0.87</v>
      </c>
      <c r="O578" s="20" t="str">
        <f t="shared" ref="O578:O611" si="102">VLOOKUP($A578,list2,5,FALSE)</f>
        <v>Risky</v>
      </c>
      <c r="P578">
        <f t="shared" ref="P578:P611" si="103">VLOOKUP($A578,list2,6,FALSE)</f>
        <v>0.29849999999999999</v>
      </c>
      <c r="Q578">
        <f t="shared" ref="Q578:Q611" si="104">VLOOKUP($A578,list2,7,FALSE)</f>
        <v>1</v>
      </c>
      <c r="R578">
        <f t="shared" ref="R578:R611" si="105">VLOOKUP($A578,list2,8,FALSE)</f>
        <v>29</v>
      </c>
      <c r="S578">
        <f t="shared" ref="S578:S611" si="106">VLOOKUP($A578,list2,9,FALSE)</f>
        <v>30</v>
      </c>
    </row>
    <row r="579" spans="1:19" ht="27.6" thickBot="1" x14ac:dyDescent="0.35">
      <c r="A579" s="1">
        <v>578</v>
      </c>
      <c r="B579" s="2">
        <v>40569</v>
      </c>
      <c r="C579" s="1">
        <v>1</v>
      </c>
      <c r="D579" s="1">
        <v>8</v>
      </c>
      <c r="E579" s="3" t="b">
        <v>0</v>
      </c>
      <c r="F579" s="5">
        <v>3</v>
      </c>
      <c r="G579" s="18" t="str">
        <f t="shared" ref="G579:G610" si="107">_xlfn.IFS(F579=0,"Yes",F579=6,"Yes",F579&gt;0,"No")</f>
        <v>No</v>
      </c>
      <c r="H579" s="1">
        <v>3</v>
      </c>
      <c r="I579" s="21" t="str">
        <f t="shared" ref="I579:I611" si="108">_xlfn.IFS(H579=1,"Clean",H579=2,"Misty",H579=3,"Light Rain",H579=4,"Heavy Rain")</f>
        <v>Light Rain</v>
      </c>
      <c r="J579" s="1">
        <v>0.22</v>
      </c>
      <c r="K579" s="23" t="str">
        <f t="shared" ref="K579:K611" si="109">_xlfn.IFS(J579&lt;0.1,"Risky",J579&lt;0.35,"Safe",J579&gt;0.35,"Risky")</f>
        <v>Safe</v>
      </c>
      <c r="L579">
        <f t="shared" si="99"/>
        <v>0.21210000000000001</v>
      </c>
      <c r="M579" s="20">
        <f t="shared" si="100"/>
        <v>0.21210000000000001</v>
      </c>
      <c r="N579">
        <f t="shared" si="101"/>
        <v>0.87</v>
      </c>
      <c r="O579" s="20" t="str">
        <f t="shared" si="102"/>
        <v>Risky</v>
      </c>
      <c r="P579">
        <f t="shared" si="103"/>
        <v>0.29849999999999999</v>
      </c>
      <c r="Q579">
        <f t="shared" si="104"/>
        <v>3</v>
      </c>
      <c r="R579">
        <f t="shared" si="105"/>
        <v>69</v>
      </c>
      <c r="S579">
        <f t="shared" si="106"/>
        <v>72</v>
      </c>
    </row>
    <row r="580" spans="1:19" ht="27.6" thickBot="1" x14ac:dyDescent="0.35">
      <c r="A580" s="1">
        <v>579</v>
      </c>
      <c r="B580" s="2">
        <v>40569</v>
      </c>
      <c r="C580" s="1">
        <v>1</v>
      </c>
      <c r="D580" s="1">
        <v>9</v>
      </c>
      <c r="E580" s="3" t="b">
        <v>0</v>
      </c>
      <c r="F580" s="5">
        <v>3</v>
      </c>
      <c r="G580" s="18" t="str">
        <f t="shared" si="107"/>
        <v>No</v>
      </c>
      <c r="H580" s="1">
        <v>3</v>
      </c>
      <c r="I580" s="21" t="str">
        <f t="shared" si="108"/>
        <v>Light Rain</v>
      </c>
      <c r="J580" s="1">
        <v>0.22</v>
      </c>
      <c r="K580" s="23" t="str">
        <f t="shared" si="109"/>
        <v>Safe</v>
      </c>
      <c r="L580">
        <f t="shared" si="99"/>
        <v>0.21210000000000001</v>
      </c>
      <c r="M580" s="20">
        <f t="shared" si="100"/>
        <v>0.21210000000000001</v>
      </c>
      <c r="N580">
        <f t="shared" si="101"/>
        <v>0.87</v>
      </c>
      <c r="O580" s="20" t="str">
        <f t="shared" si="102"/>
        <v>Risky</v>
      </c>
      <c r="P580">
        <f t="shared" si="103"/>
        <v>0.29849999999999999</v>
      </c>
      <c r="Q580">
        <f t="shared" si="104"/>
        <v>3</v>
      </c>
      <c r="R580">
        <f t="shared" si="105"/>
        <v>55</v>
      </c>
      <c r="S580">
        <f t="shared" si="106"/>
        <v>58</v>
      </c>
    </row>
    <row r="581" spans="1:19" ht="27.6" thickBot="1" x14ac:dyDescent="0.35">
      <c r="A581" s="1">
        <v>580</v>
      </c>
      <c r="B581" s="2">
        <v>40569</v>
      </c>
      <c r="C581" s="1">
        <v>1</v>
      </c>
      <c r="D581" s="1">
        <v>10</v>
      </c>
      <c r="E581" s="3" t="b">
        <v>0</v>
      </c>
      <c r="F581" s="5">
        <v>3</v>
      </c>
      <c r="G581" s="18" t="str">
        <f t="shared" si="107"/>
        <v>No</v>
      </c>
      <c r="H581" s="1">
        <v>3</v>
      </c>
      <c r="I581" s="21" t="str">
        <f t="shared" si="108"/>
        <v>Light Rain</v>
      </c>
      <c r="J581" s="1">
        <v>0.22</v>
      </c>
      <c r="K581" s="23" t="str">
        <f t="shared" si="109"/>
        <v>Safe</v>
      </c>
      <c r="L581">
        <f t="shared" si="99"/>
        <v>0.21210000000000001</v>
      </c>
      <c r="M581" s="20">
        <f t="shared" si="100"/>
        <v>0.21210000000000001</v>
      </c>
      <c r="N581">
        <f t="shared" si="101"/>
        <v>0.93</v>
      </c>
      <c r="O581" s="20" t="str">
        <f t="shared" si="102"/>
        <v>Risky</v>
      </c>
      <c r="P581">
        <f t="shared" si="103"/>
        <v>0.28360000000000002</v>
      </c>
      <c r="Q581">
        <f t="shared" si="104"/>
        <v>2</v>
      </c>
      <c r="R581">
        <f t="shared" si="105"/>
        <v>26</v>
      </c>
      <c r="S581">
        <f t="shared" si="106"/>
        <v>28</v>
      </c>
    </row>
    <row r="582" spans="1:19" ht="27.6" thickBot="1" x14ac:dyDescent="0.35">
      <c r="A582" s="1">
        <v>581</v>
      </c>
      <c r="B582" s="2">
        <v>40569</v>
      </c>
      <c r="C582" s="1">
        <v>1</v>
      </c>
      <c r="D582" s="1">
        <v>11</v>
      </c>
      <c r="E582" s="3" t="b">
        <v>0</v>
      </c>
      <c r="F582" s="5">
        <v>3</v>
      </c>
      <c r="G582" s="18" t="str">
        <f t="shared" si="107"/>
        <v>No</v>
      </c>
      <c r="H582" s="1">
        <v>3</v>
      </c>
      <c r="I582" s="21" t="str">
        <f t="shared" si="108"/>
        <v>Light Rain</v>
      </c>
      <c r="J582" s="1">
        <v>0.22</v>
      </c>
      <c r="K582" s="23" t="str">
        <f t="shared" si="109"/>
        <v>Safe</v>
      </c>
      <c r="L582">
        <f t="shared" si="99"/>
        <v>0.19700000000000001</v>
      </c>
      <c r="M582" s="20">
        <f t="shared" si="100"/>
        <v>0.19700000000000001</v>
      </c>
      <c r="N582">
        <f t="shared" si="101"/>
        <v>0.93</v>
      </c>
      <c r="O582" s="20" t="str">
        <f t="shared" si="102"/>
        <v>Risky</v>
      </c>
      <c r="P582">
        <f t="shared" si="103"/>
        <v>0.32840000000000003</v>
      </c>
      <c r="Q582">
        <f t="shared" si="104"/>
        <v>6</v>
      </c>
      <c r="R582">
        <f t="shared" si="105"/>
        <v>35</v>
      </c>
      <c r="S582">
        <f t="shared" si="106"/>
        <v>41</v>
      </c>
    </row>
    <row r="583" spans="1:19" ht="27.6" thickBot="1" x14ac:dyDescent="0.35">
      <c r="A583" s="1">
        <v>582</v>
      </c>
      <c r="B583" s="2">
        <v>40569</v>
      </c>
      <c r="C583" s="1">
        <v>1</v>
      </c>
      <c r="D583" s="1">
        <v>12</v>
      </c>
      <c r="E583" s="3" t="b">
        <v>0</v>
      </c>
      <c r="F583" s="5">
        <v>3</v>
      </c>
      <c r="G583" s="18" t="str">
        <f t="shared" si="107"/>
        <v>No</v>
      </c>
      <c r="H583" s="1">
        <v>3</v>
      </c>
      <c r="I583" s="21" t="str">
        <f t="shared" si="108"/>
        <v>Light Rain</v>
      </c>
      <c r="J583" s="1">
        <v>0.22</v>
      </c>
      <c r="K583" s="23" t="str">
        <f t="shared" si="109"/>
        <v>Safe</v>
      </c>
      <c r="L583">
        <f t="shared" si="99"/>
        <v>0.19700000000000001</v>
      </c>
      <c r="M583" s="20">
        <f t="shared" si="100"/>
        <v>0.19700000000000001</v>
      </c>
      <c r="N583">
        <f t="shared" si="101"/>
        <v>0.93</v>
      </c>
      <c r="O583" s="20" t="str">
        <f t="shared" si="102"/>
        <v>Risky</v>
      </c>
      <c r="P583">
        <f t="shared" si="103"/>
        <v>0.32840000000000003</v>
      </c>
      <c r="Q583">
        <f t="shared" si="104"/>
        <v>7</v>
      </c>
      <c r="R583">
        <f t="shared" si="105"/>
        <v>41</v>
      </c>
      <c r="S583">
        <f t="shared" si="106"/>
        <v>48</v>
      </c>
    </row>
    <row r="584" spans="1:19" ht="27.6" thickBot="1" x14ac:dyDescent="0.35">
      <c r="A584" s="1">
        <v>583</v>
      </c>
      <c r="B584" s="2">
        <v>40569</v>
      </c>
      <c r="C584" s="1">
        <v>1</v>
      </c>
      <c r="D584" s="1">
        <v>13</v>
      </c>
      <c r="E584" s="3" t="b">
        <v>0</v>
      </c>
      <c r="F584" s="5">
        <v>3</v>
      </c>
      <c r="G584" s="18" t="str">
        <f t="shared" si="107"/>
        <v>No</v>
      </c>
      <c r="H584" s="1">
        <v>3</v>
      </c>
      <c r="I584" s="21" t="str">
        <f t="shared" si="108"/>
        <v>Light Rain</v>
      </c>
      <c r="J584" s="1">
        <v>0.22</v>
      </c>
      <c r="K584" s="23" t="str">
        <f t="shared" si="109"/>
        <v>Safe</v>
      </c>
      <c r="L584">
        <f t="shared" si="99"/>
        <v>0.19700000000000001</v>
      </c>
      <c r="M584" s="20">
        <f t="shared" si="100"/>
        <v>0.19700000000000001</v>
      </c>
      <c r="N584">
        <f t="shared" si="101"/>
        <v>0.93</v>
      </c>
      <c r="O584" s="20" t="str">
        <f t="shared" si="102"/>
        <v>Risky</v>
      </c>
      <c r="P584">
        <f t="shared" si="103"/>
        <v>0.32840000000000003</v>
      </c>
      <c r="Q584">
        <f t="shared" si="104"/>
        <v>4</v>
      </c>
      <c r="R584">
        <f t="shared" si="105"/>
        <v>43</v>
      </c>
      <c r="S584">
        <f t="shared" si="106"/>
        <v>47</v>
      </c>
    </row>
    <row r="585" spans="1:19" ht="27.6" thickBot="1" x14ac:dyDescent="0.35">
      <c r="A585" s="1">
        <v>584</v>
      </c>
      <c r="B585" s="2">
        <v>40569</v>
      </c>
      <c r="C585" s="1">
        <v>1</v>
      </c>
      <c r="D585" s="1">
        <v>14</v>
      </c>
      <c r="E585" s="3" t="b">
        <v>0</v>
      </c>
      <c r="F585" s="5">
        <v>3</v>
      </c>
      <c r="G585" s="18" t="str">
        <f t="shared" si="107"/>
        <v>No</v>
      </c>
      <c r="H585" s="1">
        <v>3</v>
      </c>
      <c r="I585" s="21" t="str">
        <f t="shared" si="108"/>
        <v>Light Rain</v>
      </c>
      <c r="J585" s="1">
        <v>0.22</v>
      </c>
      <c r="K585" s="23" t="str">
        <f t="shared" si="109"/>
        <v>Safe</v>
      </c>
      <c r="L585">
        <f t="shared" si="99"/>
        <v>0.19700000000000001</v>
      </c>
      <c r="M585" s="20">
        <f t="shared" si="100"/>
        <v>0.19700000000000001</v>
      </c>
      <c r="N585">
        <f t="shared" si="101"/>
        <v>0.93</v>
      </c>
      <c r="O585" s="20" t="str">
        <f t="shared" si="102"/>
        <v>Risky</v>
      </c>
      <c r="P585">
        <f t="shared" si="103"/>
        <v>0.35820000000000002</v>
      </c>
      <c r="Q585">
        <f t="shared" si="104"/>
        <v>0</v>
      </c>
      <c r="R585">
        <f t="shared" si="105"/>
        <v>36</v>
      </c>
      <c r="S585">
        <f t="shared" si="106"/>
        <v>36</v>
      </c>
    </row>
    <row r="586" spans="1:19" ht="27.6" thickBot="1" x14ac:dyDescent="0.35">
      <c r="A586" s="1">
        <v>585</v>
      </c>
      <c r="B586" s="2">
        <v>40569</v>
      </c>
      <c r="C586" s="1">
        <v>1</v>
      </c>
      <c r="D586" s="1">
        <v>15</v>
      </c>
      <c r="E586" s="3" t="b">
        <v>0</v>
      </c>
      <c r="F586" s="5">
        <v>3</v>
      </c>
      <c r="G586" s="18" t="str">
        <f t="shared" si="107"/>
        <v>No</v>
      </c>
      <c r="H586" s="1">
        <v>3</v>
      </c>
      <c r="I586" s="21" t="str">
        <f t="shared" si="108"/>
        <v>Light Rain</v>
      </c>
      <c r="J586" s="1">
        <v>0.22</v>
      </c>
      <c r="K586" s="23" t="str">
        <f t="shared" si="109"/>
        <v>Safe</v>
      </c>
      <c r="L586">
        <f t="shared" si="99"/>
        <v>0.18179999999999999</v>
      </c>
      <c r="M586" s="20">
        <f t="shared" si="100"/>
        <v>0.18179999999999999</v>
      </c>
      <c r="N586">
        <f t="shared" si="101"/>
        <v>0.93</v>
      </c>
      <c r="O586" s="20" t="str">
        <f t="shared" si="102"/>
        <v>Risky</v>
      </c>
      <c r="P586">
        <f t="shared" si="103"/>
        <v>0.4627</v>
      </c>
      <c r="Q586">
        <f t="shared" si="104"/>
        <v>1</v>
      </c>
      <c r="R586">
        <f t="shared" si="105"/>
        <v>42</v>
      </c>
      <c r="S586">
        <f t="shared" si="106"/>
        <v>43</v>
      </c>
    </row>
    <row r="587" spans="1:19" ht="27.6" thickBot="1" x14ac:dyDescent="0.35">
      <c r="A587" s="1">
        <v>586</v>
      </c>
      <c r="B587" s="2">
        <v>40569</v>
      </c>
      <c r="C587" s="1">
        <v>1</v>
      </c>
      <c r="D587" s="1">
        <v>16</v>
      </c>
      <c r="E587" s="3" t="b">
        <v>0</v>
      </c>
      <c r="F587" s="5">
        <v>3</v>
      </c>
      <c r="G587" s="18" t="str">
        <f t="shared" si="107"/>
        <v>No</v>
      </c>
      <c r="H587" s="1">
        <v>4</v>
      </c>
      <c r="I587" s="21" t="str">
        <f t="shared" si="108"/>
        <v>Heavy Rain</v>
      </c>
      <c r="J587" s="1">
        <v>0.22</v>
      </c>
      <c r="K587" s="23" t="str">
        <f t="shared" si="109"/>
        <v>Safe</v>
      </c>
      <c r="L587">
        <f t="shared" si="99"/>
        <v>0.19700000000000001</v>
      </c>
      <c r="M587" s="20">
        <f t="shared" si="100"/>
        <v>0.19700000000000001</v>
      </c>
      <c r="N587">
        <f t="shared" si="101"/>
        <v>0.93</v>
      </c>
      <c r="O587" s="20" t="str">
        <f t="shared" si="102"/>
        <v>Risky</v>
      </c>
      <c r="P587">
        <f t="shared" si="103"/>
        <v>0.32840000000000003</v>
      </c>
      <c r="Q587">
        <f t="shared" si="104"/>
        <v>1</v>
      </c>
      <c r="R587">
        <f t="shared" si="105"/>
        <v>35</v>
      </c>
      <c r="S587">
        <f t="shared" si="106"/>
        <v>36</v>
      </c>
    </row>
    <row r="588" spans="1:19" ht="27.6" thickBot="1" x14ac:dyDescent="0.35">
      <c r="A588" s="1">
        <v>587</v>
      </c>
      <c r="B588" s="2">
        <v>40569</v>
      </c>
      <c r="C588" s="1">
        <v>1</v>
      </c>
      <c r="D588" s="1">
        <v>17</v>
      </c>
      <c r="E588" s="3" t="b">
        <v>0</v>
      </c>
      <c r="F588" s="5">
        <v>3</v>
      </c>
      <c r="G588" s="18" t="str">
        <f t="shared" si="107"/>
        <v>No</v>
      </c>
      <c r="H588" s="1">
        <v>3</v>
      </c>
      <c r="I588" s="21" t="str">
        <f t="shared" si="108"/>
        <v>Light Rain</v>
      </c>
      <c r="J588" s="1">
        <v>0.2</v>
      </c>
      <c r="K588" s="23" t="str">
        <f t="shared" si="109"/>
        <v>Safe</v>
      </c>
      <c r="L588">
        <f t="shared" si="99"/>
        <v>0.18179999999999999</v>
      </c>
      <c r="M588" s="20">
        <f t="shared" si="100"/>
        <v>0.18179999999999999</v>
      </c>
      <c r="N588">
        <f t="shared" si="101"/>
        <v>0.93</v>
      </c>
      <c r="O588" s="20" t="str">
        <f t="shared" si="102"/>
        <v>Risky</v>
      </c>
      <c r="P588">
        <f t="shared" si="103"/>
        <v>0.35820000000000002</v>
      </c>
      <c r="Q588">
        <f t="shared" si="104"/>
        <v>0</v>
      </c>
      <c r="R588">
        <f t="shared" si="105"/>
        <v>26</v>
      </c>
      <c r="S588">
        <f t="shared" si="106"/>
        <v>26</v>
      </c>
    </row>
    <row r="589" spans="1:19" ht="15" thickBot="1" x14ac:dyDescent="0.35">
      <c r="A589" s="1">
        <v>588</v>
      </c>
      <c r="B589" s="2">
        <v>40570</v>
      </c>
      <c r="C589" s="1">
        <v>1</v>
      </c>
      <c r="D589" s="1">
        <v>16</v>
      </c>
      <c r="E589" s="3" t="b">
        <v>0</v>
      </c>
      <c r="F589" s="5">
        <v>4</v>
      </c>
      <c r="G589" s="18" t="str">
        <f t="shared" si="107"/>
        <v>No</v>
      </c>
      <c r="H589" s="1">
        <v>1</v>
      </c>
      <c r="I589" s="21" t="str">
        <f t="shared" si="108"/>
        <v>Clean</v>
      </c>
      <c r="J589" s="1">
        <v>0.22</v>
      </c>
      <c r="K589" s="23" t="str">
        <f t="shared" si="109"/>
        <v>Safe</v>
      </c>
      <c r="L589">
        <f t="shared" si="99"/>
        <v>0.2273</v>
      </c>
      <c r="M589" s="20">
        <f t="shared" si="100"/>
        <v>0.2273</v>
      </c>
      <c r="N589">
        <f t="shared" si="101"/>
        <v>0.55000000000000004</v>
      </c>
      <c r="O589" s="20" t="str">
        <f t="shared" si="102"/>
        <v>Acceptable</v>
      </c>
      <c r="P589">
        <f t="shared" si="103"/>
        <v>0.19400000000000001</v>
      </c>
      <c r="Q589">
        <f t="shared" si="104"/>
        <v>1</v>
      </c>
      <c r="R589">
        <f t="shared" si="105"/>
        <v>23</v>
      </c>
      <c r="S589">
        <f t="shared" si="106"/>
        <v>24</v>
      </c>
    </row>
    <row r="590" spans="1:19" ht="15" thickBot="1" x14ac:dyDescent="0.35">
      <c r="A590" s="1">
        <v>589</v>
      </c>
      <c r="B590" s="2">
        <v>40570</v>
      </c>
      <c r="C590" s="1">
        <v>1</v>
      </c>
      <c r="D590" s="1">
        <v>17</v>
      </c>
      <c r="E590" s="3" t="b">
        <v>0</v>
      </c>
      <c r="F590" s="5">
        <v>4</v>
      </c>
      <c r="G590" s="18" t="str">
        <f t="shared" si="107"/>
        <v>No</v>
      </c>
      <c r="H590" s="1">
        <v>1</v>
      </c>
      <c r="I590" s="21" t="str">
        <f t="shared" si="108"/>
        <v>Clean</v>
      </c>
      <c r="J590" s="1">
        <v>0.22</v>
      </c>
      <c r="K590" s="23" t="str">
        <f t="shared" si="109"/>
        <v>Safe</v>
      </c>
      <c r="L590">
        <f t="shared" si="99"/>
        <v>0.2424</v>
      </c>
      <c r="M590" s="20">
        <f t="shared" si="100"/>
        <v>0.2424</v>
      </c>
      <c r="N590">
        <f t="shared" si="101"/>
        <v>0.55000000000000004</v>
      </c>
      <c r="O590" s="20" t="str">
        <f t="shared" si="102"/>
        <v>Acceptable</v>
      </c>
      <c r="P590">
        <f t="shared" si="103"/>
        <v>0.1045</v>
      </c>
      <c r="Q590">
        <f t="shared" si="104"/>
        <v>2</v>
      </c>
      <c r="R590">
        <f t="shared" si="105"/>
        <v>82</v>
      </c>
      <c r="S590">
        <f t="shared" si="106"/>
        <v>84</v>
      </c>
    </row>
    <row r="591" spans="1:19" ht="15" thickBot="1" x14ac:dyDescent="0.35">
      <c r="A591" s="1">
        <v>590</v>
      </c>
      <c r="B591" s="2">
        <v>40570</v>
      </c>
      <c r="C591" s="1">
        <v>1</v>
      </c>
      <c r="D591" s="1">
        <v>18</v>
      </c>
      <c r="E591" s="3" t="b">
        <v>0</v>
      </c>
      <c r="F591" s="5">
        <v>4</v>
      </c>
      <c r="G591" s="18" t="str">
        <f t="shared" si="107"/>
        <v>No</v>
      </c>
      <c r="H591" s="1">
        <v>1</v>
      </c>
      <c r="I591" s="21" t="str">
        <f t="shared" si="108"/>
        <v>Clean</v>
      </c>
      <c r="J591" s="1">
        <v>0.2</v>
      </c>
      <c r="K591" s="23" t="str">
        <f t="shared" si="109"/>
        <v>Safe</v>
      </c>
      <c r="L591">
        <f t="shared" si="99"/>
        <v>0.2273</v>
      </c>
      <c r="M591" s="20">
        <f t="shared" si="100"/>
        <v>0.2273</v>
      </c>
      <c r="N591">
        <f t="shared" si="101"/>
        <v>0.69</v>
      </c>
      <c r="O591" s="20" t="str">
        <f t="shared" si="102"/>
        <v>Acceptable</v>
      </c>
      <c r="P591">
        <f t="shared" si="103"/>
        <v>8.9599999999999999E-2</v>
      </c>
      <c r="Q591">
        <f t="shared" si="104"/>
        <v>3</v>
      </c>
      <c r="R591">
        <f t="shared" si="105"/>
        <v>101</v>
      </c>
      <c r="S591">
        <f t="shared" si="106"/>
        <v>104</v>
      </c>
    </row>
    <row r="592" spans="1:19" ht="15" thickBot="1" x14ac:dyDescent="0.35">
      <c r="A592" s="1">
        <v>591</v>
      </c>
      <c r="B592" s="2">
        <v>40570</v>
      </c>
      <c r="C592" s="1">
        <v>1</v>
      </c>
      <c r="D592" s="1">
        <v>19</v>
      </c>
      <c r="E592" s="3" t="b">
        <v>0</v>
      </c>
      <c r="F592" s="5">
        <v>4</v>
      </c>
      <c r="G592" s="18" t="str">
        <f t="shared" si="107"/>
        <v>No</v>
      </c>
      <c r="H592" s="1">
        <v>1</v>
      </c>
      <c r="I592" s="21" t="str">
        <f t="shared" si="108"/>
        <v>Clean</v>
      </c>
      <c r="J592" s="1">
        <v>0.2</v>
      </c>
      <c r="K592" s="23" t="str">
        <f t="shared" si="109"/>
        <v>Safe</v>
      </c>
      <c r="L592">
        <f t="shared" si="99"/>
        <v>0.2273</v>
      </c>
      <c r="M592" s="20">
        <f t="shared" si="100"/>
        <v>0.2273</v>
      </c>
      <c r="N592">
        <f t="shared" si="101"/>
        <v>0.69</v>
      </c>
      <c r="O592" s="20" t="str">
        <f t="shared" si="102"/>
        <v>Acceptable</v>
      </c>
      <c r="P592">
        <f t="shared" si="103"/>
        <v>8.9599999999999999E-2</v>
      </c>
      <c r="Q592">
        <f t="shared" si="104"/>
        <v>3</v>
      </c>
      <c r="R592">
        <f t="shared" si="105"/>
        <v>76</v>
      </c>
      <c r="S592">
        <f t="shared" si="106"/>
        <v>79</v>
      </c>
    </row>
    <row r="593" spans="1:19" ht="15" thickBot="1" x14ac:dyDescent="0.35">
      <c r="A593" s="1">
        <v>592</v>
      </c>
      <c r="B593" s="2">
        <v>40570</v>
      </c>
      <c r="C593" s="1">
        <v>1</v>
      </c>
      <c r="D593" s="1">
        <v>20</v>
      </c>
      <c r="E593" s="3" t="b">
        <v>0</v>
      </c>
      <c r="F593" s="5">
        <v>4</v>
      </c>
      <c r="G593" s="18" t="str">
        <f t="shared" si="107"/>
        <v>No</v>
      </c>
      <c r="H593" s="1">
        <v>1</v>
      </c>
      <c r="I593" s="21" t="str">
        <f t="shared" si="108"/>
        <v>Clean</v>
      </c>
      <c r="J593" s="1">
        <v>0.18</v>
      </c>
      <c r="K593" s="23" t="str">
        <f t="shared" si="109"/>
        <v>Safe</v>
      </c>
      <c r="L593">
        <f t="shared" si="99"/>
        <v>0.21210000000000001</v>
      </c>
      <c r="M593" s="20">
        <f t="shared" si="100"/>
        <v>0.21210000000000001</v>
      </c>
      <c r="N593">
        <f t="shared" si="101"/>
        <v>0.74</v>
      </c>
      <c r="O593" s="20" t="str">
        <f t="shared" si="102"/>
        <v>Risky</v>
      </c>
      <c r="P593">
        <f t="shared" si="103"/>
        <v>8.9599999999999999E-2</v>
      </c>
      <c r="Q593">
        <f t="shared" si="104"/>
        <v>4</v>
      </c>
      <c r="R593">
        <f t="shared" si="105"/>
        <v>55</v>
      </c>
      <c r="S593">
        <f t="shared" si="106"/>
        <v>59</v>
      </c>
    </row>
    <row r="594" spans="1:19" ht="15" thickBot="1" x14ac:dyDescent="0.35">
      <c r="A594" s="1">
        <v>593</v>
      </c>
      <c r="B594" s="2">
        <v>40570</v>
      </c>
      <c r="C594" s="1">
        <v>1</v>
      </c>
      <c r="D594" s="1">
        <v>21</v>
      </c>
      <c r="E594" s="3" t="b">
        <v>0</v>
      </c>
      <c r="F594" s="5">
        <v>4</v>
      </c>
      <c r="G594" s="18" t="str">
        <f t="shared" si="107"/>
        <v>No</v>
      </c>
      <c r="H594" s="1">
        <v>1</v>
      </c>
      <c r="I594" s="21" t="str">
        <f t="shared" si="108"/>
        <v>Clean</v>
      </c>
      <c r="J594" s="1">
        <v>0.18</v>
      </c>
      <c r="K594" s="23" t="str">
        <f t="shared" si="109"/>
        <v>Safe</v>
      </c>
      <c r="L594">
        <f t="shared" si="99"/>
        <v>0.21210000000000001</v>
      </c>
      <c r="M594" s="20">
        <f t="shared" si="100"/>
        <v>0.21210000000000001</v>
      </c>
      <c r="N594">
        <f t="shared" si="101"/>
        <v>0.74</v>
      </c>
      <c r="O594" s="20" t="str">
        <f t="shared" si="102"/>
        <v>Risky</v>
      </c>
      <c r="P594">
        <f t="shared" si="103"/>
        <v>8.9599999999999999E-2</v>
      </c>
      <c r="Q594">
        <f t="shared" si="104"/>
        <v>2</v>
      </c>
      <c r="R594">
        <f t="shared" si="105"/>
        <v>36</v>
      </c>
      <c r="S594">
        <f t="shared" si="106"/>
        <v>38</v>
      </c>
    </row>
    <row r="595" spans="1:19" ht="15" thickBot="1" x14ac:dyDescent="0.35">
      <c r="A595" s="1">
        <v>594</v>
      </c>
      <c r="B595" s="2">
        <v>40570</v>
      </c>
      <c r="C595" s="1">
        <v>1</v>
      </c>
      <c r="D595" s="1">
        <v>22</v>
      </c>
      <c r="E595" s="3" t="b">
        <v>0</v>
      </c>
      <c r="F595" s="5">
        <v>4</v>
      </c>
      <c r="G595" s="18" t="str">
        <f t="shared" si="107"/>
        <v>No</v>
      </c>
      <c r="H595" s="1">
        <v>1</v>
      </c>
      <c r="I595" s="21" t="str">
        <f t="shared" si="108"/>
        <v>Clean</v>
      </c>
      <c r="J595" s="1">
        <v>0.18</v>
      </c>
      <c r="K595" s="23" t="str">
        <f t="shared" si="109"/>
        <v>Safe</v>
      </c>
      <c r="L595">
        <f t="shared" si="99"/>
        <v>0.21210000000000001</v>
      </c>
      <c r="M595" s="20">
        <f t="shared" si="100"/>
        <v>0.21210000000000001</v>
      </c>
      <c r="N595">
        <f t="shared" si="101"/>
        <v>0.74</v>
      </c>
      <c r="O595" s="20" t="str">
        <f t="shared" si="102"/>
        <v>Risky</v>
      </c>
      <c r="P595">
        <f t="shared" si="103"/>
        <v>8.9599999999999999E-2</v>
      </c>
      <c r="Q595">
        <f t="shared" si="104"/>
        <v>0</v>
      </c>
      <c r="R595">
        <f t="shared" si="105"/>
        <v>27</v>
      </c>
      <c r="S595">
        <f t="shared" si="106"/>
        <v>27</v>
      </c>
    </row>
    <row r="596" spans="1:19" ht="15" thickBot="1" x14ac:dyDescent="0.35">
      <c r="A596" s="1">
        <v>595</v>
      </c>
      <c r="B596" s="2">
        <v>40570</v>
      </c>
      <c r="C596" s="1">
        <v>1</v>
      </c>
      <c r="D596" s="1">
        <v>23</v>
      </c>
      <c r="E596" s="3" t="b">
        <v>0</v>
      </c>
      <c r="F596" s="5">
        <v>4</v>
      </c>
      <c r="G596" s="18" t="str">
        <f t="shared" si="107"/>
        <v>No</v>
      </c>
      <c r="H596" s="1">
        <v>1</v>
      </c>
      <c r="I596" s="21" t="str">
        <f t="shared" si="108"/>
        <v>Clean</v>
      </c>
      <c r="J596" s="1">
        <v>0.18</v>
      </c>
      <c r="K596" s="23" t="str">
        <f t="shared" si="109"/>
        <v>Safe</v>
      </c>
      <c r="L596">
        <f t="shared" si="99"/>
        <v>0.19700000000000001</v>
      </c>
      <c r="M596" s="20">
        <f t="shared" si="100"/>
        <v>0.19700000000000001</v>
      </c>
      <c r="N596">
        <f t="shared" si="101"/>
        <v>0.8</v>
      </c>
      <c r="O596" s="20" t="str">
        <f t="shared" si="102"/>
        <v>Risky</v>
      </c>
      <c r="P596">
        <f t="shared" si="103"/>
        <v>0.16420000000000001</v>
      </c>
      <c r="Q596">
        <f t="shared" si="104"/>
        <v>0</v>
      </c>
      <c r="R596">
        <f t="shared" si="105"/>
        <v>16</v>
      </c>
      <c r="S596">
        <f t="shared" si="106"/>
        <v>16</v>
      </c>
    </row>
    <row r="597" spans="1:19" ht="15" thickBot="1" x14ac:dyDescent="0.35">
      <c r="A597" s="1">
        <v>596</v>
      </c>
      <c r="B597" s="2">
        <v>40571</v>
      </c>
      <c r="C597" s="1">
        <v>1</v>
      </c>
      <c r="D597" s="1">
        <v>0</v>
      </c>
      <c r="E597" s="3" t="b">
        <v>0</v>
      </c>
      <c r="F597" s="5">
        <v>5</v>
      </c>
      <c r="G597" s="18" t="str">
        <f t="shared" si="107"/>
        <v>No</v>
      </c>
      <c r="H597" s="1">
        <v>2</v>
      </c>
      <c r="I597" s="21" t="str">
        <f t="shared" si="108"/>
        <v>Misty</v>
      </c>
      <c r="J597" s="1">
        <v>0.2</v>
      </c>
      <c r="K597" s="23" t="str">
        <f t="shared" si="109"/>
        <v>Safe</v>
      </c>
      <c r="L597">
        <f t="shared" si="99"/>
        <v>0.21210000000000001</v>
      </c>
      <c r="M597" s="20">
        <f t="shared" si="100"/>
        <v>0.21210000000000001</v>
      </c>
      <c r="N597">
        <f t="shared" si="101"/>
        <v>0.75</v>
      </c>
      <c r="O597" s="20" t="str">
        <f t="shared" si="102"/>
        <v>Risky</v>
      </c>
      <c r="P597">
        <f t="shared" si="103"/>
        <v>0.1343</v>
      </c>
      <c r="Q597">
        <f t="shared" si="104"/>
        <v>0</v>
      </c>
      <c r="R597">
        <f t="shared" si="105"/>
        <v>9</v>
      </c>
      <c r="S597">
        <f t="shared" si="106"/>
        <v>9</v>
      </c>
    </row>
    <row r="598" spans="1:19" ht="15" thickBot="1" x14ac:dyDescent="0.35">
      <c r="A598" s="1">
        <v>597</v>
      </c>
      <c r="B598" s="2">
        <v>40571</v>
      </c>
      <c r="C598" s="1">
        <v>1</v>
      </c>
      <c r="D598" s="1">
        <v>1</v>
      </c>
      <c r="E598" s="3" t="b">
        <v>0</v>
      </c>
      <c r="F598" s="5">
        <v>5</v>
      </c>
      <c r="G598" s="18" t="str">
        <f t="shared" si="107"/>
        <v>No</v>
      </c>
      <c r="H598" s="1">
        <v>2</v>
      </c>
      <c r="I598" s="21" t="str">
        <f t="shared" si="108"/>
        <v>Misty</v>
      </c>
      <c r="J598" s="1">
        <v>0.2</v>
      </c>
      <c r="K598" s="23" t="str">
        <f t="shared" si="109"/>
        <v>Safe</v>
      </c>
      <c r="L598">
        <f t="shared" si="99"/>
        <v>0.21210000000000001</v>
      </c>
      <c r="M598" s="20">
        <f t="shared" si="100"/>
        <v>0.21210000000000001</v>
      </c>
      <c r="N598">
        <f t="shared" si="101"/>
        <v>0.75</v>
      </c>
      <c r="O598" s="20" t="str">
        <f t="shared" si="102"/>
        <v>Risky</v>
      </c>
      <c r="P598">
        <f t="shared" si="103"/>
        <v>0.1343</v>
      </c>
      <c r="Q598">
        <f t="shared" si="104"/>
        <v>1</v>
      </c>
      <c r="R598">
        <f t="shared" si="105"/>
        <v>2</v>
      </c>
      <c r="S598">
        <f t="shared" si="106"/>
        <v>3</v>
      </c>
    </row>
    <row r="599" spans="1:19" ht="15" thickBot="1" x14ac:dyDescent="0.35">
      <c r="A599" s="1">
        <v>598</v>
      </c>
      <c r="B599" s="2">
        <v>40571</v>
      </c>
      <c r="C599" s="1">
        <v>1</v>
      </c>
      <c r="D599" s="1">
        <v>2</v>
      </c>
      <c r="E599" s="3" t="b">
        <v>0</v>
      </c>
      <c r="F599" s="5">
        <v>5</v>
      </c>
      <c r="G599" s="18" t="str">
        <f t="shared" si="107"/>
        <v>No</v>
      </c>
      <c r="H599" s="1">
        <v>2</v>
      </c>
      <c r="I599" s="21" t="str">
        <f t="shared" si="108"/>
        <v>Misty</v>
      </c>
      <c r="J599" s="1">
        <v>0.2</v>
      </c>
      <c r="K599" s="23" t="str">
        <f t="shared" si="109"/>
        <v>Safe</v>
      </c>
      <c r="L599">
        <f t="shared" si="99"/>
        <v>0.21210000000000001</v>
      </c>
      <c r="M599" s="20">
        <f t="shared" si="100"/>
        <v>0.21210000000000001</v>
      </c>
      <c r="N599">
        <f t="shared" si="101"/>
        <v>0.75</v>
      </c>
      <c r="O599" s="20" t="str">
        <f t="shared" si="102"/>
        <v>Risky</v>
      </c>
      <c r="P599">
        <f t="shared" si="103"/>
        <v>0.16420000000000001</v>
      </c>
      <c r="Q599">
        <f t="shared" si="104"/>
        <v>0</v>
      </c>
      <c r="R599">
        <f t="shared" si="105"/>
        <v>2</v>
      </c>
      <c r="S599">
        <f t="shared" si="106"/>
        <v>2</v>
      </c>
    </row>
    <row r="600" spans="1:19" ht="15" thickBot="1" x14ac:dyDescent="0.35">
      <c r="A600" s="1">
        <v>599</v>
      </c>
      <c r="B600" s="2">
        <v>40571</v>
      </c>
      <c r="C600" s="1">
        <v>1</v>
      </c>
      <c r="D600" s="1">
        <v>3</v>
      </c>
      <c r="E600" s="3" t="b">
        <v>0</v>
      </c>
      <c r="F600" s="5">
        <v>5</v>
      </c>
      <c r="G600" s="18" t="str">
        <f t="shared" si="107"/>
        <v>No</v>
      </c>
      <c r="H600" s="1">
        <v>2</v>
      </c>
      <c r="I600" s="21" t="str">
        <f t="shared" si="108"/>
        <v>Misty</v>
      </c>
      <c r="J600" s="1">
        <v>0.2</v>
      </c>
      <c r="K600" s="23" t="str">
        <f t="shared" si="109"/>
        <v>Safe</v>
      </c>
      <c r="L600">
        <f t="shared" si="99"/>
        <v>0.2273</v>
      </c>
      <c r="M600" s="20">
        <f t="shared" si="100"/>
        <v>0.2273</v>
      </c>
      <c r="N600">
        <f t="shared" si="101"/>
        <v>0.75</v>
      </c>
      <c r="O600" s="20" t="str">
        <f t="shared" si="102"/>
        <v>Risky</v>
      </c>
      <c r="P600">
        <f t="shared" si="103"/>
        <v>0.1045</v>
      </c>
      <c r="Q600">
        <f t="shared" si="104"/>
        <v>1</v>
      </c>
      <c r="R600">
        <f t="shared" si="105"/>
        <v>0</v>
      </c>
      <c r="S600">
        <f t="shared" si="106"/>
        <v>1</v>
      </c>
    </row>
    <row r="601" spans="1:19" ht="15" thickBot="1" x14ac:dyDescent="0.35">
      <c r="A601" s="1">
        <v>600</v>
      </c>
      <c r="B601" s="2">
        <v>40571</v>
      </c>
      <c r="C601" s="1">
        <v>1</v>
      </c>
      <c r="D601" s="1">
        <v>5</v>
      </c>
      <c r="E601" s="3" t="b">
        <v>0</v>
      </c>
      <c r="F601" s="5">
        <v>5</v>
      </c>
      <c r="G601" s="18" t="str">
        <f t="shared" si="107"/>
        <v>No</v>
      </c>
      <c r="H601" s="1">
        <v>2</v>
      </c>
      <c r="I601" s="21" t="str">
        <f t="shared" si="108"/>
        <v>Misty</v>
      </c>
      <c r="J601" s="1">
        <v>0.18</v>
      </c>
      <c r="K601" s="23" t="str">
        <f t="shared" si="109"/>
        <v>Safe</v>
      </c>
      <c r="L601">
        <f t="shared" si="99"/>
        <v>0.21210000000000001</v>
      </c>
      <c r="M601" s="20">
        <f t="shared" si="100"/>
        <v>0.21210000000000001</v>
      </c>
      <c r="N601">
        <f t="shared" si="101"/>
        <v>0.8</v>
      </c>
      <c r="O601" s="20" t="str">
        <f t="shared" si="102"/>
        <v>Risky</v>
      </c>
      <c r="P601">
        <f t="shared" si="103"/>
        <v>0.1045</v>
      </c>
      <c r="Q601">
        <f t="shared" si="104"/>
        <v>0</v>
      </c>
      <c r="R601">
        <f t="shared" si="105"/>
        <v>4</v>
      </c>
      <c r="S601">
        <f t="shared" si="106"/>
        <v>4</v>
      </c>
    </row>
    <row r="602" spans="1:19" ht="15" thickBot="1" x14ac:dyDescent="0.35">
      <c r="A602" s="1">
        <v>601</v>
      </c>
      <c r="B602" s="2">
        <v>40571</v>
      </c>
      <c r="C602" s="1">
        <v>1</v>
      </c>
      <c r="D602" s="1">
        <v>6</v>
      </c>
      <c r="E602" s="3" t="b">
        <v>0</v>
      </c>
      <c r="F602" s="5">
        <v>5</v>
      </c>
      <c r="G602" s="18" t="str">
        <f t="shared" si="107"/>
        <v>No</v>
      </c>
      <c r="H602" s="1">
        <v>2</v>
      </c>
      <c r="I602" s="21" t="str">
        <f t="shared" si="108"/>
        <v>Misty</v>
      </c>
      <c r="J602" s="1">
        <v>0.18</v>
      </c>
      <c r="K602" s="23" t="str">
        <f t="shared" si="109"/>
        <v>Safe</v>
      </c>
      <c r="L602">
        <f t="shared" si="99"/>
        <v>0.19700000000000001</v>
      </c>
      <c r="M602" s="20">
        <f t="shared" si="100"/>
        <v>0.19700000000000001</v>
      </c>
      <c r="N602">
        <f t="shared" si="101"/>
        <v>0.8</v>
      </c>
      <c r="O602" s="20" t="str">
        <f t="shared" si="102"/>
        <v>Risky</v>
      </c>
      <c r="P602">
        <f t="shared" si="103"/>
        <v>0.1343</v>
      </c>
      <c r="Q602">
        <f t="shared" si="104"/>
        <v>0</v>
      </c>
      <c r="R602">
        <f t="shared" si="105"/>
        <v>16</v>
      </c>
      <c r="S602">
        <f t="shared" si="106"/>
        <v>16</v>
      </c>
    </row>
    <row r="603" spans="1:19" ht="15" thickBot="1" x14ac:dyDescent="0.35">
      <c r="A603" s="1">
        <v>602</v>
      </c>
      <c r="B603" s="2">
        <v>40571</v>
      </c>
      <c r="C603" s="1">
        <v>1</v>
      </c>
      <c r="D603" s="1">
        <v>7</v>
      </c>
      <c r="E603" s="3" t="b">
        <v>0</v>
      </c>
      <c r="F603" s="5">
        <v>5</v>
      </c>
      <c r="G603" s="18" t="str">
        <f t="shared" si="107"/>
        <v>No</v>
      </c>
      <c r="H603" s="1">
        <v>2</v>
      </c>
      <c r="I603" s="21" t="str">
        <f t="shared" si="108"/>
        <v>Misty</v>
      </c>
      <c r="J603" s="1">
        <v>0.16</v>
      </c>
      <c r="K603" s="23" t="str">
        <f t="shared" si="109"/>
        <v>Safe</v>
      </c>
      <c r="L603">
        <f t="shared" si="99"/>
        <v>0.19700000000000001</v>
      </c>
      <c r="M603" s="20">
        <f t="shared" si="100"/>
        <v>0.19700000000000001</v>
      </c>
      <c r="N603">
        <f t="shared" si="101"/>
        <v>0.86</v>
      </c>
      <c r="O603" s="20" t="str">
        <f t="shared" si="102"/>
        <v>Risky</v>
      </c>
      <c r="P603">
        <f t="shared" si="103"/>
        <v>8.9599999999999999E-2</v>
      </c>
      <c r="Q603">
        <f t="shared" si="104"/>
        <v>2</v>
      </c>
      <c r="R603">
        <f t="shared" si="105"/>
        <v>58</v>
      </c>
      <c r="S603">
        <f t="shared" si="106"/>
        <v>60</v>
      </c>
    </row>
    <row r="604" spans="1:19" ht="15" thickBot="1" x14ac:dyDescent="0.35">
      <c r="A604" s="1">
        <v>603</v>
      </c>
      <c r="B604" s="2">
        <v>40571</v>
      </c>
      <c r="C604" s="1">
        <v>1</v>
      </c>
      <c r="D604" s="1">
        <v>8</v>
      </c>
      <c r="E604" s="3" t="b">
        <v>0</v>
      </c>
      <c r="F604" s="5">
        <v>5</v>
      </c>
      <c r="G604" s="18" t="str">
        <f t="shared" si="107"/>
        <v>No</v>
      </c>
      <c r="H604" s="1">
        <v>2</v>
      </c>
      <c r="I604" s="21" t="str">
        <f t="shared" si="108"/>
        <v>Misty</v>
      </c>
      <c r="J604" s="1">
        <v>0.16</v>
      </c>
      <c r="K604" s="23" t="str">
        <f t="shared" si="109"/>
        <v>Safe</v>
      </c>
      <c r="L604">
        <f t="shared" si="99"/>
        <v>0.19700000000000001</v>
      </c>
      <c r="M604" s="20">
        <f t="shared" si="100"/>
        <v>0.19700000000000001</v>
      </c>
      <c r="N604">
        <f t="shared" si="101"/>
        <v>0.86</v>
      </c>
      <c r="O604" s="20" t="str">
        <f t="shared" si="102"/>
        <v>Risky</v>
      </c>
      <c r="P604">
        <f t="shared" si="103"/>
        <v>8.9599999999999999E-2</v>
      </c>
      <c r="Q604">
        <f t="shared" si="104"/>
        <v>2</v>
      </c>
      <c r="R604">
        <f t="shared" si="105"/>
        <v>155</v>
      </c>
      <c r="S604">
        <f t="shared" si="106"/>
        <v>157</v>
      </c>
    </row>
    <row r="605" spans="1:19" ht="27.6" thickBot="1" x14ac:dyDescent="0.35">
      <c r="A605" s="1">
        <v>604</v>
      </c>
      <c r="B605" s="2">
        <v>40571</v>
      </c>
      <c r="C605" s="1">
        <v>1</v>
      </c>
      <c r="D605" s="1">
        <v>9</v>
      </c>
      <c r="E605" s="3" t="b">
        <v>0</v>
      </c>
      <c r="F605" s="5">
        <v>5</v>
      </c>
      <c r="G605" s="18" t="str">
        <f t="shared" si="107"/>
        <v>No</v>
      </c>
      <c r="H605" s="1">
        <v>3</v>
      </c>
      <c r="I605" s="21" t="str">
        <f t="shared" si="108"/>
        <v>Light Rain</v>
      </c>
      <c r="J605" s="1">
        <v>0.18</v>
      </c>
      <c r="K605" s="23" t="str">
        <f t="shared" si="109"/>
        <v>Safe</v>
      </c>
      <c r="L605">
        <f t="shared" si="99"/>
        <v>0.21210000000000001</v>
      </c>
      <c r="M605" s="20">
        <f t="shared" si="100"/>
        <v>0.21210000000000001</v>
      </c>
      <c r="N605">
        <f t="shared" si="101"/>
        <v>0.86</v>
      </c>
      <c r="O605" s="20" t="str">
        <f t="shared" si="102"/>
        <v>Risky</v>
      </c>
      <c r="P605">
        <f t="shared" si="103"/>
        <v>8.9599999999999999E-2</v>
      </c>
      <c r="Q605">
        <f t="shared" si="104"/>
        <v>6</v>
      </c>
      <c r="R605">
        <f t="shared" si="105"/>
        <v>95</v>
      </c>
      <c r="S605">
        <f t="shared" si="106"/>
        <v>101</v>
      </c>
    </row>
    <row r="606" spans="1:19" ht="27.6" thickBot="1" x14ac:dyDescent="0.35">
      <c r="A606" s="1">
        <v>605</v>
      </c>
      <c r="B606" s="2">
        <v>40571</v>
      </c>
      <c r="C606" s="1">
        <v>1</v>
      </c>
      <c r="D606" s="1">
        <v>10</v>
      </c>
      <c r="E606" s="3" t="b">
        <v>0</v>
      </c>
      <c r="F606" s="5">
        <v>5</v>
      </c>
      <c r="G606" s="18" t="str">
        <f t="shared" si="107"/>
        <v>No</v>
      </c>
      <c r="H606" s="1">
        <v>3</v>
      </c>
      <c r="I606" s="21" t="str">
        <f t="shared" si="108"/>
        <v>Light Rain</v>
      </c>
      <c r="J606" s="1">
        <v>0.18</v>
      </c>
      <c r="K606" s="23" t="str">
        <f t="shared" si="109"/>
        <v>Safe</v>
      </c>
      <c r="L606">
        <f t="shared" si="99"/>
        <v>0.21210000000000001</v>
      </c>
      <c r="M606" s="20">
        <f t="shared" si="100"/>
        <v>0.21210000000000001</v>
      </c>
      <c r="N606">
        <f t="shared" si="101"/>
        <v>0.86</v>
      </c>
      <c r="O606" s="20" t="str">
        <f t="shared" si="102"/>
        <v>Risky</v>
      </c>
      <c r="P606">
        <f t="shared" si="103"/>
        <v>0.1045</v>
      </c>
      <c r="Q606">
        <f t="shared" si="104"/>
        <v>0</v>
      </c>
      <c r="R606">
        <f t="shared" si="105"/>
        <v>49</v>
      </c>
      <c r="S606">
        <f t="shared" si="106"/>
        <v>49</v>
      </c>
    </row>
    <row r="607" spans="1:19" ht="27.6" thickBot="1" x14ac:dyDescent="0.35">
      <c r="A607" s="1">
        <v>606</v>
      </c>
      <c r="B607" s="2">
        <v>40571</v>
      </c>
      <c r="C607" s="1">
        <v>1</v>
      </c>
      <c r="D607" s="1">
        <v>11</v>
      </c>
      <c r="E607" s="3" t="b">
        <v>0</v>
      </c>
      <c r="F607" s="5">
        <v>5</v>
      </c>
      <c r="G607" s="18" t="str">
        <f t="shared" si="107"/>
        <v>No</v>
      </c>
      <c r="H607" s="1">
        <v>3</v>
      </c>
      <c r="I607" s="21" t="str">
        <f t="shared" si="108"/>
        <v>Light Rain</v>
      </c>
      <c r="J607" s="1">
        <v>0.18</v>
      </c>
      <c r="K607" s="23" t="str">
        <f t="shared" si="109"/>
        <v>Safe</v>
      </c>
      <c r="L607">
        <f t="shared" si="99"/>
        <v>0.21210000000000001</v>
      </c>
      <c r="M607" s="20">
        <f t="shared" si="100"/>
        <v>0.21210000000000001</v>
      </c>
      <c r="N607">
        <f t="shared" si="101"/>
        <v>0.93</v>
      </c>
      <c r="O607" s="20" t="str">
        <f t="shared" si="102"/>
        <v>Risky</v>
      </c>
      <c r="P607">
        <f t="shared" si="103"/>
        <v>0.1045</v>
      </c>
      <c r="Q607">
        <f t="shared" si="104"/>
        <v>0</v>
      </c>
      <c r="R607">
        <f t="shared" si="105"/>
        <v>30</v>
      </c>
      <c r="S607">
        <f t="shared" si="106"/>
        <v>30</v>
      </c>
    </row>
    <row r="608" spans="1:19" ht="27.6" thickBot="1" x14ac:dyDescent="0.35">
      <c r="A608" s="1">
        <v>607</v>
      </c>
      <c r="B608" s="2">
        <v>40571</v>
      </c>
      <c r="C608" s="1">
        <v>1</v>
      </c>
      <c r="D608" s="1">
        <v>12</v>
      </c>
      <c r="E608" s="3" t="b">
        <v>0</v>
      </c>
      <c r="F608" s="5">
        <v>5</v>
      </c>
      <c r="G608" s="18" t="str">
        <f t="shared" si="107"/>
        <v>No</v>
      </c>
      <c r="H608" s="1">
        <v>3</v>
      </c>
      <c r="I608" s="21" t="str">
        <f t="shared" si="108"/>
        <v>Light Rain</v>
      </c>
      <c r="J608" s="1">
        <v>0.18</v>
      </c>
      <c r="K608" s="23" t="str">
        <f t="shared" si="109"/>
        <v>Safe</v>
      </c>
      <c r="L608">
        <f t="shared" si="99"/>
        <v>0.21210000000000001</v>
      </c>
      <c r="M608" s="20">
        <f t="shared" si="100"/>
        <v>0.21210000000000001</v>
      </c>
      <c r="N608">
        <f t="shared" si="101"/>
        <v>0.93</v>
      </c>
      <c r="O608" s="20" t="str">
        <f t="shared" si="102"/>
        <v>Risky</v>
      </c>
      <c r="P608">
        <f t="shared" si="103"/>
        <v>0.1045</v>
      </c>
      <c r="Q608">
        <f t="shared" si="104"/>
        <v>1</v>
      </c>
      <c r="R608">
        <f t="shared" si="105"/>
        <v>28</v>
      </c>
      <c r="S608">
        <f t="shared" si="106"/>
        <v>29</v>
      </c>
    </row>
    <row r="609" spans="1:19" ht="27.6" thickBot="1" x14ac:dyDescent="0.35">
      <c r="A609" s="1">
        <v>608</v>
      </c>
      <c r="B609" s="2">
        <v>40571</v>
      </c>
      <c r="C609" s="1">
        <v>1</v>
      </c>
      <c r="D609" s="1">
        <v>13</v>
      </c>
      <c r="E609" s="3" t="b">
        <v>0</v>
      </c>
      <c r="F609" s="5">
        <v>5</v>
      </c>
      <c r="G609" s="18" t="str">
        <f t="shared" si="107"/>
        <v>No</v>
      </c>
      <c r="H609" s="1">
        <v>3</v>
      </c>
      <c r="I609" s="21" t="str">
        <f t="shared" si="108"/>
        <v>Light Rain</v>
      </c>
      <c r="J609" s="1">
        <v>0.18</v>
      </c>
      <c r="K609" s="23" t="str">
        <f t="shared" si="109"/>
        <v>Safe</v>
      </c>
      <c r="L609">
        <f t="shared" si="99"/>
        <v>0.21210000000000001</v>
      </c>
      <c r="M609" s="20">
        <f t="shared" si="100"/>
        <v>0.21210000000000001</v>
      </c>
      <c r="N609">
        <f t="shared" si="101"/>
        <v>0.93</v>
      </c>
      <c r="O609" s="20" t="str">
        <f t="shared" si="102"/>
        <v>Risky</v>
      </c>
      <c r="P609">
        <f t="shared" si="103"/>
        <v>0.1045</v>
      </c>
      <c r="Q609">
        <f t="shared" si="104"/>
        <v>0</v>
      </c>
      <c r="R609">
        <f t="shared" si="105"/>
        <v>31</v>
      </c>
      <c r="S609">
        <f t="shared" si="106"/>
        <v>31</v>
      </c>
    </row>
    <row r="610" spans="1:19" ht="27.6" thickBot="1" x14ac:dyDescent="0.35">
      <c r="A610" s="1">
        <v>609</v>
      </c>
      <c r="B610" s="2">
        <v>40571</v>
      </c>
      <c r="C610" s="1">
        <v>1</v>
      </c>
      <c r="D610" s="1">
        <v>14</v>
      </c>
      <c r="E610" s="3" t="b">
        <v>0</v>
      </c>
      <c r="F610" s="5">
        <v>5</v>
      </c>
      <c r="G610" s="18" t="str">
        <f t="shared" si="107"/>
        <v>No</v>
      </c>
      <c r="H610" s="1">
        <v>3</v>
      </c>
      <c r="I610" s="21" t="str">
        <f t="shared" si="108"/>
        <v>Light Rain</v>
      </c>
      <c r="J610" s="1">
        <v>0.22</v>
      </c>
      <c r="K610" s="23" t="str">
        <f t="shared" si="109"/>
        <v>Safe</v>
      </c>
      <c r="L610">
        <f t="shared" si="99"/>
        <v>0.2727</v>
      </c>
      <c r="M610" s="20">
        <f t="shared" si="100"/>
        <v>0.2727</v>
      </c>
      <c r="N610">
        <f t="shared" si="101"/>
        <v>0.8</v>
      </c>
      <c r="O610" s="20" t="str">
        <f t="shared" si="102"/>
        <v>Risky</v>
      </c>
      <c r="P610">
        <f t="shared" si="103"/>
        <v>0</v>
      </c>
      <c r="Q610">
        <f t="shared" si="104"/>
        <v>2</v>
      </c>
      <c r="R610">
        <f t="shared" si="105"/>
        <v>36</v>
      </c>
      <c r="S610">
        <f t="shared" si="106"/>
        <v>38</v>
      </c>
    </row>
    <row r="611" spans="1:19" ht="15" thickBot="1" x14ac:dyDescent="0.35">
      <c r="A611" s="1">
        <v>610</v>
      </c>
      <c r="B611" s="2">
        <v>40571</v>
      </c>
      <c r="C611" s="1">
        <v>1</v>
      </c>
      <c r="D611" s="1">
        <v>15</v>
      </c>
      <c r="E611" s="3" t="b">
        <v>0</v>
      </c>
      <c r="F611" s="5">
        <v>5</v>
      </c>
      <c r="G611" s="18" t="str">
        <f>_xlfn.IFS(F611=0,"Yes",F611=6,"Yes",F611&gt;0,"No")</f>
        <v>No</v>
      </c>
      <c r="H611" s="1">
        <v>2</v>
      </c>
      <c r="I611" s="21" t="str">
        <f t="shared" si="108"/>
        <v>Misty</v>
      </c>
      <c r="J611" s="1">
        <v>0.2</v>
      </c>
      <c r="K611" s="23" t="str">
        <f t="shared" si="109"/>
        <v>Safe</v>
      </c>
      <c r="L611">
        <f t="shared" si="99"/>
        <v>0.2576</v>
      </c>
      <c r="M611" s="20">
        <f t="shared" si="100"/>
        <v>0.2576</v>
      </c>
      <c r="N611">
        <f t="shared" si="101"/>
        <v>0.86</v>
      </c>
      <c r="O611" s="20" t="str">
        <f t="shared" si="102"/>
        <v>Risky</v>
      </c>
      <c r="P611">
        <f t="shared" si="103"/>
        <v>0</v>
      </c>
      <c r="Q611">
        <f t="shared" si="104"/>
        <v>1</v>
      </c>
      <c r="R611">
        <f t="shared" si="105"/>
        <v>40</v>
      </c>
      <c r="S611">
        <f t="shared" si="106"/>
        <v>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3AE6-F481-44DF-88BD-E4A695887308}">
  <dimension ref="A1:P391"/>
  <sheetViews>
    <sheetView workbookViewId="0">
      <selection activeCell="U12" sqref="U12"/>
    </sheetView>
  </sheetViews>
  <sheetFormatPr defaultRowHeight="14.4" x14ac:dyDescent="0.3"/>
  <cols>
    <col min="2" max="2" width="16.77734375" customWidth="1"/>
  </cols>
  <sheetData>
    <row r="1" spans="1:16" ht="27" x14ac:dyDescent="0.3">
      <c r="A1" s="64" t="s">
        <v>65</v>
      </c>
      <c r="B1" s="64" t="s">
        <v>66</v>
      </c>
      <c r="C1" s="64" t="s">
        <v>67</v>
      </c>
      <c r="D1" s="64" t="s">
        <v>68</v>
      </c>
      <c r="E1" s="64" t="s">
        <v>69</v>
      </c>
      <c r="F1" s="64" t="s">
        <v>70</v>
      </c>
      <c r="G1" s="64" t="s">
        <v>71</v>
      </c>
      <c r="H1" s="64" t="s">
        <v>72</v>
      </c>
      <c r="I1" s="64" t="s">
        <v>73</v>
      </c>
      <c r="J1" s="64" t="s">
        <v>74</v>
      </c>
      <c r="K1" s="64" t="s">
        <v>12</v>
      </c>
      <c r="L1" s="64" t="s">
        <v>76</v>
      </c>
      <c r="M1" s="64" t="s">
        <v>77</v>
      </c>
      <c r="N1" s="64" t="s">
        <v>78</v>
      </c>
      <c r="O1" s="64" t="s">
        <v>79</v>
      </c>
      <c r="P1" s="64" t="s">
        <v>80</v>
      </c>
    </row>
    <row r="2" spans="1:16" x14ac:dyDescent="0.3">
      <c r="A2" s="65">
        <v>620</v>
      </c>
      <c r="B2" s="66">
        <v>40572</v>
      </c>
      <c r="C2" s="65">
        <v>1</v>
      </c>
      <c r="D2" s="65">
        <v>0</v>
      </c>
      <c r="E2" s="65">
        <v>1</v>
      </c>
      <c r="F2" s="65">
        <v>1</v>
      </c>
      <c r="G2" s="67" t="b">
        <v>0</v>
      </c>
      <c r="H2" s="65">
        <v>6</v>
      </c>
      <c r="I2" s="65">
        <v>1</v>
      </c>
      <c r="J2" s="65">
        <v>0.22</v>
      </c>
      <c r="K2" s="65">
        <v>0.2273</v>
      </c>
      <c r="L2" s="65">
        <v>0.64</v>
      </c>
      <c r="M2" s="65">
        <v>0.19400000000000001</v>
      </c>
      <c r="N2" s="65">
        <v>0</v>
      </c>
      <c r="O2" s="65">
        <v>20</v>
      </c>
      <c r="P2" s="65">
        <v>20</v>
      </c>
    </row>
    <row r="3" spans="1:16" x14ac:dyDescent="0.3">
      <c r="A3" s="65">
        <v>621</v>
      </c>
      <c r="B3" s="66">
        <v>40572</v>
      </c>
      <c r="C3" s="65">
        <v>1</v>
      </c>
      <c r="D3" s="65">
        <v>0</v>
      </c>
      <c r="E3" s="65">
        <v>1</v>
      </c>
      <c r="F3" s="65">
        <v>2</v>
      </c>
      <c r="G3" s="67" t="b">
        <v>0</v>
      </c>
      <c r="H3" s="65">
        <v>6</v>
      </c>
      <c r="I3" s="65">
        <v>1</v>
      </c>
      <c r="J3" s="65">
        <v>0.22</v>
      </c>
      <c r="K3" s="65">
        <v>0.2273</v>
      </c>
      <c r="L3" s="65">
        <v>0.64</v>
      </c>
      <c r="M3" s="65">
        <v>0.16420000000000001</v>
      </c>
      <c r="N3" s="65">
        <v>0</v>
      </c>
      <c r="O3" s="65">
        <v>15</v>
      </c>
      <c r="P3" s="65">
        <v>15</v>
      </c>
    </row>
    <row r="4" spans="1:16" x14ac:dyDescent="0.3">
      <c r="A4" s="65">
        <v>622</v>
      </c>
      <c r="B4" s="66">
        <v>40572</v>
      </c>
      <c r="C4" s="65">
        <v>1</v>
      </c>
      <c r="D4" s="65">
        <v>0</v>
      </c>
      <c r="E4" s="65">
        <v>1</v>
      </c>
      <c r="F4" s="65">
        <v>3</v>
      </c>
      <c r="G4" s="67" t="b">
        <v>0</v>
      </c>
      <c r="H4" s="65">
        <v>6</v>
      </c>
      <c r="I4" s="65">
        <v>1</v>
      </c>
      <c r="J4" s="65">
        <v>0.2</v>
      </c>
      <c r="K4" s="65">
        <v>0.21210000000000001</v>
      </c>
      <c r="L4" s="65">
        <v>0.64</v>
      </c>
      <c r="M4" s="65">
        <v>0.1343</v>
      </c>
      <c r="N4" s="65">
        <v>3</v>
      </c>
      <c r="O4" s="65">
        <v>5</v>
      </c>
      <c r="P4" s="65">
        <v>8</v>
      </c>
    </row>
    <row r="5" spans="1:16" x14ac:dyDescent="0.3">
      <c r="A5" s="65">
        <v>623</v>
      </c>
      <c r="B5" s="66">
        <v>40572</v>
      </c>
      <c r="C5" s="65">
        <v>1</v>
      </c>
      <c r="D5" s="65">
        <v>0</v>
      </c>
      <c r="E5" s="65">
        <v>1</v>
      </c>
      <c r="F5" s="65">
        <v>4</v>
      </c>
      <c r="G5" s="67" t="b">
        <v>0</v>
      </c>
      <c r="H5" s="65">
        <v>6</v>
      </c>
      <c r="I5" s="65">
        <v>1</v>
      </c>
      <c r="J5" s="65">
        <v>0.16</v>
      </c>
      <c r="K5" s="65">
        <v>0.18179999999999999</v>
      </c>
      <c r="L5" s="65">
        <v>0.69</v>
      </c>
      <c r="M5" s="65">
        <v>0.1045</v>
      </c>
      <c r="N5" s="65">
        <v>1</v>
      </c>
      <c r="O5" s="65">
        <v>2</v>
      </c>
      <c r="P5" s="65">
        <v>3</v>
      </c>
    </row>
    <row r="6" spans="1:16" x14ac:dyDescent="0.3">
      <c r="A6" s="65">
        <v>624</v>
      </c>
      <c r="B6" s="66">
        <v>40572</v>
      </c>
      <c r="C6" s="65">
        <v>1</v>
      </c>
      <c r="D6" s="65">
        <v>0</v>
      </c>
      <c r="E6" s="65">
        <v>1</v>
      </c>
      <c r="F6" s="65">
        <v>6</v>
      </c>
      <c r="G6" s="67" t="b">
        <v>0</v>
      </c>
      <c r="H6" s="65">
        <v>6</v>
      </c>
      <c r="I6" s="65">
        <v>1</v>
      </c>
      <c r="J6" s="65">
        <v>0.16</v>
      </c>
      <c r="K6" s="65">
        <v>0.18179999999999999</v>
      </c>
      <c r="L6" s="65">
        <v>0.64</v>
      </c>
      <c r="M6" s="65">
        <v>0.1343</v>
      </c>
      <c r="N6" s="65">
        <v>0</v>
      </c>
      <c r="O6" s="65">
        <v>2</v>
      </c>
      <c r="P6" s="65">
        <v>2</v>
      </c>
    </row>
    <row r="7" spans="1:16" x14ac:dyDescent="0.3">
      <c r="A7" s="65">
        <v>625</v>
      </c>
      <c r="B7" s="66">
        <v>40572</v>
      </c>
      <c r="C7" s="65">
        <v>1</v>
      </c>
      <c r="D7" s="65">
        <v>0</v>
      </c>
      <c r="E7" s="65">
        <v>1</v>
      </c>
      <c r="F7" s="65">
        <v>7</v>
      </c>
      <c r="G7" s="67" t="b">
        <v>0</v>
      </c>
      <c r="H7" s="65">
        <v>6</v>
      </c>
      <c r="I7" s="65">
        <v>1</v>
      </c>
      <c r="J7" s="65">
        <v>0.16</v>
      </c>
      <c r="K7" s="65">
        <v>0.18179999999999999</v>
      </c>
      <c r="L7" s="65">
        <v>0.59</v>
      </c>
      <c r="M7" s="65">
        <v>0.1045</v>
      </c>
      <c r="N7" s="65">
        <v>1</v>
      </c>
      <c r="O7" s="65">
        <v>4</v>
      </c>
      <c r="P7" s="65">
        <v>5</v>
      </c>
    </row>
    <row r="8" spans="1:16" x14ac:dyDescent="0.3">
      <c r="A8" s="65">
        <v>626</v>
      </c>
      <c r="B8" s="66">
        <v>40572</v>
      </c>
      <c r="C8" s="65">
        <v>1</v>
      </c>
      <c r="D8" s="65">
        <v>0</v>
      </c>
      <c r="E8" s="65">
        <v>1</v>
      </c>
      <c r="F8" s="65">
        <v>8</v>
      </c>
      <c r="G8" s="67" t="b">
        <v>0</v>
      </c>
      <c r="H8" s="65">
        <v>6</v>
      </c>
      <c r="I8" s="65">
        <v>1</v>
      </c>
      <c r="J8" s="65">
        <v>0.18</v>
      </c>
      <c r="K8" s="65">
        <v>0.19700000000000001</v>
      </c>
      <c r="L8" s="65">
        <v>0.55000000000000004</v>
      </c>
      <c r="M8" s="65">
        <v>0.16420000000000001</v>
      </c>
      <c r="N8" s="65">
        <v>3</v>
      </c>
      <c r="O8" s="65">
        <v>31</v>
      </c>
      <c r="P8" s="65">
        <v>34</v>
      </c>
    </row>
    <row r="9" spans="1:16" x14ac:dyDescent="0.3">
      <c r="A9" s="65">
        <v>627</v>
      </c>
      <c r="B9" s="66">
        <v>40572</v>
      </c>
      <c r="C9" s="65">
        <v>1</v>
      </c>
      <c r="D9" s="65">
        <v>0</v>
      </c>
      <c r="E9" s="65">
        <v>1</v>
      </c>
      <c r="F9" s="65">
        <v>9</v>
      </c>
      <c r="G9" s="67" t="b">
        <v>0</v>
      </c>
      <c r="H9" s="65">
        <v>6</v>
      </c>
      <c r="I9" s="65">
        <v>1</v>
      </c>
      <c r="J9" s="65">
        <v>0.18</v>
      </c>
      <c r="K9" s="65">
        <v>0.21210000000000001</v>
      </c>
      <c r="L9" s="65">
        <v>0.59</v>
      </c>
      <c r="M9" s="65">
        <v>8.9599999999999999E-2</v>
      </c>
      <c r="N9" s="65">
        <v>0</v>
      </c>
      <c r="O9" s="65">
        <v>34</v>
      </c>
      <c r="P9" s="65">
        <v>34</v>
      </c>
    </row>
    <row r="10" spans="1:16" x14ac:dyDescent="0.3">
      <c r="A10" s="65">
        <v>628</v>
      </c>
      <c r="B10" s="66">
        <v>40572</v>
      </c>
      <c r="C10" s="65">
        <v>1</v>
      </c>
      <c r="D10" s="65">
        <v>0</v>
      </c>
      <c r="E10" s="65">
        <v>1</v>
      </c>
      <c r="F10" s="65">
        <v>10</v>
      </c>
      <c r="G10" s="67" t="b">
        <v>0</v>
      </c>
      <c r="H10" s="65">
        <v>6</v>
      </c>
      <c r="I10" s="65">
        <v>2</v>
      </c>
      <c r="J10" s="65">
        <v>0.18</v>
      </c>
      <c r="K10" s="65">
        <v>0.21210000000000001</v>
      </c>
      <c r="L10" s="65">
        <v>0.64</v>
      </c>
      <c r="M10" s="65">
        <v>0.1045</v>
      </c>
      <c r="N10" s="65">
        <v>4</v>
      </c>
      <c r="O10" s="65">
        <v>51</v>
      </c>
      <c r="P10" s="65">
        <v>55</v>
      </c>
    </row>
    <row r="11" spans="1:16" x14ac:dyDescent="0.3">
      <c r="A11" s="65">
        <v>629</v>
      </c>
      <c r="B11" s="66">
        <v>40572</v>
      </c>
      <c r="C11" s="65">
        <v>1</v>
      </c>
      <c r="D11" s="65">
        <v>0</v>
      </c>
      <c r="E11" s="65">
        <v>1</v>
      </c>
      <c r="F11" s="65">
        <v>11</v>
      </c>
      <c r="G11" s="67" t="b">
        <v>0</v>
      </c>
      <c r="H11" s="65">
        <v>6</v>
      </c>
      <c r="I11" s="65">
        <v>2</v>
      </c>
      <c r="J11" s="65">
        <v>0.18</v>
      </c>
      <c r="K11" s="65">
        <v>0.19700000000000001</v>
      </c>
      <c r="L11" s="65">
        <v>0.64</v>
      </c>
      <c r="M11" s="65">
        <v>0.1343</v>
      </c>
      <c r="N11" s="65">
        <v>4</v>
      </c>
      <c r="O11" s="65">
        <v>60</v>
      </c>
      <c r="P11" s="65">
        <v>64</v>
      </c>
    </row>
    <row r="12" spans="1:16" x14ac:dyDescent="0.3">
      <c r="A12" s="65">
        <v>630</v>
      </c>
      <c r="B12" s="66">
        <v>40572</v>
      </c>
      <c r="C12" s="65">
        <v>1</v>
      </c>
      <c r="D12" s="65">
        <v>0</v>
      </c>
      <c r="E12" s="65">
        <v>1</v>
      </c>
      <c r="F12" s="65">
        <v>12</v>
      </c>
      <c r="G12" s="67" t="b">
        <v>0</v>
      </c>
      <c r="H12" s="65">
        <v>6</v>
      </c>
      <c r="I12" s="65">
        <v>2</v>
      </c>
      <c r="J12" s="65">
        <v>0.2</v>
      </c>
      <c r="K12" s="65">
        <v>0.19700000000000001</v>
      </c>
      <c r="L12" s="65">
        <v>0.59</v>
      </c>
      <c r="M12" s="65">
        <v>0.19400000000000001</v>
      </c>
      <c r="N12" s="65">
        <v>12</v>
      </c>
      <c r="O12" s="65">
        <v>66</v>
      </c>
      <c r="P12" s="65">
        <v>78</v>
      </c>
    </row>
    <row r="13" spans="1:16" x14ac:dyDescent="0.3">
      <c r="A13" s="65">
        <v>631</v>
      </c>
      <c r="B13" s="66">
        <v>40572</v>
      </c>
      <c r="C13" s="65">
        <v>1</v>
      </c>
      <c r="D13" s="65">
        <v>0</v>
      </c>
      <c r="E13" s="65">
        <v>1</v>
      </c>
      <c r="F13" s="65">
        <v>13</v>
      </c>
      <c r="G13" s="67" t="b">
        <v>0</v>
      </c>
      <c r="H13" s="65">
        <v>6</v>
      </c>
      <c r="I13" s="65">
        <v>2</v>
      </c>
      <c r="J13" s="65">
        <v>0.22</v>
      </c>
      <c r="K13" s="65">
        <v>0.2273</v>
      </c>
      <c r="L13" s="65">
        <v>0.55000000000000004</v>
      </c>
      <c r="M13" s="65">
        <v>0.16420000000000001</v>
      </c>
      <c r="N13" s="65">
        <v>9</v>
      </c>
      <c r="O13" s="65">
        <v>56</v>
      </c>
      <c r="P13" s="65">
        <v>65</v>
      </c>
    </row>
    <row r="14" spans="1:16" x14ac:dyDescent="0.3">
      <c r="A14" s="65">
        <v>632</v>
      </c>
      <c r="B14" s="66">
        <v>40572</v>
      </c>
      <c r="C14" s="65">
        <v>1</v>
      </c>
      <c r="D14" s="65">
        <v>0</v>
      </c>
      <c r="E14" s="65">
        <v>1</v>
      </c>
      <c r="F14" s="65">
        <v>14</v>
      </c>
      <c r="G14" s="67" t="b">
        <v>0</v>
      </c>
      <c r="H14" s="65">
        <v>6</v>
      </c>
      <c r="I14" s="65">
        <v>2</v>
      </c>
      <c r="J14" s="65">
        <v>0.22</v>
      </c>
      <c r="K14" s="65">
        <v>0.2273</v>
      </c>
      <c r="L14" s="65">
        <v>0.6</v>
      </c>
      <c r="M14" s="65">
        <v>0.1343</v>
      </c>
      <c r="N14" s="65">
        <v>10</v>
      </c>
      <c r="O14" s="65">
        <v>89</v>
      </c>
      <c r="P14" s="65">
        <v>99</v>
      </c>
    </row>
    <row r="15" spans="1:16" x14ac:dyDescent="0.3">
      <c r="A15" s="65">
        <v>633</v>
      </c>
      <c r="B15" s="66">
        <v>40572</v>
      </c>
      <c r="C15" s="65">
        <v>1</v>
      </c>
      <c r="D15" s="65">
        <v>0</v>
      </c>
      <c r="E15" s="65">
        <v>1</v>
      </c>
      <c r="F15" s="65">
        <v>15</v>
      </c>
      <c r="G15" s="67" t="b">
        <v>0</v>
      </c>
      <c r="H15" s="65">
        <v>6</v>
      </c>
      <c r="I15" s="65">
        <v>1</v>
      </c>
      <c r="J15" s="65">
        <v>0.22</v>
      </c>
      <c r="K15" s="65">
        <v>0.21210000000000001</v>
      </c>
      <c r="L15" s="65">
        <v>0.69</v>
      </c>
      <c r="M15" s="65">
        <v>0.25369999999999998</v>
      </c>
      <c r="N15" s="65">
        <v>22</v>
      </c>
      <c r="O15" s="65">
        <v>98</v>
      </c>
      <c r="P15" s="65">
        <v>120</v>
      </c>
    </row>
    <row r="16" spans="1:16" x14ac:dyDescent="0.3">
      <c r="A16" s="65">
        <v>634</v>
      </c>
      <c r="B16" s="66">
        <v>40572</v>
      </c>
      <c r="C16" s="65">
        <v>1</v>
      </c>
      <c r="D16" s="65">
        <v>0</v>
      </c>
      <c r="E16" s="65">
        <v>1</v>
      </c>
      <c r="F16" s="65">
        <v>16</v>
      </c>
      <c r="G16" s="67" t="b">
        <v>0</v>
      </c>
      <c r="H16" s="65">
        <v>6</v>
      </c>
      <c r="I16" s="65">
        <v>1</v>
      </c>
      <c r="J16" s="65">
        <v>0.24</v>
      </c>
      <c r="K16" s="65">
        <v>0.2424</v>
      </c>
      <c r="L16" s="65">
        <v>0.6</v>
      </c>
      <c r="M16" s="65">
        <v>0.16420000000000001</v>
      </c>
      <c r="N16" s="65">
        <v>19</v>
      </c>
      <c r="O16" s="65">
        <v>88</v>
      </c>
      <c r="P16" s="65">
        <v>107</v>
      </c>
    </row>
    <row r="17" spans="1:16" x14ac:dyDescent="0.3">
      <c r="A17" s="65">
        <v>635</v>
      </c>
      <c r="B17" s="66">
        <v>40572</v>
      </c>
      <c r="C17" s="65">
        <v>1</v>
      </c>
      <c r="D17" s="65">
        <v>0</v>
      </c>
      <c r="E17" s="65">
        <v>1</v>
      </c>
      <c r="F17" s="65">
        <v>17</v>
      </c>
      <c r="G17" s="67" t="b">
        <v>0</v>
      </c>
      <c r="H17" s="65">
        <v>6</v>
      </c>
      <c r="I17" s="65">
        <v>1</v>
      </c>
      <c r="J17" s="65">
        <v>0.24</v>
      </c>
      <c r="K17" s="65">
        <v>0.28789999999999999</v>
      </c>
      <c r="L17" s="65">
        <v>0.6</v>
      </c>
      <c r="M17" s="65">
        <v>0</v>
      </c>
      <c r="N17" s="65">
        <v>9</v>
      </c>
      <c r="O17" s="65">
        <v>82</v>
      </c>
      <c r="P17" s="65">
        <v>91</v>
      </c>
    </row>
    <row r="18" spans="1:16" x14ac:dyDescent="0.3">
      <c r="A18" s="65">
        <v>636</v>
      </c>
      <c r="B18" s="66">
        <v>40572</v>
      </c>
      <c r="C18" s="65">
        <v>1</v>
      </c>
      <c r="D18" s="65">
        <v>0</v>
      </c>
      <c r="E18" s="65">
        <v>1</v>
      </c>
      <c r="F18" s="65">
        <v>18</v>
      </c>
      <c r="G18" s="67" t="b">
        <v>0</v>
      </c>
      <c r="H18" s="65">
        <v>6</v>
      </c>
      <c r="I18" s="65">
        <v>1</v>
      </c>
      <c r="J18" s="65">
        <v>0.22</v>
      </c>
      <c r="K18" s="65">
        <v>0.2273</v>
      </c>
      <c r="L18" s="65">
        <v>0.69</v>
      </c>
      <c r="M18" s="65">
        <v>0.1343</v>
      </c>
      <c r="N18" s="65">
        <v>9</v>
      </c>
      <c r="O18" s="65">
        <v>59</v>
      </c>
      <c r="P18" s="65">
        <v>68</v>
      </c>
    </row>
    <row r="19" spans="1:16" x14ac:dyDescent="0.3">
      <c r="A19" s="65">
        <v>637</v>
      </c>
      <c r="B19" s="66">
        <v>40572</v>
      </c>
      <c r="C19" s="65">
        <v>1</v>
      </c>
      <c r="D19" s="65">
        <v>0</v>
      </c>
      <c r="E19" s="65">
        <v>1</v>
      </c>
      <c r="F19" s="65">
        <v>19</v>
      </c>
      <c r="G19" s="67" t="b">
        <v>0</v>
      </c>
      <c r="H19" s="65">
        <v>6</v>
      </c>
      <c r="I19" s="65">
        <v>2</v>
      </c>
      <c r="J19" s="65">
        <v>0.22</v>
      </c>
      <c r="K19" s="65">
        <v>0.21210000000000001</v>
      </c>
      <c r="L19" s="65">
        <v>0.69</v>
      </c>
      <c r="M19" s="65">
        <v>0.25369999999999998</v>
      </c>
      <c r="N19" s="65">
        <v>6</v>
      </c>
      <c r="O19" s="65">
        <v>52</v>
      </c>
      <c r="P19" s="65">
        <v>58</v>
      </c>
    </row>
    <row r="20" spans="1:16" x14ac:dyDescent="0.3">
      <c r="A20" s="65">
        <v>638</v>
      </c>
      <c r="B20" s="66">
        <v>40572</v>
      </c>
      <c r="C20" s="65">
        <v>1</v>
      </c>
      <c r="D20" s="65">
        <v>0</v>
      </c>
      <c r="E20" s="65">
        <v>1</v>
      </c>
      <c r="F20" s="65">
        <v>20</v>
      </c>
      <c r="G20" s="67" t="b">
        <v>0</v>
      </c>
      <c r="H20" s="65">
        <v>6</v>
      </c>
      <c r="I20" s="65">
        <v>1</v>
      </c>
      <c r="J20" s="65">
        <v>0.18</v>
      </c>
      <c r="K20" s="65">
        <v>0.21210000000000001</v>
      </c>
      <c r="L20" s="65">
        <v>0.74</v>
      </c>
      <c r="M20" s="65">
        <v>8.9599999999999999E-2</v>
      </c>
      <c r="N20" s="65">
        <v>1</v>
      </c>
      <c r="O20" s="65">
        <v>42</v>
      </c>
      <c r="P20" s="65">
        <v>43</v>
      </c>
    </row>
    <row r="21" spans="1:16" x14ac:dyDescent="0.3">
      <c r="A21" s="65">
        <v>639</v>
      </c>
      <c r="B21" s="66">
        <v>40572</v>
      </c>
      <c r="C21" s="65">
        <v>1</v>
      </c>
      <c r="D21" s="65">
        <v>0</v>
      </c>
      <c r="E21" s="65">
        <v>1</v>
      </c>
      <c r="F21" s="65">
        <v>21</v>
      </c>
      <c r="G21" s="67" t="b">
        <v>0</v>
      </c>
      <c r="H21" s="65">
        <v>6</v>
      </c>
      <c r="I21" s="65">
        <v>1</v>
      </c>
      <c r="J21" s="65">
        <v>0.18</v>
      </c>
      <c r="K21" s="65">
        <v>0.21210000000000001</v>
      </c>
      <c r="L21" s="65">
        <v>0.74</v>
      </c>
      <c r="M21" s="65">
        <v>8.9599999999999999E-2</v>
      </c>
      <c r="N21" s="65">
        <v>1</v>
      </c>
      <c r="O21" s="65">
        <v>35</v>
      </c>
      <c r="P21" s="65">
        <v>36</v>
      </c>
    </row>
    <row r="22" spans="1:16" x14ac:dyDescent="0.3">
      <c r="A22" s="65">
        <v>640</v>
      </c>
      <c r="B22" s="66">
        <v>40572</v>
      </c>
      <c r="C22" s="65">
        <v>1</v>
      </c>
      <c r="D22" s="65">
        <v>0</v>
      </c>
      <c r="E22" s="65">
        <v>1</v>
      </c>
      <c r="F22" s="65">
        <v>22</v>
      </c>
      <c r="G22" s="67" t="b">
        <v>0</v>
      </c>
      <c r="H22" s="65">
        <v>6</v>
      </c>
      <c r="I22" s="65">
        <v>1</v>
      </c>
      <c r="J22" s="65">
        <v>0.16</v>
      </c>
      <c r="K22" s="65">
        <v>0.19700000000000001</v>
      </c>
      <c r="L22" s="65">
        <v>0.8</v>
      </c>
      <c r="M22" s="65">
        <v>8.9599999999999999E-2</v>
      </c>
      <c r="N22" s="65">
        <v>4</v>
      </c>
      <c r="O22" s="65">
        <v>28</v>
      </c>
      <c r="P22" s="65">
        <v>32</v>
      </c>
    </row>
    <row r="23" spans="1:16" x14ac:dyDescent="0.3">
      <c r="A23" s="65">
        <v>641</v>
      </c>
      <c r="B23" s="66">
        <v>40572</v>
      </c>
      <c r="C23" s="65">
        <v>1</v>
      </c>
      <c r="D23" s="65">
        <v>0</v>
      </c>
      <c r="E23" s="65">
        <v>1</v>
      </c>
      <c r="F23" s="65">
        <v>23</v>
      </c>
      <c r="G23" s="67" t="b">
        <v>0</v>
      </c>
      <c r="H23" s="65">
        <v>6</v>
      </c>
      <c r="I23" s="65">
        <v>1</v>
      </c>
      <c r="J23" s="65">
        <v>0.16</v>
      </c>
      <c r="K23" s="65">
        <v>0.19700000000000001</v>
      </c>
      <c r="L23" s="65">
        <v>0.8</v>
      </c>
      <c r="M23" s="65">
        <v>8.9599999999999999E-2</v>
      </c>
      <c r="N23" s="65">
        <v>3</v>
      </c>
      <c r="O23" s="65">
        <v>30</v>
      </c>
      <c r="P23" s="65">
        <v>33</v>
      </c>
    </row>
    <row r="24" spans="1:16" x14ac:dyDescent="0.3">
      <c r="A24" s="65">
        <v>642</v>
      </c>
      <c r="B24" s="66">
        <v>40573</v>
      </c>
      <c r="C24" s="65">
        <v>1</v>
      </c>
      <c r="D24" s="65">
        <v>0</v>
      </c>
      <c r="E24" s="65">
        <v>1</v>
      </c>
      <c r="F24" s="65">
        <v>0</v>
      </c>
      <c r="G24" s="67" t="b">
        <v>0</v>
      </c>
      <c r="H24" s="65">
        <v>0</v>
      </c>
      <c r="I24" s="65">
        <v>1</v>
      </c>
      <c r="J24" s="65">
        <v>0.16</v>
      </c>
      <c r="K24" s="65">
        <v>0.18179999999999999</v>
      </c>
      <c r="L24" s="65">
        <v>0.8</v>
      </c>
      <c r="M24" s="65">
        <v>0.1045</v>
      </c>
      <c r="N24" s="65">
        <v>0</v>
      </c>
      <c r="O24" s="65">
        <v>33</v>
      </c>
      <c r="P24" s="65">
        <v>33</v>
      </c>
    </row>
    <row r="25" spans="1:16" x14ac:dyDescent="0.3">
      <c r="A25" s="65">
        <v>643</v>
      </c>
      <c r="B25" s="66">
        <v>40573</v>
      </c>
      <c r="C25" s="65">
        <v>1</v>
      </c>
      <c r="D25" s="65">
        <v>0</v>
      </c>
      <c r="E25" s="65">
        <v>1</v>
      </c>
      <c r="F25" s="65">
        <v>1</v>
      </c>
      <c r="G25" s="67" t="b">
        <v>0</v>
      </c>
      <c r="H25" s="65">
        <v>0</v>
      </c>
      <c r="I25" s="65">
        <v>1</v>
      </c>
      <c r="J25" s="65">
        <v>0.14000000000000001</v>
      </c>
      <c r="K25" s="65">
        <v>0.21210000000000001</v>
      </c>
      <c r="L25" s="65">
        <v>0.8</v>
      </c>
      <c r="M25" s="65">
        <v>0</v>
      </c>
      <c r="N25" s="65">
        <v>7</v>
      </c>
      <c r="O25" s="65">
        <v>22</v>
      </c>
      <c r="P25" s="65">
        <v>29</v>
      </c>
    </row>
    <row r="26" spans="1:16" x14ac:dyDescent="0.3">
      <c r="A26" s="65">
        <v>644</v>
      </c>
      <c r="B26" s="66">
        <v>40573</v>
      </c>
      <c r="C26" s="65">
        <v>1</v>
      </c>
      <c r="D26" s="65">
        <v>0</v>
      </c>
      <c r="E26" s="65">
        <v>1</v>
      </c>
      <c r="F26" s="65">
        <v>2</v>
      </c>
      <c r="G26" s="67" t="b">
        <v>0</v>
      </c>
      <c r="H26" s="65">
        <v>0</v>
      </c>
      <c r="I26" s="65">
        <v>1</v>
      </c>
      <c r="J26" s="65">
        <v>0.16</v>
      </c>
      <c r="K26" s="65">
        <v>0.2273</v>
      </c>
      <c r="L26" s="65">
        <v>0.8</v>
      </c>
      <c r="M26" s="65">
        <v>0</v>
      </c>
      <c r="N26" s="65">
        <v>1</v>
      </c>
      <c r="O26" s="65">
        <v>10</v>
      </c>
      <c r="P26" s="65">
        <v>11</v>
      </c>
    </row>
    <row r="27" spans="1:16" x14ac:dyDescent="0.3">
      <c r="A27" s="65">
        <v>645</v>
      </c>
      <c r="B27" s="66">
        <v>40573</v>
      </c>
      <c r="C27" s="65">
        <v>1</v>
      </c>
      <c r="D27" s="65">
        <v>0</v>
      </c>
      <c r="E27" s="65">
        <v>1</v>
      </c>
      <c r="F27" s="65">
        <v>3</v>
      </c>
      <c r="G27" s="67" t="b">
        <v>0</v>
      </c>
      <c r="H27" s="65">
        <v>0</v>
      </c>
      <c r="I27" s="65">
        <v>1</v>
      </c>
      <c r="J27" s="65">
        <v>0.14000000000000001</v>
      </c>
      <c r="K27" s="65">
        <v>0.21210000000000001</v>
      </c>
      <c r="L27" s="65">
        <v>0.93</v>
      </c>
      <c r="M27" s="65">
        <v>0</v>
      </c>
      <c r="N27" s="65">
        <v>1</v>
      </c>
      <c r="O27" s="65">
        <v>7</v>
      </c>
      <c r="P27" s="65">
        <v>8</v>
      </c>
    </row>
    <row r="28" spans="1:16" x14ac:dyDescent="0.3">
      <c r="A28" s="65">
        <v>646</v>
      </c>
      <c r="B28" s="66">
        <v>40573</v>
      </c>
      <c r="C28" s="65">
        <v>1</v>
      </c>
      <c r="D28" s="65">
        <v>0</v>
      </c>
      <c r="E28" s="65">
        <v>1</v>
      </c>
      <c r="F28" s="65">
        <v>4</v>
      </c>
      <c r="G28" s="67" t="b">
        <v>0</v>
      </c>
      <c r="H28" s="65">
        <v>0</v>
      </c>
      <c r="I28" s="65">
        <v>1</v>
      </c>
      <c r="J28" s="65">
        <v>0.14000000000000001</v>
      </c>
      <c r="K28" s="65">
        <v>0.21210000000000001</v>
      </c>
      <c r="L28" s="65">
        <v>0.93</v>
      </c>
      <c r="M28" s="65">
        <v>0</v>
      </c>
      <c r="N28" s="65">
        <v>0</v>
      </c>
      <c r="O28" s="65">
        <v>1</v>
      </c>
      <c r="P28" s="65">
        <v>1</v>
      </c>
    </row>
    <row r="29" spans="1:16" x14ac:dyDescent="0.3">
      <c r="A29" s="65">
        <v>647</v>
      </c>
      <c r="B29" s="66">
        <v>40573</v>
      </c>
      <c r="C29" s="65">
        <v>1</v>
      </c>
      <c r="D29" s="65">
        <v>0</v>
      </c>
      <c r="E29" s="65">
        <v>1</v>
      </c>
      <c r="F29" s="65">
        <v>5</v>
      </c>
      <c r="G29" s="67" t="b">
        <v>0</v>
      </c>
      <c r="H29" s="65">
        <v>0</v>
      </c>
      <c r="I29" s="65">
        <v>1</v>
      </c>
      <c r="J29" s="65">
        <v>0.14000000000000001</v>
      </c>
      <c r="K29" s="65">
        <v>0.21210000000000001</v>
      </c>
      <c r="L29" s="65">
        <v>0.86</v>
      </c>
      <c r="M29" s="65">
        <v>0</v>
      </c>
      <c r="N29" s="65">
        <v>0</v>
      </c>
      <c r="O29" s="65">
        <v>3</v>
      </c>
      <c r="P29" s="65">
        <v>3</v>
      </c>
    </row>
    <row r="30" spans="1:16" x14ac:dyDescent="0.3">
      <c r="A30" s="65">
        <v>648</v>
      </c>
      <c r="B30" s="66">
        <v>40573</v>
      </c>
      <c r="C30" s="65">
        <v>1</v>
      </c>
      <c r="D30" s="65">
        <v>0</v>
      </c>
      <c r="E30" s="65">
        <v>1</v>
      </c>
      <c r="F30" s="65">
        <v>7</v>
      </c>
      <c r="G30" s="67" t="b">
        <v>0</v>
      </c>
      <c r="H30" s="65">
        <v>0</v>
      </c>
      <c r="I30" s="65">
        <v>1</v>
      </c>
      <c r="J30" s="65">
        <v>0.14000000000000001</v>
      </c>
      <c r="K30" s="65">
        <v>0.21210000000000001</v>
      </c>
      <c r="L30" s="65">
        <v>0.86</v>
      </c>
      <c r="M30" s="65">
        <v>0</v>
      </c>
      <c r="N30" s="65">
        <v>0</v>
      </c>
      <c r="O30" s="65">
        <v>3</v>
      </c>
      <c r="P30" s="65">
        <v>3</v>
      </c>
    </row>
    <row r="31" spans="1:16" x14ac:dyDescent="0.3">
      <c r="A31" s="65">
        <v>649</v>
      </c>
      <c r="B31" s="66">
        <v>40573</v>
      </c>
      <c r="C31" s="65">
        <v>1</v>
      </c>
      <c r="D31" s="65">
        <v>0</v>
      </c>
      <c r="E31" s="65">
        <v>1</v>
      </c>
      <c r="F31" s="65">
        <v>8</v>
      </c>
      <c r="G31" s="67" t="b">
        <v>0</v>
      </c>
      <c r="H31" s="65">
        <v>0</v>
      </c>
      <c r="I31" s="65">
        <v>2</v>
      </c>
      <c r="J31" s="65">
        <v>0.14000000000000001</v>
      </c>
      <c r="K31" s="65">
        <v>0.21210000000000001</v>
      </c>
      <c r="L31" s="65">
        <v>0.86</v>
      </c>
      <c r="M31" s="65">
        <v>0</v>
      </c>
      <c r="N31" s="65">
        <v>1</v>
      </c>
      <c r="O31" s="65">
        <v>11</v>
      </c>
      <c r="P31" s="65">
        <v>12</v>
      </c>
    </row>
    <row r="32" spans="1:16" x14ac:dyDescent="0.3">
      <c r="A32" s="65">
        <v>650</v>
      </c>
      <c r="B32" s="66">
        <v>40573</v>
      </c>
      <c r="C32" s="65">
        <v>1</v>
      </c>
      <c r="D32" s="65">
        <v>0</v>
      </c>
      <c r="E32" s="65">
        <v>1</v>
      </c>
      <c r="F32" s="65">
        <v>9</v>
      </c>
      <c r="G32" s="67" t="b">
        <v>0</v>
      </c>
      <c r="H32" s="65">
        <v>0</v>
      </c>
      <c r="I32" s="65">
        <v>2</v>
      </c>
      <c r="J32" s="65">
        <v>0.16</v>
      </c>
      <c r="K32" s="65">
        <v>0.2273</v>
      </c>
      <c r="L32" s="65">
        <v>0.8</v>
      </c>
      <c r="M32" s="65">
        <v>0</v>
      </c>
      <c r="N32" s="65">
        <v>4</v>
      </c>
      <c r="O32" s="65">
        <v>34</v>
      </c>
      <c r="P32" s="65">
        <v>38</v>
      </c>
    </row>
    <row r="33" spans="1:16" x14ac:dyDescent="0.3">
      <c r="A33" s="65">
        <v>651</v>
      </c>
      <c r="B33" s="66">
        <v>40573</v>
      </c>
      <c r="C33" s="65">
        <v>1</v>
      </c>
      <c r="D33" s="65">
        <v>0</v>
      </c>
      <c r="E33" s="65">
        <v>1</v>
      </c>
      <c r="F33" s="65">
        <v>10</v>
      </c>
      <c r="G33" s="67" t="b">
        <v>0</v>
      </c>
      <c r="H33" s="65">
        <v>0</v>
      </c>
      <c r="I33" s="65">
        <v>2</v>
      </c>
      <c r="J33" s="65">
        <v>0.18</v>
      </c>
      <c r="K33" s="65">
        <v>0.2424</v>
      </c>
      <c r="L33" s="65">
        <v>0.8</v>
      </c>
      <c r="M33" s="65">
        <v>0</v>
      </c>
      <c r="N33" s="65">
        <v>7</v>
      </c>
      <c r="O33" s="65">
        <v>57</v>
      </c>
      <c r="P33" s="65">
        <v>64</v>
      </c>
    </row>
    <row r="34" spans="1:16" x14ac:dyDescent="0.3">
      <c r="A34" s="65">
        <v>652</v>
      </c>
      <c r="B34" s="66">
        <v>40573</v>
      </c>
      <c r="C34" s="65">
        <v>1</v>
      </c>
      <c r="D34" s="65">
        <v>0</v>
      </c>
      <c r="E34" s="65">
        <v>1</v>
      </c>
      <c r="F34" s="65">
        <v>11</v>
      </c>
      <c r="G34" s="67" t="b">
        <v>0</v>
      </c>
      <c r="H34" s="65">
        <v>0</v>
      </c>
      <c r="I34" s="65">
        <v>1</v>
      </c>
      <c r="J34" s="65">
        <v>0.22</v>
      </c>
      <c r="K34" s="65">
        <v>0.2727</v>
      </c>
      <c r="L34" s="65">
        <v>0.75</v>
      </c>
      <c r="M34" s="65">
        <v>0</v>
      </c>
      <c r="N34" s="65">
        <v>9</v>
      </c>
      <c r="O34" s="65">
        <v>50</v>
      </c>
      <c r="P34" s="65">
        <v>59</v>
      </c>
    </row>
    <row r="35" spans="1:16" x14ac:dyDescent="0.3">
      <c r="A35" s="65">
        <v>653</v>
      </c>
      <c r="B35" s="66">
        <v>40573</v>
      </c>
      <c r="C35" s="65">
        <v>1</v>
      </c>
      <c r="D35" s="65">
        <v>0</v>
      </c>
      <c r="E35" s="65">
        <v>1</v>
      </c>
      <c r="F35" s="65">
        <v>12</v>
      </c>
      <c r="G35" s="67" t="b">
        <v>0</v>
      </c>
      <c r="H35" s="65">
        <v>0</v>
      </c>
      <c r="I35" s="65">
        <v>1</v>
      </c>
      <c r="J35" s="65">
        <v>0.3</v>
      </c>
      <c r="K35" s="65">
        <v>0.31819999999999998</v>
      </c>
      <c r="L35" s="65">
        <v>0.52</v>
      </c>
      <c r="M35" s="65">
        <v>0.1045</v>
      </c>
      <c r="N35" s="65">
        <v>10</v>
      </c>
      <c r="O35" s="65">
        <v>87</v>
      </c>
      <c r="P35" s="65">
        <v>97</v>
      </c>
    </row>
    <row r="36" spans="1:16" x14ac:dyDescent="0.3">
      <c r="A36" s="65">
        <v>654</v>
      </c>
      <c r="B36" s="66">
        <v>40573</v>
      </c>
      <c r="C36" s="65">
        <v>1</v>
      </c>
      <c r="D36" s="65">
        <v>0</v>
      </c>
      <c r="E36" s="65">
        <v>1</v>
      </c>
      <c r="F36" s="65">
        <v>13</v>
      </c>
      <c r="G36" s="67" t="b">
        <v>0</v>
      </c>
      <c r="H36" s="65">
        <v>0</v>
      </c>
      <c r="I36" s="65">
        <v>1</v>
      </c>
      <c r="J36" s="65">
        <v>0.28000000000000003</v>
      </c>
      <c r="K36" s="65">
        <v>0.28789999999999999</v>
      </c>
      <c r="L36" s="65">
        <v>0.61</v>
      </c>
      <c r="M36" s="65">
        <v>0.1045</v>
      </c>
      <c r="N36" s="65">
        <v>13</v>
      </c>
      <c r="O36" s="65">
        <v>71</v>
      </c>
      <c r="P36" s="65">
        <v>84</v>
      </c>
    </row>
    <row r="37" spans="1:16" x14ac:dyDescent="0.3">
      <c r="A37" s="65">
        <v>655</v>
      </c>
      <c r="B37" s="66">
        <v>40573</v>
      </c>
      <c r="C37" s="65">
        <v>1</v>
      </c>
      <c r="D37" s="65">
        <v>0</v>
      </c>
      <c r="E37" s="65">
        <v>1</v>
      </c>
      <c r="F37" s="65">
        <v>14</v>
      </c>
      <c r="G37" s="67" t="b">
        <v>0</v>
      </c>
      <c r="H37" s="65">
        <v>0</v>
      </c>
      <c r="I37" s="65">
        <v>1</v>
      </c>
      <c r="J37" s="65">
        <v>0.28000000000000003</v>
      </c>
      <c r="K37" s="65">
        <v>0.30299999999999999</v>
      </c>
      <c r="L37" s="65">
        <v>0.61</v>
      </c>
      <c r="M37" s="65">
        <v>8.9599999999999999E-2</v>
      </c>
      <c r="N37" s="65">
        <v>18</v>
      </c>
      <c r="O37" s="65">
        <v>104</v>
      </c>
      <c r="P37" s="65">
        <v>122</v>
      </c>
    </row>
    <row r="38" spans="1:16" x14ac:dyDescent="0.3">
      <c r="A38" s="65">
        <v>656</v>
      </c>
      <c r="B38" s="66">
        <v>40573</v>
      </c>
      <c r="C38" s="65">
        <v>1</v>
      </c>
      <c r="D38" s="65">
        <v>0</v>
      </c>
      <c r="E38" s="65">
        <v>1</v>
      </c>
      <c r="F38" s="65">
        <v>15</v>
      </c>
      <c r="G38" s="67" t="b">
        <v>0</v>
      </c>
      <c r="H38" s="65">
        <v>0</v>
      </c>
      <c r="I38" s="65">
        <v>1</v>
      </c>
      <c r="J38" s="65">
        <v>0.3</v>
      </c>
      <c r="K38" s="65">
        <v>0.33329999999999999</v>
      </c>
      <c r="L38" s="65">
        <v>0.56000000000000005</v>
      </c>
      <c r="M38" s="65">
        <v>0</v>
      </c>
      <c r="N38" s="65">
        <v>14</v>
      </c>
      <c r="O38" s="65">
        <v>95</v>
      </c>
      <c r="P38" s="65">
        <v>109</v>
      </c>
    </row>
    <row r="39" spans="1:16" x14ac:dyDescent="0.3">
      <c r="A39" s="65">
        <v>657</v>
      </c>
      <c r="B39" s="66">
        <v>40573</v>
      </c>
      <c r="C39" s="65">
        <v>1</v>
      </c>
      <c r="D39" s="65">
        <v>0</v>
      </c>
      <c r="E39" s="65">
        <v>1</v>
      </c>
      <c r="F39" s="65">
        <v>16</v>
      </c>
      <c r="G39" s="67" t="b">
        <v>0</v>
      </c>
      <c r="H39" s="65">
        <v>0</v>
      </c>
      <c r="I39" s="65">
        <v>1</v>
      </c>
      <c r="J39" s="65">
        <v>0.3</v>
      </c>
      <c r="K39" s="65">
        <v>0.33329999999999999</v>
      </c>
      <c r="L39" s="65">
        <v>0.56000000000000005</v>
      </c>
      <c r="M39" s="65">
        <v>0</v>
      </c>
      <c r="N39" s="65">
        <v>19</v>
      </c>
      <c r="O39" s="65">
        <v>104</v>
      </c>
      <c r="P39" s="65">
        <v>123</v>
      </c>
    </row>
    <row r="40" spans="1:16" x14ac:dyDescent="0.3">
      <c r="A40" s="65">
        <v>658</v>
      </c>
      <c r="B40" s="66">
        <v>40573</v>
      </c>
      <c r="C40" s="65">
        <v>1</v>
      </c>
      <c r="D40" s="65">
        <v>0</v>
      </c>
      <c r="E40" s="65">
        <v>1</v>
      </c>
      <c r="F40" s="65">
        <v>17</v>
      </c>
      <c r="G40" s="67" t="b">
        <v>0</v>
      </c>
      <c r="H40" s="65">
        <v>0</v>
      </c>
      <c r="I40" s="65">
        <v>1</v>
      </c>
      <c r="J40" s="65">
        <v>0.3</v>
      </c>
      <c r="K40" s="65">
        <v>0.28789999999999999</v>
      </c>
      <c r="L40" s="65">
        <v>0.56000000000000005</v>
      </c>
      <c r="M40" s="65">
        <v>0.19400000000000001</v>
      </c>
      <c r="N40" s="65">
        <v>6</v>
      </c>
      <c r="O40" s="65">
        <v>71</v>
      </c>
      <c r="P40" s="65">
        <v>77</v>
      </c>
    </row>
    <row r="41" spans="1:16" x14ac:dyDescent="0.3">
      <c r="A41" s="65">
        <v>659</v>
      </c>
      <c r="B41" s="66">
        <v>40573</v>
      </c>
      <c r="C41" s="65">
        <v>1</v>
      </c>
      <c r="D41" s="65">
        <v>0</v>
      </c>
      <c r="E41" s="65">
        <v>1</v>
      </c>
      <c r="F41" s="65">
        <v>18</v>
      </c>
      <c r="G41" s="67" t="b">
        <v>0</v>
      </c>
      <c r="H41" s="65">
        <v>0</v>
      </c>
      <c r="I41" s="65">
        <v>1</v>
      </c>
      <c r="J41" s="65">
        <v>0.26</v>
      </c>
      <c r="K41" s="65">
        <v>0.2576</v>
      </c>
      <c r="L41" s="65">
        <v>0.65</v>
      </c>
      <c r="M41" s="65">
        <v>0.16420000000000001</v>
      </c>
      <c r="N41" s="65">
        <v>8</v>
      </c>
      <c r="O41" s="65">
        <v>57</v>
      </c>
      <c r="P41" s="65">
        <v>65</v>
      </c>
    </row>
    <row r="42" spans="1:16" x14ac:dyDescent="0.3">
      <c r="A42" s="65">
        <v>660</v>
      </c>
      <c r="B42" s="66">
        <v>40573</v>
      </c>
      <c r="C42" s="65">
        <v>1</v>
      </c>
      <c r="D42" s="65">
        <v>0</v>
      </c>
      <c r="E42" s="65">
        <v>1</v>
      </c>
      <c r="F42" s="65">
        <v>19</v>
      </c>
      <c r="G42" s="67" t="b">
        <v>0</v>
      </c>
      <c r="H42" s="65">
        <v>0</v>
      </c>
      <c r="I42" s="65">
        <v>1</v>
      </c>
      <c r="J42" s="65">
        <v>0.26</v>
      </c>
      <c r="K42" s="65">
        <v>0.2576</v>
      </c>
      <c r="L42" s="65">
        <v>0.65</v>
      </c>
      <c r="M42" s="65">
        <v>0.19400000000000001</v>
      </c>
      <c r="N42" s="65">
        <v>9</v>
      </c>
      <c r="O42" s="65">
        <v>46</v>
      </c>
      <c r="P42" s="65">
        <v>55</v>
      </c>
    </row>
    <row r="43" spans="1:16" x14ac:dyDescent="0.3">
      <c r="A43" s="65">
        <v>661</v>
      </c>
      <c r="B43" s="66">
        <v>40573</v>
      </c>
      <c r="C43" s="65">
        <v>1</v>
      </c>
      <c r="D43" s="65">
        <v>0</v>
      </c>
      <c r="E43" s="65">
        <v>1</v>
      </c>
      <c r="F43" s="65">
        <v>20</v>
      </c>
      <c r="G43" s="67" t="b">
        <v>0</v>
      </c>
      <c r="H43" s="65">
        <v>0</v>
      </c>
      <c r="I43" s="65">
        <v>2</v>
      </c>
      <c r="J43" s="65">
        <v>0.26</v>
      </c>
      <c r="K43" s="65">
        <v>0.2727</v>
      </c>
      <c r="L43" s="65">
        <v>0.65</v>
      </c>
      <c r="M43" s="65">
        <v>0.1045</v>
      </c>
      <c r="N43" s="65">
        <v>3</v>
      </c>
      <c r="O43" s="65">
        <v>30</v>
      </c>
      <c r="P43" s="65">
        <v>33</v>
      </c>
    </row>
    <row r="44" spans="1:16" x14ac:dyDescent="0.3">
      <c r="A44" s="65">
        <v>662</v>
      </c>
      <c r="B44" s="66">
        <v>40573</v>
      </c>
      <c r="C44" s="65">
        <v>1</v>
      </c>
      <c r="D44" s="65">
        <v>0</v>
      </c>
      <c r="E44" s="65">
        <v>1</v>
      </c>
      <c r="F44" s="65">
        <v>21</v>
      </c>
      <c r="G44" s="67" t="b">
        <v>0</v>
      </c>
      <c r="H44" s="65">
        <v>0</v>
      </c>
      <c r="I44" s="65">
        <v>2</v>
      </c>
      <c r="J44" s="65">
        <v>0.24</v>
      </c>
      <c r="K44" s="65">
        <v>0.2424</v>
      </c>
      <c r="L44" s="65">
        <v>0.7</v>
      </c>
      <c r="M44" s="65">
        <v>0.16420000000000001</v>
      </c>
      <c r="N44" s="65">
        <v>3</v>
      </c>
      <c r="O44" s="65">
        <v>25</v>
      </c>
      <c r="P44" s="65">
        <v>28</v>
      </c>
    </row>
    <row r="45" spans="1:16" x14ac:dyDescent="0.3">
      <c r="A45" s="65">
        <v>663</v>
      </c>
      <c r="B45" s="66">
        <v>40573</v>
      </c>
      <c r="C45" s="65">
        <v>1</v>
      </c>
      <c r="D45" s="65">
        <v>0</v>
      </c>
      <c r="E45" s="65">
        <v>1</v>
      </c>
      <c r="F45" s="65">
        <v>22</v>
      </c>
      <c r="G45" s="67" t="b">
        <v>0</v>
      </c>
      <c r="H45" s="65">
        <v>0</v>
      </c>
      <c r="I45" s="65">
        <v>2</v>
      </c>
      <c r="J45" s="65">
        <v>0.24</v>
      </c>
      <c r="K45" s="65">
        <v>0.2273</v>
      </c>
      <c r="L45" s="65">
        <v>0.7</v>
      </c>
      <c r="M45" s="65">
        <v>0.19400000000000001</v>
      </c>
      <c r="N45" s="65">
        <v>2</v>
      </c>
      <c r="O45" s="65">
        <v>19</v>
      </c>
      <c r="P45" s="65">
        <v>21</v>
      </c>
    </row>
    <row r="46" spans="1:16" x14ac:dyDescent="0.3">
      <c r="A46" s="65">
        <v>664</v>
      </c>
      <c r="B46" s="66">
        <v>40573</v>
      </c>
      <c r="C46" s="65">
        <v>1</v>
      </c>
      <c r="D46" s="65">
        <v>0</v>
      </c>
      <c r="E46" s="65">
        <v>1</v>
      </c>
      <c r="F46" s="65">
        <v>23</v>
      </c>
      <c r="G46" s="67" t="b">
        <v>0</v>
      </c>
      <c r="H46" s="65">
        <v>0</v>
      </c>
      <c r="I46" s="65">
        <v>2</v>
      </c>
      <c r="J46" s="65">
        <v>0.24</v>
      </c>
      <c r="K46" s="65">
        <v>0.21210000000000001</v>
      </c>
      <c r="L46" s="65">
        <v>0.65</v>
      </c>
      <c r="M46" s="65">
        <v>0.28360000000000002</v>
      </c>
      <c r="N46" s="65">
        <v>5</v>
      </c>
      <c r="O46" s="65">
        <v>16</v>
      </c>
      <c r="P46" s="65">
        <v>21</v>
      </c>
    </row>
    <row r="47" spans="1:16" x14ac:dyDescent="0.3">
      <c r="A47" s="65">
        <v>665</v>
      </c>
      <c r="B47" s="66">
        <v>40574</v>
      </c>
      <c r="C47" s="65">
        <v>1</v>
      </c>
      <c r="D47" s="65">
        <v>0</v>
      </c>
      <c r="E47" s="65">
        <v>1</v>
      </c>
      <c r="F47" s="65">
        <v>0</v>
      </c>
      <c r="G47" s="67" t="b">
        <v>0</v>
      </c>
      <c r="H47" s="65">
        <v>1</v>
      </c>
      <c r="I47" s="65">
        <v>2</v>
      </c>
      <c r="J47" s="65">
        <v>0.24</v>
      </c>
      <c r="K47" s="65">
        <v>0.2273</v>
      </c>
      <c r="L47" s="65">
        <v>0.65</v>
      </c>
      <c r="M47" s="65">
        <v>0.22389999999999999</v>
      </c>
      <c r="N47" s="65">
        <v>1</v>
      </c>
      <c r="O47" s="65">
        <v>6</v>
      </c>
      <c r="P47" s="65">
        <v>7</v>
      </c>
    </row>
    <row r="48" spans="1:16" x14ac:dyDescent="0.3">
      <c r="A48" s="65">
        <v>666</v>
      </c>
      <c r="B48" s="66">
        <v>40574</v>
      </c>
      <c r="C48" s="65">
        <v>1</v>
      </c>
      <c r="D48" s="65">
        <v>0</v>
      </c>
      <c r="E48" s="65">
        <v>1</v>
      </c>
      <c r="F48" s="65">
        <v>1</v>
      </c>
      <c r="G48" s="67" t="b">
        <v>0</v>
      </c>
      <c r="H48" s="65">
        <v>1</v>
      </c>
      <c r="I48" s="65">
        <v>1</v>
      </c>
      <c r="J48" s="65">
        <v>0.22</v>
      </c>
      <c r="K48" s="65">
        <v>0.21210000000000001</v>
      </c>
      <c r="L48" s="65">
        <v>0.64</v>
      </c>
      <c r="M48" s="65">
        <v>0.25369999999999998</v>
      </c>
      <c r="N48" s="65">
        <v>2</v>
      </c>
      <c r="O48" s="65">
        <v>5</v>
      </c>
      <c r="P48" s="65">
        <v>7</v>
      </c>
    </row>
    <row r="49" spans="1:16" x14ac:dyDescent="0.3">
      <c r="A49" s="65">
        <v>667</v>
      </c>
      <c r="B49" s="66">
        <v>40574</v>
      </c>
      <c r="C49" s="65">
        <v>1</v>
      </c>
      <c r="D49" s="65">
        <v>0</v>
      </c>
      <c r="E49" s="65">
        <v>1</v>
      </c>
      <c r="F49" s="65">
        <v>2</v>
      </c>
      <c r="G49" s="67" t="b">
        <v>0</v>
      </c>
      <c r="H49" s="65">
        <v>1</v>
      </c>
      <c r="I49" s="65">
        <v>1</v>
      </c>
      <c r="J49" s="65">
        <v>0.22</v>
      </c>
      <c r="K49" s="65">
        <v>0.2273</v>
      </c>
      <c r="L49" s="65">
        <v>0.64</v>
      </c>
      <c r="M49" s="65">
        <v>0.19400000000000001</v>
      </c>
      <c r="N49" s="65">
        <v>0</v>
      </c>
      <c r="O49" s="65">
        <v>1</v>
      </c>
      <c r="P49" s="65">
        <v>1</v>
      </c>
    </row>
    <row r="50" spans="1:16" x14ac:dyDescent="0.3">
      <c r="A50" s="65">
        <v>668</v>
      </c>
      <c r="B50" s="66">
        <v>40574</v>
      </c>
      <c r="C50" s="65">
        <v>1</v>
      </c>
      <c r="D50" s="65">
        <v>0</v>
      </c>
      <c r="E50" s="65">
        <v>1</v>
      </c>
      <c r="F50" s="65">
        <v>3</v>
      </c>
      <c r="G50" s="67" t="b">
        <v>0</v>
      </c>
      <c r="H50" s="65">
        <v>1</v>
      </c>
      <c r="I50" s="65">
        <v>1</v>
      </c>
      <c r="J50" s="65">
        <v>0.22</v>
      </c>
      <c r="K50" s="65">
        <v>0.2273</v>
      </c>
      <c r="L50" s="65">
        <v>0.64</v>
      </c>
      <c r="M50" s="65">
        <v>0.19400000000000001</v>
      </c>
      <c r="N50" s="65">
        <v>0</v>
      </c>
      <c r="O50" s="65">
        <v>2</v>
      </c>
      <c r="P50" s="65">
        <v>2</v>
      </c>
    </row>
    <row r="51" spans="1:16" x14ac:dyDescent="0.3">
      <c r="A51" s="65">
        <v>669</v>
      </c>
      <c r="B51" s="66">
        <v>40574</v>
      </c>
      <c r="C51" s="65">
        <v>1</v>
      </c>
      <c r="D51" s="65">
        <v>0</v>
      </c>
      <c r="E51" s="65">
        <v>1</v>
      </c>
      <c r="F51" s="65">
        <v>4</v>
      </c>
      <c r="G51" s="67" t="b">
        <v>0</v>
      </c>
      <c r="H51" s="65">
        <v>1</v>
      </c>
      <c r="I51" s="65">
        <v>1</v>
      </c>
      <c r="J51" s="65">
        <v>0.2</v>
      </c>
      <c r="K51" s="65">
        <v>0.19700000000000001</v>
      </c>
      <c r="L51" s="65">
        <v>0.59</v>
      </c>
      <c r="M51" s="65">
        <v>0.22389999999999999</v>
      </c>
      <c r="N51" s="65">
        <v>0</v>
      </c>
      <c r="O51" s="65">
        <v>2</v>
      </c>
      <c r="P51" s="65">
        <v>2</v>
      </c>
    </row>
    <row r="52" spans="1:16" x14ac:dyDescent="0.3">
      <c r="A52" s="65">
        <v>670</v>
      </c>
      <c r="B52" s="66">
        <v>40574</v>
      </c>
      <c r="C52" s="65">
        <v>1</v>
      </c>
      <c r="D52" s="65">
        <v>0</v>
      </c>
      <c r="E52" s="65">
        <v>1</v>
      </c>
      <c r="F52" s="65">
        <v>5</v>
      </c>
      <c r="G52" s="67" t="b">
        <v>0</v>
      </c>
      <c r="H52" s="65">
        <v>1</v>
      </c>
      <c r="I52" s="65">
        <v>1</v>
      </c>
      <c r="J52" s="65">
        <v>0.18</v>
      </c>
      <c r="K52" s="65">
        <v>0.16669999999999999</v>
      </c>
      <c r="L52" s="65">
        <v>0.64</v>
      </c>
      <c r="M52" s="65">
        <v>0.28360000000000002</v>
      </c>
      <c r="N52" s="65">
        <v>0</v>
      </c>
      <c r="O52" s="65">
        <v>8</v>
      </c>
      <c r="P52" s="65">
        <v>8</v>
      </c>
    </row>
    <row r="53" spans="1:16" x14ac:dyDescent="0.3">
      <c r="A53" s="65">
        <v>671</v>
      </c>
      <c r="B53" s="66">
        <v>40574</v>
      </c>
      <c r="C53" s="65">
        <v>1</v>
      </c>
      <c r="D53" s="65">
        <v>0</v>
      </c>
      <c r="E53" s="65">
        <v>1</v>
      </c>
      <c r="F53" s="65">
        <v>6</v>
      </c>
      <c r="G53" s="67" t="b">
        <v>0</v>
      </c>
      <c r="H53" s="65">
        <v>1</v>
      </c>
      <c r="I53" s="65">
        <v>1</v>
      </c>
      <c r="J53" s="65">
        <v>0.16</v>
      </c>
      <c r="K53" s="65">
        <v>0.13639999999999999</v>
      </c>
      <c r="L53" s="65">
        <v>0.69</v>
      </c>
      <c r="M53" s="65">
        <v>0.32840000000000003</v>
      </c>
      <c r="N53" s="65">
        <v>0</v>
      </c>
      <c r="O53" s="65">
        <v>37</v>
      </c>
      <c r="P53" s="65">
        <v>37</v>
      </c>
    </row>
    <row r="54" spans="1:16" x14ac:dyDescent="0.3">
      <c r="A54" s="65">
        <v>672</v>
      </c>
      <c r="B54" s="66">
        <v>40574</v>
      </c>
      <c r="C54" s="65">
        <v>1</v>
      </c>
      <c r="D54" s="65">
        <v>0</v>
      </c>
      <c r="E54" s="65">
        <v>1</v>
      </c>
      <c r="F54" s="65">
        <v>7</v>
      </c>
      <c r="G54" s="67" t="b">
        <v>0</v>
      </c>
      <c r="H54" s="65">
        <v>1</v>
      </c>
      <c r="I54" s="65">
        <v>2</v>
      </c>
      <c r="J54" s="65">
        <v>0.16</v>
      </c>
      <c r="K54" s="65">
        <v>0.13639999999999999</v>
      </c>
      <c r="L54" s="65">
        <v>0.64</v>
      </c>
      <c r="M54" s="65">
        <v>0.28360000000000002</v>
      </c>
      <c r="N54" s="65">
        <v>1</v>
      </c>
      <c r="O54" s="65">
        <v>71</v>
      </c>
      <c r="P54" s="65">
        <v>72</v>
      </c>
    </row>
    <row r="55" spans="1:16" x14ac:dyDescent="0.3">
      <c r="A55" s="65">
        <v>673</v>
      </c>
      <c r="B55" s="66">
        <v>40574</v>
      </c>
      <c r="C55" s="65">
        <v>1</v>
      </c>
      <c r="D55" s="65">
        <v>0</v>
      </c>
      <c r="E55" s="65">
        <v>1</v>
      </c>
      <c r="F55" s="65">
        <v>8</v>
      </c>
      <c r="G55" s="67" t="b">
        <v>0</v>
      </c>
      <c r="H55" s="65">
        <v>1</v>
      </c>
      <c r="I55" s="65">
        <v>2</v>
      </c>
      <c r="J55" s="65">
        <v>0.16</v>
      </c>
      <c r="K55" s="65">
        <v>0.13639999999999999</v>
      </c>
      <c r="L55" s="65">
        <v>0.59</v>
      </c>
      <c r="M55" s="65">
        <v>0.28360000000000002</v>
      </c>
      <c r="N55" s="65">
        <v>3</v>
      </c>
      <c r="O55" s="65">
        <v>182</v>
      </c>
      <c r="P55" s="65">
        <v>185</v>
      </c>
    </row>
    <row r="56" spans="1:16" x14ac:dyDescent="0.3">
      <c r="A56" s="65">
        <v>674</v>
      </c>
      <c r="B56" s="66">
        <v>40574</v>
      </c>
      <c r="C56" s="65">
        <v>1</v>
      </c>
      <c r="D56" s="65">
        <v>0</v>
      </c>
      <c r="E56" s="65">
        <v>1</v>
      </c>
      <c r="F56" s="65">
        <v>9</v>
      </c>
      <c r="G56" s="67" t="b">
        <v>0</v>
      </c>
      <c r="H56" s="65">
        <v>1</v>
      </c>
      <c r="I56" s="65">
        <v>2</v>
      </c>
      <c r="J56" s="65">
        <v>0.16</v>
      </c>
      <c r="K56" s="65">
        <v>0.13639999999999999</v>
      </c>
      <c r="L56" s="65">
        <v>0.59</v>
      </c>
      <c r="M56" s="65">
        <v>0.29849999999999999</v>
      </c>
      <c r="N56" s="65">
        <v>0</v>
      </c>
      <c r="O56" s="65">
        <v>112</v>
      </c>
      <c r="P56" s="65">
        <v>112</v>
      </c>
    </row>
    <row r="57" spans="1:16" x14ac:dyDescent="0.3">
      <c r="A57" s="65">
        <v>675</v>
      </c>
      <c r="B57" s="66">
        <v>40574</v>
      </c>
      <c r="C57" s="65">
        <v>1</v>
      </c>
      <c r="D57" s="65">
        <v>0</v>
      </c>
      <c r="E57" s="65">
        <v>1</v>
      </c>
      <c r="F57" s="65">
        <v>10</v>
      </c>
      <c r="G57" s="67" t="b">
        <v>0</v>
      </c>
      <c r="H57" s="65">
        <v>1</v>
      </c>
      <c r="I57" s="65">
        <v>2</v>
      </c>
      <c r="J57" s="65">
        <v>0.16</v>
      </c>
      <c r="K57" s="65">
        <v>0.1515</v>
      </c>
      <c r="L57" s="65">
        <v>0.59</v>
      </c>
      <c r="M57" s="65">
        <v>0.19400000000000001</v>
      </c>
      <c r="N57" s="65">
        <v>1</v>
      </c>
      <c r="O57" s="65">
        <v>68</v>
      </c>
      <c r="P57" s="65">
        <v>69</v>
      </c>
    </row>
    <row r="58" spans="1:16" x14ac:dyDescent="0.3">
      <c r="A58" s="65">
        <v>676</v>
      </c>
      <c r="B58" s="66">
        <v>40574</v>
      </c>
      <c r="C58" s="65">
        <v>1</v>
      </c>
      <c r="D58" s="65">
        <v>0</v>
      </c>
      <c r="E58" s="65">
        <v>1</v>
      </c>
      <c r="F58" s="65">
        <v>11</v>
      </c>
      <c r="G58" s="67" t="b">
        <v>0</v>
      </c>
      <c r="H58" s="65">
        <v>1</v>
      </c>
      <c r="I58" s="65">
        <v>2</v>
      </c>
      <c r="J58" s="65">
        <v>0.16</v>
      </c>
      <c r="K58" s="65">
        <v>0.1515</v>
      </c>
      <c r="L58" s="65">
        <v>0.59</v>
      </c>
      <c r="M58" s="65">
        <v>0.19400000000000001</v>
      </c>
      <c r="N58" s="65">
        <v>2</v>
      </c>
      <c r="O58" s="65">
        <v>46</v>
      </c>
      <c r="P58" s="65">
        <v>48</v>
      </c>
    </row>
    <row r="59" spans="1:16" x14ac:dyDescent="0.3">
      <c r="A59" s="65">
        <v>677</v>
      </c>
      <c r="B59" s="66">
        <v>40574</v>
      </c>
      <c r="C59" s="65">
        <v>1</v>
      </c>
      <c r="D59" s="65">
        <v>0</v>
      </c>
      <c r="E59" s="65">
        <v>1</v>
      </c>
      <c r="F59" s="65">
        <v>12</v>
      </c>
      <c r="G59" s="67" t="b">
        <v>0</v>
      </c>
      <c r="H59" s="65">
        <v>1</v>
      </c>
      <c r="I59" s="65">
        <v>2</v>
      </c>
      <c r="J59" s="65">
        <v>0.18</v>
      </c>
      <c r="K59" s="65">
        <v>0.21210000000000001</v>
      </c>
      <c r="L59" s="65">
        <v>0.55000000000000004</v>
      </c>
      <c r="M59" s="65">
        <v>0.1045</v>
      </c>
      <c r="N59" s="65">
        <v>6</v>
      </c>
      <c r="O59" s="65">
        <v>62</v>
      </c>
      <c r="P59" s="65">
        <v>68</v>
      </c>
    </row>
    <row r="60" spans="1:16" x14ac:dyDescent="0.3">
      <c r="A60" s="65">
        <v>678</v>
      </c>
      <c r="B60" s="66">
        <v>40574</v>
      </c>
      <c r="C60" s="65">
        <v>1</v>
      </c>
      <c r="D60" s="65">
        <v>0</v>
      </c>
      <c r="E60" s="65">
        <v>1</v>
      </c>
      <c r="F60" s="65">
        <v>13</v>
      </c>
      <c r="G60" s="67" t="b">
        <v>0</v>
      </c>
      <c r="H60" s="65">
        <v>1</v>
      </c>
      <c r="I60" s="65">
        <v>2</v>
      </c>
      <c r="J60" s="65">
        <v>0.16</v>
      </c>
      <c r="K60" s="65">
        <v>0.2273</v>
      </c>
      <c r="L60" s="65">
        <v>0.59</v>
      </c>
      <c r="M60" s="65">
        <v>0</v>
      </c>
      <c r="N60" s="65">
        <v>2</v>
      </c>
      <c r="O60" s="65">
        <v>52</v>
      </c>
      <c r="P60" s="65">
        <v>54</v>
      </c>
    </row>
    <row r="61" spans="1:16" x14ac:dyDescent="0.3">
      <c r="A61" s="65">
        <v>679</v>
      </c>
      <c r="B61" s="66">
        <v>40574</v>
      </c>
      <c r="C61" s="65">
        <v>1</v>
      </c>
      <c r="D61" s="65">
        <v>0</v>
      </c>
      <c r="E61" s="65">
        <v>1</v>
      </c>
      <c r="F61" s="65">
        <v>14</v>
      </c>
      <c r="G61" s="67" t="b">
        <v>0</v>
      </c>
      <c r="H61" s="65">
        <v>1</v>
      </c>
      <c r="I61" s="65">
        <v>2</v>
      </c>
      <c r="J61" s="65">
        <v>0.18</v>
      </c>
      <c r="K61" s="65">
        <v>0.19700000000000001</v>
      </c>
      <c r="L61" s="65">
        <v>0.55000000000000004</v>
      </c>
      <c r="M61" s="65">
        <v>0.1343</v>
      </c>
      <c r="N61" s="65">
        <v>1</v>
      </c>
      <c r="O61" s="65">
        <v>85</v>
      </c>
      <c r="P61" s="65">
        <v>86</v>
      </c>
    </row>
    <row r="62" spans="1:16" x14ac:dyDescent="0.3">
      <c r="A62" s="65">
        <v>680</v>
      </c>
      <c r="B62" s="66">
        <v>40574</v>
      </c>
      <c r="C62" s="65">
        <v>1</v>
      </c>
      <c r="D62" s="65">
        <v>0</v>
      </c>
      <c r="E62" s="65">
        <v>1</v>
      </c>
      <c r="F62" s="65">
        <v>15</v>
      </c>
      <c r="G62" s="67" t="b">
        <v>0</v>
      </c>
      <c r="H62" s="65">
        <v>1</v>
      </c>
      <c r="I62" s="65">
        <v>2</v>
      </c>
      <c r="J62" s="65">
        <v>0.16</v>
      </c>
      <c r="K62" s="65">
        <v>0.18179999999999999</v>
      </c>
      <c r="L62" s="65">
        <v>0.59</v>
      </c>
      <c r="M62" s="65">
        <v>0.1343</v>
      </c>
      <c r="N62" s="65">
        <v>3</v>
      </c>
      <c r="O62" s="65">
        <v>41</v>
      </c>
      <c r="P62" s="65">
        <v>44</v>
      </c>
    </row>
    <row r="63" spans="1:16" x14ac:dyDescent="0.3">
      <c r="A63" s="65">
        <v>681</v>
      </c>
      <c r="B63" s="66">
        <v>40574</v>
      </c>
      <c r="C63" s="65">
        <v>1</v>
      </c>
      <c r="D63" s="65">
        <v>0</v>
      </c>
      <c r="E63" s="65">
        <v>1</v>
      </c>
      <c r="F63" s="65">
        <v>16</v>
      </c>
      <c r="G63" s="67" t="b">
        <v>0</v>
      </c>
      <c r="H63" s="65">
        <v>1</v>
      </c>
      <c r="I63" s="65">
        <v>2</v>
      </c>
      <c r="J63" s="65">
        <v>0.16</v>
      </c>
      <c r="K63" s="65">
        <v>0.18179999999999999</v>
      </c>
      <c r="L63" s="65">
        <v>0.56000000000000005</v>
      </c>
      <c r="M63" s="65">
        <v>0.19400000000000001</v>
      </c>
      <c r="N63" s="65">
        <v>3</v>
      </c>
      <c r="O63" s="65">
        <v>83</v>
      </c>
      <c r="P63" s="65">
        <v>86</v>
      </c>
    </row>
    <row r="64" spans="1:16" x14ac:dyDescent="0.3">
      <c r="A64" s="65">
        <v>682</v>
      </c>
      <c r="B64" s="66">
        <v>40574</v>
      </c>
      <c r="C64" s="65">
        <v>1</v>
      </c>
      <c r="D64" s="65">
        <v>0</v>
      </c>
      <c r="E64" s="65">
        <v>1</v>
      </c>
      <c r="F64" s="65">
        <v>17</v>
      </c>
      <c r="G64" s="67" t="b">
        <v>0</v>
      </c>
      <c r="H64" s="65">
        <v>1</v>
      </c>
      <c r="I64" s="65">
        <v>2</v>
      </c>
      <c r="J64" s="65">
        <v>0.16</v>
      </c>
      <c r="K64" s="65">
        <v>0.1515</v>
      </c>
      <c r="L64" s="65">
        <v>0.59</v>
      </c>
      <c r="M64" s="65">
        <v>0.19400000000000001</v>
      </c>
      <c r="N64" s="65">
        <v>6</v>
      </c>
      <c r="O64" s="65">
        <v>155</v>
      </c>
      <c r="P64" s="65">
        <v>161</v>
      </c>
    </row>
    <row r="65" spans="1:16" x14ac:dyDescent="0.3">
      <c r="A65" s="65">
        <v>683</v>
      </c>
      <c r="B65" s="66">
        <v>40574</v>
      </c>
      <c r="C65" s="65">
        <v>1</v>
      </c>
      <c r="D65" s="65">
        <v>0</v>
      </c>
      <c r="E65" s="65">
        <v>1</v>
      </c>
      <c r="F65" s="65">
        <v>18</v>
      </c>
      <c r="G65" s="67" t="b">
        <v>0</v>
      </c>
      <c r="H65" s="65">
        <v>1</v>
      </c>
      <c r="I65" s="65">
        <v>2</v>
      </c>
      <c r="J65" s="65">
        <v>0.16</v>
      </c>
      <c r="K65" s="65">
        <v>0.1515</v>
      </c>
      <c r="L65" s="65">
        <v>0.55000000000000004</v>
      </c>
      <c r="M65" s="65">
        <v>0.22389999999999999</v>
      </c>
      <c r="N65" s="65">
        <v>3</v>
      </c>
      <c r="O65" s="65">
        <v>153</v>
      </c>
      <c r="P65" s="65">
        <v>156</v>
      </c>
    </row>
    <row r="66" spans="1:16" x14ac:dyDescent="0.3">
      <c r="A66" s="65">
        <v>684</v>
      </c>
      <c r="B66" s="66">
        <v>40574</v>
      </c>
      <c r="C66" s="65">
        <v>1</v>
      </c>
      <c r="D66" s="65">
        <v>0</v>
      </c>
      <c r="E66" s="65">
        <v>1</v>
      </c>
      <c r="F66" s="65">
        <v>19</v>
      </c>
      <c r="G66" s="67" t="b">
        <v>0</v>
      </c>
      <c r="H66" s="65">
        <v>1</v>
      </c>
      <c r="I66" s="65">
        <v>1</v>
      </c>
      <c r="J66" s="65">
        <v>0.3</v>
      </c>
      <c r="K66" s="65">
        <v>0.31819999999999998</v>
      </c>
      <c r="L66" s="65">
        <v>0.61</v>
      </c>
      <c r="M66" s="65">
        <v>0.1045</v>
      </c>
      <c r="N66" s="65">
        <v>3</v>
      </c>
      <c r="O66" s="65">
        <v>108</v>
      </c>
      <c r="P66" s="65">
        <v>111</v>
      </c>
    </row>
    <row r="67" spans="1:16" x14ac:dyDescent="0.3">
      <c r="A67" s="65">
        <v>685</v>
      </c>
      <c r="B67" s="66">
        <v>40574</v>
      </c>
      <c r="C67" s="65">
        <v>1</v>
      </c>
      <c r="D67" s="65">
        <v>0</v>
      </c>
      <c r="E67" s="65">
        <v>1</v>
      </c>
      <c r="F67" s="65">
        <v>20</v>
      </c>
      <c r="G67" s="67" t="b">
        <v>0</v>
      </c>
      <c r="H67" s="65">
        <v>1</v>
      </c>
      <c r="I67" s="65">
        <v>3</v>
      </c>
      <c r="J67" s="65">
        <v>0.16</v>
      </c>
      <c r="K67" s="65">
        <v>0.16669999999999999</v>
      </c>
      <c r="L67" s="65">
        <v>0.59</v>
      </c>
      <c r="M67" s="65">
        <v>0.16420000000000001</v>
      </c>
      <c r="N67" s="65">
        <v>0</v>
      </c>
      <c r="O67" s="65">
        <v>78</v>
      </c>
      <c r="P67" s="65">
        <v>78</v>
      </c>
    </row>
    <row r="68" spans="1:16" x14ac:dyDescent="0.3">
      <c r="A68" s="65">
        <v>686</v>
      </c>
      <c r="B68" s="66">
        <v>40574</v>
      </c>
      <c r="C68" s="65">
        <v>1</v>
      </c>
      <c r="D68" s="65">
        <v>0</v>
      </c>
      <c r="E68" s="65">
        <v>1</v>
      </c>
      <c r="F68" s="65">
        <v>21</v>
      </c>
      <c r="G68" s="67" t="b">
        <v>0</v>
      </c>
      <c r="H68" s="65">
        <v>1</v>
      </c>
      <c r="I68" s="65">
        <v>3</v>
      </c>
      <c r="J68" s="65">
        <v>0.16</v>
      </c>
      <c r="K68" s="65">
        <v>0.19700000000000001</v>
      </c>
      <c r="L68" s="65">
        <v>0.59</v>
      </c>
      <c r="M68" s="65">
        <v>8.9599999999999999E-2</v>
      </c>
      <c r="N68" s="65">
        <v>3</v>
      </c>
      <c r="O68" s="65">
        <v>53</v>
      </c>
      <c r="P68" s="65">
        <v>56</v>
      </c>
    </row>
    <row r="69" spans="1:16" x14ac:dyDescent="0.3">
      <c r="A69" s="65">
        <v>687</v>
      </c>
      <c r="B69" s="66">
        <v>40574</v>
      </c>
      <c r="C69" s="65">
        <v>1</v>
      </c>
      <c r="D69" s="65">
        <v>0</v>
      </c>
      <c r="E69" s="65">
        <v>1</v>
      </c>
      <c r="F69" s="65">
        <v>22</v>
      </c>
      <c r="G69" s="67" t="b">
        <v>0</v>
      </c>
      <c r="H69" s="65">
        <v>1</v>
      </c>
      <c r="I69" s="65">
        <v>2</v>
      </c>
      <c r="J69" s="65">
        <v>0.16</v>
      </c>
      <c r="K69" s="65">
        <v>0.18179999999999999</v>
      </c>
      <c r="L69" s="65">
        <v>0.59</v>
      </c>
      <c r="M69" s="65">
        <v>0.1045</v>
      </c>
      <c r="N69" s="65">
        <v>0</v>
      </c>
      <c r="O69" s="65">
        <v>34</v>
      </c>
      <c r="P69" s="65">
        <v>34</v>
      </c>
    </row>
    <row r="70" spans="1:16" x14ac:dyDescent="0.3">
      <c r="A70" s="65">
        <v>688</v>
      </c>
      <c r="B70" s="66">
        <v>40574</v>
      </c>
      <c r="C70" s="65">
        <v>1</v>
      </c>
      <c r="D70" s="65">
        <v>0</v>
      </c>
      <c r="E70" s="65">
        <v>1</v>
      </c>
      <c r="F70" s="65">
        <v>23</v>
      </c>
      <c r="G70" s="67" t="b">
        <v>0</v>
      </c>
      <c r="H70" s="65">
        <v>1</v>
      </c>
      <c r="I70" s="65">
        <v>2</v>
      </c>
      <c r="J70" s="65">
        <v>0.16</v>
      </c>
      <c r="K70" s="65">
        <v>0.19700000000000001</v>
      </c>
      <c r="L70" s="65">
        <v>0.64</v>
      </c>
      <c r="M70" s="65">
        <v>8.9599999999999999E-2</v>
      </c>
      <c r="N70" s="65">
        <v>2</v>
      </c>
      <c r="O70" s="65">
        <v>15</v>
      </c>
      <c r="P70" s="65">
        <v>17</v>
      </c>
    </row>
    <row r="71" spans="1:16" x14ac:dyDescent="0.3">
      <c r="A71" s="65">
        <v>689</v>
      </c>
      <c r="B71" s="66">
        <v>40575</v>
      </c>
      <c r="C71" s="65">
        <v>1</v>
      </c>
      <c r="D71" s="65">
        <v>0</v>
      </c>
      <c r="E71" s="65">
        <v>2</v>
      </c>
      <c r="F71" s="65">
        <v>0</v>
      </c>
      <c r="G71" s="67" t="b">
        <v>0</v>
      </c>
      <c r="H71" s="65">
        <v>2</v>
      </c>
      <c r="I71" s="65">
        <v>2</v>
      </c>
      <c r="J71" s="65">
        <v>0.16</v>
      </c>
      <c r="K71" s="65">
        <v>0.18179999999999999</v>
      </c>
      <c r="L71" s="65">
        <v>0.64</v>
      </c>
      <c r="M71" s="65">
        <v>0.1045</v>
      </c>
      <c r="N71" s="65">
        <v>2</v>
      </c>
      <c r="O71" s="65">
        <v>6</v>
      </c>
      <c r="P71" s="65">
        <v>8</v>
      </c>
    </row>
    <row r="72" spans="1:16" x14ac:dyDescent="0.3">
      <c r="A72" s="65">
        <v>690</v>
      </c>
      <c r="B72" s="66">
        <v>40575</v>
      </c>
      <c r="C72" s="65">
        <v>1</v>
      </c>
      <c r="D72" s="65">
        <v>0</v>
      </c>
      <c r="E72" s="65">
        <v>2</v>
      </c>
      <c r="F72" s="65">
        <v>1</v>
      </c>
      <c r="G72" s="67" t="b">
        <v>0</v>
      </c>
      <c r="H72" s="65">
        <v>2</v>
      </c>
      <c r="I72" s="65">
        <v>2</v>
      </c>
      <c r="J72" s="65">
        <v>0.16</v>
      </c>
      <c r="K72" s="65">
        <v>0.18179999999999999</v>
      </c>
      <c r="L72" s="65">
        <v>0.69</v>
      </c>
      <c r="M72" s="65">
        <v>0.1045</v>
      </c>
      <c r="N72" s="65">
        <v>0</v>
      </c>
      <c r="O72" s="65">
        <v>3</v>
      </c>
      <c r="P72" s="65">
        <v>3</v>
      </c>
    </row>
    <row r="73" spans="1:16" x14ac:dyDescent="0.3">
      <c r="A73" s="65">
        <v>691</v>
      </c>
      <c r="B73" s="66">
        <v>40575</v>
      </c>
      <c r="C73" s="65">
        <v>1</v>
      </c>
      <c r="D73" s="65">
        <v>0</v>
      </c>
      <c r="E73" s="65">
        <v>2</v>
      </c>
      <c r="F73" s="65">
        <v>2</v>
      </c>
      <c r="G73" s="67" t="b">
        <v>0</v>
      </c>
      <c r="H73" s="65">
        <v>2</v>
      </c>
      <c r="I73" s="65">
        <v>2</v>
      </c>
      <c r="J73" s="65">
        <v>0.16</v>
      </c>
      <c r="K73" s="65">
        <v>0.2273</v>
      </c>
      <c r="L73" s="65">
        <v>0.69</v>
      </c>
      <c r="M73" s="65">
        <v>0</v>
      </c>
      <c r="N73" s="65">
        <v>0</v>
      </c>
      <c r="O73" s="65">
        <v>2</v>
      </c>
      <c r="P73" s="65">
        <v>2</v>
      </c>
    </row>
    <row r="74" spans="1:16" x14ac:dyDescent="0.3">
      <c r="A74" s="65">
        <v>692</v>
      </c>
      <c r="B74" s="66">
        <v>40575</v>
      </c>
      <c r="C74" s="65">
        <v>1</v>
      </c>
      <c r="D74" s="65">
        <v>0</v>
      </c>
      <c r="E74" s="65">
        <v>2</v>
      </c>
      <c r="F74" s="65">
        <v>3</v>
      </c>
      <c r="G74" s="67" t="b">
        <v>0</v>
      </c>
      <c r="H74" s="65">
        <v>2</v>
      </c>
      <c r="I74" s="65">
        <v>2</v>
      </c>
      <c r="J74" s="65">
        <v>0.16</v>
      </c>
      <c r="K74" s="65">
        <v>0.2273</v>
      </c>
      <c r="L74" s="65">
        <v>0.69</v>
      </c>
      <c r="M74" s="65">
        <v>0</v>
      </c>
      <c r="N74" s="65">
        <v>0</v>
      </c>
      <c r="O74" s="65">
        <v>2</v>
      </c>
      <c r="P74" s="65">
        <v>2</v>
      </c>
    </row>
    <row r="75" spans="1:16" x14ac:dyDescent="0.3">
      <c r="A75" s="65">
        <v>693</v>
      </c>
      <c r="B75" s="66">
        <v>40575</v>
      </c>
      <c r="C75" s="65">
        <v>1</v>
      </c>
      <c r="D75" s="65">
        <v>0</v>
      </c>
      <c r="E75" s="65">
        <v>2</v>
      </c>
      <c r="F75" s="65">
        <v>5</v>
      </c>
      <c r="G75" s="67" t="b">
        <v>0</v>
      </c>
      <c r="H75" s="65">
        <v>2</v>
      </c>
      <c r="I75" s="65">
        <v>3</v>
      </c>
      <c r="J75" s="65">
        <v>0.14000000000000001</v>
      </c>
      <c r="K75" s="65">
        <v>0.21210000000000001</v>
      </c>
      <c r="L75" s="65">
        <v>0.93</v>
      </c>
      <c r="M75" s="65">
        <v>0</v>
      </c>
      <c r="N75" s="65">
        <v>0</v>
      </c>
      <c r="O75" s="65">
        <v>3</v>
      </c>
      <c r="P75" s="65">
        <v>3</v>
      </c>
    </row>
    <row r="76" spans="1:16" x14ac:dyDescent="0.3">
      <c r="A76" s="65">
        <v>694</v>
      </c>
      <c r="B76" s="66">
        <v>40575</v>
      </c>
      <c r="C76" s="65">
        <v>1</v>
      </c>
      <c r="D76" s="65">
        <v>0</v>
      </c>
      <c r="E76" s="65">
        <v>2</v>
      </c>
      <c r="F76" s="65">
        <v>6</v>
      </c>
      <c r="G76" s="67" t="b">
        <v>0</v>
      </c>
      <c r="H76" s="65">
        <v>2</v>
      </c>
      <c r="I76" s="65">
        <v>3</v>
      </c>
      <c r="J76" s="65">
        <v>0.14000000000000001</v>
      </c>
      <c r="K76" s="65">
        <v>0.21210000000000001</v>
      </c>
      <c r="L76" s="65">
        <v>0.93</v>
      </c>
      <c r="M76" s="65">
        <v>0</v>
      </c>
      <c r="N76" s="65">
        <v>0</v>
      </c>
      <c r="O76" s="65">
        <v>22</v>
      </c>
      <c r="P76" s="65">
        <v>22</v>
      </c>
    </row>
    <row r="77" spans="1:16" x14ac:dyDescent="0.3">
      <c r="A77" s="65">
        <v>695</v>
      </c>
      <c r="B77" s="66">
        <v>40575</v>
      </c>
      <c r="C77" s="65">
        <v>1</v>
      </c>
      <c r="D77" s="65">
        <v>0</v>
      </c>
      <c r="E77" s="65">
        <v>2</v>
      </c>
      <c r="F77" s="65">
        <v>7</v>
      </c>
      <c r="G77" s="67" t="b">
        <v>0</v>
      </c>
      <c r="H77" s="65">
        <v>2</v>
      </c>
      <c r="I77" s="65">
        <v>3</v>
      </c>
      <c r="J77" s="65">
        <v>0.16</v>
      </c>
      <c r="K77" s="65">
        <v>0.2273</v>
      </c>
      <c r="L77" s="65">
        <v>0.93</v>
      </c>
      <c r="M77" s="65">
        <v>0</v>
      </c>
      <c r="N77" s="65">
        <v>0</v>
      </c>
      <c r="O77" s="65">
        <v>52</v>
      </c>
      <c r="P77" s="65">
        <v>52</v>
      </c>
    </row>
    <row r="78" spans="1:16" x14ac:dyDescent="0.3">
      <c r="A78" s="65">
        <v>696</v>
      </c>
      <c r="B78" s="66">
        <v>40575</v>
      </c>
      <c r="C78" s="65">
        <v>1</v>
      </c>
      <c r="D78" s="65">
        <v>0</v>
      </c>
      <c r="E78" s="65">
        <v>2</v>
      </c>
      <c r="F78" s="65">
        <v>8</v>
      </c>
      <c r="G78" s="67" t="b">
        <v>0</v>
      </c>
      <c r="H78" s="65">
        <v>2</v>
      </c>
      <c r="I78" s="65">
        <v>3</v>
      </c>
      <c r="J78" s="65">
        <v>0.16</v>
      </c>
      <c r="K78" s="65">
        <v>0.2273</v>
      </c>
      <c r="L78" s="65">
        <v>0.93</v>
      </c>
      <c r="M78" s="65">
        <v>0</v>
      </c>
      <c r="N78" s="65">
        <v>3</v>
      </c>
      <c r="O78" s="65">
        <v>132</v>
      </c>
      <c r="P78" s="65">
        <v>135</v>
      </c>
    </row>
    <row r="79" spans="1:16" x14ac:dyDescent="0.3">
      <c r="A79" s="65">
        <v>697</v>
      </c>
      <c r="B79" s="66">
        <v>40575</v>
      </c>
      <c r="C79" s="65">
        <v>1</v>
      </c>
      <c r="D79" s="65">
        <v>0</v>
      </c>
      <c r="E79" s="65">
        <v>2</v>
      </c>
      <c r="F79" s="65">
        <v>9</v>
      </c>
      <c r="G79" s="67" t="b">
        <v>0</v>
      </c>
      <c r="H79" s="65">
        <v>2</v>
      </c>
      <c r="I79" s="65">
        <v>2</v>
      </c>
      <c r="J79" s="65">
        <v>0.16</v>
      </c>
      <c r="K79" s="65">
        <v>0.2273</v>
      </c>
      <c r="L79" s="65">
        <v>0.93</v>
      </c>
      <c r="M79" s="65">
        <v>0</v>
      </c>
      <c r="N79" s="65">
        <v>2</v>
      </c>
      <c r="O79" s="65">
        <v>114</v>
      </c>
      <c r="P79" s="65">
        <v>116</v>
      </c>
    </row>
    <row r="80" spans="1:16" x14ac:dyDescent="0.3">
      <c r="A80" s="65">
        <v>698</v>
      </c>
      <c r="B80" s="66">
        <v>40575</v>
      </c>
      <c r="C80" s="65">
        <v>1</v>
      </c>
      <c r="D80" s="65">
        <v>0</v>
      </c>
      <c r="E80" s="65">
        <v>2</v>
      </c>
      <c r="F80" s="65">
        <v>10</v>
      </c>
      <c r="G80" s="67" t="b">
        <v>0</v>
      </c>
      <c r="H80" s="65">
        <v>2</v>
      </c>
      <c r="I80" s="65">
        <v>2</v>
      </c>
      <c r="J80" s="65">
        <v>0.16</v>
      </c>
      <c r="K80" s="65">
        <v>0.2273</v>
      </c>
      <c r="L80" s="65">
        <v>0.93</v>
      </c>
      <c r="M80" s="65">
        <v>0</v>
      </c>
      <c r="N80" s="65">
        <v>0</v>
      </c>
      <c r="O80" s="65">
        <v>47</v>
      </c>
      <c r="P80" s="65">
        <v>47</v>
      </c>
    </row>
    <row r="81" spans="1:16" x14ac:dyDescent="0.3">
      <c r="A81" s="65">
        <v>699</v>
      </c>
      <c r="B81" s="66">
        <v>40575</v>
      </c>
      <c r="C81" s="65">
        <v>1</v>
      </c>
      <c r="D81" s="65">
        <v>0</v>
      </c>
      <c r="E81" s="65">
        <v>2</v>
      </c>
      <c r="F81" s="65">
        <v>11</v>
      </c>
      <c r="G81" s="67" t="b">
        <v>0</v>
      </c>
      <c r="H81" s="65">
        <v>2</v>
      </c>
      <c r="I81" s="65">
        <v>2</v>
      </c>
      <c r="J81" s="65">
        <v>0.18</v>
      </c>
      <c r="K81" s="65">
        <v>0.2424</v>
      </c>
      <c r="L81" s="65">
        <v>0.86</v>
      </c>
      <c r="M81" s="65">
        <v>0</v>
      </c>
      <c r="N81" s="65">
        <v>2</v>
      </c>
      <c r="O81" s="65">
        <v>49</v>
      </c>
      <c r="P81" s="65">
        <v>51</v>
      </c>
    </row>
    <row r="82" spans="1:16" x14ac:dyDescent="0.3">
      <c r="A82" s="65">
        <v>700</v>
      </c>
      <c r="B82" s="66">
        <v>40575</v>
      </c>
      <c r="C82" s="65">
        <v>1</v>
      </c>
      <c r="D82" s="65">
        <v>0</v>
      </c>
      <c r="E82" s="65">
        <v>2</v>
      </c>
      <c r="F82" s="65">
        <v>12</v>
      </c>
      <c r="G82" s="67" t="b">
        <v>0</v>
      </c>
      <c r="H82" s="65">
        <v>2</v>
      </c>
      <c r="I82" s="65">
        <v>2</v>
      </c>
      <c r="J82" s="65">
        <v>0.2</v>
      </c>
      <c r="K82" s="65">
        <v>0.2576</v>
      </c>
      <c r="L82" s="65">
        <v>0.86</v>
      </c>
      <c r="M82" s="65">
        <v>0</v>
      </c>
      <c r="N82" s="65">
        <v>2</v>
      </c>
      <c r="O82" s="65">
        <v>53</v>
      </c>
      <c r="P82" s="65">
        <v>55</v>
      </c>
    </row>
    <row r="83" spans="1:16" x14ac:dyDescent="0.3">
      <c r="A83" s="65">
        <v>701</v>
      </c>
      <c r="B83" s="66">
        <v>40575</v>
      </c>
      <c r="C83" s="65">
        <v>1</v>
      </c>
      <c r="D83" s="65">
        <v>0</v>
      </c>
      <c r="E83" s="65">
        <v>2</v>
      </c>
      <c r="F83" s="65">
        <v>13</v>
      </c>
      <c r="G83" s="67" t="b">
        <v>0</v>
      </c>
      <c r="H83" s="65">
        <v>2</v>
      </c>
      <c r="I83" s="65">
        <v>2</v>
      </c>
      <c r="J83" s="65">
        <v>0.2</v>
      </c>
      <c r="K83" s="65">
        <v>0.2576</v>
      </c>
      <c r="L83" s="65">
        <v>0.86</v>
      </c>
      <c r="M83" s="65">
        <v>0</v>
      </c>
      <c r="N83" s="65">
        <v>3</v>
      </c>
      <c r="O83" s="65">
        <v>49</v>
      </c>
      <c r="P83" s="65">
        <v>52</v>
      </c>
    </row>
    <row r="84" spans="1:16" x14ac:dyDescent="0.3">
      <c r="A84" s="65">
        <v>702</v>
      </c>
      <c r="B84" s="66">
        <v>40575</v>
      </c>
      <c r="C84" s="65">
        <v>1</v>
      </c>
      <c r="D84" s="65">
        <v>0</v>
      </c>
      <c r="E84" s="65">
        <v>2</v>
      </c>
      <c r="F84" s="65">
        <v>14</v>
      </c>
      <c r="G84" s="67" t="b">
        <v>0</v>
      </c>
      <c r="H84" s="65">
        <v>2</v>
      </c>
      <c r="I84" s="65">
        <v>2</v>
      </c>
      <c r="J84" s="65">
        <v>0.22</v>
      </c>
      <c r="K84" s="65">
        <v>0.2576</v>
      </c>
      <c r="L84" s="65">
        <v>0.8</v>
      </c>
      <c r="M84" s="65">
        <v>8.9599999999999999E-2</v>
      </c>
      <c r="N84" s="65">
        <v>5</v>
      </c>
      <c r="O84" s="65">
        <v>49</v>
      </c>
      <c r="P84" s="65">
        <v>54</v>
      </c>
    </row>
    <row r="85" spans="1:16" x14ac:dyDescent="0.3">
      <c r="A85" s="65">
        <v>703</v>
      </c>
      <c r="B85" s="66">
        <v>40575</v>
      </c>
      <c r="C85" s="65">
        <v>1</v>
      </c>
      <c r="D85" s="65">
        <v>0</v>
      </c>
      <c r="E85" s="65">
        <v>2</v>
      </c>
      <c r="F85" s="65">
        <v>15</v>
      </c>
      <c r="G85" s="67" t="b">
        <v>0</v>
      </c>
      <c r="H85" s="65">
        <v>2</v>
      </c>
      <c r="I85" s="65">
        <v>2</v>
      </c>
      <c r="J85" s="65">
        <v>0.24</v>
      </c>
      <c r="K85" s="65">
        <v>0.28789999999999999</v>
      </c>
      <c r="L85" s="65">
        <v>0.75</v>
      </c>
      <c r="M85" s="65">
        <v>0</v>
      </c>
      <c r="N85" s="65">
        <v>7</v>
      </c>
      <c r="O85" s="65">
        <v>45</v>
      </c>
      <c r="P85" s="65">
        <v>52</v>
      </c>
    </row>
    <row r="86" spans="1:16" x14ac:dyDescent="0.3">
      <c r="A86" s="65">
        <v>704</v>
      </c>
      <c r="B86" s="66">
        <v>40575</v>
      </c>
      <c r="C86" s="65">
        <v>1</v>
      </c>
      <c r="D86" s="65">
        <v>0</v>
      </c>
      <c r="E86" s="65">
        <v>2</v>
      </c>
      <c r="F86" s="65">
        <v>16</v>
      </c>
      <c r="G86" s="67" t="b">
        <v>0</v>
      </c>
      <c r="H86" s="65">
        <v>2</v>
      </c>
      <c r="I86" s="65">
        <v>2</v>
      </c>
      <c r="J86" s="65">
        <v>0.24</v>
      </c>
      <c r="K86" s="65">
        <v>0.2424</v>
      </c>
      <c r="L86" s="65">
        <v>0.75</v>
      </c>
      <c r="M86" s="65">
        <v>0.1343</v>
      </c>
      <c r="N86" s="65">
        <v>3</v>
      </c>
      <c r="O86" s="65">
        <v>61</v>
      </c>
      <c r="P86" s="65">
        <v>64</v>
      </c>
    </row>
    <row r="87" spans="1:16" x14ac:dyDescent="0.3">
      <c r="A87" s="65">
        <v>705</v>
      </c>
      <c r="B87" s="66">
        <v>40575</v>
      </c>
      <c r="C87" s="65">
        <v>1</v>
      </c>
      <c r="D87" s="65">
        <v>0</v>
      </c>
      <c r="E87" s="65">
        <v>2</v>
      </c>
      <c r="F87" s="65">
        <v>17</v>
      </c>
      <c r="G87" s="67" t="b">
        <v>0</v>
      </c>
      <c r="H87" s="65">
        <v>2</v>
      </c>
      <c r="I87" s="65">
        <v>2</v>
      </c>
      <c r="J87" s="65">
        <v>0.24</v>
      </c>
      <c r="K87" s="65">
        <v>0.28789999999999999</v>
      </c>
      <c r="L87" s="65">
        <v>0.75</v>
      </c>
      <c r="M87" s="65">
        <v>0</v>
      </c>
      <c r="N87" s="65">
        <v>4</v>
      </c>
      <c r="O87" s="65">
        <v>172</v>
      </c>
      <c r="P87" s="65">
        <v>176</v>
      </c>
    </row>
    <row r="88" spans="1:16" x14ac:dyDescent="0.3">
      <c r="A88" s="65">
        <v>706</v>
      </c>
      <c r="B88" s="66">
        <v>40575</v>
      </c>
      <c r="C88" s="65">
        <v>1</v>
      </c>
      <c r="D88" s="65">
        <v>0</v>
      </c>
      <c r="E88" s="65">
        <v>2</v>
      </c>
      <c r="F88" s="65">
        <v>18</v>
      </c>
      <c r="G88" s="67" t="b">
        <v>0</v>
      </c>
      <c r="H88" s="65">
        <v>2</v>
      </c>
      <c r="I88" s="65">
        <v>2</v>
      </c>
      <c r="J88" s="65">
        <v>0.24</v>
      </c>
      <c r="K88" s="65">
        <v>0.2576</v>
      </c>
      <c r="L88" s="65">
        <v>0.81</v>
      </c>
      <c r="M88" s="65">
        <v>0.1045</v>
      </c>
      <c r="N88" s="65">
        <v>3</v>
      </c>
      <c r="O88" s="65">
        <v>165</v>
      </c>
      <c r="P88" s="65">
        <v>168</v>
      </c>
    </row>
    <row r="89" spans="1:16" x14ac:dyDescent="0.3">
      <c r="A89" s="65">
        <v>707</v>
      </c>
      <c r="B89" s="66">
        <v>40575</v>
      </c>
      <c r="C89" s="65">
        <v>1</v>
      </c>
      <c r="D89" s="65">
        <v>0</v>
      </c>
      <c r="E89" s="65">
        <v>2</v>
      </c>
      <c r="F89" s="65">
        <v>19</v>
      </c>
      <c r="G89" s="67" t="b">
        <v>0</v>
      </c>
      <c r="H89" s="65">
        <v>2</v>
      </c>
      <c r="I89" s="65">
        <v>2</v>
      </c>
      <c r="J89" s="65">
        <v>0.24</v>
      </c>
      <c r="K89" s="65">
        <v>0.2424</v>
      </c>
      <c r="L89" s="65">
        <v>0.81</v>
      </c>
      <c r="M89" s="65">
        <v>0.1343</v>
      </c>
      <c r="N89" s="65">
        <v>3</v>
      </c>
      <c r="O89" s="65">
        <v>105</v>
      </c>
      <c r="P89" s="65">
        <v>108</v>
      </c>
    </row>
    <row r="90" spans="1:16" x14ac:dyDescent="0.3">
      <c r="A90" s="65">
        <v>708</v>
      </c>
      <c r="B90" s="66">
        <v>40575</v>
      </c>
      <c r="C90" s="65">
        <v>1</v>
      </c>
      <c r="D90" s="65">
        <v>0</v>
      </c>
      <c r="E90" s="65">
        <v>2</v>
      </c>
      <c r="F90" s="65">
        <v>20</v>
      </c>
      <c r="G90" s="67" t="b">
        <v>0</v>
      </c>
      <c r="H90" s="65">
        <v>2</v>
      </c>
      <c r="I90" s="65">
        <v>2</v>
      </c>
      <c r="J90" s="65">
        <v>0.22</v>
      </c>
      <c r="K90" s="65">
        <v>0.2273</v>
      </c>
      <c r="L90" s="65">
        <v>0.87</v>
      </c>
      <c r="M90" s="65">
        <v>0.1343</v>
      </c>
      <c r="N90" s="65">
        <v>5</v>
      </c>
      <c r="O90" s="65">
        <v>69</v>
      </c>
      <c r="P90" s="65">
        <v>74</v>
      </c>
    </row>
    <row r="91" spans="1:16" x14ac:dyDescent="0.3">
      <c r="A91" s="65">
        <v>709</v>
      </c>
      <c r="B91" s="66">
        <v>40575</v>
      </c>
      <c r="C91" s="65">
        <v>1</v>
      </c>
      <c r="D91" s="65">
        <v>0</v>
      </c>
      <c r="E91" s="65">
        <v>2</v>
      </c>
      <c r="F91" s="65">
        <v>21</v>
      </c>
      <c r="G91" s="67" t="b">
        <v>0</v>
      </c>
      <c r="H91" s="65">
        <v>2</v>
      </c>
      <c r="I91" s="65">
        <v>2</v>
      </c>
      <c r="J91" s="65">
        <v>0.22</v>
      </c>
      <c r="K91" s="65">
        <v>0.2273</v>
      </c>
      <c r="L91" s="65">
        <v>0.87</v>
      </c>
      <c r="M91" s="65">
        <v>0.1343</v>
      </c>
      <c r="N91" s="65">
        <v>0</v>
      </c>
      <c r="O91" s="65">
        <v>64</v>
      </c>
      <c r="P91" s="65">
        <v>64</v>
      </c>
    </row>
    <row r="92" spans="1:16" x14ac:dyDescent="0.3">
      <c r="A92" s="65">
        <v>710</v>
      </c>
      <c r="B92" s="66">
        <v>40575</v>
      </c>
      <c r="C92" s="65">
        <v>1</v>
      </c>
      <c r="D92" s="65">
        <v>0</v>
      </c>
      <c r="E92" s="65">
        <v>2</v>
      </c>
      <c r="F92" s="65">
        <v>22</v>
      </c>
      <c r="G92" s="67" t="b">
        <v>0</v>
      </c>
      <c r="H92" s="65">
        <v>2</v>
      </c>
      <c r="I92" s="65">
        <v>2</v>
      </c>
      <c r="J92" s="65">
        <v>0.22</v>
      </c>
      <c r="K92" s="65">
        <v>0.2576</v>
      </c>
      <c r="L92" s="65">
        <v>0.87</v>
      </c>
      <c r="M92" s="65">
        <v>8.9599999999999999E-2</v>
      </c>
      <c r="N92" s="65">
        <v>2</v>
      </c>
      <c r="O92" s="65">
        <v>34</v>
      </c>
      <c r="P92" s="65">
        <v>36</v>
      </c>
    </row>
    <row r="93" spans="1:16" x14ac:dyDescent="0.3">
      <c r="A93" s="65">
        <v>711</v>
      </c>
      <c r="B93" s="66">
        <v>40575</v>
      </c>
      <c r="C93" s="65">
        <v>1</v>
      </c>
      <c r="D93" s="65">
        <v>0</v>
      </c>
      <c r="E93" s="65">
        <v>2</v>
      </c>
      <c r="F93" s="65">
        <v>23</v>
      </c>
      <c r="G93" s="67" t="b">
        <v>0</v>
      </c>
      <c r="H93" s="65">
        <v>2</v>
      </c>
      <c r="I93" s="65">
        <v>3</v>
      </c>
      <c r="J93" s="65">
        <v>0.2</v>
      </c>
      <c r="K93" s="65">
        <v>0.19700000000000001</v>
      </c>
      <c r="L93" s="65">
        <v>0.93</v>
      </c>
      <c r="M93" s="65">
        <v>0.19400000000000001</v>
      </c>
      <c r="N93" s="65">
        <v>1</v>
      </c>
      <c r="O93" s="65">
        <v>15</v>
      </c>
      <c r="P93" s="65">
        <v>16</v>
      </c>
    </row>
    <row r="94" spans="1:16" x14ac:dyDescent="0.3">
      <c r="A94" s="65">
        <v>712</v>
      </c>
      <c r="B94" s="66">
        <v>40576</v>
      </c>
      <c r="C94" s="65">
        <v>1</v>
      </c>
      <c r="D94" s="65">
        <v>0</v>
      </c>
      <c r="E94" s="65">
        <v>2</v>
      </c>
      <c r="F94" s="65">
        <v>0</v>
      </c>
      <c r="G94" s="67" t="b">
        <v>0</v>
      </c>
      <c r="H94" s="65">
        <v>3</v>
      </c>
      <c r="I94" s="65">
        <v>3</v>
      </c>
      <c r="J94" s="65">
        <v>0.22</v>
      </c>
      <c r="K94" s="65">
        <v>0.2424</v>
      </c>
      <c r="L94" s="65">
        <v>0.93</v>
      </c>
      <c r="M94" s="65">
        <v>0.1045</v>
      </c>
      <c r="N94" s="65">
        <v>0</v>
      </c>
      <c r="O94" s="65">
        <v>2</v>
      </c>
      <c r="P94" s="65">
        <v>2</v>
      </c>
    </row>
    <row r="95" spans="1:16" x14ac:dyDescent="0.3">
      <c r="A95" s="65">
        <v>713</v>
      </c>
      <c r="B95" s="66">
        <v>40576</v>
      </c>
      <c r="C95" s="65">
        <v>1</v>
      </c>
      <c r="D95" s="65">
        <v>0</v>
      </c>
      <c r="E95" s="65">
        <v>2</v>
      </c>
      <c r="F95" s="65">
        <v>1</v>
      </c>
      <c r="G95" s="67" t="b">
        <v>0</v>
      </c>
      <c r="H95" s="65">
        <v>3</v>
      </c>
      <c r="I95" s="65">
        <v>3</v>
      </c>
      <c r="J95" s="65">
        <v>0.22</v>
      </c>
      <c r="K95" s="65">
        <v>0.2273</v>
      </c>
      <c r="L95" s="65">
        <v>0.93</v>
      </c>
      <c r="M95" s="65">
        <v>0.19400000000000001</v>
      </c>
      <c r="N95" s="65">
        <v>0</v>
      </c>
      <c r="O95" s="65">
        <v>3</v>
      </c>
      <c r="P95" s="65">
        <v>3</v>
      </c>
    </row>
    <row r="96" spans="1:16" x14ac:dyDescent="0.3">
      <c r="A96" s="65">
        <v>714</v>
      </c>
      <c r="B96" s="66">
        <v>40576</v>
      </c>
      <c r="C96" s="65">
        <v>1</v>
      </c>
      <c r="D96" s="65">
        <v>0</v>
      </c>
      <c r="E96" s="65">
        <v>2</v>
      </c>
      <c r="F96" s="65">
        <v>2</v>
      </c>
      <c r="G96" s="67" t="b">
        <v>0</v>
      </c>
      <c r="H96" s="65">
        <v>3</v>
      </c>
      <c r="I96" s="65">
        <v>3</v>
      </c>
      <c r="J96" s="65">
        <v>0.22</v>
      </c>
      <c r="K96" s="65">
        <v>0.2273</v>
      </c>
      <c r="L96" s="65">
        <v>0.93</v>
      </c>
      <c r="M96" s="65">
        <v>0.1343</v>
      </c>
      <c r="N96" s="65">
        <v>4</v>
      </c>
      <c r="O96" s="65">
        <v>0</v>
      </c>
      <c r="P96" s="65">
        <v>4</v>
      </c>
    </row>
    <row r="97" spans="1:16" x14ac:dyDescent="0.3">
      <c r="A97" s="65">
        <v>715</v>
      </c>
      <c r="B97" s="66">
        <v>40576</v>
      </c>
      <c r="C97" s="65">
        <v>1</v>
      </c>
      <c r="D97" s="65">
        <v>0</v>
      </c>
      <c r="E97" s="65">
        <v>2</v>
      </c>
      <c r="F97" s="65">
        <v>3</v>
      </c>
      <c r="G97" s="67" t="b">
        <v>0</v>
      </c>
      <c r="H97" s="65">
        <v>3</v>
      </c>
      <c r="I97" s="65">
        <v>3</v>
      </c>
      <c r="J97" s="65">
        <v>0.22</v>
      </c>
      <c r="K97" s="65">
        <v>0.2273</v>
      </c>
      <c r="L97" s="65">
        <v>0.93</v>
      </c>
      <c r="M97" s="65">
        <v>0.1343</v>
      </c>
      <c r="N97" s="65">
        <v>0</v>
      </c>
      <c r="O97" s="65">
        <v>1</v>
      </c>
      <c r="P97" s="65">
        <v>1</v>
      </c>
    </row>
    <row r="98" spans="1:16" x14ac:dyDescent="0.3">
      <c r="A98" s="65">
        <v>716</v>
      </c>
      <c r="B98" s="66">
        <v>40576</v>
      </c>
      <c r="C98" s="65">
        <v>1</v>
      </c>
      <c r="D98" s="65">
        <v>0</v>
      </c>
      <c r="E98" s="65">
        <v>2</v>
      </c>
      <c r="F98" s="65">
        <v>4</v>
      </c>
      <c r="G98" s="67" t="b">
        <v>0</v>
      </c>
      <c r="H98" s="65">
        <v>3</v>
      </c>
      <c r="I98" s="65">
        <v>3</v>
      </c>
      <c r="J98" s="65">
        <v>0.22</v>
      </c>
      <c r="K98" s="65">
        <v>0.21210000000000001</v>
      </c>
      <c r="L98" s="65">
        <v>0.93</v>
      </c>
      <c r="M98" s="65">
        <v>0.28360000000000002</v>
      </c>
      <c r="N98" s="65">
        <v>0</v>
      </c>
      <c r="O98" s="65">
        <v>1</v>
      </c>
      <c r="P98" s="65">
        <v>1</v>
      </c>
    </row>
    <row r="99" spans="1:16" x14ac:dyDescent="0.3">
      <c r="A99" s="65">
        <v>717</v>
      </c>
      <c r="B99" s="66">
        <v>40576</v>
      </c>
      <c r="C99" s="65">
        <v>1</v>
      </c>
      <c r="D99" s="65">
        <v>0</v>
      </c>
      <c r="E99" s="65">
        <v>2</v>
      </c>
      <c r="F99" s="65">
        <v>5</v>
      </c>
      <c r="G99" s="67" t="b">
        <v>0</v>
      </c>
      <c r="H99" s="65">
        <v>3</v>
      </c>
      <c r="I99" s="65">
        <v>3</v>
      </c>
      <c r="J99" s="65">
        <v>0.22</v>
      </c>
      <c r="K99" s="65">
        <v>0.2424</v>
      </c>
      <c r="L99" s="65">
        <v>0.93</v>
      </c>
      <c r="M99" s="65">
        <v>0.1045</v>
      </c>
      <c r="N99" s="65">
        <v>0</v>
      </c>
      <c r="O99" s="65">
        <v>3</v>
      </c>
      <c r="P99" s="65">
        <v>3</v>
      </c>
    </row>
    <row r="100" spans="1:16" x14ac:dyDescent="0.3">
      <c r="A100" s="65">
        <v>718</v>
      </c>
      <c r="B100" s="66">
        <v>40576</v>
      </c>
      <c r="C100" s="65">
        <v>1</v>
      </c>
      <c r="D100" s="65">
        <v>0</v>
      </c>
      <c r="E100" s="65">
        <v>2</v>
      </c>
      <c r="F100" s="65">
        <v>6</v>
      </c>
      <c r="G100" s="67" t="b">
        <v>0</v>
      </c>
      <c r="H100" s="65">
        <v>3</v>
      </c>
      <c r="I100" s="65">
        <v>3</v>
      </c>
      <c r="J100" s="65">
        <v>0.22</v>
      </c>
      <c r="K100" s="65">
        <v>0.2424</v>
      </c>
      <c r="L100" s="65">
        <v>0.93</v>
      </c>
      <c r="M100" s="65">
        <v>0.1045</v>
      </c>
      <c r="N100" s="65">
        <v>1</v>
      </c>
      <c r="O100" s="65">
        <v>17</v>
      </c>
      <c r="P100" s="65">
        <v>18</v>
      </c>
    </row>
    <row r="101" spans="1:16" x14ac:dyDescent="0.3">
      <c r="A101" s="65">
        <v>719</v>
      </c>
      <c r="B101" s="66">
        <v>40576</v>
      </c>
      <c r="C101" s="65">
        <v>1</v>
      </c>
      <c r="D101" s="65">
        <v>0</v>
      </c>
      <c r="E101" s="65">
        <v>2</v>
      </c>
      <c r="F101" s="65">
        <v>7</v>
      </c>
      <c r="G101" s="67" t="b">
        <v>0</v>
      </c>
      <c r="H101" s="65">
        <v>3</v>
      </c>
      <c r="I101" s="65">
        <v>3</v>
      </c>
      <c r="J101" s="65">
        <v>0.22</v>
      </c>
      <c r="K101" s="65">
        <v>0.21210000000000001</v>
      </c>
      <c r="L101" s="65">
        <v>0.93</v>
      </c>
      <c r="M101" s="65">
        <v>0.22389999999999999</v>
      </c>
      <c r="N101" s="65">
        <v>1</v>
      </c>
      <c r="O101" s="65">
        <v>48</v>
      </c>
      <c r="P101" s="65">
        <v>49</v>
      </c>
    </row>
    <row r="102" spans="1:16" x14ac:dyDescent="0.3">
      <c r="A102" s="65">
        <v>720</v>
      </c>
      <c r="B102" s="66">
        <v>40576</v>
      </c>
      <c r="C102" s="65">
        <v>1</v>
      </c>
      <c r="D102" s="65">
        <v>0</v>
      </c>
      <c r="E102" s="65">
        <v>2</v>
      </c>
      <c r="F102" s="65">
        <v>8</v>
      </c>
      <c r="G102" s="67" t="b">
        <v>0</v>
      </c>
      <c r="H102" s="65">
        <v>3</v>
      </c>
      <c r="I102" s="65">
        <v>3</v>
      </c>
      <c r="J102" s="65">
        <v>0.22</v>
      </c>
      <c r="K102" s="65">
        <v>0.21210000000000001</v>
      </c>
      <c r="L102" s="65">
        <v>0.93</v>
      </c>
      <c r="M102" s="65">
        <v>0.22389999999999999</v>
      </c>
      <c r="N102" s="65">
        <v>1</v>
      </c>
      <c r="O102" s="65">
        <v>154</v>
      </c>
      <c r="P102" s="65">
        <v>155</v>
      </c>
    </row>
    <row r="103" spans="1:16" x14ac:dyDescent="0.3">
      <c r="A103" s="65">
        <v>721</v>
      </c>
      <c r="B103" s="66">
        <v>40576</v>
      </c>
      <c r="C103" s="65">
        <v>1</v>
      </c>
      <c r="D103" s="65">
        <v>0</v>
      </c>
      <c r="E103" s="65">
        <v>2</v>
      </c>
      <c r="F103" s="65">
        <v>9</v>
      </c>
      <c r="G103" s="67" t="b">
        <v>0</v>
      </c>
      <c r="H103" s="65">
        <v>3</v>
      </c>
      <c r="I103" s="65">
        <v>2</v>
      </c>
      <c r="J103" s="65">
        <v>0.24</v>
      </c>
      <c r="K103" s="65">
        <v>0.2576</v>
      </c>
      <c r="L103" s="65">
        <v>0.93</v>
      </c>
      <c r="M103" s="65">
        <v>8.9599999999999999E-2</v>
      </c>
      <c r="N103" s="65">
        <v>4</v>
      </c>
      <c r="O103" s="65">
        <v>119</v>
      </c>
      <c r="P103" s="65">
        <v>123</v>
      </c>
    </row>
    <row r="104" spans="1:16" x14ac:dyDescent="0.3">
      <c r="A104" s="65">
        <v>722</v>
      </c>
      <c r="B104" s="66">
        <v>40576</v>
      </c>
      <c r="C104" s="65">
        <v>1</v>
      </c>
      <c r="D104" s="65">
        <v>0</v>
      </c>
      <c r="E104" s="65">
        <v>2</v>
      </c>
      <c r="F104" s="65">
        <v>10</v>
      </c>
      <c r="G104" s="67" t="b">
        <v>0</v>
      </c>
      <c r="H104" s="65">
        <v>3</v>
      </c>
      <c r="I104" s="65">
        <v>2</v>
      </c>
      <c r="J104" s="65">
        <v>0.22</v>
      </c>
      <c r="K104" s="65">
        <v>0.2727</v>
      </c>
      <c r="L104" s="65">
        <v>1</v>
      </c>
      <c r="M104" s="65">
        <v>0</v>
      </c>
      <c r="N104" s="65">
        <v>2</v>
      </c>
      <c r="O104" s="65">
        <v>59</v>
      </c>
      <c r="P104" s="65">
        <v>61</v>
      </c>
    </row>
    <row r="105" spans="1:16" x14ac:dyDescent="0.3">
      <c r="A105" s="65">
        <v>723</v>
      </c>
      <c r="B105" s="66">
        <v>40576</v>
      </c>
      <c r="C105" s="65">
        <v>1</v>
      </c>
      <c r="D105" s="65">
        <v>0</v>
      </c>
      <c r="E105" s="65">
        <v>2</v>
      </c>
      <c r="F105" s="65">
        <v>11</v>
      </c>
      <c r="G105" s="67" t="b">
        <v>0</v>
      </c>
      <c r="H105" s="65">
        <v>3</v>
      </c>
      <c r="I105" s="65">
        <v>2</v>
      </c>
      <c r="J105" s="65">
        <v>0.24</v>
      </c>
      <c r="K105" s="65">
        <v>0.2273</v>
      </c>
      <c r="L105" s="65">
        <v>0.93</v>
      </c>
      <c r="M105" s="65">
        <v>0.19400000000000001</v>
      </c>
      <c r="N105" s="65">
        <v>5</v>
      </c>
      <c r="O105" s="65">
        <v>47</v>
      </c>
      <c r="P105" s="65">
        <v>52</v>
      </c>
    </row>
    <row r="106" spans="1:16" x14ac:dyDescent="0.3">
      <c r="A106" s="65">
        <v>724</v>
      </c>
      <c r="B106" s="66">
        <v>40576</v>
      </c>
      <c r="C106" s="65">
        <v>1</v>
      </c>
      <c r="D106" s="65">
        <v>0</v>
      </c>
      <c r="E106" s="65">
        <v>2</v>
      </c>
      <c r="F106" s="65">
        <v>12</v>
      </c>
      <c r="G106" s="67" t="b">
        <v>0</v>
      </c>
      <c r="H106" s="65">
        <v>3</v>
      </c>
      <c r="I106" s="65">
        <v>2</v>
      </c>
      <c r="J106" s="65">
        <v>0.24</v>
      </c>
      <c r="K106" s="65">
        <v>0.2273</v>
      </c>
      <c r="L106" s="65">
        <v>0.93</v>
      </c>
      <c r="M106" s="65">
        <v>0.22389999999999999</v>
      </c>
      <c r="N106" s="65">
        <v>3</v>
      </c>
      <c r="O106" s="65">
        <v>61</v>
      </c>
      <c r="P106" s="65">
        <v>64</v>
      </c>
    </row>
    <row r="107" spans="1:16" x14ac:dyDescent="0.3">
      <c r="A107" s="65">
        <v>725</v>
      </c>
      <c r="B107" s="66">
        <v>40576</v>
      </c>
      <c r="C107" s="65">
        <v>1</v>
      </c>
      <c r="D107" s="65">
        <v>0</v>
      </c>
      <c r="E107" s="65">
        <v>2</v>
      </c>
      <c r="F107" s="65">
        <v>13</v>
      </c>
      <c r="G107" s="67" t="b">
        <v>0</v>
      </c>
      <c r="H107" s="65">
        <v>3</v>
      </c>
      <c r="I107" s="65">
        <v>1</v>
      </c>
      <c r="J107" s="65">
        <v>0.34</v>
      </c>
      <c r="K107" s="65">
        <v>0.33329999999999999</v>
      </c>
      <c r="L107" s="65">
        <v>0.93</v>
      </c>
      <c r="M107" s="65">
        <v>0.16420000000000001</v>
      </c>
      <c r="N107" s="65">
        <v>1</v>
      </c>
      <c r="O107" s="65">
        <v>74</v>
      </c>
      <c r="P107" s="65">
        <v>75</v>
      </c>
    </row>
    <row r="108" spans="1:16" x14ac:dyDescent="0.3">
      <c r="A108" s="65">
        <v>726</v>
      </c>
      <c r="B108" s="66">
        <v>40576</v>
      </c>
      <c r="C108" s="65">
        <v>1</v>
      </c>
      <c r="D108" s="65">
        <v>0</v>
      </c>
      <c r="E108" s="65">
        <v>2</v>
      </c>
      <c r="F108" s="65">
        <v>14</v>
      </c>
      <c r="G108" s="67" t="b">
        <v>0</v>
      </c>
      <c r="H108" s="65">
        <v>3</v>
      </c>
      <c r="I108" s="65">
        <v>1</v>
      </c>
      <c r="J108" s="65">
        <v>0.38</v>
      </c>
      <c r="K108" s="65">
        <v>0.39389999999999997</v>
      </c>
      <c r="L108" s="65">
        <v>0.82</v>
      </c>
      <c r="M108" s="65">
        <v>0.3881</v>
      </c>
      <c r="N108" s="65">
        <v>2</v>
      </c>
      <c r="O108" s="65">
        <v>61</v>
      </c>
      <c r="P108" s="65">
        <v>63</v>
      </c>
    </row>
    <row r="109" spans="1:16" x14ac:dyDescent="0.3">
      <c r="A109" s="65">
        <v>727</v>
      </c>
      <c r="B109" s="66">
        <v>40576</v>
      </c>
      <c r="C109" s="65">
        <v>1</v>
      </c>
      <c r="D109" s="65">
        <v>0</v>
      </c>
      <c r="E109" s="65">
        <v>2</v>
      </c>
      <c r="F109" s="65">
        <v>15</v>
      </c>
      <c r="G109" s="67" t="b">
        <v>0</v>
      </c>
      <c r="H109" s="65">
        <v>3</v>
      </c>
      <c r="I109" s="65">
        <v>1</v>
      </c>
      <c r="J109" s="65">
        <v>0.38</v>
      </c>
      <c r="K109" s="65">
        <v>0.39389999999999997</v>
      </c>
      <c r="L109" s="65">
        <v>0.76</v>
      </c>
      <c r="M109" s="65">
        <v>0.32840000000000003</v>
      </c>
      <c r="N109" s="65">
        <v>10</v>
      </c>
      <c r="O109" s="65">
        <v>66</v>
      </c>
      <c r="P109" s="65">
        <v>76</v>
      </c>
    </row>
    <row r="110" spans="1:16" x14ac:dyDescent="0.3">
      <c r="A110" s="65">
        <v>728</v>
      </c>
      <c r="B110" s="66">
        <v>40576</v>
      </c>
      <c r="C110" s="65">
        <v>1</v>
      </c>
      <c r="D110" s="65">
        <v>0</v>
      </c>
      <c r="E110" s="65">
        <v>2</v>
      </c>
      <c r="F110" s="65">
        <v>16</v>
      </c>
      <c r="G110" s="67" t="b">
        <v>0</v>
      </c>
      <c r="H110" s="65">
        <v>3</v>
      </c>
      <c r="I110" s="65">
        <v>1</v>
      </c>
      <c r="J110" s="65">
        <v>0.36</v>
      </c>
      <c r="K110" s="65">
        <v>0.33329999999999999</v>
      </c>
      <c r="L110" s="65">
        <v>0.71</v>
      </c>
      <c r="M110" s="65">
        <v>0.29849999999999999</v>
      </c>
      <c r="N110" s="65">
        <v>8</v>
      </c>
      <c r="O110" s="65">
        <v>95</v>
      </c>
      <c r="P110" s="65">
        <v>103</v>
      </c>
    </row>
    <row r="111" spans="1:16" x14ac:dyDescent="0.3">
      <c r="A111" s="65">
        <v>729</v>
      </c>
      <c r="B111" s="66">
        <v>40576</v>
      </c>
      <c r="C111" s="65">
        <v>1</v>
      </c>
      <c r="D111" s="65">
        <v>0</v>
      </c>
      <c r="E111" s="65">
        <v>2</v>
      </c>
      <c r="F111" s="65">
        <v>17</v>
      </c>
      <c r="G111" s="67" t="b">
        <v>0</v>
      </c>
      <c r="H111" s="65">
        <v>3</v>
      </c>
      <c r="I111" s="65">
        <v>1</v>
      </c>
      <c r="J111" s="65">
        <v>0.36</v>
      </c>
      <c r="K111" s="65">
        <v>0.31819999999999998</v>
      </c>
      <c r="L111" s="65">
        <v>0.53</v>
      </c>
      <c r="M111" s="65">
        <v>0.52239999999999998</v>
      </c>
      <c r="N111" s="65">
        <v>7</v>
      </c>
      <c r="O111" s="65">
        <v>183</v>
      </c>
      <c r="P111" s="65">
        <v>190</v>
      </c>
    </row>
    <row r="112" spans="1:16" x14ac:dyDescent="0.3">
      <c r="A112" s="65">
        <v>730</v>
      </c>
      <c r="B112" s="66">
        <v>40576</v>
      </c>
      <c r="C112" s="65">
        <v>1</v>
      </c>
      <c r="D112" s="65">
        <v>0</v>
      </c>
      <c r="E112" s="65">
        <v>2</v>
      </c>
      <c r="F112" s="65">
        <v>18</v>
      </c>
      <c r="G112" s="67" t="b">
        <v>0</v>
      </c>
      <c r="H112" s="65">
        <v>3</v>
      </c>
      <c r="I112" s="65">
        <v>1</v>
      </c>
      <c r="J112" s="65">
        <v>0.34</v>
      </c>
      <c r="K112" s="65">
        <v>0.28789999999999999</v>
      </c>
      <c r="L112" s="65">
        <v>0.42</v>
      </c>
      <c r="M112" s="65">
        <v>0.55220000000000002</v>
      </c>
      <c r="N112" s="65">
        <v>7</v>
      </c>
      <c r="O112" s="65">
        <v>175</v>
      </c>
      <c r="P112" s="65">
        <v>182</v>
      </c>
    </row>
    <row r="113" spans="1:16" x14ac:dyDescent="0.3">
      <c r="A113" s="65">
        <v>731</v>
      </c>
      <c r="B113" s="66">
        <v>40576</v>
      </c>
      <c r="C113" s="65">
        <v>1</v>
      </c>
      <c r="D113" s="65">
        <v>0</v>
      </c>
      <c r="E113" s="65">
        <v>2</v>
      </c>
      <c r="F113" s="65">
        <v>19</v>
      </c>
      <c r="G113" s="67" t="b">
        <v>0</v>
      </c>
      <c r="H113" s="65">
        <v>3</v>
      </c>
      <c r="I113" s="65">
        <v>1</v>
      </c>
      <c r="J113" s="65">
        <v>0.28000000000000003</v>
      </c>
      <c r="K113" s="65">
        <v>0.2424</v>
      </c>
      <c r="L113" s="65">
        <v>0.45</v>
      </c>
      <c r="M113" s="65">
        <v>0.49249999999999999</v>
      </c>
      <c r="N113" s="65">
        <v>3</v>
      </c>
      <c r="O113" s="65">
        <v>88</v>
      </c>
      <c r="P113" s="65">
        <v>91</v>
      </c>
    </row>
    <row r="114" spans="1:16" x14ac:dyDescent="0.3">
      <c r="A114" s="65">
        <v>732</v>
      </c>
      <c r="B114" s="66">
        <v>40576</v>
      </c>
      <c r="C114" s="65">
        <v>1</v>
      </c>
      <c r="D114" s="65">
        <v>0</v>
      </c>
      <c r="E114" s="65">
        <v>2</v>
      </c>
      <c r="F114" s="65">
        <v>20</v>
      </c>
      <c r="G114" s="67" t="b">
        <v>0</v>
      </c>
      <c r="H114" s="65">
        <v>3</v>
      </c>
      <c r="I114" s="65">
        <v>1</v>
      </c>
      <c r="J114" s="65">
        <v>0.24</v>
      </c>
      <c r="K114" s="65">
        <v>0.19700000000000001</v>
      </c>
      <c r="L114" s="65">
        <v>0.48</v>
      </c>
      <c r="M114" s="65">
        <v>0.55220000000000002</v>
      </c>
      <c r="N114" s="65">
        <v>4</v>
      </c>
      <c r="O114" s="65">
        <v>71</v>
      </c>
      <c r="P114" s="65">
        <v>75</v>
      </c>
    </row>
    <row r="115" spans="1:16" x14ac:dyDescent="0.3">
      <c r="A115" s="65">
        <v>733</v>
      </c>
      <c r="B115" s="66">
        <v>40576</v>
      </c>
      <c r="C115" s="65">
        <v>1</v>
      </c>
      <c r="D115" s="65">
        <v>0</v>
      </c>
      <c r="E115" s="65">
        <v>2</v>
      </c>
      <c r="F115" s="65">
        <v>21</v>
      </c>
      <c r="G115" s="67" t="b">
        <v>0</v>
      </c>
      <c r="H115" s="65">
        <v>3</v>
      </c>
      <c r="I115" s="65">
        <v>1</v>
      </c>
      <c r="J115" s="65">
        <v>0.22</v>
      </c>
      <c r="K115" s="65">
        <v>0.19700000000000001</v>
      </c>
      <c r="L115" s="65">
        <v>0.47</v>
      </c>
      <c r="M115" s="65">
        <v>0.32840000000000003</v>
      </c>
      <c r="N115" s="65">
        <v>1</v>
      </c>
      <c r="O115" s="65">
        <v>62</v>
      </c>
      <c r="P115" s="65">
        <v>63</v>
      </c>
    </row>
    <row r="116" spans="1:16" x14ac:dyDescent="0.3">
      <c r="A116" s="65">
        <v>734</v>
      </c>
      <c r="B116" s="66">
        <v>40576</v>
      </c>
      <c r="C116" s="65">
        <v>1</v>
      </c>
      <c r="D116" s="65">
        <v>0</v>
      </c>
      <c r="E116" s="65">
        <v>2</v>
      </c>
      <c r="F116" s="65">
        <v>22</v>
      </c>
      <c r="G116" s="67" t="b">
        <v>0</v>
      </c>
      <c r="H116" s="65">
        <v>3</v>
      </c>
      <c r="I116" s="65">
        <v>1</v>
      </c>
      <c r="J116" s="65">
        <v>0.22</v>
      </c>
      <c r="K116" s="65">
        <v>0.21210000000000001</v>
      </c>
      <c r="L116" s="65">
        <v>0.44</v>
      </c>
      <c r="M116" s="65">
        <v>0.25369999999999998</v>
      </c>
      <c r="N116" s="65">
        <v>5</v>
      </c>
      <c r="O116" s="65">
        <v>35</v>
      </c>
      <c r="P116" s="65">
        <v>40</v>
      </c>
    </row>
    <row r="117" spans="1:16" x14ac:dyDescent="0.3">
      <c r="A117" s="65">
        <v>735</v>
      </c>
      <c r="B117" s="66">
        <v>40576</v>
      </c>
      <c r="C117" s="65">
        <v>1</v>
      </c>
      <c r="D117" s="65">
        <v>0</v>
      </c>
      <c r="E117" s="65">
        <v>2</v>
      </c>
      <c r="F117" s="65">
        <v>23</v>
      </c>
      <c r="G117" s="67" t="b">
        <v>0</v>
      </c>
      <c r="H117" s="65">
        <v>3</v>
      </c>
      <c r="I117" s="65">
        <v>1</v>
      </c>
      <c r="J117" s="65">
        <v>0.2</v>
      </c>
      <c r="K117" s="65">
        <v>0.16669999999999999</v>
      </c>
      <c r="L117" s="65">
        <v>0.44</v>
      </c>
      <c r="M117" s="65">
        <v>0.44779999999999998</v>
      </c>
      <c r="N117" s="65">
        <v>3</v>
      </c>
      <c r="O117" s="65">
        <v>29</v>
      </c>
      <c r="P117" s="65">
        <v>32</v>
      </c>
    </row>
    <row r="118" spans="1:16" x14ac:dyDescent="0.3">
      <c r="A118" s="65">
        <v>736</v>
      </c>
      <c r="B118" s="66">
        <v>40577</v>
      </c>
      <c r="C118" s="65">
        <v>1</v>
      </c>
      <c r="D118" s="65">
        <v>0</v>
      </c>
      <c r="E118" s="65">
        <v>2</v>
      </c>
      <c r="F118" s="65">
        <v>0</v>
      </c>
      <c r="G118" s="67" t="b">
        <v>0</v>
      </c>
      <c r="H118" s="65">
        <v>4</v>
      </c>
      <c r="I118" s="65">
        <v>1</v>
      </c>
      <c r="J118" s="65">
        <v>0.2</v>
      </c>
      <c r="K118" s="65">
        <v>0.16669999999999999</v>
      </c>
      <c r="L118" s="65">
        <v>0.4</v>
      </c>
      <c r="M118" s="65">
        <v>0.44779999999999998</v>
      </c>
      <c r="N118" s="65">
        <v>1</v>
      </c>
      <c r="O118" s="65">
        <v>11</v>
      </c>
      <c r="P118" s="65">
        <v>12</v>
      </c>
    </row>
    <row r="119" spans="1:16" x14ac:dyDescent="0.3">
      <c r="A119" s="65">
        <v>737</v>
      </c>
      <c r="B119" s="66">
        <v>40577</v>
      </c>
      <c r="C119" s="65">
        <v>1</v>
      </c>
      <c r="D119" s="65">
        <v>0</v>
      </c>
      <c r="E119" s="65">
        <v>2</v>
      </c>
      <c r="F119" s="65">
        <v>1</v>
      </c>
      <c r="G119" s="67" t="b">
        <v>0</v>
      </c>
      <c r="H119" s="65">
        <v>4</v>
      </c>
      <c r="I119" s="65">
        <v>1</v>
      </c>
      <c r="J119" s="65">
        <v>0.2</v>
      </c>
      <c r="K119" s="65">
        <v>0.1515</v>
      </c>
      <c r="L119" s="65">
        <v>0.44</v>
      </c>
      <c r="M119" s="65">
        <v>0.52239999999999998</v>
      </c>
      <c r="N119" s="65">
        <v>0</v>
      </c>
      <c r="O119" s="65">
        <v>5</v>
      </c>
      <c r="P119" s="65">
        <v>5</v>
      </c>
    </row>
    <row r="120" spans="1:16" x14ac:dyDescent="0.3">
      <c r="A120" s="65">
        <v>738</v>
      </c>
      <c r="B120" s="66">
        <v>40577</v>
      </c>
      <c r="C120" s="65">
        <v>1</v>
      </c>
      <c r="D120" s="65">
        <v>0</v>
      </c>
      <c r="E120" s="65">
        <v>2</v>
      </c>
      <c r="F120" s="65">
        <v>2</v>
      </c>
      <c r="G120" s="67" t="b">
        <v>0</v>
      </c>
      <c r="H120" s="65">
        <v>4</v>
      </c>
      <c r="I120" s="65">
        <v>1</v>
      </c>
      <c r="J120" s="65">
        <v>0.18</v>
      </c>
      <c r="K120" s="65">
        <v>0.16669999999999999</v>
      </c>
      <c r="L120" s="65">
        <v>0.43</v>
      </c>
      <c r="M120" s="65">
        <v>0.25369999999999998</v>
      </c>
      <c r="N120" s="65">
        <v>0</v>
      </c>
      <c r="O120" s="65">
        <v>2</v>
      </c>
      <c r="P120" s="65">
        <v>2</v>
      </c>
    </row>
    <row r="121" spans="1:16" x14ac:dyDescent="0.3">
      <c r="A121" s="65">
        <v>739</v>
      </c>
      <c r="B121" s="66">
        <v>40577</v>
      </c>
      <c r="C121" s="65">
        <v>1</v>
      </c>
      <c r="D121" s="65">
        <v>0</v>
      </c>
      <c r="E121" s="65">
        <v>2</v>
      </c>
      <c r="F121" s="65">
        <v>3</v>
      </c>
      <c r="G121" s="67" t="b">
        <v>0</v>
      </c>
      <c r="H121" s="65">
        <v>4</v>
      </c>
      <c r="I121" s="65">
        <v>1</v>
      </c>
      <c r="J121" s="65">
        <v>0.18</v>
      </c>
      <c r="K121" s="65">
        <v>0.16669999999999999</v>
      </c>
      <c r="L121" s="65">
        <v>0.43</v>
      </c>
      <c r="M121" s="65">
        <v>0.25369999999999998</v>
      </c>
      <c r="N121" s="65">
        <v>0</v>
      </c>
      <c r="O121" s="65">
        <v>1</v>
      </c>
      <c r="P121" s="65">
        <v>1</v>
      </c>
    </row>
    <row r="122" spans="1:16" x14ac:dyDescent="0.3">
      <c r="A122" s="65">
        <v>740</v>
      </c>
      <c r="B122" s="66">
        <v>40577</v>
      </c>
      <c r="C122" s="65">
        <v>1</v>
      </c>
      <c r="D122" s="65">
        <v>0</v>
      </c>
      <c r="E122" s="65">
        <v>2</v>
      </c>
      <c r="F122" s="65">
        <v>5</v>
      </c>
      <c r="G122" s="67" t="b">
        <v>0</v>
      </c>
      <c r="H122" s="65">
        <v>4</v>
      </c>
      <c r="I122" s="65">
        <v>1</v>
      </c>
      <c r="J122" s="65">
        <v>0.16</v>
      </c>
      <c r="K122" s="65">
        <v>0.13639999999999999</v>
      </c>
      <c r="L122" s="65">
        <v>0.5</v>
      </c>
      <c r="M122" s="65">
        <v>0.29849999999999999</v>
      </c>
      <c r="N122" s="65">
        <v>0</v>
      </c>
      <c r="O122" s="65">
        <v>2</v>
      </c>
      <c r="P122" s="65">
        <v>2</v>
      </c>
    </row>
    <row r="123" spans="1:16" x14ac:dyDescent="0.3">
      <c r="A123" s="65">
        <v>741</v>
      </c>
      <c r="B123" s="66">
        <v>40577</v>
      </c>
      <c r="C123" s="65">
        <v>1</v>
      </c>
      <c r="D123" s="65">
        <v>0</v>
      </c>
      <c r="E123" s="65">
        <v>2</v>
      </c>
      <c r="F123" s="65">
        <v>6</v>
      </c>
      <c r="G123" s="67" t="b">
        <v>0</v>
      </c>
      <c r="H123" s="65">
        <v>4</v>
      </c>
      <c r="I123" s="65">
        <v>1</v>
      </c>
      <c r="J123" s="65">
        <v>0.16</v>
      </c>
      <c r="K123" s="65">
        <v>0.13639999999999999</v>
      </c>
      <c r="L123" s="65">
        <v>0.43</v>
      </c>
      <c r="M123" s="65">
        <v>0.35820000000000002</v>
      </c>
      <c r="N123" s="65">
        <v>0</v>
      </c>
      <c r="O123" s="65">
        <v>39</v>
      </c>
      <c r="P123" s="65">
        <v>39</v>
      </c>
    </row>
    <row r="124" spans="1:16" x14ac:dyDescent="0.3">
      <c r="A124" s="65">
        <v>742</v>
      </c>
      <c r="B124" s="66">
        <v>40577</v>
      </c>
      <c r="C124" s="65">
        <v>1</v>
      </c>
      <c r="D124" s="65">
        <v>0</v>
      </c>
      <c r="E124" s="65">
        <v>2</v>
      </c>
      <c r="F124" s="65">
        <v>7</v>
      </c>
      <c r="G124" s="67" t="b">
        <v>0</v>
      </c>
      <c r="H124" s="65">
        <v>4</v>
      </c>
      <c r="I124" s="65">
        <v>1</v>
      </c>
      <c r="J124" s="65">
        <v>0.14000000000000001</v>
      </c>
      <c r="K124" s="65">
        <v>0.1212</v>
      </c>
      <c r="L124" s="65">
        <v>0.5</v>
      </c>
      <c r="M124" s="65">
        <v>0.32840000000000003</v>
      </c>
      <c r="N124" s="65">
        <v>1</v>
      </c>
      <c r="O124" s="65">
        <v>86</v>
      </c>
      <c r="P124" s="65">
        <v>87</v>
      </c>
    </row>
    <row r="125" spans="1:16" x14ac:dyDescent="0.3">
      <c r="A125" s="65">
        <v>743</v>
      </c>
      <c r="B125" s="66">
        <v>40577</v>
      </c>
      <c r="C125" s="65">
        <v>1</v>
      </c>
      <c r="D125" s="65">
        <v>0</v>
      </c>
      <c r="E125" s="65">
        <v>2</v>
      </c>
      <c r="F125" s="65">
        <v>8</v>
      </c>
      <c r="G125" s="67" t="b">
        <v>0</v>
      </c>
      <c r="H125" s="65">
        <v>4</v>
      </c>
      <c r="I125" s="65">
        <v>1</v>
      </c>
      <c r="J125" s="65">
        <v>0.14000000000000001</v>
      </c>
      <c r="K125" s="65">
        <v>0.1212</v>
      </c>
      <c r="L125" s="65">
        <v>0.5</v>
      </c>
      <c r="M125" s="65">
        <v>0.35820000000000002</v>
      </c>
      <c r="N125" s="65">
        <v>4</v>
      </c>
      <c r="O125" s="65">
        <v>184</v>
      </c>
      <c r="P125" s="65">
        <v>188</v>
      </c>
    </row>
    <row r="126" spans="1:16" x14ac:dyDescent="0.3">
      <c r="A126" s="65">
        <v>744</v>
      </c>
      <c r="B126" s="66">
        <v>40577</v>
      </c>
      <c r="C126" s="65">
        <v>1</v>
      </c>
      <c r="D126" s="65">
        <v>0</v>
      </c>
      <c r="E126" s="65">
        <v>2</v>
      </c>
      <c r="F126" s="65">
        <v>9</v>
      </c>
      <c r="G126" s="67" t="b">
        <v>0</v>
      </c>
      <c r="H126" s="65">
        <v>4</v>
      </c>
      <c r="I126" s="65">
        <v>1</v>
      </c>
      <c r="J126" s="65">
        <v>0.16</v>
      </c>
      <c r="K126" s="65">
        <v>0.13639999999999999</v>
      </c>
      <c r="L126" s="65">
        <v>0.47</v>
      </c>
      <c r="M126" s="65">
        <v>0.29849999999999999</v>
      </c>
      <c r="N126" s="65">
        <v>6</v>
      </c>
      <c r="O126" s="65">
        <v>127</v>
      </c>
      <c r="P126" s="65">
        <v>133</v>
      </c>
    </row>
    <row r="127" spans="1:16" x14ac:dyDescent="0.3">
      <c r="A127" s="65">
        <v>745</v>
      </c>
      <c r="B127" s="66">
        <v>40577</v>
      </c>
      <c r="C127" s="65">
        <v>1</v>
      </c>
      <c r="D127" s="65">
        <v>0</v>
      </c>
      <c r="E127" s="65">
        <v>2</v>
      </c>
      <c r="F127" s="65">
        <v>10</v>
      </c>
      <c r="G127" s="67" t="b">
        <v>0</v>
      </c>
      <c r="H127" s="65">
        <v>4</v>
      </c>
      <c r="I127" s="65">
        <v>1</v>
      </c>
      <c r="J127" s="65">
        <v>0.18</v>
      </c>
      <c r="K127" s="65">
        <v>0.1515</v>
      </c>
      <c r="L127" s="65">
        <v>0.43</v>
      </c>
      <c r="M127" s="65">
        <v>0.32840000000000003</v>
      </c>
      <c r="N127" s="65">
        <v>2</v>
      </c>
      <c r="O127" s="65">
        <v>50</v>
      </c>
      <c r="P127" s="65">
        <v>52</v>
      </c>
    </row>
    <row r="128" spans="1:16" x14ac:dyDescent="0.3">
      <c r="A128" s="65">
        <v>746</v>
      </c>
      <c r="B128" s="66">
        <v>40577</v>
      </c>
      <c r="C128" s="65">
        <v>1</v>
      </c>
      <c r="D128" s="65">
        <v>0</v>
      </c>
      <c r="E128" s="65">
        <v>2</v>
      </c>
      <c r="F128" s="65">
        <v>11</v>
      </c>
      <c r="G128" s="67" t="b">
        <v>0</v>
      </c>
      <c r="H128" s="65">
        <v>4</v>
      </c>
      <c r="I128" s="65">
        <v>1</v>
      </c>
      <c r="J128" s="65">
        <v>0.18</v>
      </c>
      <c r="K128" s="65">
        <v>0.13639999999999999</v>
      </c>
      <c r="L128" s="65">
        <v>0.43</v>
      </c>
      <c r="M128" s="65">
        <v>0.44779999999999998</v>
      </c>
      <c r="N128" s="65">
        <v>9</v>
      </c>
      <c r="O128" s="65">
        <v>55</v>
      </c>
      <c r="P128" s="65">
        <v>64</v>
      </c>
    </row>
    <row r="129" spans="1:16" x14ac:dyDescent="0.3">
      <c r="A129" s="65">
        <v>747</v>
      </c>
      <c r="B129" s="66">
        <v>40577</v>
      </c>
      <c r="C129" s="65">
        <v>1</v>
      </c>
      <c r="D129" s="65">
        <v>0</v>
      </c>
      <c r="E129" s="65">
        <v>2</v>
      </c>
      <c r="F129" s="65">
        <v>12</v>
      </c>
      <c r="G129" s="67" t="b">
        <v>0</v>
      </c>
      <c r="H129" s="65">
        <v>4</v>
      </c>
      <c r="I129" s="65">
        <v>1</v>
      </c>
      <c r="J129" s="65">
        <v>0.2</v>
      </c>
      <c r="K129" s="65">
        <v>0.18179999999999999</v>
      </c>
      <c r="L129" s="65">
        <v>0.4</v>
      </c>
      <c r="M129" s="65">
        <v>0.35820000000000002</v>
      </c>
      <c r="N129" s="65">
        <v>2</v>
      </c>
      <c r="O129" s="65">
        <v>67</v>
      </c>
      <c r="P129" s="65">
        <v>69</v>
      </c>
    </row>
    <row r="130" spans="1:16" x14ac:dyDescent="0.3">
      <c r="A130" s="65">
        <v>748</v>
      </c>
      <c r="B130" s="66">
        <v>40577</v>
      </c>
      <c r="C130" s="65">
        <v>1</v>
      </c>
      <c r="D130" s="65">
        <v>0</v>
      </c>
      <c r="E130" s="65">
        <v>2</v>
      </c>
      <c r="F130" s="65">
        <v>13</v>
      </c>
      <c r="G130" s="67" t="b">
        <v>0</v>
      </c>
      <c r="H130" s="65">
        <v>4</v>
      </c>
      <c r="I130" s="65">
        <v>1</v>
      </c>
      <c r="J130" s="65">
        <v>0.2</v>
      </c>
      <c r="K130" s="65">
        <v>0.16669999999999999</v>
      </c>
      <c r="L130" s="65">
        <v>0.4</v>
      </c>
      <c r="M130" s="65">
        <v>0.41789999999999999</v>
      </c>
      <c r="N130" s="65">
        <v>4</v>
      </c>
      <c r="O130" s="65">
        <v>47</v>
      </c>
      <c r="P130" s="65">
        <v>51</v>
      </c>
    </row>
    <row r="131" spans="1:16" x14ac:dyDescent="0.3">
      <c r="A131" s="65">
        <v>749</v>
      </c>
      <c r="B131" s="66">
        <v>40577</v>
      </c>
      <c r="C131" s="65">
        <v>1</v>
      </c>
      <c r="D131" s="65">
        <v>0</v>
      </c>
      <c r="E131" s="65">
        <v>2</v>
      </c>
      <c r="F131" s="65">
        <v>14</v>
      </c>
      <c r="G131" s="67" t="b">
        <v>0</v>
      </c>
      <c r="H131" s="65">
        <v>4</v>
      </c>
      <c r="I131" s="65">
        <v>1</v>
      </c>
      <c r="J131" s="65">
        <v>0.22</v>
      </c>
      <c r="K131" s="65">
        <v>0.19700000000000001</v>
      </c>
      <c r="L131" s="65">
        <v>0.37</v>
      </c>
      <c r="M131" s="65">
        <v>0.3881</v>
      </c>
      <c r="N131" s="65">
        <v>4</v>
      </c>
      <c r="O131" s="65">
        <v>43</v>
      </c>
      <c r="P131" s="65">
        <v>47</v>
      </c>
    </row>
    <row r="132" spans="1:16" x14ac:dyDescent="0.3">
      <c r="A132" s="65">
        <v>750</v>
      </c>
      <c r="B132" s="66">
        <v>40577</v>
      </c>
      <c r="C132" s="65">
        <v>1</v>
      </c>
      <c r="D132" s="65">
        <v>0</v>
      </c>
      <c r="E132" s="65">
        <v>2</v>
      </c>
      <c r="F132" s="65">
        <v>15</v>
      </c>
      <c r="G132" s="67" t="b">
        <v>0</v>
      </c>
      <c r="H132" s="65">
        <v>4</v>
      </c>
      <c r="I132" s="65">
        <v>1</v>
      </c>
      <c r="J132" s="65">
        <v>0.22</v>
      </c>
      <c r="K132" s="65">
        <v>0.19700000000000001</v>
      </c>
      <c r="L132" s="65">
        <v>0.37</v>
      </c>
      <c r="M132" s="65">
        <v>0.32840000000000003</v>
      </c>
      <c r="N132" s="65">
        <v>4</v>
      </c>
      <c r="O132" s="65">
        <v>56</v>
      </c>
      <c r="P132" s="65">
        <v>60</v>
      </c>
    </row>
    <row r="133" spans="1:16" x14ac:dyDescent="0.3">
      <c r="A133" s="65">
        <v>751</v>
      </c>
      <c r="B133" s="66">
        <v>40577</v>
      </c>
      <c r="C133" s="65">
        <v>1</v>
      </c>
      <c r="D133" s="65">
        <v>0</v>
      </c>
      <c r="E133" s="65">
        <v>2</v>
      </c>
      <c r="F133" s="65">
        <v>16</v>
      </c>
      <c r="G133" s="67" t="b">
        <v>0</v>
      </c>
      <c r="H133" s="65">
        <v>4</v>
      </c>
      <c r="I133" s="65">
        <v>1</v>
      </c>
      <c r="J133" s="65">
        <v>0.22</v>
      </c>
      <c r="K133" s="65">
        <v>0.21210000000000001</v>
      </c>
      <c r="L133" s="65">
        <v>0.37</v>
      </c>
      <c r="M133" s="65">
        <v>0.25369999999999998</v>
      </c>
      <c r="N133" s="65">
        <v>5</v>
      </c>
      <c r="O133" s="65">
        <v>73</v>
      </c>
      <c r="P133" s="65">
        <v>78</v>
      </c>
    </row>
    <row r="134" spans="1:16" x14ac:dyDescent="0.3">
      <c r="A134" s="65">
        <v>752</v>
      </c>
      <c r="B134" s="66">
        <v>40577</v>
      </c>
      <c r="C134" s="65">
        <v>1</v>
      </c>
      <c r="D134" s="65">
        <v>0</v>
      </c>
      <c r="E134" s="65">
        <v>2</v>
      </c>
      <c r="F134" s="65">
        <v>17</v>
      </c>
      <c r="G134" s="67" t="b">
        <v>0</v>
      </c>
      <c r="H134" s="65">
        <v>4</v>
      </c>
      <c r="I134" s="65">
        <v>1</v>
      </c>
      <c r="J134" s="65">
        <v>0.2</v>
      </c>
      <c r="K134" s="65">
        <v>0.19700000000000001</v>
      </c>
      <c r="L134" s="65">
        <v>0.4</v>
      </c>
      <c r="M134" s="65">
        <v>0.19400000000000001</v>
      </c>
      <c r="N134" s="65">
        <v>5</v>
      </c>
      <c r="O134" s="65">
        <v>170</v>
      </c>
      <c r="P134" s="65">
        <v>175</v>
      </c>
    </row>
    <row r="135" spans="1:16" x14ac:dyDescent="0.3">
      <c r="A135" s="65">
        <v>753</v>
      </c>
      <c r="B135" s="66">
        <v>40577</v>
      </c>
      <c r="C135" s="65">
        <v>1</v>
      </c>
      <c r="D135" s="65">
        <v>0</v>
      </c>
      <c r="E135" s="65">
        <v>2</v>
      </c>
      <c r="F135" s="65">
        <v>18</v>
      </c>
      <c r="G135" s="67" t="b">
        <v>0</v>
      </c>
      <c r="H135" s="65">
        <v>4</v>
      </c>
      <c r="I135" s="65">
        <v>1</v>
      </c>
      <c r="J135" s="65">
        <v>0.2</v>
      </c>
      <c r="K135" s="65">
        <v>0.21210000000000001</v>
      </c>
      <c r="L135" s="65">
        <v>0.4</v>
      </c>
      <c r="M135" s="65">
        <v>0.16420000000000001</v>
      </c>
      <c r="N135" s="65">
        <v>2</v>
      </c>
      <c r="O135" s="65">
        <v>145</v>
      </c>
      <c r="P135" s="65">
        <v>147</v>
      </c>
    </row>
    <row r="136" spans="1:16" x14ac:dyDescent="0.3">
      <c r="A136" s="65">
        <v>754</v>
      </c>
      <c r="B136" s="66">
        <v>40577</v>
      </c>
      <c r="C136" s="65">
        <v>1</v>
      </c>
      <c r="D136" s="65">
        <v>0</v>
      </c>
      <c r="E136" s="65">
        <v>2</v>
      </c>
      <c r="F136" s="65">
        <v>19</v>
      </c>
      <c r="G136" s="67" t="b">
        <v>0</v>
      </c>
      <c r="H136" s="65">
        <v>4</v>
      </c>
      <c r="I136" s="65">
        <v>1</v>
      </c>
      <c r="J136" s="65">
        <v>0.2</v>
      </c>
      <c r="K136" s="65">
        <v>0.2576</v>
      </c>
      <c r="L136" s="65">
        <v>0.4</v>
      </c>
      <c r="M136" s="65">
        <v>0</v>
      </c>
      <c r="N136" s="65">
        <v>4</v>
      </c>
      <c r="O136" s="65">
        <v>92</v>
      </c>
      <c r="P136" s="65">
        <v>96</v>
      </c>
    </row>
    <row r="137" spans="1:16" x14ac:dyDescent="0.3">
      <c r="A137" s="65">
        <v>755</v>
      </c>
      <c r="B137" s="66">
        <v>40577</v>
      </c>
      <c r="C137" s="65">
        <v>1</v>
      </c>
      <c r="D137" s="65">
        <v>0</v>
      </c>
      <c r="E137" s="65">
        <v>2</v>
      </c>
      <c r="F137" s="65">
        <v>20</v>
      </c>
      <c r="G137" s="67" t="b">
        <v>0</v>
      </c>
      <c r="H137" s="65">
        <v>4</v>
      </c>
      <c r="I137" s="65">
        <v>1</v>
      </c>
      <c r="J137" s="65">
        <v>0.2</v>
      </c>
      <c r="K137" s="65">
        <v>0.2273</v>
      </c>
      <c r="L137" s="65">
        <v>0.47</v>
      </c>
      <c r="M137" s="65">
        <v>8.9599999999999999E-2</v>
      </c>
      <c r="N137" s="65">
        <v>1</v>
      </c>
      <c r="O137" s="65">
        <v>108</v>
      </c>
      <c r="P137" s="65">
        <v>109</v>
      </c>
    </row>
    <row r="138" spans="1:16" x14ac:dyDescent="0.3">
      <c r="A138" s="65">
        <v>756</v>
      </c>
      <c r="B138" s="66">
        <v>40577</v>
      </c>
      <c r="C138" s="65">
        <v>1</v>
      </c>
      <c r="D138" s="65">
        <v>0</v>
      </c>
      <c r="E138" s="65">
        <v>2</v>
      </c>
      <c r="F138" s="65">
        <v>21</v>
      </c>
      <c r="G138" s="67" t="b">
        <v>0</v>
      </c>
      <c r="H138" s="65">
        <v>4</v>
      </c>
      <c r="I138" s="65">
        <v>1</v>
      </c>
      <c r="J138" s="65">
        <v>0.18</v>
      </c>
      <c r="K138" s="65">
        <v>0.21210000000000001</v>
      </c>
      <c r="L138" s="65">
        <v>0.55000000000000004</v>
      </c>
      <c r="M138" s="65">
        <v>0.1045</v>
      </c>
      <c r="N138" s="65">
        <v>1</v>
      </c>
      <c r="O138" s="65">
        <v>53</v>
      </c>
      <c r="P138" s="65">
        <v>54</v>
      </c>
    </row>
    <row r="139" spans="1:16" x14ac:dyDescent="0.3">
      <c r="A139" s="65">
        <v>757</v>
      </c>
      <c r="B139" s="66">
        <v>40577</v>
      </c>
      <c r="C139" s="65">
        <v>1</v>
      </c>
      <c r="D139" s="65">
        <v>0</v>
      </c>
      <c r="E139" s="65">
        <v>2</v>
      </c>
      <c r="F139" s="65">
        <v>22</v>
      </c>
      <c r="G139" s="67" t="b">
        <v>0</v>
      </c>
      <c r="H139" s="65">
        <v>4</v>
      </c>
      <c r="I139" s="65">
        <v>1</v>
      </c>
      <c r="J139" s="65">
        <v>0.18</v>
      </c>
      <c r="K139" s="65">
        <v>0.21210000000000001</v>
      </c>
      <c r="L139" s="65">
        <v>0.51</v>
      </c>
      <c r="M139" s="65">
        <v>8.9599999999999999E-2</v>
      </c>
      <c r="N139" s="65">
        <v>2</v>
      </c>
      <c r="O139" s="65">
        <v>39</v>
      </c>
      <c r="P139" s="65">
        <v>41</v>
      </c>
    </row>
    <row r="140" spans="1:16" x14ac:dyDescent="0.3">
      <c r="A140" s="65">
        <v>758</v>
      </c>
      <c r="B140" s="66">
        <v>40577</v>
      </c>
      <c r="C140" s="65">
        <v>1</v>
      </c>
      <c r="D140" s="65">
        <v>0</v>
      </c>
      <c r="E140" s="65">
        <v>2</v>
      </c>
      <c r="F140" s="65">
        <v>23</v>
      </c>
      <c r="G140" s="67" t="b">
        <v>0</v>
      </c>
      <c r="H140" s="65">
        <v>4</v>
      </c>
      <c r="I140" s="65">
        <v>1</v>
      </c>
      <c r="J140" s="65">
        <v>0.2</v>
      </c>
      <c r="K140" s="65">
        <v>0.2273</v>
      </c>
      <c r="L140" s="65">
        <v>0.47</v>
      </c>
      <c r="M140" s="65">
        <v>0.1045</v>
      </c>
      <c r="N140" s="65">
        <v>4</v>
      </c>
      <c r="O140" s="65">
        <v>34</v>
      </c>
      <c r="P140" s="65">
        <v>38</v>
      </c>
    </row>
    <row r="141" spans="1:16" x14ac:dyDescent="0.3">
      <c r="A141" s="65">
        <v>759</v>
      </c>
      <c r="B141" s="66">
        <v>40578</v>
      </c>
      <c r="C141" s="65">
        <v>1</v>
      </c>
      <c r="D141" s="65">
        <v>0</v>
      </c>
      <c r="E141" s="65">
        <v>2</v>
      </c>
      <c r="F141" s="65">
        <v>0</v>
      </c>
      <c r="G141" s="67" t="b">
        <v>0</v>
      </c>
      <c r="H141" s="65">
        <v>5</v>
      </c>
      <c r="I141" s="65">
        <v>2</v>
      </c>
      <c r="J141" s="65">
        <v>0.2</v>
      </c>
      <c r="K141" s="65">
        <v>0.2576</v>
      </c>
      <c r="L141" s="65">
        <v>0.44</v>
      </c>
      <c r="M141" s="65">
        <v>0</v>
      </c>
      <c r="N141" s="65">
        <v>3</v>
      </c>
      <c r="O141" s="65">
        <v>10</v>
      </c>
      <c r="P141" s="65">
        <v>13</v>
      </c>
    </row>
    <row r="142" spans="1:16" x14ac:dyDescent="0.3">
      <c r="A142" s="65">
        <v>760</v>
      </c>
      <c r="B142" s="66">
        <v>40578</v>
      </c>
      <c r="C142" s="65">
        <v>1</v>
      </c>
      <c r="D142" s="65">
        <v>0</v>
      </c>
      <c r="E142" s="65">
        <v>2</v>
      </c>
      <c r="F142" s="65">
        <v>1</v>
      </c>
      <c r="G142" s="67" t="b">
        <v>0</v>
      </c>
      <c r="H142" s="65">
        <v>5</v>
      </c>
      <c r="I142" s="65">
        <v>2</v>
      </c>
      <c r="J142" s="65">
        <v>0.16</v>
      </c>
      <c r="K142" s="65">
        <v>0.2273</v>
      </c>
      <c r="L142" s="65">
        <v>0.59</v>
      </c>
      <c r="M142" s="65">
        <v>0</v>
      </c>
      <c r="N142" s="65">
        <v>0</v>
      </c>
      <c r="O142" s="65">
        <v>7</v>
      </c>
      <c r="P142" s="65">
        <v>7</v>
      </c>
    </row>
    <row r="143" spans="1:16" x14ac:dyDescent="0.3">
      <c r="A143" s="65">
        <v>761</v>
      </c>
      <c r="B143" s="66">
        <v>40578</v>
      </c>
      <c r="C143" s="65">
        <v>1</v>
      </c>
      <c r="D143" s="65">
        <v>0</v>
      </c>
      <c r="E143" s="65">
        <v>2</v>
      </c>
      <c r="F143" s="65">
        <v>2</v>
      </c>
      <c r="G143" s="67" t="b">
        <v>0</v>
      </c>
      <c r="H143" s="65">
        <v>5</v>
      </c>
      <c r="I143" s="65">
        <v>2</v>
      </c>
      <c r="J143" s="65">
        <v>0.14000000000000001</v>
      </c>
      <c r="K143" s="65">
        <v>0.16669999999999999</v>
      </c>
      <c r="L143" s="65">
        <v>0.63</v>
      </c>
      <c r="M143" s="65">
        <v>0.1045</v>
      </c>
      <c r="N143" s="65">
        <v>0</v>
      </c>
      <c r="O143" s="65">
        <v>1</v>
      </c>
      <c r="P143" s="65">
        <v>1</v>
      </c>
    </row>
    <row r="144" spans="1:16" x14ac:dyDescent="0.3">
      <c r="A144" s="65">
        <v>762</v>
      </c>
      <c r="B144" s="66">
        <v>40578</v>
      </c>
      <c r="C144" s="65">
        <v>1</v>
      </c>
      <c r="D144" s="65">
        <v>0</v>
      </c>
      <c r="E144" s="65">
        <v>2</v>
      </c>
      <c r="F144" s="65">
        <v>3</v>
      </c>
      <c r="G144" s="67" t="b">
        <v>0</v>
      </c>
      <c r="H144" s="65">
        <v>5</v>
      </c>
      <c r="I144" s="65">
        <v>2</v>
      </c>
      <c r="J144" s="65">
        <v>0.14000000000000001</v>
      </c>
      <c r="K144" s="65">
        <v>0.16669999999999999</v>
      </c>
      <c r="L144" s="65">
        <v>0.63</v>
      </c>
      <c r="M144" s="65">
        <v>0.1045</v>
      </c>
      <c r="N144" s="65">
        <v>0</v>
      </c>
      <c r="O144" s="65">
        <v>1</v>
      </c>
      <c r="P144" s="65">
        <v>1</v>
      </c>
    </row>
    <row r="145" spans="1:16" x14ac:dyDescent="0.3">
      <c r="A145" s="65">
        <v>763</v>
      </c>
      <c r="B145" s="66">
        <v>40578</v>
      </c>
      <c r="C145" s="65">
        <v>1</v>
      </c>
      <c r="D145" s="65">
        <v>0</v>
      </c>
      <c r="E145" s="65">
        <v>2</v>
      </c>
      <c r="F145" s="65">
        <v>5</v>
      </c>
      <c r="G145" s="67" t="b">
        <v>0</v>
      </c>
      <c r="H145" s="65">
        <v>5</v>
      </c>
      <c r="I145" s="65">
        <v>2</v>
      </c>
      <c r="J145" s="65">
        <v>0.14000000000000001</v>
      </c>
      <c r="K145" s="65">
        <v>0.1515</v>
      </c>
      <c r="L145" s="65">
        <v>0.63</v>
      </c>
      <c r="M145" s="65">
        <v>0.1343</v>
      </c>
      <c r="N145" s="65">
        <v>0</v>
      </c>
      <c r="O145" s="65">
        <v>7</v>
      </c>
      <c r="P145" s="65">
        <v>7</v>
      </c>
    </row>
    <row r="146" spans="1:16" x14ac:dyDescent="0.3">
      <c r="A146" s="65">
        <v>764</v>
      </c>
      <c r="B146" s="66">
        <v>40578</v>
      </c>
      <c r="C146" s="65">
        <v>1</v>
      </c>
      <c r="D146" s="65">
        <v>0</v>
      </c>
      <c r="E146" s="65">
        <v>2</v>
      </c>
      <c r="F146" s="65">
        <v>6</v>
      </c>
      <c r="G146" s="67" t="b">
        <v>0</v>
      </c>
      <c r="H146" s="65">
        <v>5</v>
      </c>
      <c r="I146" s="65">
        <v>2</v>
      </c>
      <c r="J146" s="65">
        <v>0.16</v>
      </c>
      <c r="K146" s="65">
        <v>0.2273</v>
      </c>
      <c r="L146" s="65">
        <v>0.55000000000000004</v>
      </c>
      <c r="M146" s="65">
        <v>0</v>
      </c>
      <c r="N146" s="65">
        <v>2</v>
      </c>
      <c r="O146" s="65">
        <v>26</v>
      </c>
      <c r="P146" s="65">
        <v>28</v>
      </c>
    </row>
    <row r="147" spans="1:16" x14ac:dyDescent="0.3">
      <c r="A147" s="65">
        <v>765</v>
      </c>
      <c r="B147" s="66">
        <v>40578</v>
      </c>
      <c r="C147" s="65">
        <v>1</v>
      </c>
      <c r="D147" s="65">
        <v>0</v>
      </c>
      <c r="E147" s="65">
        <v>2</v>
      </c>
      <c r="F147" s="65">
        <v>7</v>
      </c>
      <c r="G147" s="67" t="b">
        <v>0</v>
      </c>
      <c r="H147" s="65">
        <v>5</v>
      </c>
      <c r="I147" s="65">
        <v>1</v>
      </c>
      <c r="J147" s="65">
        <v>0.14000000000000001</v>
      </c>
      <c r="K147" s="65">
        <v>0.21210000000000001</v>
      </c>
      <c r="L147" s="65">
        <v>0.59</v>
      </c>
      <c r="M147" s="65">
        <v>0</v>
      </c>
      <c r="N147" s="65">
        <v>0</v>
      </c>
      <c r="O147" s="65">
        <v>87</v>
      </c>
      <c r="P147" s="65">
        <v>87</v>
      </c>
    </row>
    <row r="148" spans="1:16" x14ac:dyDescent="0.3">
      <c r="A148" s="65">
        <v>766</v>
      </c>
      <c r="B148" s="66">
        <v>40578</v>
      </c>
      <c r="C148" s="65">
        <v>1</v>
      </c>
      <c r="D148" s="65">
        <v>0</v>
      </c>
      <c r="E148" s="65">
        <v>2</v>
      </c>
      <c r="F148" s="65">
        <v>8</v>
      </c>
      <c r="G148" s="67" t="b">
        <v>0</v>
      </c>
      <c r="H148" s="65">
        <v>5</v>
      </c>
      <c r="I148" s="65">
        <v>1</v>
      </c>
      <c r="J148" s="65">
        <v>0.14000000000000001</v>
      </c>
      <c r="K148" s="65">
        <v>0.1515</v>
      </c>
      <c r="L148" s="65">
        <v>0.74</v>
      </c>
      <c r="M148" s="65">
        <v>0.1343</v>
      </c>
      <c r="N148" s="65">
        <v>3</v>
      </c>
      <c r="O148" s="65">
        <v>217</v>
      </c>
      <c r="P148" s="65">
        <v>220</v>
      </c>
    </row>
    <row r="149" spans="1:16" x14ac:dyDescent="0.3">
      <c r="A149" s="65">
        <v>767</v>
      </c>
      <c r="B149" s="66">
        <v>40578</v>
      </c>
      <c r="C149" s="65">
        <v>1</v>
      </c>
      <c r="D149" s="65">
        <v>0</v>
      </c>
      <c r="E149" s="65">
        <v>2</v>
      </c>
      <c r="F149" s="65">
        <v>9</v>
      </c>
      <c r="G149" s="67" t="b">
        <v>0</v>
      </c>
      <c r="H149" s="65">
        <v>5</v>
      </c>
      <c r="I149" s="65">
        <v>2</v>
      </c>
      <c r="J149" s="65">
        <v>0.16</v>
      </c>
      <c r="K149" s="65">
        <v>0.18179999999999999</v>
      </c>
      <c r="L149" s="65">
        <v>0.8</v>
      </c>
      <c r="M149" s="65">
        <v>0.1343</v>
      </c>
      <c r="N149" s="65">
        <v>3</v>
      </c>
      <c r="O149" s="65">
        <v>124</v>
      </c>
      <c r="P149" s="65">
        <v>127</v>
      </c>
    </row>
    <row r="150" spans="1:16" x14ac:dyDescent="0.3">
      <c r="A150" s="65">
        <v>768</v>
      </c>
      <c r="B150" s="66">
        <v>40578</v>
      </c>
      <c r="C150" s="65">
        <v>1</v>
      </c>
      <c r="D150" s="65">
        <v>0</v>
      </c>
      <c r="E150" s="65">
        <v>2</v>
      </c>
      <c r="F150" s="65">
        <v>10</v>
      </c>
      <c r="G150" s="67" t="b">
        <v>0</v>
      </c>
      <c r="H150" s="65">
        <v>5</v>
      </c>
      <c r="I150" s="65">
        <v>2</v>
      </c>
      <c r="J150" s="65">
        <v>0.2</v>
      </c>
      <c r="K150" s="65">
        <v>0.21210000000000001</v>
      </c>
      <c r="L150" s="65">
        <v>0.51</v>
      </c>
      <c r="M150" s="65">
        <v>0.1343</v>
      </c>
      <c r="N150" s="65">
        <v>5</v>
      </c>
      <c r="O150" s="65">
        <v>46</v>
      </c>
      <c r="P150" s="65">
        <v>51</v>
      </c>
    </row>
    <row r="151" spans="1:16" x14ac:dyDescent="0.3">
      <c r="A151" s="65">
        <v>769</v>
      </c>
      <c r="B151" s="66">
        <v>40578</v>
      </c>
      <c r="C151" s="65">
        <v>1</v>
      </c>
      <c r="D151" s="65">
        <v>0</v>
      </c>
      <c r="E151" s="65">
        <v>2</v>
      </c>
      <c r="F151" s="65">
        <v>11</v>
      </c>
      <c r="G151" s="67" t="b">
        <v>0</v>
      </c>
      <c r="H151" s="65">
        <v>5</v>
      </c>
      <c r="I151" s="65">
        <v>1</v>
      </c>
      <c r="J151" s="65">
        <v>0.22</v>
      </c>
      <c r="K151" s="65">
        <v>0.2273</v>
      </c>
      <c r="L151" s="65">
        <v>0.51</v>
      </c>
      <c r="M151" s="65">
        <v>0.16420000000000001</v>
      </c>
      <c r="N151" s="65">
        <v>3</v>
      </c>
      <c r="O151" s="65">
        <v>61</v>
      </c>
      <c r="P151" s="65">
        <v>64</v>
      </c>
    </row>
    <row r="152" spans="1:16" x14ac:dyDescent="0.3">
      <c r="A152" s="65">
        <v>770</v>
      </c>
      <c r="B152" s="66">
        <v>40578</v>
      </c>
      <c r="C152" s="65">
        <v>1</v>
      </c>
      <c r="D152" s="65">
        <v>0</v>
      </c>
      <c r="E152" s="65">
        <v>2</v>
      </c>
      <c r="F152" s="65">
        <v>12</v>
      </c>
      <c r="G152" s="67" t="b">
        <v>0</v>
      </c>
      <c r="H152" s="65">
        <v>5</v>
      </c>
      <c r="I152" s="65">
        <v>2</v>
      </c>
      <c r="J152" s="65">
        <v>0.24</v>
      </c>
      <c r="K152" s="65">
        <v>0.2424</v>
      </c>
      <c r="L152" s="65">
        <v>0.48</v>
      </c>
      <c r="M152" s="65">
        <v>0.16420000000000001</v>
      </c>
      <c r="N152" s="65">
        <v>8</v>
      </c>
      <c r="O152" s="65">
        <v>78</v>
      </c>
      <c r="P152" s="65">
        <v>86</v>
      </c>
    </row>
    <row r="153" spans="1:16" x14ac:dyDescent="0.3">
      <c r="A153" s="65">
        <v>771</v>
      </c>
      <c r="B153" s="66">
        <v>40578</v>
      </c>
      <c r="C153" s="65">
        <v>1</v>
      </c>
      <c r="D153" s="65">
        <v>0</v>
      </c>
      <c r="E153" s="65">
        <v>2</v>
      </c>
      <c r="F153" s="65">
        <v>13</v>
      </c>
      <c r="G153" s="67" t="b">
        <v>0</v>
      </c>
      <c r="H153" s="65">
        <v>5</v>
      </c>
      <c r="I153" s="65">
        <v>2</v>
      </c>
      <c r="J153" s="65">
        <v>0.26</v>
      </c>
      <c r="K153" s="65">
        <v>0.2576</v>
      </c>
      <c r="L153" s="65">
        <v>0.5</v>
      </c>
      <c r="M153" s="65">
        <v>0.22389999999999999</v>
      </c>
      <c r="N153" s="65">
        <v>9</v>
      </c>
      <c r="O153" s="65">
        <v>73</v>
      </c>
      <c r="P153" s="65">
        <v>82</v>
      </c>
    </row>
    <row r="154" spans="1:16" x14ac:dyDescent="0.3">
      <c r="A154" s="65">
        <v>772</v>
      </c>
      <c r="B154" s="66">
        <v>40578</v>
      </c>
      <c r="C154" s="65">
        <v>1</v>
      </c>
      <c r="D154" s="65">
        <v>0</v>
      </c>
      <c r="E154" s="65">
        <v>2</v>
      </c>
      <c r="F154" s="65">
        <v>14</v>
      </c>
      <c r="G154" s="67" t="b">
        <v>0</v>
      </c>
      <c r="H154" s="65">
        <v>5</v>
      </c>
      <c r="I154" s="65">
        <v>2</v>
      </c>
      <c r="J154" s="65">
        <v>0.28000000000000003</v>
      </c>
      <c r="K154" s="65">
        <v>0.2727</v>
      </c>
      <c r="L154" s="65">
        <v>0.45</v>
      </c>
      <c r="M154" s="65">
        <v>0.16420000000000001</v>
      </c>
      <c r="N154" s="65">
        <v>15</v>
      </c>
      <c r="O154" s="65">
        <v>76</v>
      </c>
      <c r="P154" s="65">
        <v>91</v>
      </c>
    </row>
    <row r="155" spans="1:16" x14ac:dyDescent="0.3">
      <c r="A155" s="65">
        <v>773</v>
      </c>
      <c r="B155" s="66">
        <v>40578</v>
      </c>
      <c r="C155" s="65">
        <v>1</v>
      </c>
      <c r="D155" s="65">
        <v>0</v>
      </c>
      <c r="E155" s="65">
        <v>2</v>
      </c>
      <c r="F155" s="65">
        <v>15</v>
      </c>
      <c r="G155" s="67" t="b">
        <v>0</v>
      </c>
      <c r="H155" s="65">
        <v>5</v>
      </c>
      <c r="I155" s="65">
        <v>2</v>
      </c>
      <c r="J155" s="65">
        <v>0.28000000000000003</v>
      </c>
      <c r="K155" s="65">
        <v>0.2727</v>
      </c>
      <c r="L155" s="65">
        <v>0.48</v>
      </c>
      <c r="M155" s="65">
        <v>0.25369999999999998</v>
      </c>
      <c r="N155" s="65">
        <v>9</v>
      </c>
      <c r="O155" s="65">
        <v>81</v>
      </c>
      <c r="P155" s="65">
        <v>90</v>
      </c>
    </row>
    <row r="156" spans="1:16" x14ac:dyDescent="0.3">
      <c r="A156" s="65">
        <v>774</v>
      </c>
      <c r="B156" s="66">
        <v>40578</v>
      </c>
      <c r="C156" s="65">
        <v>1</v>
      </c>
      <c r="D156" s="65">
        <v>0</v>
      </c>
      <c r="E156" s="65">
        <v>2</v>
      </c>
      <c r="F156" s="65">
        <v>16</v>
      </c>
      <c r="G156" s="67" t="b">
        <v>0</v>
      </c>
      <c r="H156" s="65">
        <v>5</v>
      </c>
      <c r="I156" s="65">
        <v>2</v>
      </c>
      <c r="J156" s="65">
        <v>0.3</v>
      </c>
      <c r="K156" s="65">
        <v>0.28789999999999999</v>
      </c>
      <c r="L156" s="65">
        <v>0.42</v>
      </c>
      <c r="M156" s="65">
        <v>0.22389999999999999</v>
      </c>
      <c r="N156" s="65">
        <v>8</v>
      </c>
      <c r="O156" s="65">
        <v>91</v>
      </c>
      <c r="P156" s="65">
        <v>99</v>
      </c>
    </row>
    <row r="157" spans="1:16" x14ac:dyDescent="0.3">
      <c r="A157" s="65">
        <v>775</v>
      </c>
      <c r="B157" s="66">
        <v>40578</v>
      </c>
      <c r="C157" s="65">
        <v>1</v>
      </c>
      <c r="D157" s="65">
        <v>0</v>
      </c>
      <c r="E157" s="65">
        <v>2</v>
      </c>
      <c r="F157" s="65">
        <v>17</v>
      </c>
      <c r="G157" s="67" t="b">
        <v>0</v>
      </c>
      <c r="H157" s="65">
        <v>5</v>
      </c>
      <c r="I157" s="65">
        <v>2</v>
      </c>
      <c r="J157" s="65">
        <v>0.26</v>
      </c>
      <c r="K157" s="65">
        <v>0.2727</v>
      </c>
      <c r="L157" s="65">
        <v>0.56000000000000005</v>
      </c>
      <c r="M157" s="65">
        <v>0.1343</v>
      </c>
      <c r="N157" s="65">
        <v>10</v>
      </c>
      <c r="O157" s="65">
        <v>195</v>
      </c>
      <c r="P157" s="65">
        <v>205</v>
      </c>
    </row>
    <row r="158" spans="1:16" x14ac:dyDescent="0.3">
      <c r="A158" s="65">
        <v>776</v>
      </c>
      <c r="B158" s="66">
        <v>40578</v>
      </c>
      <c r="C158" s="65">
        <v>1</v>
      </c>
      <c r="D158" s="65">
        <v>0</v>
      </c>
      <c r="E158" s="65">
        <v>2</v>
      </c>
      <c r="F158" s="65">
        <v>18</v>
      </c>
      <c r="G158" s="67" t="b">
        <v>0</v>
      </c>
      <c r="H158" s="65">
        <v>5</v>
      </c>
      <c r="I158" s="65">
        <v>2</v>
      </c>
      <c r="J158" s="65">
        <v>0.24</v>
      </c>
      <c r="K158" s="65">
        <v>0.2576</v>
      </c>
      <c r="L158" s="65">
        <v>0.6</v>
      </c>
      <c r="M158" s="65">
        <v>0.1045</v>
      </c>
      <c r="N158" s="65">
        <v>3</v>
      </c>
      <c r="O158" s="65">
        <v>152</v>
      </c>
      <c r="P158" s="65">
        <v>155</v>
      </c>
    </row>
    <row r="159" spans="1:16" x14ac:dyDescent="0.3">
      <c r="A159" s="65">
        <v>777</v>
      </c>
      <c r="B159" s="66">
        <v>40578</v>
      </c>
      <c r="C159" s="65">
        <v>1</v>
      </c>
      <c r="D159" s="65">
        <v>0</v>
      </c>
      <c r="E159" s="65">
        <v>2</v>
      </c>
      <c r="F159" s="65">
        <v>19</v>
      </c>
      <c r="G159" s="67" t="b">
        <v>0</v>
      </c>
      <c r="H159" s="65">
        <v>5</v>
      </c>
      <c r="I159" s="65">
        <v>2</v>
      </c>
      <c r="J159" s="65">
        <v>0.24</v>
      </c>
      <c r="K159" s="65">
        <v>0.2424</v>
      </c>
      <c r="L159" s="65">
        <v>0.65</v>
      </c>
      <c r="M159" s="65">
        <v>0.1343</v>
      </c>
      <c r="N159" s="65">
        <v>1</v>
      </c>
      <c r="O159" s="65">
        <v>102</v>
      </c>
      <c r="P159" s="65">
        <v>103</v>
      </c>
    </row>
    <row r="160" spans="1:16" x14ac:dyDescent="0.3">
      <c r="A160" s="65">
        <v>778</v>
      </c>
      <c r="B160" s="66">
        <v>40578</v>
      </c>
      <c r="C160" s="65">
        <v>1</v>
      </c>
      <c r="D160" s="65">
        <v>0</v>
      </c>
      <c r="E160" s="65">
        <v>2</v>
      </c>
      <c r="F160" s="65">
        <v>20</v>
      </c>
      <c r="G160" s="67" t="b">
        <v>0</v>
      </c>
      <c r="H160" s="65">
        <v>5</v>
      </c>
      <c r="I160" s="65">
        <v>2</v>
      </c>
      <c r="J160" s="65">
        <v>0.24</v>
      </c>
      <c r="K160" s="65">
        <v>0.2424</v>
      </c>
      <c r="L160" s="65">
        <v>0.65</v>
      </c>
      <c r="M160" s="65">
        <v>0.16420000000000001</v>
      </c>
      <c r="N160" s="65">
        <v>2</v>
      </c>
      <c r="O160" s="65">
        <v>69</v>
      </c>
      <c r="P160" s="65">
        <v>71</v>
      </c>
    </row>
    <row r="161" spans="1:16" x14ac:dyDescent="0.3">
      <c r="A161" s="65">
        <v>779</v>
      </c>
      <c r="B161" s="66">
        <v>40578</v>
      </c>
      <c r="C161" s="65">
        <v>1</v>
      </c>
      <c r="D161" s="65">
        <v>0</v>
      </c>
      <c r="E161" s="65">
        <v>2</v>
      </c>
      <c r="F161" s="65">
        <v>21</v>
      </c>
      <c r="G161" s="67" t="b">
        <v>0</v>
      </c>
      <c r="H161" s="65">
        <v>5</v>
      </c>
      <c r="I161" s="65">
        <v>2</v>
      </c>
      <c r="J161" s="65">
        <v>0.24</v>
      </c>
      <c r="K161" s="65">
        <v>0.2424</v>
      </c>
      <c r="L161" s="65">
        <v>0.7</v>
      </c>
      <c r="M161" s="65">
        <v>0.16420000000000001</v>
      </c>
      <c r="N161" s="65">
        <v>2</v>
      </c>
      <c r="O161" s="65">
        <v>41</v>
      </c>
      <c r="P161" s="65">
        <v>43</v>
      </c>
    </row>
    <row r="162" spans="1:16" x14ac:dyDescent="0.3">
      <c r="A162" s="65">
        <v>780</v>
      </c>
      <c r="B162" s="66">
        <v>40578</v>
      </c>
      <c r="C162" s="65">
        <v>1</v>
      </c>
      <c r="D162" s="65">
        <v>0</v>
      </c>
      <c r="E162" s="65">
        <v>2</v>
      </c>
      <c r="F162" s="65">
        <v>22</v>
      </c>
      <c r="G162" s="67" t="b">
        <v>0</v>
      </c>
      <c r="H162" s="65">
        <v>5</v>
      </c>
      <c r="I162" s="65">
        <v>2</v>
      </c>
      <c r="J162" s="65">
        <v>0.24</v>
      </c>
      <c r="K162" s="65">
        <v>0.2424</v>
      </c>
      <c r="L162" s="65">
        <v>0.65</v>
      </c>
      <c r="M162" s="65">
        <v>0.16420000000000001</v>
      </c>
      <c r="N162" s="65">
        <v>1</v>
      </c>
      <c r="O162" s="65">
        <v>45</v>
      </c>
      <c r="P162" s="65">
        <v>46</v>
      </c>
    </row>
    <row r="163" spans="1:16" x14ac:dyDescent="0.3">
      <c r="A163" s="65">
        <v>781</v>
      </c>
      <c r="B163" s="66">
        <v>40578</v>
      </c>
      <c r="C163" s="65">
        <v>1</v>
      </c>
      <c r="D163" s="65">
        <v>0</v>
      </c>
      <c r="E163" s="65">
        <v>2</v>
      </c>
      <c r="F163" s="65">
        <v>23</v>
      </c>
      <c r="G163" s="67" t="b">
        <v>0</v>
      </c>
      <c r="H163" s="65">
        <v>5</v>
      </c>
      <c r="I163" s="65">
        <v>2</v>
      </c>
      <c r="J163" s="65">
        <v>0.24</v>
      </c>
      <c r="K163" s="65">
        <v>0.2424</v>
      </c>
      <c r="L163" s="65">
        <v>0.7</v>
      </c>
      <c r="M163" s="65">
        <v>0.1343</v>
      </c>
      <c r="N163" s="65">
        <v>1</v>
      </c>
      <c r="O163" s="65">
        <v>30</v>
      </c>
      <c r="P163" s="65">
        <v>31</v>
      </c>
    </row>
    <row r="164" spans="1:16" x14ac:dyDescent="0.3">
      <c r="A164" s="65">
        <v>782</v>
      </c>
      <c r="B164" s="66">
        <v>40579</v>
      </c>
      <c r="C164" s="65">
        <v>1</v>
      </c>
      <c r="D164" s="65">
        <v>0</v>
      </c>
      <c r="E164" s="65">
        <v>2</v>
      </c>
      <c r="F164" s="65">
        <v>0</v>
      </c>
      <c r="G164" s="67" t="b">
        <v>0</v>
      </c>
      <c r="H164" s="65">
        <v>6</v>
      </c>
      <c r="I164" s="65">
        <v>2</v>
      </c>
      <c r="J164" s="65">
        <v>0.24</v>
      </c>
      <c r="K164" s="65">
        <v>0.2424</v>
      </c>
      <c r="L164" s="65">
        <v>0.7</v>
      </c>
      <c r="M164" s="65">
        <v>0.16420000000000001</v>
      </c>
      <c r="N164" s="65">
        <v>3</v>
      </c>
      <c r="O164" s="65">
        <v>36</v>
      </c>
      <c r="P164" s="65">
        <v>39</v>
      </c>
    </row>
    <row r="165" spans="1:16" x14ac:dyDescent="0.3">
      <c r="A165" s="65">
        <v>783</v>
      </c>
      <c r="B165" s="66">
        <v>40579</v>
      </c>
      <c r="C165" s="65">
        <v>1</v>
      </c>
      <c r="D165" s="65">
        <v>0</v>
      </c>
      <c r="E165" s="65">
        <v>2</v>
      </c>
      <c r="F165" s="65">
        <v>1</v>
      </c>
      <c r="G165" s="67" t="b">
        <v>0</v>
      </c>
      <c r="H165" s="65">
        <v>6</v>
      </c>
      <c r="I165" s="65">
        <v>2</v>
      </c>
      <c r="J165" s="65">
        <v>0.24</v>
      </c>
      <c r="K165" s="65">
        <v>0.2424</v>
      </c>
      <c r="L165" s="65">
        <v>0.65</v>
      </c>
      <c r="M165" s="65">
        <v>0.16420000000000001</v>
      </c>
      <c r="N165" s="65">
        <v>1</v>
      </c>
      <c r="O165" s="65">
        <v>17</v>
      </c>
      <c r="P165" s="65">
        <v>18</v>
      </c>
    </row>
    <row r="166" spans="1:16" x14ac:dyDescent="0.3">
      <c r="A166" s="65">
        <v>784</v>
      </c>
      <c r="B166" s="66">
        <v>40579</v>
      </c>
      <c r="C166" s="65">
        <v>1</v>
      </c>
      <c r="D166" s="65">
        <v>0</v>
      </c>
      <c r="E166" s="65">
        <v>2</v>
      </c>
      <c r="F166" s="65">
        <v>2</v>
      </c>
      <c r="G166" s="67" t="b">
        <v>0</v>
      </c>
      <c r="H166" s="65">
        <v>6</v>
      </c>
      <c r="I166" s="65">
        <v>2</v>
      </c>
      <c r="J166" s="65">
        <v>0.24</v>
      </c>
      <c r="K166" s="65">
        <v>0.2424</v>
      </c>
      <c r="L166" s="65">
        <v>0.75</v>
      </c>
      <c r="M166" s="65">
        <v>0.16420000000000001</v>
      </c>
      <c r="N166" s="65">
        <v>5</v>
      </c>
      <c r="O166" s="65">
        <v>12</v>
      </c>
      <c r="P166" s="65">
        <v>17</v>
      </c>
    </row>
    <row r="167" spans="1:16" x14ac:dyDescent="0.3">
      <c r="A167" s="65">
        <v>785</v>
      </c>
      <c r="B167" s="66">
        <v>40579</v>
      </c>
      <c r="C167" s="65">
        <v>1</v>
      </c>
      <c r="D167" s="65">
        <v>0</v>
      </c>
      <c r="E167" s="65">
        <v>2</v>
      </c>
      <c r="F167" s="65">
        <v>3</v>
      </c>
      <c r="G167" s="67" t="b">
        <v>0</v>
      </c>
      <c r="H167" s="65">
        <v>6</v>
      </c>
      <c r="I167" s="65">
        <v>2</v>
      </c>
      <c r="J167" s="65">
        <v>0.24</v>
      </c>
      <c r="K167" s="65">
        <v>0.2424</v>
      </c>
      <c r="L167" s="65">
        <v>0.75</v>
      </c>
      <c r="M167" s="65">
        <v>0.16420000000000001</v>
      </c>
      <c r="N167" s="65">
        <v>1</v>
      </c>
      <c r="O167" s="65">
        <v>10</v>
      </c>
      <c r="P167" s="65">
        <v>11</v>
      </c>
    </row>
    <row r="168" spans="1:16" x14ac:dyDescent="0.3">
      <c r="A168" s="65">
        <v>786</v>
      </c>
      <c r="B168" s="66">
        <v>40579</v>
      </c>
      <c r="C168" s="65">
        <v>1</v>
      </c>
      <c r="D168" s="65">
        <v>0</v>
      </c>
      <c r="E168" s="65">
        <v>2</v>
      </c>
      <c r="F168" s="65">
        <v>4</v>
      </c>
      <c r="G168" s="67" t="b">
        <v>0</v>
      </c>
      <c r="H168" s="65">
        <v>6</v>
      </c>
      <c r="I168" s="65">
        <v>3</v>
      </c>
      <c r="J168" s="65">
        <v>0.22</v>
      </c>
      <c r="K168" s="65">
        <v>0.2273</v>
      </c>
      <c r="L168" s="65">
        <v>0.93</v>
      </c>
      <c r="M168" s="65">
        <v>0.1343</v>
      </c>
      <c r="N168" s="65">
        <v>0</v>
      </c>
      <c r="O168" s="65">
        <v>8</v>
      </c>
      <c r="P168" s="65">
        <v>8</v>
      </c>
    </row>
    <row r="169" spans="1:16" x14ac:dyDescent="0.3">
      <c r="A169" s="65">
        <v>787</v>
      </c>
      <c r="B169" s="66">
        <v>40579</v>
      </c>
      <c r="C169" s="65">
        <v>1</v>
      </c>
      <c r="D169" s="65">
        <v>0</v>
      </c>
      <c r="E169" s="65">
        <v>2</v>
      </c>
      <c r="F169" s="65">
        <v>5</v>
      </c>
      <c r="G169" s="67" t="b">
        <v>0</v>
      </c>
      <c r="H169" s="65">
        <v>6</v>
      </c>
      <c r="I169" s="65">
        <v>3</v>
      </c>
      <c r="J169" s="65">
        <v>0.2</v>
      </c>
      <c r="K169" s="65">
        <v>0.2273</v>
      </c>
      <c r="L169" s="65">
        <v>1</v>
      </c>
      <c r="M169" s="65">
        <v>8.9599999999999999E-2</v>
      </c>
      <c r="N169" s="65">
        <v>0</v>
      </c>
      <c r="O169" s="65">
        <v>9</v>
      </c>
      <c r="P169" s="65">
        <v>9</v>
      </c>
    </row>
    <row r="170" spans="1:16" x14ac:dyDescent="0.3">
      <c r="A170" s="65">
        <v>788</v>
      </c>
      <c r="B170" s="66">
        <v>40579</v>
      </c>
      <c r="C170" s="65">
        <v>1</v>
      </c>
      <c r="D170" s="65">
        <v>0</v>
      </c>
      <c r="E170" s="65">
        <v>2</v>
      </c>
      <c r="F170" s="65">
        <v>6</v>
      </c>
      <c r="G170" s="67" t="b">
        <v>0</v>
      </c>
      <c r="H170" s="65">
        <v>6</v>
      </c>
      <c r="I170" s="65">
        <v>3</v>
      </c>
      <c r="J170" s="65">
        <v>0.2</v>
      </c>
      <c r="K170" s="65">
        <v>0.2576</v>
      </c>
      <c r="L170" s="65">
        <v>1</v>
      </c>
      <c r="M170" s="65">
        <v>0</v>
      </c>
      <c r="N170" s="65">
        <v>0</v>
      </c>
      <c r="O170" s="65">
        <v>4</v>
      </c>
      <c r="P170" s="65">
        <v>4</v>
      </c>
    </row>
    <row r="171" spans="1:16" x14ac:dyDescent="0.3">
      <c r="A171" s="65">
        <v>789</v>
      </c>
      <c r="B171" s="66">
        <v>40579</v>
      </c>
      <c r="C171" s="65">
        <v>1</v>
      </c>
      <c r="D171" s="65">
        <v>0</v>
      </c>
      <c r="E171" s="65">
        <v>2</v>
      </c>
      <c r="F171" s="65">
        <v>7</v>
      </c>
      <c r="G171" s="67" t="b">
        <v>0</v>
      </c>
      <c r="H171" s="65">
        <v>6</v>
      </c>
      <c r="I171" s="65">
        <v>3</v>
      </c>
      <c r="J171" s="65">
        <v>0.22</v>
      </c>
      <c r="K171" s="65">
        <v>0.2576</v>
      </c>
      <c r="L171" s="65">
        <v>0.93</v>
      </c>
      <c r="M171" s="65">
        <v>8.9599999999999999E-2</v>
      </c>
      <c r="N171" s="65">
        <v>0</v>
      </c>
      <c r="O171" s="65">
        <v>4</v>
      </c>
      <c r="P171" s="65">
        <v>4</v>
      </c>
    </row>
    <row r="172" spans="1:16" x14ac:dyDescent="0.3">
      <c r="A172" s="65">
        <v>790</v>
      </c>
      <c r="B172" s="66">
        <v>40579</v>
      </c>
      <c r="C172" s="65">
        <v>1</v>
      </c>
      <c r="D172" s="65">
        <v>0</v>
      </c>
      <c r="E172" s="65">
        <v>2</v>
      </c>
      <c r="F172" s="65">
        <v>8</v>
      </c>
      <c r="G172" s="67" t="b">
        <v>0</v>
      </c>
      <c r="H172" s="65">
        <v>6</v>
      </c>
      <c r="I172" s="65">
        <v>3</v>
      </c>
      <c r="J172" s="65">
        <v>0.2</v>
      </c>
      <c r="K172" s="65">
        <v>0.2273</v>
      </c>
      <c r="L172" s="65">
        <v>1</v>
      </c>
      <c r="M172" s="65">
        <v>8.9599999999999999E-2</v>
      </c>
      <c r="N172" s="65">
        <v>0</v>
      </c>
      <c r="O172" s="65">
        <v>10</v>
      </c>
      <c r="P172" s="65">
        <v>10</v>
      </c>
    </row>
    <row r="173" spans="1:16" x14ac:dyDescent="0.3">
      <c r="A173" s="65">
        <v>791</v>
      </c>
      <c r="B173" s="66">
        <v>40579</v>
      </c>
      <c r="C173" s="65">
        <v>1</v>
      </c>
      <c r="D173" s="65">
        <v>0</v>
      </c>
      <c r="E173" s="65">
        <v>2</v>
      </c>
      <c r="F173" s="65">
        <v>9</v>
      </c>
      <c r="G173" s="67" t="b">
        <v>0</v>
      </c>
      <c r="H173" s="65">
        <v>6</v>
      </c>
      <c r="I173" s="65">
        <v>3</v>
      </c>
      <c r="J173" s="65">
        <v>0.2</v>
      </c>
      <c r="K173" s="65">
        <v>0.2273</v>
      </c>
      <c r="L173" s="65">
        <v>1</v>
      </c>
      <c r="M173" s="65">
        <v>8.9599999999999999E-2</v>
      </c>
      <c r="N173" s="65">
        <v>3</v>
      </c>
      <c r="O173" s="65">
        <v>17</v>
      </c>
      <c r="P173" s="65">
        <v>20</v>
      </c>
    </row>
    <row r="174" spans="1:16" x14ac:dyDescent="0.3">
      <c r="A174" s="65">
        <v>792</v>
      </c>
      <c r="B174" s="66">
        <v>40579</v>
      </c>
      <c r="C174" s="65">
        <v>1</v>
      </c>
      <c r="D174" s="65">
        <v>0</v>
      </c>
      <c r="E174" s="65">
        <v>2</v>
      </c>
      <c r="F174" s="65">
        <v>10</v>
      </c>
      <c r="G174" s="67" t="b">
        <v>0</v>
      </c>
      <c r="H174" s="65">
        <v>6</v>
      </c>
      <c r="I174" s="65">
        <v>3</v>
      </c>
      <c r="J174" s="65">
        <v>0.2</v>
      </c>
      <c r="K174" s="65">
        <v>0.21210000000000001</v>
      </c>
      <c r="L174" s="65">
        <v>1</v>
      </c>
      <c r="M174" s="65">
        <v>0.1343</v>
      </c>
      <c r="N174" s="65">
        <v>3</v>
      </c>
      <c r="O174" s="65">
        <v>31</v>
      </c>
      <c r="P174" s="65">
        <v>34</v>
      </c>
    </row>
    <row r="175" spans="1:16" x14ac:dyDescent="0.3">
      <c r="A175" s="65">
        <v>793</v>
      </c>
      <c r="B175" s="66">
        <v>40579</v>
      </c>
      <c r="C175" s="65">
        <v>1</v>
      </c>
      <c r="D175" s="65">
        <v>0</v>
      </c>
      <c r="E175" s="65">
        <v>2</v>
      </c>
      <c r="F175" s="65">
        <v>11</v>
      </c>
      <c r="G175" s="67" t="b">
        <v>0</v>
      </c>
      <c r="H175" s="65">
        <v>6</v>
      </c>
      <c r="I175" s="65">
        <v>3</v>
      </c>
      <c r="J175" s="65">
        <v>0.22</v>
      </c>
      <c r="K175" s="65">
        <v>0.2273</v>
      </c>
      <c r="L175" s="65">
        <v>1</v>
      </c>
      <c r="M175" s="65">
        <v>0.1343</v>
      </c>
      <c r="N175" s="65">
        <v>1</v>
      </c>
      <c r="O175" s="65">
        <v>46</v>
      </c>
      <c r="P175" s="65">
        <v>47</v>
      </c>
    </row>
    <row r="176" spans="1:16" x14ac:dyDescent="0.3">
      <c r="A176" s="65">
        <v>794</v>
      </c>
      <c r="B176" s="66">
        <v>40579</v>
      </c>
      <c r="C176" s="65">
        <v>1</v>
      </c>
      <c r="D176" s="65">
        <v>0</v>
      </c>
      <c r="E176" s="65">
        <v>2</v>
      </c>
      <c r="F176" s="65">
        <v>12</v>
      </c>
      <c r="G176" s="67" t="b">
        <v>0</v>
      </c>
      <c r="H176" s="65">
        <v>6</v>
      </c>
      <c r="I176" s="65">
        <v>3</v>
      </c>
      <c r="J176" s="65">
        <v>0.22</v>
      </c>
      <c r="K176" s="65">
        <v>0.2273</v>
      </c>
      <c r="L176" s="65">
        <v>1</v>
      </c>
      <c r="M176" s="65">
        <v>0.16420000000000001</v>
      </c>
      <c r="N176" s="65">
        <v>10</v>
      </c>
      <c r="O176" s="65">
        <v>42</v>
      </c>
      <c r="P176" s="65">
        <v>52</v>
      </c>
    </row>
    <row r="177" spans="1:16" x14ac:dyDescent="0.3">
      <c r="A177" s="65">
        <v>795</v>
      </c>
      <c r="B177" s="66">
        <v>40579</v>
      </c>
      <c r="C177" s="65">
        <v>1</v>
      </c>
      <c r="D177" s="65">
        <v>0</v>
      </c>
      <c r="E177" s="65">
        <v>2</v>
      </c>
      <c r="F177" s="65">
        <v>13</v>
      </c>
      <c r="G177" s="67" t="b">
        <v>0</v>
      </c>
      <c r="H177" s="65">
        <v>6</v>
      </c>
      <c r="I177" s="65">
        <v>3</v>
      </c>
      <c r="J177" s="65">
        <v>0.22</v>
      </c>
      <c r="K177" s="65">
        <v>0.2273</v>
      </c>
      <c r="L177" s="65">
        <v>1</v>
      </c>
      <c r="M177" s="65">
        <v>0.16420000000000001</v>
      </c>
      <c r="N177" s="65">
        <v>10</v>
      </c>
      <c r="O177" s="65">
        <v>62</v>
      </c>
      <c r="P177" s="65">
        <v>72</v>
      </c>
    </row>
    <row r="178" spans="1:16" x14ac:dyDescent="0.3">
      <c r="A178" s="65">
        <v>796</v>
      </c>
      <c r="B178" s="66">
        <v>40579</v>
      </c>
      <c r="C178" s="65">
        <v>1</v>
      </c>
      <c r="D178" s="65">
        <v>0</v>
      </c>
      <c r="E178" s="65">
        <v>2</v>
      </c>
      <c r="F178" s="65">
        <v>14</v>
      </c>
      <c r="G178" s="67" t="b">
        <v>0</v>
      </c>
      <c r="H178" s="65">
        <v>6</v>
      </c>
      <c r="I178" s="65">
        <v>3</v>
      </c>
      <c r="J178" s="65">
        <v>0.22</v>
      </c>
      <c r="K178" s="65">
        <v>0.2727</v>
      </c>
      <c r="L178" s="65">
        <v>1</v>
      </c>
      <c r="M178" s="65">
        <v>0</v>
      </c>
      <c r="N178" s="65">
        <v>5</v>
      </c>
      <c r="O178" s="65">
        <v>50</v>
      </c>
      <c r="P178" s="65">
        <v>55</v>
      </c>
    </row>
    <row r="179" spans="1:16" x14ac:dyDescent="0.3">
      <c r="A179" s="65">
        <v>797</v>
      </c>
      <c r="B179" s="66">
        <v>40579</v>
      </c>
      <c r="C179" s="65">
        <v>1</v>
      </c>
      <c r="D179" s="65">
        <v>0</v>
      </c>
      <c r="E179" s="65">
        <v>2</v>
      </c>
      <c r="F179" s="65">
        <v>15</v>
      </c>
      <c r="G179" s="67" t="b">
        <v>0</v>
      </c>
      <c r="H179" s="65">
        <v>6</v>
      </c>
      <c r="I179" s="65">
        <v>3</v>
      </c>
      <c r="J179" s="65">
        <v>0.22</v>
      </c>
      <c r="K179" s="65">
        <v>0.2727</v>
      </c>
      <c r="L179" s="65">
        <v>1</v>
      </c>
      <c r="M179" s="65">
        <v>0</v>
      </c>
      <c r="N179" s="65">
        <v>11</v>
      </c>
      <c r="O179" s="65">
        <v>49</v>
      </c>
      <c r="P179" s="65">
        <v>60</v>
      </c>
    </row>
    <row r="180" spans="1:16" x14ac:dyDescent="0.3">
      <c r="A180" s="65">
        <v>798</v>
      </c>
      <c r="B180" s="66">
        <v>40579</v>
      </c>
      <c r="C180" s="65">
        <v>1</v>
      </c>
      <c r="D180" s="65">
        <v>0</v>
      </c>
      <c r="E180" s="65">
        <v>2</v>
      </c>
      <c r="F180" s="65">
        <v>16</v>
      </c>
      <c r="G180" s="67" t="b">
        <v>0</v>
      </c>
      <c r="H180" s="65">
        <v>6</v>
      </c>
      <c r="I180" s="65">
        <v>3</v>
      </c>
      <c r="J180" s="65">
        <v>0.22</v>
      </c>
      <c r="K180" s="65">
        <v>0.2273</v>
      </c>
      <c r="L180" s="65">
        <v>1</v>
      </c>
      <c r="M180" s="65">
        <v>0.1343</v>
      </c>
      <c r="N180" s="65">
        <v>8</v>
      </c>
      <c r="O180" s="65">
        <v>63</v>
      </c>
      <c r="P180" s="65">
        <v>71</v>
      </c>
    </row>
    <row r="181" spans="1:16" x14ac:dyDescent="0.3">
      <c r="A181" s="65">
        <v>799</v>
      </c>
      <c r="B181" s="66">
        <v>40579</v>
      </c>
      <c r="C181" s="65">
        <v>1</v>
      </c>
      <c r="D181" s="65">
        <v>0</v>
      </c>
      <c r="E181" s="65">
        <v>2</v>
      </c>
      <c r="F181" s="65">
        <v>17</v>
      </c>
      <c r="G181" s="67" t="b">
        <v>0</v>
      </c>
      <c r="H181" s="65">
        <v>6</v>
      </c>
      <c r="I181" s="65">
        <v>2</v>
      </c>
      <c r="J181" s="65">
        <v>0.24</v>
      </c>
      <c r="K181" s="65">
        <v>0.21210000000000001</v>
      </c>
      <c r="L181" s="65">
        <v>1</v>
      </c>
      <c r="M181" s="65">
        <v>0.28360000000000002</v>
      </c>
      <c r="N181" s="65">
        <v>14</v>
      </c>
      <c r="O181" s="65">
        <v>64</v>
      </c>
      <c r="P181" s="65">
        <v>78</v>
      </c>
    </row>
    <row r="182" spans="1:16" x14ac:dyDescent="0.3">
      <c r="A182" s="65">
        <v>800</v>
      </c>
      <c r="B182" s="66">
        <v>40579</v>
      </c>
      <c r="C182" s="65">
        <v>1</v>
      </c>
      <c r="D182" s="65">
        <v>0</v>
      </c>
      <c r="E182" s="65">
        <v>2</v>
      </c>
      <c r="F182" s="65">
        <v>18</v>
      </c>
      <c r="G182" s="67" t="b">
        <v>0</v>
      </c>
      <c r="H182" s="65">
        <v>6</v>
      </c>
      <c r="I182" s="65">
        <v>2</v>
      </c>
      <c r="J182" s="65">
        <v>0.28000000000000003</v>
      </c>
      <c r="K182" s="65">
        <v>0.2424</v>
      </c>
      <c r="L182" s="65">
        <v>0.93</v>
      </c>
      <c r="M182" s="65">
        <v>0.44779999999999998</v>
      </c>
      <c r="N182" s="65">
        <v>2</v>
      </c>
      <c r="O182" s="65">
        <v>81</v>
      </c>
      <c r="P182" s="65">
        <v>83</v>
      </c>
    </row>
    <row r="183" spans="1:16" x14ac:dyDescent="0.3">
      <c r="A183" s="65">
        <v>801</v>
      </c>
      <c r="B183" s="66">
        <v>40579</v>
      </c>
      <c r="C183" s="65">
        <v>1</v>
      </c>
      <c r="D183" s="65">
        <v>0</v>
      </c>
      <c r="E183" s="65">
        <v>2</v>
      </c>
      <c r="F183" s="65">
        <v>19</v>
      </c>
      <c r="G183" s="67" t="b">
        <v>0</v>
      </c>
      <c r="H183" s="65">
        <v>6</v>
      </c>
      <c r="I183" s="65">
        <v>2</v>
      </c>
      <c r="J183" s="65">
        <v>0.28000000000000003</v>
      </c>
      <c r="K183" s="65">
        <v>0.2424</v>
      </c>
      <c r="L183" s="65">
        <v>0.93</v>
      </c>
      <c r="M183" s="65">
        <v>0.44779999999999998</v>
      </c>
      <c r="N183" s="65">
        <v>6</v>
      </c>
      <c r="O183" s="65">
        <v>78</v>
      </c>
      <c r="P183" s="65">
        <v>84</v>
      </c>
    </row>
    <row r="184" spans="1:16" x14ac:dyDescent="0.3">
      <c r="A184" s="65">
        <v>802</v>
      </c>
      <c r="B184" s="66">
        <v>40579</v>
      </c>
      <c r="C184" s="65">
        <v>1</v>
      </c>
      <c r="D184" s="65">
        <v>0</v>
      </c>
      <c r="E184" s="65">
        <v>2</v>
      </c>
      <c r="F184" s="65">
        <v>20</v>
      </c>
      <c r="G184" s="67" t="b">
        <v>0</v>
      </c>
      <c r="H184" s="65">
        <v>6</v>
      </c>
      <c r="I184" s="65">
        <v>1</v>
      </c>
      <c r="J184" s="65">
        <v>0.3</v>
      </c>
      <c r="K184" s="65">
        <v>0.28789999999999999</v>
      </c>
      <c r="L184" s="65">
        <v>0.87</v>
      </c>
      <c r="M184" s="65">
        <v>0.25369999999999998</v>
      </c>
      <c r="N184" s="65">
        <v>5</v>
      </c>
      <c r="O184" s="65">
        <v>64</v>
      </c>
      <c r="P184" s="65">
        <v>69</v>
      </c>
    </row>
    <row r="185" spans="1:16" x14ac:dyDescent="0.3">
      <c r="A185" s="65">
        <v>803</v>
      </c>
      <c r="B185" s="66">
        <v>40579</v>
      </c>
      <c r="C185" s="65">
        <v>1</v>
      </c>
      <c r="D185" s="65">
        <v>0</v>
      </c>
      <c r="E185" s="65">
        <v>2</v>
      </c>
      <c r="F185" s="65">
        <v>21</v>
      </c>
      <c r="G185" s="67" t="b">
        <v>0</v>
      </c>
      <c r="H185" s="65">
        <v>6</v>
      </c>
      <c r="I185" s="65">
        <v>1</v>
      </c>
      <c r="J185" s="65">
        <v>0.26</v>
      </c>
      <c r="K185" s="65">
        <v>0.2576</v>
      </c>
      <c r="L185" s="65">
        <v>1</v>
      </c>
      <c r="M185" s="65">
        <v>0.19400000000000001</v>
      </c>
      <c r="N185" s="65">
        <v>3</v>
      </c>
      <c r="O185" s="65">
        <v>53</v>
      </c>
      <c r="P185" s="65">
        <v>56</v>
      </c>
    </row>
    <row r="186" spans="1:16" x14ac:dyDescent="0.3">
      <c r="A186" s="65">
        <v>804</v>
      </c>
      <c r="B186" s="66">
        <v>40579</v>
      </c>
      <c r="C186" s="65">
        <v>1</v>
      </c>
      <c r="D186" s="65">
        <v>0</v>
      </c>
      <c r="E186" s="65">
        <v>2</v>
      </c>
      <c r="F186" s="65">
        <v>22</v>
      </c>
      <c r="G186" s="67" t="b">
        <v>0</v>
      </c>
      <c r="H186" s="65">
        <v>6</v>
      </c>
      <c r="I186" s="65">
        <v>1</v>
      </c>
      <c r="J186" s="65">
        <v>0.26</v>
      </c>
      <c r="K186" s="65">
        <v>0.2727</v>
      </c>
      <c r="L186" s="65">
        <v>0.93</v>
      </c>
      <c r="M186" s="65">
        <v>0.1343</v>
      </c>
      <c r="N186" s="65">
        <v>2</v>
      </c>
      <c r="O186" s="65">
        <v>43</v>
      </c>
      <c r="P186" s="65">
        <v>45</v>
      </c>
    </row>
    <row r="187" spans="1:16" x14ac:dyDescent="0.3">
      <c r="A187" s="65">
        <v>805</v>
      </c>
      <c r="B187" s="66">
        <v>40579</v>
      </c>
      <c r="C187" s="65">
        <v>1</v>
      </c>
      <c r="D187" s="65">
        <v>0</v>
      </c>
      <c r="E187" s="65">
        <v>2</v>
      </c>
      <c r="F187" s="65">
        <v>23</v>
      </c>
      <c r="G187" s="67" t="b">
        <v>0</v>
      </c>
      <c r="H187" s="65">
        <v>6</v>
      </c>
      <c r="I187" s="65">
        <v>1</v>
      </c>
      <c r="J187" s="65">
        <v>0.26</v>
      </c>
      <c r="K187" s="65">
        <v>0.2576</v>
      </c>
      <c r="L187" s="65">
        <v>0.93</v>
      </c>
      <c r="M187" s="65">
        <v>0.22389999999999999</v>
      </c>
      <c r="N187" s="65">
        <v>7</v>
      </c>
      <c r="O187" s="65">
        <v>52</v>
      </c>
      <c r="P187" s="65">
        <v>59</v>
      </c>
    </row>
    <row r="188" spans="1:16" x14ac:dyDescent="0.3">
      <c r="A188" s="65">
        <v>806</v>
      </c>
      <c r="B188" s="66">
        <v>40580</v>
      </c>
      <c r="C188" s="65">
        <v>1</v>
      </c>
      <c r="D188" s="65">
        <v>0</v>
      </c>
      <c r="E188" s="65">
        <v>2</v>
      </c>
      <c r="F188" s="65">
        <v>0</v>
      </c>
      <c r="G188" s="67" t="b">
        <v>0</v>
      </c>
      <c r="H188" s="65">
        <v>0</v>
      </c>
      <c r="I188" s="65">
        <v>1</v>
      </c>
      <c r="J188" s="65">
        <v>0.26</v>
      </c>
      <c r="K188" s="65">
        <v>0.2576</v>
      </c>
      <c r="L188" s="65">
        <v>0.7</v>
      </c>
      <c r="M188" s="65">
        <v>0.19400000000000001</v>
      </c>
      <c r="N188" s="65">
        <v>2</v>
      </c>
      <c r="O188" s="65">
        <v>37</v>
      </c>
      <c r="P188" s="65">
        <v>39</v>
      </c>
    </row>
    <row r="189" spans="1:16" x14ac:dyDescent="0.3">
      <c r="A189" s="65">
        <v>807</v>
      </c>
      <c r="B189" s="66">
        <v>40580</v>
      </c>
      <c r="C189" s="65">
        <v>1</v>
      </c>
      <c r="D189" s="65">
        <v>0</v>
      </c>
      <c r="E189" s="65">
        <v>2</v>
      </c>
      <c r="F189" s="65">
        <v>1</v>
      </c>
      <c r="G189" s="67" t="b">
        <v>0</v>
      </c>
      <c r="H189" s="65">
        <v>0</v>
      </c>
      <c r="I189" s="65">
        <v>1</v>
      </c>
      <c r="J189" s="65">
        <v>0.26</v>
      </c>
      <c r="K189" s="65">
        <v>0.2273</v>
      </c>
      <c r="L189" s="65">
        <v>0.65</v>
      </c>
      <c r="M189" s="65">
        <v>0.41789999999999999</v>
      </c>
      <c r="N189" s="65">
        <v>4</v>
      </c>
      <c r="O189" s="65">
        <v>40</v>
      </c>
      <c r="P189" s="65">
        <v>44</v>
      </c>
    </row>
    <row r="190" spans="1:16" x14ac:dyDescent="0.3">
      <c r="A190" s="65">
        <v>808</v>
      </c>
      <c r="B190" s="66">
        <v>40580</v>
      </c>
      <c r="C190" s="65">
        <v>1</v>
      </c>
      <c r="D190" s="65">
        <v>0</v>
      </c>
      <c r="E190" s="65">
        <v>2</v>
      </c>
      <c r="F190" s="65">
        <v>2</v>
      </c>
      <c r="G190" s="67" t="b">
        <v>0</v>
      </c>
      <c r="H190" s="65">
        <v>0</v>
      </c>
      <c r="I190" s="65">
        <v>1</v>
      </c>
      <c r="J190" s="65">
        <v>0.26</v>
      </c>
      <c r="K190" s="65">
        <v>0.2273</v>
      </c>
      <c r="L190" s="65">
        <v>0.6</v>
      </c>
      <c r="M190" s="65">
        <v>0.32840000000000003</v>
      </c>
      <c r="N190" s="65">
        <v>0</v>
      </c>
      <c r="O190" s="65">
        <v>20</v>
      </c>
      <c r="P190" s="65">
        <v>20</v>
      </c>
    </row>
    <row r="191" spans="1:16" x14ac:dyDescent="0.3">
      <c r="A191" s="65">
        <v>809</v>
      </c>
      <c r="B191" s="66">
        <v>40580</v>
      </c>
      <c r="C191" s="65">
        <v>1</v>
      </c>
      <c r="D191" s="65">
        <v>0</v>
      </c>
      <c r="E191" s="65">
        <v>2</v>
      </c>
      <c r="F191" s="65">
        <v>3</v>
      </c>
      <c r="G191" s="67" t="b">
        <v>0</v>
      </c>
      <c r="H191" s="65">
        <v>0</v>
      </c>
      <c r="I191" s="65">
        <v>1</v>
      </c>
      <c r="J191" s="65">
        <v>0.26</v>
      </c>
      <c r="K191" s="65">
        <v>0.28789999999999999</v>
      </c>
      <c r="L191" s="65">
        <v>0.6</v>
      </c>
      <c r="M191" s="65">
        <v>8.9599999999999999E-2</v>
      </c>
      <c r="N191" s="65">
        <v>3</v>
      </c>
      <c r="O191" s="65">
        <v>10</v>
      </c>
      <c r="P191" s="65">
        <v>13</v>
      </c>
    </row>
    <row r="192" spans="1:16" x14ac:dyDescent="0.3">
      <c r="A192" s="65">
        <v>810</v>
      </c>
      <c r="B192" s="66">
        <v>40580</v>
      </c>
      <c r="C192" s="65">
        <v>1</v>
      </c>
      <c r="D192" s="65">
        <v>0</v>
      </c>
      <c r="E192" s="65">
        <v>2</v>
      </c>
      <c r="F192" s="65">
        <v>4</v>
      </c>
      <c r="G192" s="67" t="b">
        <v>0</v>
      </c>
      <c r="H192" s="65">
        <v>0</v>
      </c>
      <c r="I192" s="65">
        <v>1</v>
      </c>
      <c r="J192" s="65">
        <v>0.26</v>
      </c>
      <c r="K192" s="65">
        <v>0.2273</v>
      </c>
      <c r="L192" s="65">
        <v>0.6</v>
      </c>
      <c r="M192" s="65">
        <v>0.35820000000000002</v>
      </c>
      <c r="N192" s="65">
        <v>0</v>
      </c>
      <c r="O192" s="65">
        <v>2</v>
      </c>
      <c r="P192" s="65">
        <v>2</v>
      </c>
    </row>
    <row r="193" spans="1:16" x14ac:dyDescent="0.3">
      <c r="A193" s="65">
        <v>811</v>
      </c>
      <c r="B193" s="66">
        <v>40580</v>
      </c>
      <c r="C193" s="65">
        <v>1</v>
      </c>
      <c r="D193" s="65">
        <v>0</v>
      </c>
      <c r="E193" s="65">
        <v>2</v>
      </c>
      <c r="F193" s="65">
        <v>5</v>
      </c>
      <c r="G193" s="67" t="b">
        <v>0</v>
      </c>
      <c r="H193" s="65">
        <v>0</v>
      </c>
      <c r="I193" s="65">
        <v>1</v>
      </c>
      <c r="J193" s="65">
        <v>0.26</v>
      </c>
      <c r="K193" s="65">
        <v>0.2576</v>
      </c>
      <c r="L193" s="65">
        <v>0.6</v>
      </c>
      <c r="M193" s="65">
        <v>0.22389999999999999</v>
      </c>
      <c r="N193" s="65">
        <v>0</v>
      </c>
      <c r="O193" s="65">
        <v>1</v>
      </c>
      <c r="P193" s="65">
        <v>1</v>
      </c>
    </row>
    <row r="194" spans="1:16" x14ac:dyDescent="0.3">
      <c r="A194" s="65">
        <v>812</v>
      </c>
      <c r="B194" s="66">
        <v>40580</v>
      </c>
      <c r="C194" s="65">
        <v>1</v>
      </c>
      <c r="D194" s="65">
        <v>0</v>
      </c>
      <c r="E194" s="65">
        <v>2</v>
      </c>
      <c r="F194" s="65">
        <v>6</v>
      </c>
      <c r="G194" s="67" t="b">
        <v>0</v>
      </c>
      <c r="H194" s="65">
        <v>0</v>
      </c>
      <c r="I194" s="65">
        <v>1</v>
      </c>
      <c r="J194" s="65">
        <v>0.26</v>
      </c>
      <c r="K194" s="65">
        <v>0.2576</v>
      </c>
      <c r="L194" s="65">
        <v>0.6</v>
      </c>
      <c r="M194" s="65">
        <v>0.22389999999999999</v>
      </c>
      <c r="N194" s="65">
        <v>0</v>
      </c>
      <c r="O194" s="65">
        <v>1</v>
      </c>
      <c r="P194" s="65">
        <v>1</v>
      </c>
    </row>
    <row r="195" spans="1:16" x14ac:dyDescent="0.3">
      <c r="A195" s="65">
        <v>813</v>
      </c>
      <c r="B195" s="66">
        <v>40580</v>
      </c>
      <c r="C195" s="65">
        <v>1</v>
      </c>
      <c r="D195" s="65">
        <v>0</v>
      </c>
      <c r="E195" s="65">
        <v>2</v>
      </c>
      <c r="F195" s="65">
        <v>7</v>
      </c>
      <c r="G195" s="67" t="b">
        <v>0</v>
      </c>
      <c r="H195" s="65">
        <v>0</v>
      </c>
      <c r="I195" s="65">
        <v>1</v>
      </c>
      <c r="J195" s="65">
        <v>0.24</v>
      </c>
      <c r="K195" s="65">
        <v>0.2424</v>
      </c>
      <c r="L195" s="65">
        <v>0.65</v>
      </c>
      <c r="M195" s="65">
        <v>0.16420000000000001</v>
      </c>
      <c r="N195" s="65">
        <v>0</v>
      </c>
      <c r="O195" s="65">
        <v>8</v>
      </c>
      <c r="P195" s="65">
        <v>8</v>
      </c>
    </row>
    <row r="196" spans="1:16" x14ac:dyDescent="0.3">
      <c r="A196" s="65">
        <v>814</v>
      </c>
      <c r="B196" s="66">
        <v>40580</v>
      </c>
      <c r="C196" s="65">
        <v>1</v>
      </c>
      <c r="D196" s="65">
        <v>0</v>
      </c>
      <c r="E196" s="65">
        <v>2</v>
      </c>
      <c r="F196" s="65">
        <v>8</v>
      </c>
      <c r="G196" s="67" t="b">
        <v>0</v>
      </c>
      <c r="H196" s="65">
        <v>0</v>
      </c>
      <c r="I196" s="65">
        <v>1</v>
      </c>
      <c r="J196" s="65">
        <v>0.24</v>
      </c>
      <c r="K196" s="65">
        <v>0.2576</v>
      </c>
      <c r="L196" s="65">
        <v>0.65</v>
      </c>
      <c r="M196" s="65">
        <v>0.1045</v>
      </c>
      <c r="N196" s="65">
        <v>2</v>
      </c>
      <c r="O196" s="65">
        <v>21</v>
      </c>
      <c r="P196" s="65">
        <v>23</v>
      </c>
    </row>
    <row r="197" spans="1:16" x14ac:dyDescent="0.3">
      <c r="A197" s="65">
        <v>815</v>
      </c>
      <c r="B197" s="66">
        <v>40580</v>
      </c>
      <c r="C197" s="65">
        <v>1</v>
      </c>
      <c r="D197" s="65">
        <v>0</v>
      </c>
      <c r="E197" s="65">
        <v>2</v>
      </c>
      <c r="F197" s="65">
        <v>9</v>
      </c>
      <c r="G197" s="67" t="b">
        <v>0</v>
      </c>
      <c r="H197" s="65">
        <v>0</v>
      </c>
      <c r="I197" s="65">
        <v>1</v>
      </c>
      <c r="J197" s="65">
        <v>0.28000000000000003</v>
      </c>
      <c r="K197" s="65">
        <v>0.28789999999999999</v>
      </c>
      <c r="L197" s="65">
        <v>0.56000000000000005</v>
      </c>
      <c r="M197" s="65">
        <v>0.1045</v>
      </c>
      <c r="N197" s="65">
        <v>7</v>
      </c>
      <c r="O197" s="65">
        <v>38</v>
      </c>
      <c r="P197" s="65">
        <v>45</v>
      </c>
    </row>
    <row r="198" spans="1:16" x14ac:dyDescent="0.3">
      <c r="A198" s="65">
        <v>816</v>
      </c>
      <c r="B198" s="66">
        <v>40580</v>
      </c>
      <c r="C198" s="65">
        <v>1</v>
      </c>
      <c r="D198" s="65">
        <v>0</v>
      </c>
      <c r="E198" s="65">
        <v>2</v>
      </c>
      <c r="F198" s="65">
        <v>10</v>
      </c>
      <c r="G198" s="67" t="b">
        <v>0</v>
      </c>
      <c r="H198" s="65">
        <v>0</v>
      </c>
      <c r="I198" s="65">
        <v>1</v>
      </c>
      <c r="J198" s="65">
        <v>0.3</v>
      </c>
      <c r="K198" s="65">
        <v>0.28789999999999999</v>
      </c>
      <c r="L198" s="65">
        <v>0.52</v>
      </c>
      <c r="M198" s="65">
        <v>0.25369999999999998</v>
      </c>
      <c r="N198" s="65">
        <v>15</v>
      </c>
      <c r="O198" s="65">
        <v>74</v>
      </c>
      <c r="P198" s="65">
        <v>89</v>
      </c>
    </row>
    <row r="199" spans="1:16" x14ac:dyDescent="0.3">
      <c r="A199" s="65">
        <v>817</v>
      </c>
      <c r="B199" s="66">
        <v>40580</v>
      </c>
      <c r="C199" s="65">
        <v>1</v>
      </c>
      <c r="D199" s="65">
        <v>0</v>
      </c>
      <c r="E199" s="65">
        <v>2</v>
      </c>
      <c r="F199" s="65">
        <v>11</v>
      </c>
      <c r="G199" s="67" t="b">
        <v>0</v>
      </c>
      <c r="H199" s="65">
        <v>0</v>
      </c>
      <c r="I199" s="65">
        <v>1</v>
      </c>
      <c r="J199" s="65">
        <v>0.32</v>
      </c>
      <c r="K199" s="65">
        <v>0.30299999999999999</v>
      </c>
      <c r="L199" s="65">
        <v>0.49</v>
      </c>
      <c r="M199" s="65">
        <v>0.25369999999999998</v>
      </c>
      <c r="N199" s="65">
        <v>28</v>
      </c>
      <c r="O199" s="65">
        <v>89</v>
      </c>
      <c r="P199" s="65">
        <v>117</v>
      </c>
    </row>
    <row r="200" spans="1:16" x14ac:dyDescent="0.3">
      <c r="A200" s="65">
        <v>818</v>
      </c>
      <c r="B200" s="66">
        <v>40580</v>
      </c>
      <c r="C200" s="65">
        <v>1</v>
      </c>
      <c r="D200" s="65">
        <v>0</v>
      </c>
      <c r="E200" s="65">
        <v>2</v>
      </c>
      <c r="F200" s="65">
        <v>12</v>
      </c>
      <c r="G200" s="67" t="b">
        <v>0</v>
      </c>
      <c r="H200" s="65">
        <v>0</v>
      </c>
      <c r="I200" s="65">
        <v>1</v>
      </c>
      <c r="J200" s="65">
        <v>0.34</v>
      </c>
      <c r="K200" s="65">
        <v>0.33329999999999999</v>
      </c>
      <c r="L200" s="65">
        <v>0.46</v>
      </c>
      <c r="M200" s="65">
        <v>0</v>
      </c>
      <c r="N200" s="65">
        <v>48</v>
      </c>
      <c r="O200" s="65">
        <v>126</v>
      </c>
      <c r="P200" s="65">
        <v>174</v>
      </c>
    </row>
    <row r="201" spans="1:16" x14ac:dyDescent="0.3">
      <c r="A201" s="65">
        <v>819</v>
      </c>
      <c r="B201" s="66">
        <v>40580</v>
      </c>
      <c r="C201" s="65">
        <v>1</v>
      </c>
      <c r="D201" s="65">
        <v>0</v>
      </c>
      <c r="E201" s="65">
        <v>2</v>
      </c>
      <c r="F201" s="65">
        <v>13</v>
      </c>
      <c r="G201" s="67" t="b">
        <v>0</v>
      </c>
      <c r="H201" s="65">
        <v>0</v>
      </c>
      <c r="I201" s="65">
        <v>1</v>
      </c>
      <c r="J201" s="65">
        <v>0.34</v>
      </c>
      <c r="K201" s="65">
        <v>0.36359999999999998</v>
      </c>
      <c r="L201" s="65">
        <v>0.46</v>
      </c>
      <c r="M201" s="65">
        <v>0</v>
      </c>
      <c r="N201" s="65">
        <v>47</v>
      </c>
      <c r="O201" s="65">
        <v>135</v>
      </c>
      <c r="P201" s="65">
        <v>182</v>
      </c>
    </row>
    <row r="202" spans="1:16" x14ac:dyDescent="0.3">
      <c r="A202" s="65">
        <v>820</v>
      </c>
      <c r="B202" s="66">
        <v>40580</v>
      </c>
      <c r="C202" s="65">
        <v>1</v>
      </c>
      <c r="D202" s="65">
        <v>0</v>
      </c>
      <c r="E202" s="65">
        <v>2</v>
      </c>
      <c r="F202" s="65">
        <v>14</v>
      </c>
      <c r="G202" s="67" t="b">
        <v>0</v>
      </c>
      <c r="H202" s="65">
        <v>0</v>
      </c>
      <c r="I202" s="65">
        <v>1</v>
      </c>
      <c r="J202" s="65">
        <v>0.34</v>
      </c>
      <c r="K202" s="65">
        <v>0.34849999999999998</v>
      </c>
      <c r="L202" s="65">
        <v>0.46</v>
      </c>
      <c r="M202" s="65">
        <v>8.9599999999999999E-2</v>
      </c>
      <c r="N202" s="65">
        <v>47</v>
      </c>
      <c r="O202" s="65">
        <v>114</v>
      </c>
      <c r="P202" s="65">
        <v>161</v>
      </c>
    </row>
    <row r="203" spans="1:16" x14ac:dyDescent="0.3">
      <c r="A203" s="65">
        <v>821</v>
      </c>
      <c r="B203" s="66">
        <v>40580</v>
      </c>
      <c r="C203" s="65">
        <v>1</v>
      </c>
      <c r="D203" s="65">
        <v>0</v>
      </c>
      <c r="E203" s="65">
        <v>2</v>
      </c>
      <c r="F203" s="65">
        <v>15</v>
      </c>
      <c r="G203" s="67" t="b">
        <v>0</v>
      </c>
      <c r="H203" s="65">
        <v>0</v>
      </c>
      <c r="I203" s="65">
        <v>1</v>
      </c>
      <c r="J203" s="65">
        <v>0.34</v>
      </c>
      <c r="K203" s="65">
        <v>0.34849999999999998</v>
      </c>
      <c r="L203" s="65">
        <v>0.46</v>
      </c>
      <c r="M203" s="65">
        <v>8.9599999999999999E-2</v>
      </c>
      <c r="N203" s="65">
        <v>52</v>
      </c>
      <c r="O203" s="65">
        <v>130</v>
      </c>
      <c r="P203" s="65">
        <v>182</v>
      </c>
    </row>
    <row r="204" spans="1:16" x14ac:dyDescent="0.3">
      <c r="A204" s="65">
        <v>822</v>
      </c>
      <c r="B204" s="66">
        <v>40580</v>
      </c>
      <c r="C204" s="65">
        <v>1</v>
      </c>
      <c r="D204" s="65">
        <v>0</v>
      </c>
      <c r="E204" s="65">
        <v>2</v>
      </c>
      <c r="F204" s="65">
        <v>16</v>
      </c>
      <c r="G204" s="67" t="b">
        <v>0</v>
      </c>
      <c r="H204" s="65">
        <v>0</v>
      </c>
      <c r="I204" s="65">
        <v>1</v>
      </c>
      <c r="J204" s="65">
        <v>0.34</v>
      </c>
      <c r="K204" s="65">
        <v>0.34849999999999998</v>
      </c>
      <c r="L204" s="65">
        <v>0.49</v>
      </c>
      <c r="M204" s="65">
        <v>0.1045</v>
      </c>
      <c r="N204" s="65">
        <v>42</v>
      </c>
      <c r="O204" s="65">
        <v>115</v>
      </c>
      <c r="P204" s="65">
        <v>157</v>
      </c>
    </row>
    <row r="205" spans="1:16" x14ac:dyDescent="0.3">
      <c r="A205" s="65">
        <v>823</v>
      </c>
      <c r="B205" s="66">
        <v>40580</v>
      </c>
      <c r="C205" s="65">
        <v>1</v>
      </c>
      <c r="D205" s="65">
        <v>0</v>
      </c>
      <c r="E205" s="65">
        <v>2</v>
      </c>
      <c r="F205" s="65">
        <v>17</v>
      </c>
      <c r="G205" s="67" t="b">
        <v>0</v>
      </c>
      <c r="H205" s="65">
        <v>0</v>
      </c>
      <c r="I205" s="65">
        <v>1</v>
      </c>
      <c r="J205" s="65">
        <v>0.34</v>
      </c>
      <c r="K205" s="65">
        <v>0.36359999999999998</v>
      </c>
      <c r="L205" s="65">
        <v>0.46</v>
      </c>
      <c r="M205" s="65">
        <v>0</v>
      </c>
      <c r="N205" s="65">
        <v>24</v>
      </c>
      <c r="O205" s="65">
        <v>97</v>
      </c>
      <c r="P205" s="65">
        <v>121</v>
      </c>
    </row>
    <row r="206" spans="1:16" x14ac:dyDescent="0.3">
      <c r="A206" s="65">
        <v>824</v>
      </c>
      <c r="B206" s="66">
        <v>40580</v>
      </c>
      <c r="C206" s="65">
        <v>1</v>
      </c>
      <c r="D206" s="65">
        <v>0</v>
      </c>
      <c r="E206" s="65">
        <v>2</v>
      </c>
      <c r="F206" s="65">
        <v>18</v>
      </c>
      <c r="G206" s="67" t="b">
        <v>0</v>
      </c>
      <c r="H206" s="65">
        <v>0</v>
      </c>
      <c r="I206" s="65">
        <v>1</v>
      </c>
      <c r="J206" s="65">
        <v>0.3</v>
      </c>
      <c r="K206" s="65">
        <v>0.30299999999999999</v>
      </c>
      <c r="L206" s="65">
        <v>0.56000000000000005</v>
      </c>
      <c r="M206" s="65">
        <v>0.16420000000000001</v>
      </c>
      <c r="N206" s="65">
        <v>13</v>
      </c>
      <c r="O206" s="65">
        <v>65</v>
      </c>
      <c r="P206" s="65">
        <v>78</v>
      </c>
    </row>
    <row r="207" spans="1:16" x14ac:dyDescent="0.3">
      <c r="A207" s="65">
        <v>825</v>
      </c>
      <c r="B207" s="66">
        <v>40580</v>
      </c>
      <c r="C207" s="65">
        <v>1</v>
      </c>
      <c r="D207" s="65">
        <v>0</v>
      </c>
      <c r="E207" s="65">
        <v>2</v>
      </c>
      <c r="F207" s="65">
        <v>19</v>
      </c>
      <c r="G207" s="67" t="b">
        <v>0</v>
      </c>
      <c r="H207" s="65">
        <v>0</v>
      </c>
      <c r="I207" s="65">
        <v>1</v>
      </c>
      <c r="J207" s="65">
        <v>0.28000000000000003</v>
      </c>
      <c r="K207" s="65">
        <v>0.28789999999999999</v>
      </c>
      <c r="L207" s="65">
        <v>0.61</v>
      </c>
      <c r="M207" s="65">
        <v>0.1343</v>
      </c>
      <c r="N207" s="65">
        <v>1</v>
      </c>
      <c r="O207" s="65">
        <v>20</v>
      </c>
      <c r="P207" s="65">
        <v>21</v>
      </c>
    </row>
    <row r="208" spans="1:16" x14ac:dyDescent="0.3">
      <c r="A208" s="65">
        <v>826</v>
      </c>
      <c r="B208" s="66">
        <v>40580</v>
      </c>
      <c r="C208" s="65">
        <v>1</v>
      </c>
      <c r="D208" s="65">
        <v>0</v>
      </c>
      <c r="E208" s="65">
        <v>2</v>
      </c>
      <c r="F208" s="65">
        <v>20</v>
      </c>
      <c r="G208" s="67" t="b">
        <v>0</v>
      </c>
      <c r="H208" s="65">
        <v>0</v>
      </c>
      <c r="I208" s="65">
        <v>1</v>
      </c>
      <c r="J208" s="65">
        <v>0.28000000000000003</v>
      </c>
      <c r="K208" s="65">
        <v>0.28789999999999999</v>
      </c>
      <c r="L208" s="65">
        <v>0.61</v>
      </c>
      <c r="M208" s="65">
        <v>0.1045</v>
      </c>
      <c r="N208" s="65">
        <v>5</v>
      </c>
      <c r="O208" s="65">
        <v>21</v>
      </c>
      <c r="P208" s="65">
        <v>26</v>
      </c>
    </row>
    <row r="209" spans="1:16" x14ac:dyDescent="0.3">
      <c r="A209" s="65">
        <v>827</v>
      </c>
      <c r="B209" s="66">
        <v>40580</v>
      </c>
      <c r="C209" s="65">
        <v>1</v>
      </c>
      <c r="D209" s="65">
        <v>0</v>
      </c>
      <c r="E209" s="65">
        <v>2</v>
      </c>
      <c r="F209" s="65">
        <v>21</v>
      </c>
      <c r="G209" s="67" t="b">
        <v>0</v>
      </c>
      <c r="H209" s="65">
        <v>0</v>
      </c>
      <c r="I209" s="65">
        <v>1</v>
      </c>
      <c r="J209" s="65">
        <v>0.26</v>
      </c>
      <c r="K209" s="65">
        <v>0.30299999999999999</v>
      </c>
      <c r="L209" s="65">
        <v>0.6</v>
      </c>
      <c r="M209" s="65">
        <v>0</v>
      </c>
      <c r="N209" s="65">
        <v>5</v>
      </c>
      <c r="O209" s="65">
        <v>22</v>
      </c>
      <c r="P209" s="65">
        <v>27</v>
      </c>
    </row>
    <row r="210" spans="1:16" x14ac:dyDescent="0.3">
      <c r="A210" s="65">
        <v>828</v>
      </c>
      <c r="B210" s="66">
        <v>40580</v>
      </c>
      <c r="C210" s="65">
        <v>1</v>
      </c>
      <c r="D210" s="65">
        <v>0</v>
      </c>
      <c r="E210" s="65">
        <v>2</v>
      </c>
      <c r="F210" s="65">
        <v>22</v>
      </c>
      <c r="G210" s="67" t="b">
        <v>0</v>
      </c>
      <c r="H210" s="65">
        <v>0</v>
      </c>
      <c r="I210" s="65">
        <v>1</v>
      </c>
      <c r="J210" s="65">
        <v>0.26</v>
      </c>
      <c r="K210" s="65">
        <v>0.30299999999999999</v>
      </c>
      <c r="L210" s="65">
        <v>0.6</v>
      </c>
      <c r="M210" s="65">
        <v>0</v>
      </c>
      <c r="N210" s="65">
        <v>5</v>
      </c>
      <c r="O210" s="65">
        <v>57</v>
      </c>
      <c r="P210" s="65">
        <v>62</v>
      </c>
    </row>
    <row r="211" spans="1:16" x14ac:dyDescent="0.3">
      <c r="A211" s="65">
        <v>829</v>
      </c>
      <c r="B211" s="66">
        <v>40580</v>
      </c>
      <c r="C211" s="65">
        <v>1</v>
      </c>
      <c r="D211" s="65">
        <v>0</v>
      </c>
      <c r="E211" s="65">
        <v>2</v>
      </c>
      <c r="F211" s="65">
        <v>23</v>
      </c>
      <c r="G211" s="67" t="b">
        <v>0</v>
      </c>
      <c r="H211" s="65">
        <v>0</v>
      </c>
      <c r="I211" s="65">
        <v>1</v>
      </c>
      <c r="J211" s="65">
        <v>0.24</v>
      </c>
      <c r="K211" s="65">
        <v>0.28789999999999999</v>
      </c>
      <c r="L211" s="65">
        <v>0.65</v>
      </c>
      <c r="M211" s="65">
        <v>0</v>
      </c>
      <c r="N211" s="65">
        <v>4</v>
      </c>
      <c r="O211" s="65">
        <v>26</v>
      </c>
      <c r="P211" s="65">
        <v>30</v>
      </c>
    </row>
    <row r="212" spans="1:16" x14ac:dyDescent="0.3">
      <c r="A212" s="65">
        <v>830</v>
      </c>
      <c r="B212" s="66">
        <v>40581</v>
      </c>
      <c r="C212" s="65">
        <v>1</v>
      </c>
      <c r="D212" s="65">
        <v>0</v>
      </c>
      <c r="E212" s="65">
        <v>2</v>
      </c>
      <c r="F212" s="65">
        <v>0</v>
      </c>
      <c r="G212" s="67" t="b">
        <v>0</v>
      </c>
      <c r="H212" s="65">
        <v>1</v>
      </c>
      <c r="I212" s="65">
        <v>1</v>
      </c>
      <c r="J212" s="65">
        <v>0.24</v>
      </c>
      <c r="K212" s="65">
        <v>0.28789999999999999</v>
      </c>
      <c r="L212" s="65">
        <v>0.65</v>
      </c>
      <c r="M212" s="65">
        <v>0</v>
      </c>
      <c r="N212" s="65">
        <v>1</v>
      </c>
      <c r="O212" s="65">
        <v>14</v>
      </c>
      <c r="P212" s="65">
        <v>15</v>
      </c>
    </row>
    <row r="213" spans="1:16" x14ac:dyDescent="0.3">
      <c r="A213" s="65">
        <v>831</v>
      </c>
      <c r="B213" s="66">
        <v>40581</v>
      </c>
      <c r="C213" s="65">
        <v>1</v>
      </c>
      <c r="D213" s="65">
        <v>0</v>
      </c>
      <c r="E213" s="65">
        <v>2</v>
      </c>
      <c r="F213" s="65">
        <v>1</v>
      </c>
      <c r="G213" s="67" t="b">
        <v>0</v>
      </c>
      <c r="H213" s="65">
        <v>1</v>
      </c>
      <c r="I213" s="65">
        <v>1</v>
      </c>
      <c r="J213" s="65">
        <v>0.22</v>
      </c>
      <c r="K213" s="65">
        <v>0.2727</v>
      </c>
      <c r="L213" s="65">
        <v>0.75</v>
      </c>
      <c r="M213" s="65">
        <v>0</v>
      </c>
      <c r="N213" s="65">
        <v>1</v>
      </c>
      <c r="O213" s="65">
        <v>4</v>
      </c>
      <c r="P213" s="65">
        <v>5</v>
      </c>
    </row>
    <row r="214" spans="1:16" x14ac:dyDescent="0.3">
      <c r="A214" s="65">
        <v>832</v>
      </c>
      <c r="B214" s="66">
        <v>40581</v>
      </c>
      <c r="C214" s="65">
        <v>1</v>
      </c>
      <c r="D214" s="65">
        <v>0</v>
      </c>
      <c r="E214" s="65">
        <v>2</v>
      </c>
      <c r="F214" s="65">
        <v>2</v>
      </c>
      <c r="G214" s="67" t="b">
        <v>0</v>
      </c>
      <c r="H214" s="65">
        <v>1</v>
      </c>
      <c r="I214" s="65">
        <v>1</v>
      </c>
      <c r="J214" s="65">
        <v>0.2</v>
      </c>
      <c r="K214" s="65">
        <v>0.2576</v>
      </c>
      <c r="L214" s="65">
        <v>0.8</v>
      </c>
      <c r="M214" s="65">
        <v>0</v>
      </c>
      <c r="N214" s="65">
        <v>0</v>
      </c>
      <c r="O214" s="65">
        <v>3</v>
      </c>
      <c r="P214" s="65">
        <v>3</v>
      </c>
    </row>
    <row r="215" spans="1:16" x14ac:dyDescent="0.3">
      <c r="A215" s="65">
        <v>833</v>
      </c>
      <c r="B215" s="66">
        <v>40581</v>
      </c>
      <c r="C215" s="65">
        <v>1</v>
      </c>
      <c r="D215" s="65">
        <v>0</v>
      </c>
      <c r="E215" s="65">
        <v>2</v>
      </c>
      <c r="F215" s="65">
        <v>3</v>
      </c>
      <c r="G215" s="67" t="b">
        <v>0</v>
      </c>
      <c r="H215" s="65">
        <v>1</v>
      </c>
      <c r="I215" s="65">
        <v>1</v>
      </c>
      <c r="J215" s="65">
        <v>0.2</v>
      </c>
      <c r="K215" s="65">
        <v>0.2576</v>
      </c>
      <c r="L215" s="65">
        <v>0.86</v>
      </c>
      <c r="M215" s="65">
        <v>0</v>
      </c>
      <c r="N215" s="65">
        <v>0</v>
      </c>
      <c r="O215" s="65">
        <v>1</v>
      </c>
      <c r="P215" s="65">
        <v>1</v>
      </c>
    </row>
    <row r="216" spans="1:16" x14ac:dyDescent="0.3">
      <c r="A216" s="65">
        <v>834</v>
      </c>
      <c r="B216" s="66">
        <v>40581</v>
      </c>
      <c r="C216" s="65">
        <v>1</v>
      </c>
      <c r="D216" s="65">
        <v>0</v>
      </c>
      <c r="E216" s="65">
        <v>2</v>
      </c>
      <c r="F216" s="65">
        <v>4</v>
      </c>
      <c r="G216" s="67" t="b">
        <v>0</v>
      </c>
      <c r="H216" s="65">
        <v>1</v>
      </c>
      <c r="I216" s="65">
        <v>1</v>
      </c>
      <c r="J216" s="65">
        <v>0.2</v>
      </c>
      <c r="K216" s="65">
        <v>0.2576</v>
      </c>
      <c r="L216" s="65">
        <v>0.86</v>
      </c>
      <c r="M216" s="65">
        <v>0</v>
      </c>
      <c r="N216" s="65">
        <v>1</v>
      </c>
      <c r="O216" s="65">
        <v>1</v>
      </c>
      <c r="P216" s="65">
        <v>2</v>
      </c>
    </row>
    <row r="217" spans="1:16" x14ac:dyDescent="0.3">
      <c r="A217" s="65">
        <v>835</v>
      </c>
      <c r="B217" s="66">
        <v>40581</v>
      </c>
      <c r="C217" s="65">
        <v>1</v>
      </c>
      <c r="D217" s="65">
        <v>0</v>
      </c>
      <c r="E217" s="65">
        <v>2</v>
      </c>
      <c r="F217" s="65">
        <v>5</v>
      </c>
      <c r="G217" s="67" t="b">
        <v>0</v>
      </c>
      <c r="H217" s="65">
        <v>1</v>
      </c>
      <c r="I217" s="65">
        <v>1</v>
      </c>
      <c r="J217" s="65">
        <v>0.2</v>
      </c>
      <c r="K217" s="65">
        <v>0.2576</v>
      </c>
      <c r="L217" s="65">
        <v>0.86</v>
      </c>
      <c r="M217" s="65">
        <v>0</v>
      </c>
      <c r="N217" s="65">
        <v>1</v>
      </c>
      <c r="O217" s="65">
        <v>9</v>
      </c>
      <c r="P217" s="65">
        <v>10</v>
      </c>
    </row>
    <row r="218" spans="1:16" x14ac:dyDescent="0.3">
      <c r="A218" s="65">
        <v>836</v>
      </c>
      <c r="B218" s="66">
        <v>40581</v>
      </c>
      <c r="C218" s="65">
        <v>1</v>
      </c>
      <c r="D218" s="65">
        <v>0</v>
      </c>
      <c r="E218" s="65">
        <v>2</v>
      </c>
      <c r="F218" s="65">
        <v>6</v>
      </c>
      <c r="G218" s="67" t="b">
        <v>0</v>
      </c>
      <c r="H218" s="65">
        <v>1</v>
      </c>
      <c r="I218" s="65">
        <v>1</v>
      </c>
      <c r="J218" s="65">
        <v>0.18</v>
      </c>
      <c r="K218" s="65">
        <v>0.2424</v>
      </c>
      <c r="L218" s="65">
        <v>0.93</v>
      </c>
      <c r="M218" s="65">
        <v>0</v>
      </c>
      <c r="N218" s="65">
        <v>1</v>
      </c>
      <c r="O218" s="65">
        <v>29</v>
      </c>
      <c r="P218" s="65">
        <v>30</v>
      </c>
    </row>
    <row r="219" spans="1:16" x14ac:dyDescent="0.3">
      <c r="A219" s="65">
        <v>837</v>
      </c>
      <c r="B219" s="66">
        <v>40581</v>
      </c>
      <c r="C219" s="65">
        <v>1</v>
      </c>
      <c r="D219" s="65">
        <v>0</v>
      </c>
      <c r="E219" s="65">
        <v>2</v>
      </c>
      <c r="F219" s="65">
        <v>7</v>
      </c>
      <c r="G219" s="67" t="b">
        <v>0</v>
      </c>
      <c r="H219" s="65">
        <v>1</v>
      </c>
      <c r="I219" s="65">
        <v>1</v>
      </c>
      <c r="J219" s="65">
        <v>0.18</v>
      </c>
      <c r="K219" s="65">
        <v>0.2424</v>
      </c>
      <c r="L219" s="65">
        <v>0.86</v>
      </c>
      <c r="M219" s="65">
        <v>0</v>
      </c>
      <c r="N219" s="65">
        <v>6</v>
      </c>
      <c r="O219" s="65">
        <v>89</v>
      </c>
      <c r="P219" s="65">
        <v>95</v>
      </c>
    </row>
    <row r="220" spans="1:16" x14ac:dyDescent="0.3">
      <c r="A220" s="65">
        <v>838</v>
      </c>
      <c r="B220" s="66">
        <v>40581</v>
      </c>
      <c r="C220" s="65">
        <v>1</v>
      </c>
      <c r="D220" s="65">
        <v>0</v>
      </c>
      <c r="E220" s="65">
        <v>2</v>
      </c>
      <c r="F220" s="65">
        <v>8</v>
      </c>
      <c r="G220" s="67" t="b">
        <v>0</v>
      </c>
      <c r="H220" s="65">
        <v>1</v>
      </c>
      <c r="I220" s="65">
        <v>2</v>
      </c>
      <c r="J220" s="65">
        <v>0.16</v>
      </c>
      <c r="K220" s="65">
        <v>0.2273</v>
      </c>
      <c r="L220" s="65">
        <v>1</v>
      </c>
      <c r="M220" s="65">
        <v>0</v>
      </c>
      <c r="N220" s="65">
        <v>7</v>
      </c>
      <c r="O220" s="65">
        <v>223</v>
      </c>
      <c r="P220" s="65">
        <v>230</v>
      </c>
    </row>
    <row r="221" spans="1:16" x14ac:dyDescent="0.3">
      <c r="A221" s="65">
        <v>839</v>
      </c>
      <c r="B221" s="66">
        <v>40581</v>
      </c>
      <c r="C221" s="65">
        <v>1</v>
      </c>
      <c r="D221" s="65">
        <v>0</v>
      </c>
      <c r="E221" s="65">
        <v>2</v>
      </c>
      <c r="F221" s="65">
        <v>9</v>
      </c>
      <c r="G221" s="67" t="b">
        <v>0</v>
      </c>
      <c r="H221" s="65">
        <v>1</v>
      </c>
      <c r="I221" s="65">
        <v>1</v>
      </c>
      <c r="J221" s="65">
        <v>0.22</v>
      </c>
      <c r="K221" s="65">
        <v>0.2727</v>
      </c>
      <c r="L221" s="65">
        <v>0.8</v>
      </c>
      <c r="M221" s="65">
        <v>0</v>
      </c>
      <c r="N221" s="65">
        <v>3</v>
      </c>
      <c r="O221" s="65">
        <v>115</v>
      </c>
      <c r="P221" s="65">
        <v>118</v>
      </c>
    </row>
    <row r="222" spans="1:16" x14ac:dyDescent="0.3">
      <c r="A222" s="65">
        <v>840</v>
      </c>
      <c r="B222" s="66">
        <v>40581</v>
      </c>
      <c r="C222" s="65">
        <v>1</v>
      </c>
      <c r="D222" s="65">
        <v>0</v>
      </c>
      <c r="E222" s="65">
        <v>2</v>
      </c>
      <c r="F222" s="65">
        <v>10</v>
      </c>
      <c r="G222" s="67" t="b">
        <v>0</v>
      </c>
      <c r="H222" s="65">
        <v>1</v>
      </c>
      <c r="I222" s="65">
        <v>1</v>
      </c>
      <c r="J222" s="65">
        <v>0.24</v>
      </c>
      <c r="K222" s="65">
        <v>0.2576</v>
      </c>
      <c r="L222" s="65">
        <v>0.75</v>
      </c>
      <c r="M222" s="65">
        <v>0.1045</v>
      </c>
      <c r="N222" s="65">
        <v>6</v>
      </c>
      <c r="O222" s="65">
        <v>49</v>
      </c>
      <c r="P222" s="65">
        <v>55</v>
      </c>
    </row>
    <row r="223" spans="1:16" x14ac:dyDescent="0.3">
      <c r="A223" s="65">
        <v>841</v>
      </c>
      <c r="B223" s="66">
        <v>40581</v>
      </c>
      <c r="C223" s="65">
        <v>1</v>
      </c>
      <c r="D223" s="65">
        <v>0</v>
      </c>
      <c r="E223" s="65">
        <v>2</v>
      </c>
      <c r="F223" s="65">
        <v>11</v>
      </c>
      <c r="G223" s="67" t="b">
        <v>0</v>
      </c>
      <c r="H223" s="65">
        <v>1</v>
      </c>
      <c r="I223" s="65">
        <v>1</v>
      </c>
      <c r="J223" s="65">
        <v>0.3</v>
      </c>
      <c r="K223" s="65">
        <v>0.31819999999999998</v>
      </c>
      <c r="L223" s="65">
        <v>0.65</v>
      </c>
      <c r="M223" s="65">
        <v>8.9599999999999999E-2</v>
      </c>
      <c r="N223" s="65">
        <v>11</v>
      </c>
      <c r="O223" s="65">
        <v>36</v>
      </c>
      <c r="P223" s="65">
        <v>47</v>
      </c>
    </row>
    <row r="224" spans="1:16" x14ac:dyDescent="0.3">
      <c r="A224" s="65">
        <v>842</v>
      </c>
      <c r="B224" s="66">
        <v>40581</v>
      </c>
      <c r="C224" s="65">
        <v>1</v>
      </c>
      <c r="D224" s="65">
        <v>0</v>
      </c>
      <c r="E224" s="65">
        <v>2</v>
      </c>
      <c r="F224" s="65">
        <v>12</v>
      </c>
      <c r="G224" s="67" t="b">
        <v>0</v>
      </c>
      <c r="H224" s="65">
        <v>1</v>
      </c>
      <c r="I224" s="65">
        <v>2</v>
      </c>
      <c r="J224" s="65">
        <v>0.32</v>
      </c>
      <c r="K224" s="65">
        <v>0.34849999999999998</v>
      </c>
      <c r="L224" s="65">
        <v>0.62</v>
      </c>
      <c r="M224" s="65">
        <v>0</v>
      </c>
      <c r="N224" s="65">
        <v>7</v>
      </c>
      <c r="O224" s="65">
        <v>59</v>
      </c>
      <c r="P224" s="65">
        <v>66</v>
      </c>
    </row>
    <row r="225" spans="1:16" x14ac:dyDescent="0.3">
      <c r="A225" s="65">
        <v>843</v>
      </c>
      <c r="B225" s="66">
        <v>40581</v>
      </c>
      <c r="C225" s="65">
        <v>1</v>
      </c>
      <c r="D225" s="65">
        <v>0</v>
      </c>
      <c r="E225" s="65">
        <v>2</v>
      </c>
      <c r="F225" s="65">
        <v>13</v>
      </c>
      <c r="G225" s="67" t="b">
        <v>0</v>
      </c>
      <c r="H225" s="65">
        <v>1</v>
      </c>
      <c r="I225" s="65">
        <v>2</v>
      </c>
      <c r="J225" s="65">
        <v>0.36</v>
      </c>
      <c r="K225" s="65">
        <v>0.36359999999999998</v>
      </c>
      <c r="L225" s="65">
        <v>0.56999999999999995</v>
      </c>
      <c r="M225" s="65">
        <v>8.9599999999999999E-2</v>
      </c>
      <c r="N225" s="65">
        <v>10</v>
      </c>
      <c r="O225" s="65">
        <v>54</v>
      </c>
      <c r="P225" s="65">
        <v>64</v>
      </c>
    </row>
    <row r="226" spans="1:16" x14ac:dyDescent="0.3">
      <c r="A226" s="65">
        <v>844</v>
      </c>
      <c r="B226" s="66">
        <v>40581</v>
      </c>
      <c r="C226" s="65">
        <v>1</v>
      </c>
      <c r="D226" s="65">
        <v>0</v>
      </c>
      <c r="E226" s="65">
        <v>2</v>
      </c>
      <c r="F226" s="65">
        <v>14</v>
      </c>
      <c r="G226" s="67" t="b">
        <v>0</v>
      </c>
      <c r="H226" s="65">
        <v>1</v>
      </c>
      <c r="I226" s="65">
        <v>2</v>
      </c>
      <c r="J226" s="65">
        <v>0.36</v>
      </c>
      <c r="K226" s="65">
        <v>0.36359999999999998</v>
      </c>
      <c r="L226" s="65">
        <v>0.56999999999999995</v>
      </c>
      <c r="M226" s="65">
        <v>8.9599999999999999E-2</v>
      </c>
      <c r="N226" s="65">
        <v>8</v>
      </c>
      <c r="O226" s="65">
        <v>52</v>
      </c>
      <c r="P226" s="65">
        <v>60</v>
      </c>
    </row>
    <row r="227" spans="1:16" x14ac:dyDescent="0.3">
      <c r="A227" s="65">
        <v>845</v>
      </c>
      <c r="B227" s="66">
        <v>40581</v>
      </c>
      <c r="C227" s="65">
        <v>1</v>
      </c>
      <c r="D227" s="65">
        <v>0</v>
      </c>
      <c r="E227" s="65">
        <v>2</v>
      </c>
      <c r="F227" s="65">
        <v>15</v>
      </c>
      <c r="G227" s="67" t="b">
        <v>0</v>
      </c>
      <c r="H227" s="65">
        <v>1</v>
      </c>
      <c r="I227" s="65">
        <v>2</v>
      </c>
      <c r="J227" s="65">
        <v>0.38</v>
      </c>
      <c r="K227" s="65">
        <v>0.39389999999999997</v>
      </c>
      <c r="L227" s="65">
        <v>0.54</v>
      </c>
      <c r="M227" s="65">
        <v>8.9599999999999999E-2</v>
      </c>
      <c r="N227" s="65">
        <v>4</v>
      </c>
      <c r="O227" s="65">
        <v>46</v>
      </c>
      <c r="P227" s="65">
        <v>50</v>
      </c>
    </row>
    <row r="228" spans="1:16" x14ac:dyDescent="0.3">
      <c r="A228" s="65">
        <v>846</v>
      </c>
      <c r="B228" s="66">
        <v>40581</v>
      </c>
      <c r="C228" s="65">
        <v>1</v>
      </c>
      <c r="D228" s="65">
        <v>0</v>
      </c>
      <c r="E228" s="65">
        <v>2</v>
      </c>
      <c r="F228" s="65">
        <v>16</v>
      </c>
      <c r="G228" s="67" t="b">
        <v>0</v>
      </c>
      <c r="H228" s="65">
        <v>1</v>
      </c>
      <c r="I228" s="65">
        <v>2</v>
      </c>
      <c r="J228" s="65">
        <v>0.36</v>
      </c>
      <c r="K228" s="65">
        <v>0.34849999999999998</v>
      </c>
      <c r="L228" s="65">
        <v>0.56999999999999995</v>
      </c>
      <c r="M228" s="65">
        <v>0.1343</v>
      </c>
      <c r="N228" s="65">
        <v>16</v>
      </c>
      <c r="O228" s="65">
        <v>98</v>
      </c>
      <c r="P228" s="65">
        <v>114</v>
      </c>
    </row>
    <row r="229" spans="1:16" x14ac:dyDescent="0.3">
      <c r="A229" s="65">
        <v>847</v>
      </c>
      <c r="B229" s="66">
        <v>40581</v>
      </c>
      <c r="C229" s="65">
        <v>1</v>
      </c>
      <c r="D229" s="65">
        <v>0</v>
      </c>
      <c r="E229" s="65">
        <v>2</v>
      </c>
      <c r="F229" s="65">
        <v>17</v>
      </c>
      <c r="G229" s="67" t="b">
        <v>0</v>
      </c>
      <c r="H229" s="65">
        <v>1</v>
      </c>
      <c r="I229" s="65">
        <v>2</v>
      </c>
      <c r="J229" s="65">
        <v>0.32</v>
      </c>
      <c r="K229" s="65">
        <v>0.31819999999999998</v>
      </c>
      <c r="L229" s="65">
        <v>0.7</v>
      </c>
      <c r="M229" s="65">
        <v>0.16420000000000001</v>
      </c>
      <c r="N229" s="65">
        <v>9</v>
      </c>
      <c r="O229" s="65">
        <v>207</v>
      </c>
      <c r="P229" s="65">
        <v>216</v>
      </c>
    </row>
    <row r="230" spans="1:16" x14ac:dyDescent="0.3">
      <c r="A230" s="65">
        <v>848</v>
      </c>
      <c r="B230" s="66">
        <v>40581</v>
      </c>
      <c r="C230" s="65">
        <v>1</v>
      </c>
      <c r="D230" s="65">
        <v>0</v>
      </c>
      <c r="E230" s="65">
        <v>2</v>
      </c>
      <c r="F230" s="65">
        <v>18</v>
      </c>
      <c r="G230" s="67" t="b">
        <v>0</v>
      </c>
      <c r="H230" s="65">
        <v>1</v>
      </c>
      <c r="I230" s="65">
        <v>2</v>
      </c>
      <c r="J230" s="65">
        <v>0.34</v>
      </c>
      <c r="K230" s="65">
        <v>0.33329999999999999</v>
      </c>
      <c r="L230" s="65">
        <v>0.66</v>
      </c>
      <c r="M230" s="65">
        <v>0.1343</v>
      </c>
      <c r="N230" s="65">
        <v>5</v>
      </c>
      <c r="O230" s="65">
        <v>170</v>
      </c>
      <c r="P230" s="65">
        <v>175</v>
      </c>
    </row>
    <row r="231" spans="1:16" x14ac:dyDescent="0.3">
      <c r="A231" s="65">
        <v>849</v>
      </c>
      <c r="B231" s="66">
        <v>40581</v>
      </c>
      <c r="C231" s="65">
        <v>1</v>
      </c>
      <c r="D231" s="65">
        <v>0</v>
      </c>
      <c r="E231" s="65">
        <v>2</v>
      </c>
      <c r="F231" s="65">
        <v>19</v>
      </c>
      <c r="G231" s="67" t="b">
        <v>0</v>
      </c>
      <c r="H231" s="65">
        <v>1</v>
      </c>
      <c r="I231" s="65">
        <v>2</v>
      </c>
      <c r="J231" s="65">
        <v>0.32</v>
      </c>
      <c r="K231" s="65">
        <v>0.34849999999999998</v>
      </c>
      <c r="L231" s="65">
        <v>0.7</v>
      </c>
      <c r="M231" s="65">
        <v>0</v>
      </c>
      <c r="N231" s="65">
        <v>5</v>
      </c>
      <c r="O231" s="65">
        <v>123</v>
      </c>
      <c r="P231" s="65">
        <v>128</v>
      </c>
    </row>
    <row r="232" spans="1:16" x14ac:dyDescent="0.3">
      <c r="A232" s="65">
        <v>850</v>
      </c>
      <c r="B232" s="66">
        <v>40581</v>
      </c>
      <c r="C232" s="65">
        <v>1</v>
      </c>
      <c r="D232" s="65">
        <v>0</v>
      </c>
      <c r="E232" s="65">
        <v>2</v>
      </c>
      <c r="F232" s="65">
        <v>20</v>
      </c>
      <c r="G232" s="67" t="b">
        <v>0</v>
      </c>
      <c r="H232" s="65">
        <v>1</v>
      </c>
      <c r="I232" s="65">
        <v>2</v>
      </c>
      <c r="J232" s="65">
        <v>0.32</v>
      </c>
      <c r="K232" s="65">
        <v>0.33329999999999999</v>
      </c>
      <c r="L232" s="65">
        <v>0.7</v>
      </c>
      <c r="M232" s="65">
        <v>0.1045</v>
      </c>
      <c r="N232" s="65">
        <v>6</v>
      </c>
      <c r="O232" s="65">
        <v>82</v>
      </c>
      <c r="P232" s="65">
        <v>88</v>
      </c>
    </row>
    <row r="233" spans="1:16" x14ac:dyDescent="0.3">
      <c r="A233" s="65">
        <v>851</v>
      </c>
      <c r="B233" s="66">
        <v>40581</v>
      </c>
      <c r="C233" s="65">
        <v>1</v>
      </c>
      <c r="D233" s="65">
        <v>0</v>
      </c>
      <c r="E233" s="65">
        <v>2</v>
      </c>
      <c r="F233" s="65">
        <v>21</v>
      </c>
      <c r="G233" s="67" t="b">
        <v>0</v>
      </c>
      <c r="H233" s="65">
        <v>1</v>
      </c>
      <c r="I233" s="65">
        <v>1</v>
      </c>
      <c r="J233" s="65">
        <v>0.32</v>
      </c>
      <c r="K233" s="65">
        <v>0.34849999999999998</v>
      </c>
      <c r="L233" s="65">
        <v>0.7</v>
      </c>
      <c r="M233" s="65">
        <v>0</v>
      </c>
      <c r="N233" s="65">
        <v>3</v>
      </c>
      <c r="O233" s="65">
        <v>75</v>
      </c>
      <c r="P233" s="65">
        <v>78</v>
      </c>
    </row>
    <row r="234" spans="1:16" x14ac:dyDescent="0.3">
      <c r="A234" s="65">
        <v>852</v>
      </c>
      <c r="B234" s="66">
        <v>40581</v>
      </c>
      <c r="C234" s="65">
        <v>1</v>
      </c>
      <c r="D234" s="65">
        <v>0</v>
      </c>
      <c r="E234" s="65">
        <v>2</v>
      </c>
      <c r="F234" s="65">
        <v>22</v>
      </c>
      <c r="G234" s="67" t="b">
        <v>0</v>
      </c>
      <c r="H234" s="65">
        <v>1</v>
      </c>
      <c r="I234" s="65">
        <v>1</v>
      </c>
      <c r="J234" s="65">
        <v>0.28000000000000003</v>
      </c>
      <c r="K234" s="65">
        <v>0.30299999999999999</v>
      </c>
      <c r="L234" s="65">
        <v>0.81</v>
      </c>
      <c r="M234" s="65">
        <v>8.9599999999999999E-2</v>
      </c>
      <c r="N234" s="65">
        <v>3</v>
      </c>
      <c r="O234" s="65">
        <v>34</v>
      </c>
      <c r="P234" s="65">
        <v>37</v>
      </c>
    </row>
    <row r="235" spans="1:16" x14ac:dyDescent="0.3">
      <c r="A235" s="65">
        <v>853</v>
      </c>
      <c r="B235" s="66">
        <v>40581</v>
      </c>
      <c r="C235" s="65">
        <v>1</v>
      </c>
      <c r="D235" s="65">
        <v>0</v>
      </c>
      <c r="E235" s="65">
        <v>2</v>
      </c>
      <c r="F235" s="65">
        <v>23</v>
      </c>
      <c r="G235" s="67" t="b">
        <v>0</v>
      </c>
      <c r="H235" s="65">
        <v>1</v>
      </c>
      <c r="I235" s="65">
        <v>2</v>
      </c>
      <c r="J235" s="65">
        <v>0.3</v>
      </c>
      <c r="K235" s="65">
        <v>0.33329999999999999</v>
      </c>
      <c r="L235" s="65">
        <v>0.81</v>
      </c>
      <c r="M235" s="65">
        <v>0</v>
      </c>
      <c r="N235" s="65">
        <v>6</v>
      </c>
      <c r="O235" s="65">
        <v>19</v>
      </c>
      <c r="P235" s="65">
        <v>25</v>
      </c>
    </row>
    <row r="236" spans="1:16" x14ac:dyDescent="0.3">
      <c r="A236" s="65">
        <v>854</v>
      </c>
      <c r="B236" s="66">
        <v>40582</v>
      </c>
      <c r="C236" s="65">
        <v>1</v>
      </c>
      <c r="D236" s="65">
        <v>0</v>
      </c>
      <c r="E236" s="65">
        <v>2</v>
      </c>
      <c r="F236" s="65">
        <v>0</v>
      </c>
      <c r="G236" s="67" t="b">
        <v>0</v>
      </c>
      <c r="H236" s="65">
        <v>2</v>
      </c>
      <c r="I236" s="65">
        <v>2</v>
      </c>
      <c r="J236" s="65">
        <v>0.28000000000000003</v>
      </c>
      <c r="K236" s="65">
        <v>0.31819999999999998</v>
      </c>
      <c r="L236" s="65">
        <v>0.87</v>
      </c>
      <c r="M236" s="65">
        <v>0</v>
      </c>
      <c r="N236" s="65">
        <v>4</v>
      </c>
      <c r="O236" s="65">
        <v>6</v>
      </c>
      <c r="P236" s="65">
        <v>10</v>
      </c>
    </row>
    <row r="237" spans="1:16" x14ac:dyDescent="0.3">
      <c r="A237" s="65">
        <v>855</v>
      </c>
      <c r="B237" s="66">
        <v>40582</v>
      </c>
      <c r="C237" s="65">
        <v>1</v>
      </c>
      <c r="D237" s="65">
        <v>0</v>
      </c>
      <c r="E237" s="65">
        <v>2</v>
      </c>
      <c r="F237" s="65">
        <v>1</v>
      </c>
      <c r="G237" s="67" t="b">
        <v>0</v>
      </c>
      <c r="H237" s="65">
        <v>2</v>
      </c>
      <c r="I237" s="65">
        <v>2</v>
      </c>
      <c r="J237" s="65">
        <v>0.28000000000000003</v>
      </c>
      <c r="K237" s="65">
        <v>0.31819999999999998</v>
      </c>
      <c r="L237" s="65">
        <v>0.87</v>
      </c>
      <c r="M237" s="65">
        <v>0</v>
      </c>
      <c r="N237" s="65">
        <v>0</v>
      </c>
      <c r="O237" s="65">
        <v>4</v>
      </c>
      <c r="P237" s="65">
        <v>4</v>
      </c>
    </row>
    <row r="238" spans="1:16" x14ac:dyDescent="0.3">
      <c r="A238" s="65">
        <v>856</v>
      </c>
      <c r="B238" s="66">
        <v>40582</v>
      </c>
      <c r="C238" s="65">
        <v>1</v>
      </c>
      <c r="D238" s="65">
        <v>0</v>
      </c>
      <c r="E238" s="65">
        <v>2</v>
      </c>
      <c r="F238" s="65">
        <v>2</v>
      </c>
      <c r="G238" s="67" t="b">
        <v>0</v>
      </c>
      <c r="H238" s="65">
        <v>2</v>
      </c>
      <c r="I238" s="65">
        <v>2</v>
      </c>
      <c r="J238" s="65">
        <v>0.26</v>
      </c>
      <c r="K238" s="65">
        <v>0.2727</v>
      </c>
      <c r="L238" s="65">
        <v>0.93</v>
      </c>
      <c r="M238" s="65">
        <v>0.1045</v>
      </c>
      <c r="N238" s="65">
        <v>1</v>
      </c>
      <c r="O238" s="65">
        <v>1</v>
      </c>
      <c r="P238" s="65">
        <v>2</v>
      </c>
    </row>
    <row r="239" spans="1:16" x14ac:dyDescent="0.3">
      <c r="A239" s="65">
        <v>857</v>
      </c>
      <c r="B239" s="66">
        <v>40582</v>
      </c>
      <c r="C239" s="65">
        <v>1</v>
      </c>
      <c r="D239" s="65">
        <v>0</v>
      </c>
      <c r="E239" s="65">
        <v>2</v>
      </c>
      <c r="F239" s="65">
        <v>3</v>
      </c>
      <c r="G239" s="67" t="b">
        <v>0</v>
      </c>
      <c r="H239" s="65">
        <v>2</v>
      </c>
      <c r="I239" s="65">
        <v>3</v>
      </c>
      <c r="J239" s="65">
        <v>0.28000000000000003</v>
      </c>
      <c r="K239" s="65">
        <v>0.2727</v>
      </c>
      <c r="L239" s="65">
        <v>0.93</v>
      </c>
      <c r="M239" s="65">
        <v>0.16420000000000001</v>
      </c>
      <c r="N239" s="65">
        <v>0</v>
      </c>
      <c r="O239" s="65">
        <v>1</v>
      </c>
      <c r="P239" s="65">
        <v>1</v>
      </c>
    </row>
    <row r="240" spans="1:16" x14ac:dyDescent="0.3">
      <c r="A240" s="65">
        <v>858</v>
      </c>
      <c r="B240" s="66">
        <v>40582</v>
      </c>
      <c r="C240" s="65">
        <v>1</v>
      </c>
      <c r="D240" s="65">
        <v>0</v>
      </c>
      <c r="E240" s="65">
        <v>2</v>
      </c>
      <c r="F240" s="65">
        <v>4</v>
      </c>
      <c r="G240" s="67" t="b">
        <v>0</v>
      </c>
      <c r="H240" s="65">
        <v>2</v>
      </c>
      <c r="I240" s="65">
        <v>1</v>
      </c>
      <c r="J240" s="65">
        <v>0.26</v>
      </c>
      <c r="K240" s="65">
        <v>0.2576</v>
      </c>
      <c r="L240" s="65">
        <v>0.93</v>
      </c>
      <c r="M240" s="65">
        <v>0.16420000000000001</v>
      </c>
      <c r="N240" s="65">
        <v>0</v>
      </c>
      <c r="O240" s="65">
        <v>3</v>
      </c>
      <c r="P240" s="65">
        <v>3</v>
      </c>
    </row>
    <row r="241" spans="1:16" x14ac:dyDescent="0.3">
      <c r="A241" s="65">
        <v>859</v>
      </c>
      <c r="B241" s="66">
        <v>40582</v>
      </c>
      <c r="C241" s="65">
        <v>1</v>
      </c>
      <c r="D241" s="65">
        <v>0</v>
      </c>
      <c r="E241" s="65">
        <v>2</v>
      </c>
      <c r="F241" s="65">
        <v>5</v>
      </c>
      <c r="G241" s="67" t="b">
        <v>0</v>
      </c>
      <c r="H241" s="65">
        <v>2</v>
      </c>
      <c r="I241" s="65">
        <v>1</v>
      </c>
      <c r="J241" s="65">
        <v>0.26</v>
      </c>
      <c r="K241" s="65">
        <v>0.2273</v>
      </c>
      <c r="L241" s="65">
        <v>0.81</v>
      </c>
      <c r="M241" s="65">
        <v>0.32840000000000003</v>
      </c>
      <c r="N241" s="65">
        <v>0</v>
      </c>
      <c r="O241" s="65">
        <v>2</v>
      </c>
      <c r="P241" s="65">
        <v>2</v>
      </c>
    </row>
    <row r="242" spans="1:16" x14ac:dyDescent="0.3">
      <c r="A242" s="65">
        <v>860</v>
      </c>
      <c r="B242" s="66">
        <v>40582</v>
      </c>
      <c r="C242" s="65">
        <v>1</v>
      </c>
      <c r="D242" s="65">
        <v>0</v>
      </c>
      <c r="E242" s="65">
        <v>2</v>
      </c>
      <c r="F242" s="65">
        <v>6</v>
      </c>
      <c r="G242" s="67" t="b">
        <v>0</v>
      </c>
      <c r="H242" s="65">
        <v>2</v>
      </c>
      <c r="I242" s="65">
        <v>1</v>
      </c>
      <c r="J242" s="65">
        <v>0.26</v>
      </c>
      <c r="K242" s="65">
        <v>0.2273</v>
      </c>
      <c r="L242" s="65">
        <v>0.7</v>
      </c>
      <c r="M242" s="65">
        <v>0.32840000000000003</v>
      </c>
      <c r="N242" s="65">
        <v>0</v>
      </c>
      <c r="O242" s="65">
        <v>39</v>
      </c>
      <c r="P242" s="65">
        <v>39</v>
      </c>
    </row>
    <row r="243" spans="1:16" x14ac:dyDescent="0.3">
      <c r="A243" s="65">
        <v>861</v>
      </c>
      <c r="B243" s="66">
        <v>40582</v>
      </c>
      <c r="C243" s="65">
        <v>1</v>
      </c>
      <c r="D243" s="65">
        <v>0</v>
      </c>
      <c r="E243" s="65">
        <v>2</v>
      </c>
      <c r="F243" s="65">
        <v>7</v>
      </c>
      <c r="G243" s="67" t="b">
        <v>0</v>
      </c>
      <c r="H243" s="65">
        <v>2</v>
      </c>
      <c r="I243" s="65">
        <v>1</v>
      </c>
      <c r="J243" s="65">
        <v>0.24</v>
      </c>
      <c r="K243" s="65">
        <v>0.19700000000000001</v>
      </c>
      <c r="L243" s="65">
        <v>0.65</v>
      </c>
      <c r="M243" s="65">
        <v>0.41789999999999999</v>
      </c>
      <c r="N243" s="65">
        <v>3</v>
      </c>
      <c r="O243" s="65">
        <v>97</v>
      </c>
      <c r="P243" s="65">
        <v>100</v>
      </c>
    </row>
    <row r="244" spans="1:16" x14ac:dyDescent="0.3">
      <c r="A244" s="65">
        <v>862</v>
      </c>
      <c r="B244" s="66">
        <v>40582</v>
      </c>
      <c r="C244" s="65">
        <v>1</v>
      </c>
      <c r="D244" s="65">
        <v>0</v>
      </c>
      <c r="E244" s="65">
        <v>2</v>
      </c>
      <c r="F244" s="65">
        <v>8</v>
      </c>
      <c r="G244" s="67" t="b">
        <v>0</v>
      </c>
      <c r="H244" s="65">
        <v>2</v>
      </c>
      <c r="I244" s="65">
        <v>1</v>
      </c>
      <c r="J244" s="65">
        <v>0.24</v>
      </c>
      <c r="K244" s="65">
        <v>0.19700000000000001</v>
      </c>
      <c r="L244" s="65">
        <v>0.56000000000000005</v>
      </c>
      <c r="M244" s="65">
        <v>0.49249999999999999</v>
      </c>
      <c r="N244" s="65">
        <v>7</v>
      </c>
      <c r="O244" s="65">
        <v>236</v>
      </c>
      <c r="P244" s="65">
        <v>243</v>
      </c>
    </row>
    <row r="245" spans="1:16" x14ac:dyDescent="0.3">
      <c r="A245" s="65">
        <v>863</v>
      </c>
      <c r="B245" s="66">
        <v>40582</v>
      </c>
      <c r="C245" s="65">
        <v>1</v>
      </c>
      <c r="D245" s="65">
        <v>0</v>
      </c>
      <c r="E245" s="65">
        <v>2</v>
      </c>
      <c r="F245" s="65">
        <v>9</v>
      </c>
      <c r="G245" s="67" t="b">
        <v>0</v>
      </c>
      <c r="H245" s="65">
        <v>2</v>
      </c>
      <c r="I245" s="65">
        <v>1</v>
      </c>
      <c r="J245" s="65">
        <v>0.24</v>
      </c>
      <c r="K245" s="65">
        <v>0.19700000000000001</v>
      </c>
      <c r="L245" s="65">
        <v>0.52</v>
      </c>
      <c r="M245" s="65">
        <v>0.49249999999999999</v>
      </c>
      <c r="N245" s="65">
        <v>7</v>
      </c>
      <c r="O245" s="65">
        <v>128</v>
      </c>
      <c r="P245" s="65">
        <v>135</v>
      </c>
    </row>
    <row r="246" spans="1:16" x14ac:dyDescent="0.3">
      <c r="A246" s="65">
        <v>864</v>
      </c>
      <c r="B246" s="66">
        <v>40582</v>
      </c>
      <c r="C246" s="65">
        <v>1</v>
      </c>
      <c r="D246" s="65">
        <v>0</v>
      </c>
      <c r="E246" s="65">
        <v>2</v>
      </c>
      <c r="F246" s="65">
        <v>10</v>
      </c>
      <c r="G246" s="67" t="b">
        <v>0</v>
      </c>
      <c r="H246" s="65">
        <v>2</v>
      </c>
      <c r="I246" s="65">
        <v>1</v>
      </c>
      <c r="J246" s="65">
        <v>0.22</v>
      </c>
      <c r="K246" s="65">
        <v>0.18179999999999999</v>
      </c>
      <c r="L246" s="65">
        <v>0.47</v>
      </c>
      <c r="M246" s="65">
        <v>0.55220000000000002</v>
      </c>
      <c r="N246" s="65">
        <v>4</v>
      </c>
      <c r="O246" s="65">
        <v>44</v>
      </c>
      <c r="P246" s="65">
        <v>48</v>
      </c>
    </row>
    <row r="247" spans="1:16" x14ac:dyDescent="0.3">
      <c r="A247" s="65">
        <v>865</v>
      </c>
      <c r="B247" s="66">
        <v>40582</v>
      </c>
      <c r="C247" s="65">
        <v>1</v>
      </c>
      <c r="D247" s="65">
        <v>0</v>
      </c>
      <c r="E247" s="65">
        <v>2</v>
      </c>
      <c r="F247" s="65">
        <v>11</v>
      </c>
      <c r="G247" s="67" t="b">
        <v>0</v>
      </c>
      <c r="H247" s="65">
        <v>2</v>
      </c>
      <c r="I247" s="65">
        <v>1</v>
      </c>
      <c r="J247" s="65">
        <v>0.22</v>
      </c>
      <c r="K247" s="65">
        <v>0.18179999999999999</v>
      </c>
      <c r="L247" s="65">
        <v>0.47</v>
      </c>
      <c r="M247" s="65">
        <v>0.4627</v>
      </c>
      <c r="N247" s="65">
        <v>1</v>
      </c>
      <c r="O247" s="65">
        <v>49</v>
      </c>
      <c r="P247" s="65">
        <v>50</v>
      </c>
    </row>
    <row r="248" spans="1:16" x14ac:dyDescent="0.3">
      <c r="A248" s="65">
        <v>866</v>
      </c>
      <c r="B248" s="66">
        <v>40582</v>
      </c>
      <c r="C248" s="65">
        <v>1</v>
      </c>
      <c r="D248" s="65">
        <v>0</v>
      </c>
      <c r="E248" s="65">
        <v>2</v>
      </c>
      <c r="F248" s="65">
        <v>12</v>
      </c>
      <c r="G248" s="67" t="b">
        <v>0</v>
      </c>
      <c r="H248" s="65">
        <v>2</v>
      </c>
      <c r="I248" s="65">
        <v>1</v>
      </c>
      <c r="J248" s="65">
        <v>0.24</v>
      </c>
      <c r="K248" s="65">
        <v>0.19700000000000001</v>
      </c>
      <c r="L248" s="65">
        <v>0.38</v>
      </c>
      <c r="M248" s="65">
        <v>0.49249999999999999</v>
      </c>
      <c r="N248" s="65">
        <v>2</v>
      </c>
      <c r="O248" s="65">
        <v>63</v>
      </c>
      <c r="P248" s="65">
        <v>65</v>
      </c>
    </row>
    <row r="249" spans="1:16" x14ac:dyDescent="0.3">
      <c r="A249" s="65">
        <v>867</v>
      </c>
      <c r="B249" s="66">
        <v>40582</v>
      </c>
      <c r="C249" s="65">
        <v>1</v>
      </c>
      <c r="D249" s="65">
        <v>0</v>
      </c>
      <c r="E249" s="65">
        <v>2</v>
      </c>
      <c r="F249" s="65">
        <v>13</v>
      </c>
      <c r="G249" s="67" t="b">
        <v>0</v>
      </c>
      <c r="H249" s="65">
        <v>2</v>
      </c>
      <c r="I249" s="65">
        <v>2</v>
      </c>
      <c r="J249" s="65">
        <v>0.24</v>
      </c>
      <c r="K249" s="65">
        <v>0.19700000000000001</v>
      </c>
      <c r="L249" s="65">
        <v>0.32</v>
      </c>
      <c r="M249" s="65">
        <v>0.44779999999999998</v>
      </c>
      <c r="N249" s="65">
        <v>2</v>
      </c>
      <c r="O249" s="65">
        <v>48</v>
      </c>
      <c r="P249" s="65">
        <v>50</v>
      </c>
    </row>
    <row r="250" spans="1:16" x14ac:dyDescent="0.3">
      <c r="A250" s="65">
        <v>868</v>
      </c>
      <c r="B250" s="66">
        <v>40582</v>
      </c>
      <c r="C250" s="65">
        <v>1</v>
      </c>
      <c r="D250" s="65">
        <v>0</v>
      </c>
      <c r="E250" s="65">
        <v>2</v>
      </c>
      <c r="F250" s="65">
        <v>14</v>
      </c>
      <c r="G250" s="67" t="b">
        <v>0</v>
      </c>
      <c r="H250" s="65">
        <v>2</v>
      </c>
      <c r="I250" s="65">
        <v>1</v>
      </c>
      <c r="J250" s="65">
        <v>0.22</v>
      </c>
      <c r="K250" s="65">
        <v>0.19700000000000001</v>
      </c>
      <c r="L250" s="65">
        <v>0.37</v>
      </c>
      <c r="M250" s="65">
        <v>0.41789999999999999</v>
      </c>
      <c r="N250" s="65">
        <v>3</v>
      </c>
      <c r="O250" s="65">
        <v>61</v>
      </c>
      <c r="P250" s="65">
        <v>64</v>
      </c>
    </row>
    <row r="251" spans="1:16" x14ac:dyDescent="0.3">
      <c r="A251" s="65">
        <v>869</v>
      </c>
      <c r="B251" s="66">
        <v>40582</v>
      </c>
      <c r="C251" s="65">
        <v>1</v>
      </c>
      <c r="D251" s="65">
        <v>0</v>
      </c>
      <c r="E251" s="65">
        <v>2</v>
      </c>
      <c r="F251" s="65">
        <v>15</v>
      </c>
      <c r="G251" s="67" t="b">
        <v>0</v>
      </c>
      <c r="H251" s="65">
        <v>2</v>
      </c>
      <c r="I251" s="65">
        <v>1</v>
      </c>
      <c r="J251" s="65">
        <v>0.22</v>
      </c>
      <c r="K251" s="65">
        <v>0.19700000000000001</v>
      </c>
      <c r="L251" s="65">
        <v>0.35</v>
      </c>
      <c r="M251" s="65">
        <v>0.3881</v>
      </c>
      <c r="N251" s="65">
        <v>6</v>
      </c>
      <c r="O251" s="65">
        <v>45</v>
      </c>
      <c r="P251" s="65">
        <v>51</v>
      </c>
    </row>
    <row r="252" spans="1:16" x14ac:dyDescent="0.3">
      <c r="A252" s="65">
        <v>870</v>
      </c>
      <c r="B252" s="66">
        <v>40582</v>
      </c>
      <c r="C252" s="65">
        <v>1</v>
      </c>
      <c r="D252" s="65">
        <v>0</v>
      </c>
      <c r="E252" s="65">
        <v>2</v>
      </c>
      <c r="F252" s="65">
        <v>16</v>
      </c>
      <c r="G252" s="67" t="b">
        <v>0</v>
      </c>
      <c r="H252" s="65">
        <v>2</v>
      </c>
      <c r="I252" s="65">
        <v>1</v>
      </c>
      <c r="J252" s="65">
        <v>0.22</v>
      </c>
      <c r="K252" s="65">
        <v>0.18179999999999999</v>
      </c>
      <c r="L252" s="65">
        <v>0.35</v>
      </c>
      <c r="M252" s="65">
        <v>0.52239999999999998</v>
      </c>
      <c r="N252" s="65">
        <v>4</v>
      </c>
      <c r="O252" s="65">
        <v>79</v>
      </c>
      <c r="P252" s="65">
        <v>83</v>
      </c>
    </row>
    <row r="253" spans="1:16" x14ac:dyDescent="0.3">
      <c r="A253" s="65">
        <v>871</v>
      </c>
      <c r="B253" s="66">
        <v>40582</v>
      </c>
      <c r="C253" s="65">
        <v>1</v>
      </c>
      <c r="D253" s="65">
        <v>0</v>
      </c>
      <c r="E253" s="65">
        <v>2</v>
      </c>
      <c r="F253" s="65">
        <v>17</v>
      </c>
      <c r="G253" s="67" t="b">
        <v>0</v>
      </c>
      <c r="H253" s="65">
        <v>2</v>
      </c>
      <c r="I253" s="65">
        <v>1</v>
      </c>
      <c r="J253" s="65">
        <v>0.22</v>
      </c>
      <c r="K253" s="65">
        <v>0.18179999999999999</v>
      </c>
      <c r="L253" s="65">
        <v>0.32</v>
      </c>
      <c r="M253" s="65">
        <v>0.58209999999999995</v>
      </c>
      <c r="N253" s="65">
        <v>4</v>
      </c>
      <c r="O253" s="65">
        <v>172</v>
      </c>
      <c r="P253" s="65">
        <v>176</v>
      </c>
    </row>
    <row r="254" spans="1:16" x14ac:dyDescent="0.3">
      <c r="A254" s="65">
        <v>872</v>
      </c>
      <c r="B254" s="66">
        <v>40582</v>
      </c>
      <c r="C254" s="65">
        <v>1</v>
      </c>
      <c r="D254" s="65">
        <v>0</v>
      </c>
      <c r="E254" s="65">
        <v>2</v>
      </c>
      <c r="F254" s="65">
        <v>18</v>
      </c>
      <c r="G254" s="67" t="b">
        <v>0</v>
      </c>
      <c r="H254" s="65">
        <v>2</v>
      </c>
      <c r="I254" s="65">
        <v>1</v>
      </c>
      <c r="J254" s="65">
        <v>0.2</v>
      </c>
      <c r="K254" s="65">
        <v>0.18179999999999999</v>
      </c>
      <c r="L254" s="65">
        <v>0.32</v>
      </c>
      <c r="M254" s="65">
        <v>0.3881</v>
      </c>
      <c r="N254" s="65">
        <v>1</v>
      </c>
      <c r="O254" s="65">
        <v>151</v>
      </c>
      <c r="P254" s="65">
        <v>152</v>
      </c>
    </row>
    <row r="255" spans="1:16" x14ac:dyDescent="0.3">
      <c r="A255" s="65">
        <v>873</v>
      </c>
      <c r="B255" s="66">
        <v>40582</v>
      </c>
      <c r="C255" s="65">
        <v>1</v>
      </c>
      <c r="D255" s="65">
        <v>0</v>
      </c>
      <c r="E255" s="65">
        <v>2</v>
      </c>
      <c r="F255" s="65">
        <v>19</v>
      </c>
      <c r="G255" s="67" t="b">
        <v>0</v>
      </c>
      <c r="H255" s="65">
        <v>2</v>
      </c>
      <c r="I255" s="65">
        <v>1</v>
      </c>
      <c r="J255" s="65">
        <v>0.16</v>
      </c>
      <c r="K255" s="65">
        <v>0.1212</v>
      </c>
      <c r="L255" s="65">
        <v>0.4</v>
      </c>
      <c r="M255" s="65">
        <v>0.4627</v>
      </c>
      <c r="N255" s="65">
        <v>1</v>
      </c>
      <c r="O255" s="65">
        <v>100</v>
      </c>
      <c r="P255" s="65">
        <v>101</v>
      </c>
    </row>
    <row r="256" spans="1:16" x14ac:dyDescent="0.3">
      <c r="A256" s="65">
        <v>874</v>
      </c>
      <c r="B256" s="66">
        <v>40582</v>
      </c>
      <c r="C256" s="65">
        <v>1</v>
      </c>
      <c r="D256" s="65">
        <v>0</v>
      </c>
      <c r="E256" s="65">
        <v>2</v>
      </c>
      <c r="F256" s="65">
        <v>20</v>
      </c>
      <c r="G256" s="67" t="b">
        <v>0</v>
      </c>
      <c r="H256" s="65">
        <v>2</v>
      </c>
      <c r="I256" s="65">
        <v>1</v>
      </c>
      <c r="J256" s="65">
        <v>0.16</v>
      </c>
      <c r="K256" s="65">
        <v>0.13639999999999999</v>
      </c>
      <c r="L256" s="65">
        <v>0.4</v>
      </c>
      <c r="M256" s="65">
        <v>0.32840000000000003</v>
      </c>
      <c r="N256" s="65">
        <v>3</v>
      </c>
      <c r="O256" s="65">
        <v>53</v>
      </c>
      <c r="P256" s="65">
        <v>56</v>
      </c>
    </row>
    <row r="257" spans="1:16" x14ac:dyDescent="0.3">
      <c r="A257" s="65">
        <v>875</v>
      </c>
      <c r="B257" s="66">
        <v>40582</v>
      </c>
      <c r="C257" s="65">
        <v>1</v>
      </c>
      <c r="D257" s="65">
        <v>0</v>
      </c>
      <c r="E257" s="65">
        <v>2</v>
      </c>
      <c r="F257" s="65">
        <v>21</v>
      </c>
      <c r="G257" s="67" t="b">
        <v>0</v>
      </c>
      <c r="H257" s="65">
        <v>2</v>
      </c>
      <c r="I257" s="65">
        <v>1</v>
      </c>
      <c r="J257" s="65">
        <v>0.14000000000000001</v>
      </c>
      <c r="K257" s="65">
        <v>0.1061</v>
      </c>
      <c r="L257" s="65">
        <v>0.33</v>
      </c>
      <c r="M257" s="65">
        <v>0.4627</v>
      </c>
      <c r="N257" s="65">
        <v>8</v>
      </c>
      <c r="O257" s="65">
        <v>46</v>
      </c>
      <c r="P257" s="65">
        <v>54</v>
      </c>
    </row>
    <row r="258" spans="1:16" x14ac:dyDescent="0.3">
      <c r="A258" s="65">
        <v>876</v>
      </c>
      <c r="B258" s="66">
        <v>40582</v>
      </c>
      <c r="C258" s="65">
        <v>1</v>
      </c>
      <c r="D258" s="65">
        <v>0</v>
      </c>
      <c r="E258" s="65">
        <v>2</v>
      </c>
      <c r="F258" s="65">
        <v>22</v>
      </c>
      <c r="G258" s="67" t="b">
        <v>0</v>
      </c>
      <c r="H258" s="65">
        <v>2</v>
      </c>
      <c r="I258" s="65">
        <v>1</v>
      </c>
      <c r="J258" s="65">
        <v>0.12</v>
      </c>
      <c r="K258" s="65">
        <v>0.1061</v>
      </c>
      <c r="L258" s="65">
        <v>0.33</v>
      </c>
      <c r="M258" s="65">
        <v>0.35820000000000002</v>
      </c>
      <c r="N258" s="65">
        <v>0</v>
      </c>
      <c r="O258" s="65">
        <v>29</v>
      </c>
      <c r="P258" s="65">
        <v>29</v>
      </c>
    </row>
    <row r="259" spans="1:16" x14ac:dyDescent="0.3">
      <c r="A259" s="65">
        <v>877</v>
      </c>
      <c r="B259" s="66">
        <v>40582</v>
      </c>
      <c r="C259" s="65">
        <v>1</v>
      </c>
      <c r="D259" s="65">
        <v>0</v>
      </c>
      <c r="E259" s="65">
        <v>2</v>
      </c>
      <c r="F259" s="65">
        <v>23</v>
      </c>
      <c r="G259" s="67" t="b">
        <v>0</v>
      </c>
      <c r="H259" s="65">
        <v>2</v>
      </c>
      <c r="I259" s="65">
        <v>1</v>
      </c>
      <c r="J259" s="65">
        <v>0.12</v>
      </c>
      <c r="K259" s="65">
        <v>0.1061</v>
      </c>
      <c r="L259" s="65">
        <v>0.33</v>
      </c>
      <c r="M259" s="65">
        <v>0.32840000000000003</v>
      </c>
      <c r="N259" s="65">
        <v>3</v>
      </c>
      <c r="O259" s="65">
        <v>9</v>
      </c>
      <c r="P259" s="65">
        <v>12</v>
      </c>
    </row>
    <row r="260" spans="1:16" x14ac:dyDescent="0.3">
      <c r="A260" s="65">
        <v>878</v>
      </c>
      <c r="B260" s="66">
        <v>40583</v>
      </c>
      <c r="C260" s="65">
        <v>1</v>
      </c>
      <c r="D260" s="65">
        <v>0</v>
      </c>
      <c r="E260" s="65">
        <v>2</v>
      </c>
      <c r="F260" s="65">
        <v>0</v>
      </c>
      <c r="G260" s="67" t="b">
        <v>0</v>
      </c>
      <c r="H260" s="65">
        <v>3</v>
      </c>
      <c r="I260" s="65">
        <v>1</v>
      </c>
      <c r="J260" s="65">
        <v>0.1</v>
      </c>
      <c r="K260" s="65">
        <v>7.5800000000000006E-2</v>
      </c>
      <c r="L260" s="65">
        <v>0.36</v>
      </c>
      <c r="M260" s="65">
        <v>0.35820000000000002</v>
      </c>
      <c r="N260" s="65">
        <v>0</v>
      </c>
      <c r="O260" s="65">
        <v>17</v>
      </c>
      <c r="P260" s="65">
        <v>17</v>
      </c>
    </row>
    <row r="261" spans="1:16" x14ac:dyDescent="0.3">
      <c r="A261" s="65">
        <v>879</v>
      </c>
      <c r="B261" s="66">
        <v>40583</v>
      </c>
      <c r="C261" s="65">
        <v>1</v>
      </c>
      <c r="D261" s="65">
        <v>0</v>
      </c>
      <c r="E261" s="65">
        <v>2</v>
      </c>
      <c r="F261" s="65">
        <v>1</v>
      </c>
      <c r="G261" s="67" t="b">
        <v>0</v>
      </c>
      <c r="H261" s="65">
        <v>3</v>
      </c>
      <c r="I261" s="65">
        <v>1</v>
      </c>
      <c r="J261" s="65">
        <v>0.1</v>
      </c>
      <c r="K261" s="65">
        <v>0.1061</v>
      </c>
      <c r="L261" s="65">
        <v>0.36</v>
      </c>
      <c r="M261" s="65">
        <v>0.22389999999999999</v>
      </c>
      <c r="N261" s="65">
        <v>0</v>
      </c>
      <c r="O261" s="65">
        <v>7</v>
      </c>
      <c r="P261" s="65">
        <v>7</v>
      </c>
    </row>
    <row r="262" spans="1:16" x14ac:dyDescent="0.3">
      <c r="A262" s="65">
        <v>880</v>
      </c>
      <c r="B262" s="66">
        <v>40583</v>
      </c>
      <c r="C262" s="65">
        <v>1</v>
      </c>
      <c r="D262" s="65">
        <v>0</v>
      </c>
      <c r="E262" s="65">
        <v>2</v>
      </c>
      <c r="F262" s="65">
        <v>2</v>
      </c>
      <c r="G262" s="67" t="b">
        <v>0</v>
      </c>
      <c r="H262" s="65">
        <v>3</v>
      </c>
      <c r="I262" s="65">
        <v>1</v>
      </c>
      <c r="J262" s="65">
        <v>0.08</v>
      </c>
      <c r="K262" s="65">
        <v>7.5800000000000006E-2</v>
      </c>
      <c r="L262" s="65">
        <v>0.38</v>
      </c>
      <c r="M262" s="65">
        <v>0.28360000000000002</v>
      </c>
      <c r="N262" s="65">
        <v>1</v>
      </c>
      <c r="O262" s="65">
        <v>2</v>
      </c>
      <c r="P262" s="65">
        <v>3</v>
      </c>
    </row>
    <row r="263" spans="1:16" x14ac:dyDescent="0.3">
      <c r="A263" s="65">
        <v>881</v>
      </c>
      <c r="B263" s="66">
        <v>40583</v>
      </c>
      <c r="C263" s="65">
        <v>1</v>
      </c>
      <c r="D263" s="65">
        <v>0</v>
      </c>
      <c r="E263" s="65">
        <v>2</v>
      </c>
      <c r="F263" s="65">
        <v>3</v>
      </c>
      <c r="G263" s="67" t="b">
        <v>0</v>
      </c>
      <c r="H263" s="65">
        <v>3</v>
      </c>
      <c r="I263" s="65">
        <v>1</v>
      </c>
      <c r="J263" s="65">
        <v>0.06</v>
      </c>
      <c r="K263" s="65">
        <v>7.5800000000000006E-2</v>
      </c>
      <c r="L263" s="65">
        <v>0.45</v>
      </c>
      <c r="M263" s="65">
        <v>0.1343</v>
      </c>
      <c r="N263" s="65">
        <v>0</v>
      </c>
      <c r="O263" s="65">
        <v>2</v>
      </c>
      <c r="P263" s="65">
        <v>2</v>
      </c>
    </row>
    <row r="264" spans="1:16" x14ac:dyDescent="0.3">
      <c r="A264" s="65">
        <v>882</v>
      </c>
      <c r="B264" s="66">
        <v>40583</v>
      </c>
      <c r="C264" s="65">
        <v>1</v>
      </c>
      <c r="D264" s="65">
        <v>0</v>
      </c>
      <c r="E264" s="65">
        <v>2</v>
      </c>
      <c r="F264" s="65">
        <v>5</v>
      </c>
      <c r="G264" s="67" t="b">
        <v>0</v>
      </c>
      <c r="H264" s="65">
        <v>3</v>
      </c>
      <c r="I264" s="65">
        <v>1</v>
      </c>
      <c r="J264" s="65">
        <v>0.06</v>
      </c>
      <c r="K264" s="65">
        <v>0.1061</v>
      </c>
      <c r="L264" s="65">
        <v>0.45</v>
      </c>
      <c r="M264" s="65">
        <v>0.1045</v>
      </c>
      <c r="N264" s="65">
        <v>0</v>
      </c>
      <c r="O264" s="65">
        <v>7</v>
      </c>
      <c r="P264" s="65">
        <v>7</v>
      </c>
    </row>
    <row r="265" spans="1:16" x14ac:dyDescent="0.3">
      <c r="A265" s="65">
        <v>883</v>
      </c>
      <c r="B265" s="66">
        <v>40583</v>
      </c>
      <c r="C265" s="65">
        <v>1</v>
      </c>
      <c r="D265" s="65">
        <v>0</v>
      </c>
      <c r="E265" s="65">
        <v>2</v>
      </c>
      <c r="F265" s="65">
        <v>6</v>
      </c>
      <c r="G265" s="67" t="b">
        <v>0</v>
      </c>
      <c r="H265" s="65">
        <v>3</v>
      </c>
      <c r="I265" s="65">
        <v>1</v>
      </c>
      <c r="J265" s="65">
        <v>0.06</v>
      </c>
      <c r="K265" s="65">
        <v>0.1515</v>
      </c>
      <c r="L265" s="65">
        <v>0.45</v>
      </c>
      <c r="M265" s="65">
        <v>0</v>
      </c>
      <c r="N265" s="65">
        <v>0</v>
      </c>
      <c r="O265" s="65">
        <v>43</v>
      </c>
      <c r="P265" s="65">
        <v>43</v>
      </c>
    </row>
    <row r="266" spans="1:16" x14ac:dyDescent="0.3">
      <c r="A266" s="65">
        <v>884</v>
      </c>
      <c r="B266" s="66">
        <v>40583</v>
      </c>
      <c r="C266" s="65">
        <v>1</v>
      </c>
      <c r="D266" s="65">
        <v>0</v>
      </c>
      <c r="E266" s="65">
        <v>2</v>
      </c>
      <c r="F266" s="65">
        <v>7</v>
      </c>
      <c r="G266" s="67" t="b">
        <v>0</v>
      </c>
      <c r="H266" s="65">
        <v>3</v>
      </c>
      <c r="I266" s="65">
        <v>1</v>
      </c>
      <c r="J266" s="65">
        <v>0.06</v>
      </c>
      <c r="K266" s="65">
        <v>0.1061</v>
      </c>
      <c r="L266" s="65">
        <v>0.49</v>
      </c>
      <c r="M266" s="65">
        <v>0.1045</v>
      </c>
      <c r="N266" s="65">
        <v>4</v>
      </c>
      <c r="O266" s="65">
        <v>95</v>
      </c>
      <c r="P266" s="65">
        <v>99</v>
      </c>
    </row>
    <row r="267" spans="1:16" x14ac:dyDescent="0.3">
      <c r="A267" s="65">
        <v>885</v>
      </c>
      <c r="B267" s="66">
        <v>40583</v>
      </c>
      <c r="C267" s="65">
        <v>1</v>
      </c>
      <c r="D267" s="65">
        <v>0</v>
      </c>
      <c r="E267" s="65">
        <v>2</v>
      </c>
      <c r="F267" s="65">
        <v>8</v>
      </c>
      <c r="G267" s="67" t="b">
        <v>0</v>
      </c>
      <c r="H267" s="65">
        <v>3</v>
      </c>
      <c r="I267" s="65">
        <v>1</v>
      </c>
      <c r="J267" s="65">
        <v>0.1</v>
      </c>
      <c r="K267" s="65">
        <v>0.13639999999999999</v>
      </c>
      <c r="L267" s="65">
        <v>0.42</v>
      </c>
      <c r="M267" s="65">
        <v>0</v>
      </c>
      <c r="N267" s="65">
        <v>1</v>
      </c>
      <c r="O267" s="65">
        <v>198</v>
      </c>
      <c r="P267" s="65">
        <v>199</v>
      </c>
    </row>
    <row r="268" spans="1:16" x14ac:dyDescent="0.3">
      <c r="A268" s="65">
        <v>886</v>
      </c>
      <c r="B268" s="66">
        <v>40583</v>
      </c>
      <c r="C268" s="65">
        <v>1</v>
      </c>
      <c r="D268" s="65">
        <v>0</v>
      </c>
      <c r="E268" s="65">
        <v>2</v>
      </c>
      <c r="F268" s="65">
        <v>9</v>
      </c>
      <c r="G268" s="67" t="b">
        <v>0</v>
      </c>
      <c r="H268" s="65">
        <v>3</v>
      </c>
      <c r="I268" s="65">
        <v>1</v>
      </c>
      <c r="J268" s="65">
        <v>0.12</v>
      </c>
      <c r="K268" s="65">
        <v>0.13639999999999999</v>
      </c>
      <c r="L268" s="65">
        <v>0.39</v>
      </c>
      <c r="M268" s="65">
        <v>0.16420000000000001</v>
      </c>
      <c r="N268" s="65">
        <v>4</v>
      </c>
      <c r="O268" s="65">
        <v>119</v>
      </c>
      <c r="P268" s="65">
        <v>123</v>
      </c>
    </row>
    <row r="269" spans="1:16" x14ac:dyDescent="0.3">
      <c r="A269" s="65">
        <v>887</v>
      </c>
      <c r="B269" s="66">
        <v>40583</v>
      </c>
      <c r="C269" s="65">
        <v>1</v>
      </c>
      <c r="D269" s="65">
        <v>0</v>
      </c>
      <c r="E269" s="65">
        <v>2</v>
      </c>
      <c r="F269" s="65">
        <v>10</v>
      </c>
      <c r="G269" s="67" t="b">
        <v>0</v>
      </c>
      <c r="H269" s="65">
        <v>3</v>
      </c>
      <c r="I269" s="65">
        <v>1</v>
      </c>
      <c r="J269" s="65">
        <v>0.14000000000000001</v>
      </c>
      <c r="K269" s="65">
        <v>0.18179999999999999</v>
      </c>
      <c r="L269" s="65">
        <v>0.36</v>
      </c>
      <c r="M269" s="65">
        <v>0</v>
      </c>
      <c r="N269" s="65">
        <v>8</v>
      </c>
      <c r="O269" s="65">
        <v>51</v>
      </c>
      <c r="P269" s="65">
        <v>59</v>
      </c>
    </row>
    <row r="270" spans="1:16" x14ac:dyDescent="0.3">
      <c r="A270" s="65">
        <v>888</v>
      </c>
      <c r="B270" s="66">
        <v>40583</v>
      </c>
      <c r="C270" s="65">
        <v>1</v>
      </c>
      <c r="D270" s="65">
        <v>0</v>
      </c>
      <c r="E270" s="65">
        <v>2</v>
      </c>
      <c r="F270" s="65">
        <v>11</v>
      </c>
      <c r="G270" s="67" t="b">
        <v>0</v>
      </c>
      <c r="H270" s="65">
        <v>3</v>
      </c>
      <c r="I270" s="65">
        <v>2</v>
      </c>
      <c r="J270" s="65">
        <v>0.14000000000000001</v>
      </c>
      <c r="K270" s="65">
        <v>0.1515</v>
      </c>
      <c r="L270" s="65">
        <v>0.43</v>
      </c>
      <c r="M270" s="65">
        <v>0.16420000000000001</v>
      </c>
      <c r="N270" s="65">
        <v>1</v>
      </c>
      <c r="O270" s="65">
        <v>40</v>
      </c>
      <c r="P270" s="65">
        <v>41</v>
      </c>
    </row>
    <row r="271" spans="1:16" x14ac:dyDescent="0.3">
      <c r="A271" s="65">
        <v>889</v>
      </c>
      <c r="B271" s="66">
        <v>40583</v>
      </c>
      <c r="C271" s="65">
        <v>1</v>
      </c>
      <c r="D271" s="65">
        <v>0</v>
      </c>
      <c r="E271" s="65">
        <v>2</v>
      </c>
      <c r="F271" s="65">
        <v>12</v>
      </c>
      <c r="G271" s="67" t="b">
        <v>0</v>
      </c>
      <c r="H271" s="65">
        <v>3</v>
      </c>
      <c r="I271" s="65">
        <v>2</v>
      </c>
      <c r="J271" s="65">
        <v>0.18</v>
      </c>
      <c r="K271" s="65">
        <v>0.18179999999999999</v>
      </c>
      <c r="L271" s="65">
        <v>0.4</v>
      </c>
      <c r="M271" s="65">
        <v>0.22389999999999999</v>
      </c>
      <c r="N271" s="65">
        <v>4</v>
      </c>
      <c r="O271" s="65">
        <v>57</v>
      </c>
      <c r="P271" s="65">
        <v>61</v>
      </c>
    </row>
    <row r="272" spans="1:16" x14ac:dyDescent="0.3">
      <c r="A272" s="65">
        <v>890</v>
      </c>
      <c r="B272" s="66">
        <v>40583</v>
      </c>
      <c r="C272" s="65">
        <v>1</v>
      </c>
      <c r="D272" s="65">
        <v>0</v>
      </c>
      <c r="E272" s="65">
        <v>2</v>
      </c>
      <c r="F272" s="65">
        <v>13</v>
      </c>
      <c r="G272" s="67" t="b">
        <v>0</v>
      </c>
      <c r="H272" s="65">
        <v>3</v>
      </c>
      <c r="I272" s="65">
        <v>1</v>
      </c>
      <c r="J272" s="65">
        <v>0.18</v>
      </c>
      <c r="K272" s="65">
        <v>0.16669999999999999</v>
      </c>
      <c r="L272" s="65">
        <v>0.4</v>
      </c>
      <c r="M272" s="65">
        <v>0.25369999999999998</v>
      </c>
      <c r="N272" s="65">
        <v>2</v>
      </c>
      <c r="O272" s="65">
        <v>67</v>
      </c>
      <c r="P272" s="65">
        <v>69</v>
      </c>
    </row>
    <row r="273" spans="1:16" x14ac:dyDescent="0.3">
      <c r="A273" s="65">
        <v>891</v>
      </c>
      <c r="B273" s="66">
        <v>40583</v>
      </c>
      <c r="C273" s="65">
        <v>1</v>
      </c>
      <c r="D273" s="65">
        <v>0</v>
      </c>
      <c r="E273" s="65">
        <v>2</v>
      </c>
      <c r="F273" s="65">
        <v>14</v>
      </c>
      <c r="G273" s="67" t="b">
        <v>0</v>
      </c>
      <c r="H273" s="65">
        <v>3</v>
      </c>
      <c r="I273" s="65">
        <v>1</v>
      </c>
      <c r="J273" s="65">
        <v>0.2</v>
      </c>
      <c r="K273" s="65">
        <v>0.18179999999999999</v>
      </c>
      <c r="L273" s="65">
        <v>0.34</v>
      </c>
      <c r="M273" s="65">
        <v>0.29849999999999999</v>
      </c>
      <c r="N273" s="65">
        <v>2</v>
      </c>
      <c r="O273" s="65">
        <v>56</v>
      </c>
      <c r="P273" s="65">
        <v>58</v>
      </c>
    </row>
    <row r="274" spans="1:16" x14ac:dyDescent="0.3">
      <c r="A274" s="65">
        <v>892</v>
      </c>
      <c r="B274" s="66">
        <v>40583</v>
      </c>
      <c r="C274" s="65">
        <v>1</v>
      </c>
      <c r="D274" s="65">
        <v>0</v>
      </c>
      <c r="E274" s="65">
        <v>2</v>
      </c>
      <c r="F274" s="65">
        <v>15</v>
      </c>
      <c r="G274" s="67" t="b">
        <v>0</v>
      </c>
      <c r="H274" s="65">
        <v>3</v>
      </c>
      <c r="I274" s="65">
        <v>2</v>
      </c>
      <c r="J274" s="65">
        <v>0.2</v>
      </c>
      <c r="K274" s="65">
        <v>0.18179999999999999</v>
      </c>
      <c r="L274" s="65">
        <v>0.34</v>
      </c>
      <c r="M274" s="65">
        <v>0.28360000000000002</v>
      </c>
      <c r="N274" s="65">
        <v>3</v>
      </c>
      <c r="O274" s="65">
        <v>61</v>
      </c>
      <c r="P274" s="65">
        <v>64</v>
      </c>
    </row>
    <row r="275" spans="1:16" x14ac:dyDescent="0.3">
      <c r="A275" s="65">
        <v>893</v>
      </c>
      <c r="B275" s="66">
        <v>40583</v>
      </c>
      <c r="C275" s="65">
        <v>1</v>
      </c>
      <c r="D275" s="65">
        <v>0</v>
      </c>
      <c r="E275" s="65">
        <v>2</v>
      </c>
      <c r="F275" s="65">
        <v>16</v>
      </c>
      <c r="G275" s="67" t="b">
        <v>0</v>
      </c>
      <c r="H275" s="65">
        <v>3</v>
      </c>
      <c r="I275" s="65">
        <v>2</v>
      </c>
      <c r="J275" s="65">
        <v>0.2</v>
      </c>
      <c r="K275" s="65">
        <v>0.19700000000000001</v>
      </c>
      <c r="L275" s="65">
        <v>0.37</v>
      </c>
      <c r="M275" s="65">
        <v>0.25369999999999998</v>
      </c>
      <c r="N275" s="65">
        <v>7</v>
      </c>
      <c r="O275" s="65">
        <v>72</v>
      </c>
      <c r="P275" s="65">
        <v>79</v>
      </c>
    </row>
    <row r="276" spans="1:16" x14ac:dyDescent="0.3">
      <c r="A276" s="65">
        <v>894</v>
      </c>
      <c r="B276" s="66">
        <v>40583</v>
      </c>
      <c r="C276" s="65">
        <v>1</v>
      </c>
      <c r="D276" s="65">
        <v>0</v>
      </c>
      <c r="E276" s="65">
        <v>2</v>
      </c>
      <c r="F276" s="65">
        <v>17</v>
      </c>
      <c r="G276" s="67" t="b">
        <v>0</v>
      </c>
      <c r="H276" s="65">
        <v>3</v>
      </c>
      <c r="I276" s="65">
        <v>2</v>
      </c>
      <c r="J276" s="65">
        <v>0.2</v>
      </c>
      <c r="K276" s="65">
        <v>0.19700000000000001</v>
      </c>
      <c r="L276" s="65">
        <v>0.34</v>
      </c>
      <c r="M276" s="65">
        <v>0.25369999999999998</v>
      </c>
      <c r="N276" s="65">
        <v>9</v>
      </c>
      <c r="O276" s="65">
        <v>157</v>
      </c>
      <c r="P276" s="65">
        <v>166</v>
      </c>
    </row>
    <row r="277" spans="1:16" x14ac:dyDescent="0.3">
      <c r="A277" s="65">
        <v>895</v>
      </c>
      <c r="B277" s="66">
        <v>40583</v>
      </c>
      <c r="C277" s="65">
        <v>1</v>
      </c>
      <c r="D277" s="65">
        <v>0</v>
      </c>
      <c r="E277" s="65">
        <v>2</v>
      </c>
      <c r="F277" s="65">
        <v>18</v>
      </c>
      <c r="G277" s="67" t="b">
        <v>0</v>
      </c>
      <c r="H277" s="65">
        <v>3</v>
      </c>
      <c r="I277" s="65">
        <v>2</v>
      </c>
      <c r="J277" s="65">
        <v>0.18</v>
      </c>
      <c r="K277" s="65">
        <v>0.16669999999999999</v>
      </c>
      <c r="L277" s="65">
        <v>0.47</v>
      </c>
      <c r="M277" s="65">
        <v>0.29849999999999999</v>
      </c>
      <c r="N277" s="65">
        <v>2</v>
      </c>
      <c r="O277" s="65">
        <v>168</v>
      </c>
      <c r="P277" s="65">
        <v>170</v>
      </c>
    </row>
    <row r="278" spans="1:16" x14ac:dyDescent="0.3">
      <c r="A278" s="65">
        <v>896</v>
      </c>
      <c r="B278" s="66">
        <v>40583</v>
      </c>
      <c r="C278" s="65">
        <v>1</v>
      </c>
      <c r="D278" s="65">
        <v>0</v>
      </c>
      <c r="E278" s="65">
        <v>2</v>
      </c>
      <c r="F278" s="65">
        <v>19</v>
      </c>
      <c r="G278" s="67" t="b">
        <v>0</v>
      </c>
      <c r="H278" s="65">
        <v>3</v>
      </c>
      <c r="I278" s="65">
        <v>3</v>
      </c>
      <c r="J278" s="65">
        <v>0.14000000000000001</v>
      </c>
      <c r="K278" s="65">
        <v>0.1212</v>
      </c>
      <c r="L278" s="65">
        <v>0.86</v>
      </c>
      <c r="M278" s="65">
        <v>0.25369999999999998</v>
      </c>
      <c r="N278" s="65">
        <v>1</v>
      </c>
      <c r="O278" s="65">
        <v>87</v>
      </c>
      <c r="P278" s="65">
        <v>88</v>
      </c>
    </row>
    <row r="279" spans="1:16" x14ac:dyDescent="0.3">
      <c r="A279" s="65">
        <v>897</v>
      </c>
      <c r="B279" s="66">
        <v>40583</v>
      </c>
      <c r="C279" s="65">
        <v>1</v>
      </c>
      <c r="D279" s="65">
        <v>0</v>
      </c>
      <c r="E279" s="65">
        <v>2</v>
      </c>
      <c r="F279" s="65">
        <v>20</v>
      </c>
      <c r="G279" s="67" t="b">
        <v>0</v>
      </c>
      <c r="H279" s="65">
        <v>3</v>
      </c>
      <c r="I279" s="65">
        <v>3</v>
      </c>
      <c r="J279" s="65">
        <v>0.14000000000000001</v>
      </c>
      <c r="K279" s="65">
        <v>0.1515</v>
      </c>
      <c r="L279" s="65">
        <v>0.86</v>
      </c>
      <c r="M279" s="65">
        <v>0.16420000000000001</v>
      </c>
      <c r="N279" s="65">
        <v>0</v>
      </c>
      <c r="O279" s="65">
        <v>84</v>
      </c>
      <c r="P279" s="65">
        <v>84</v>
      </c>
    </row>
    <row r="280" spans="1:16" x14ac:dyDescent="0.3">
      <c r="A280" s="65">
        <v>898</v>
      </c>
      <c r="B280" s="66">
        <v>40583</v>
      </c>
      <c r="C280" s="65">
        <v>1</v>
      </c>
      <c r="D280" s="65">
        <v>0</v>
      </c>
      <c r="E280" s="65">
        <v>2</v>
      </c>
      <c r="F280" s="65">
        <v>21</v>
      </c>
      <c r="G280" s="67" t="b">
        <v>0</v>
      </c>
      <c r="H280" s="65">
        <v>3</v>
      </c>
      <c r="I280" s="65">
        <v>2</v>
      </c>
      <c r="J280" s="65">
        <v>0.14000000000000001</v>
      </c>
      <c r="K280" s="65">
        <v>0.1515</v>
      </c>
      <c r="L280" s="65">
        <v>0.86</v>
      </c>
      <c r="M280" s="65">
        <v>0.16420000000000001</v>
      </c>
      <c r="N280" s="65">
        <v>0</v>
      </c>
      <c r="O280" s="65">
        <v>83</v>
      </c>
      <c r="P280" s="65">
        <v>83</v>
      </c>
    </row>
    <row r="281" spans="1:16" x14ac:dyDescent="0.3">
      <c r="A281" s="65">
        <v>899</v>
      </c>
      <c r="B281" s="66">
        <v>40583</v>
      </c>
      <c r="C281" s="65">
        <v>1</v>
      </c>
      <c r="D281" s="65">
        <v>0</v>
      </c>
      <c r="E281" s="65">
        <v>2</v>
      </c>
      <c r="F281" s="65">
        <v>22</v>
      </c>
      <c r="G281" s="67" t="b">
        <v>0</v>
      </c>
      <c r="H281" s="65">
        <v>3</v>
      </c>
      <c r="I281" s="65">
        <v>3</v>
      </c>
      <c r="J281" s="65">
        <v>0.16</v>
      </c>
      <c r="K281" s="65">
        <v>0.16669999999999999</v>
      </c>
      <c r="L281" s="65">
        <v>0.8</v>
      </c>
      <c r="M281" s="65">
        <v>0.16420000000000001</v>
      </c>
      <c r="N281" s="65">
        <v>4</v>
      </c>
      <c r="O281" s="65">
        <v>42</v>
      </c>
      <c r="P281" s="65">
        <v>46</v>
      </c>
    </row>
    <row r="282" spans="1:16" x14ac:dyDescent="0.3">
      <c r="A282" s="65">
        <v>900</v>
      </c>
      <c r="B282" s="66">
        <v>40583</v>
      </c>
      <c r="C282" s="65">
        <v>1</v>
      </c>
      <c r="D282" s="65">
        <v>0</v>
      </c>
      <c r="E282" s="65">
        <v>2</v>
      </c>
      <c r="F282" s="65">
        <v>23</v>
      </c>
      <c r="G282" s="67" t="b">
        <v>0</v>
      </c>
      <c r="H282" s="65">
        <v>3</v>
      </c>
      <c r="I282" s="65">
        <v>3</v>
      </c>
      <c r="J282" s="65">
        <v>0.16</v>
      </c>
      <c r="K282" s="65">
        <v>0.1515</v>
      </c>
      <c r="L282" s="65">
        <v>0.8</v>
      </c>
      <c r="M282" s="65">
        <v>0.19400000000000001</v>
      </c>
      <c r="N282" s="65">
        <v>0</v>
      </c>
      <c r="O282" s="65">
        <v>37</v>
      </c>
      <c r="P282" s="65">
        <v>37</v>
      </c>
    </row>
    <row r="283" spans="1:16" x14ac:dyDescent="0.3">
      <c r="A283" s="65">
        <v>901</v>
      </c>
      <c r="B283" s="66">
        <v>40584</v>
      </c>
      <c r="C283" s="65">
        <v>1</v>
      </c>
      <c r="D283" s="65">
        <v>0</v>
      </c>
      <c r="E283" s="65">
        <v>2</v>
      </c>
      <c r="F283" s="65">
        <v>0</v>
      </c>
      <c r="G283" s="67" t="b">
        <v>0</v>
      </c>
      <c r="H283" s="65">
        <v>4</v>
      </c>
      <c r="I283" s="65">
        <v>3</v>
      </c>
      <c r="J283" s="65">
        <v>0.14000000000000001</v>
      </c>
      <c r="K283" s="65">
        <v>0.13639999999999999</v>
      </c>
      <c r="L283" s="65">
        <v>0.86</v>
      </c>
      <c r="M283" s="65">
        <v>0.19400000000000001</v>
      </c>
      <c r="N283" s="65">
        <v>0</v>
      </c>
      <c r="O283" s="65">
        <v>16</v>
      </c>
      <c r="P283" s="65">
        <v>16</v>
      </c>
    </row>
    <row r="284" spans="1:16" x14ac:dyDescent="0.3">
      <c r="A284" s="65">
        <v>902</v>
      </c>
      <c r="B284" s="66">
        <v>40584</v>
      </c>
      <c r="C284" s="65">
        <v>1</v>
      </c>
      <c r="D284" s="65">
        <v>0</v>
      </c>
      <c r="E284" s="65">
        <v>2</v>
      </c>
      <c r="F284" s="65">
        <v>1</v>
      </c>
      <c r="G284" s="67" t="b">
        <v>0</v>
      </c>
      <c r="H284" s="65">
        <v>4</v>
      </c>
      <c r="I284" s="65">
        <v>3</v>
      </c>
      <c r="J284" s="65">
        <v>0.14000000000000001</v>
      </c>
      <c r="K284" s="65">
        <v>0.1515</v>
      </c>
      <c r="L284" s="65">
        <v>0.8</v>
      </c>
      <c r="M284" s="65">
        <v>0.1343</v>
      </c>
      <c r="N284" s="65">
        <v>0</v>
      </c>
      <c r="O284" s="65">
        <v>7</v>
      </c>
      <c r="P284" s="65">
        <v>7</v>
      </c>
    </row>
    <row r="285" spans="1:16" x14ac:dyDescent="0.3">
      <c r="A285" s="65">
        <v>903</v>
      </c>
      <c r="B285" s="66">
        <v>40584</v>
      </c>
      <c r="C285" s="65">
        <v>1</v>
      </c>
      <c r="D285" s="65">
        <v>0</v>
      </c>
      <c r="E285" s="65">
        <v>2</v>
      </c>
      <c r="F285" s="65">
        <v>2</v>
      </c>
      <c r="G285" s="67" t="b">
        <v>0</v>
      </c>
      <c r="H285" s="65">
        <v>4</v>
      </c>
      <c r="I285" s="65">
        <v>3</v>
      </c>
      <c r="J285" s="65">
        <v>0.14000000000000001</v>
      </c>
      <c r="K285" s="65">
        <v>0.1515</v>
      </c>
      <c r="L285" s="65">
        <v>0.8</v>
      </c>
      <c r="M285" s="65">
        <v>0.1343</v>
      </c>
      <c r="N285" s="65">
        <v>0</v>
      </c>
      <c r="O285" s="65">
        <v>3</v>
      </c>
      <c r="P285" s="65">
        <v>3</v>
      </c>
    </row>
    <row r="286" spans="1:16" x14ac:dyDescent="0.3">
      <c r="A286" s="65">
        <v>904</v>
      </c>
      <c r="B286" s="66">
        <v>40584</v>
      </c>
      <c r="C286" s="65">
        <v>1</v>
      </c>
      <c r="D286" s="65">
        <v>0</v>
      </c>
      <c r="E286" s="65">
        <v>2</v>
      </c>
      <c r="F286" s="65">
        <v>4</v>
      </c>
      <c r="G286" s="67" t="b">
        <v>0</v>
      </c>
      <c r="H286" s="65">
        <v>4</v>
      </c>
      <c r="I286" s="65">
        <v>2</v>
      </c>
      <c r="J286" s="65">
        <v>0.14000000000000001</v>
      </c>
      <c r="K286" s="65">
        <v>0.13639999999999999</v>
      </c>
      <c r="L286" s="65">
        <v>0.59</v>
      </c>
      <c r="M286" s="65">
        <v>0.22389999999999999</v>
      </c>
      <c r="N286" s="65">
        <v>0</v>
      </c>
      <c r="O286" s="65">
        <v>1</v>
      </c>
      <c r="P286" s="65">
        <v>1</v>
      </c>
    </row>
    <row r="287" spans="1:16" x14ac:dyDescent="0.3">
      <c r="A287" s="65">
        <v>905</v>
      </c>
      <c r="B287" s="66">
        <v>40584</v>
      </c>
      <c r="C287" s="65">
        <v>1</v>
      </c>
      <c r="D287" s="65">
        <v>0</v>
      </c>
      <c r="E287" s="65">
        <v>2</v>
      </c>
      <c r="F287" s="65">
        <v>5</v>
      </c>
      <c r="G287" s="67" t="b">
        <v>0</v>
      </c>
      <c r="H287" s="65">
        <v>4</v>
      </c>
      <c r="I287" s="65">
        <v>2</v>
      </c>
      <c r="J287" s="65">
        <v>0.12</v>
      </c>
      <c r="K287" s="65">
        <v>0.1212</v>
      </c>
      <c r="L287" s="65">
        <v>0.5</v>
      </c>
      <c r="M287" s="65">
        <v>0.22389999999999999</v>
      </c>
      <c r="N287" s="65">
        <v>0</v>
      </c>
      <c r="O287" s="65">
        <v>6</v>
      </c>
      <c r="P287" s="65">
        <v>6</v>
      </c>
    </row>
    <row r="288" spans="1:16" x14ac:dyDescent="0.3">
      <c r="A288" s="65">
        <v>906</v>
      </c>
      <c r="B288" s="66">
        <v>40584</v>
      </c>
      <c r="C288" s="65">
        <v>1</v>
      </c>
      <c r="D288" s="65">
        <v>0</v>
      </c>
      <c r="E288" s="65">
        <v>2</v>
      </c>
      <c r="F288" s="65">
        <v>6</v>
      </c>
      <c r="G288" s="67" t="b">
        <v>0</v>
      </c>
      <c r="H288" s="65">
        <v>4</v>
      </c>
      <c r="I288" s="65">
        <v>2</v>
      </c>
      <c r="J288" s="65">
        <v>0.12</v>
      </c>
      <c r="K288" s="65">
        <v>0.1212</v>
      </c>
      <c r="L288" s="65">
        <v>0.54</v>
      </c>
      <c r="M288" s="65">
        <v>0.28360000000000002</v>
      </c>
      <c r="N288" s="65">
        <v>0</v>
      </c>
      <c r="O288" s="65">
        <v>26</v>
      </c>
      <c r="P288" s="65">
        <v>26</v>
      </c>
    </row>
    <row r="289" spans="1:16" x14ac:dyDescent="0.3">
      <c r="A289" s="65">
        <v>907</v>
      </c>
      <c r="B289" s="66">
        <v>40584</v>
      </c>
      <c r="C289" s="65">
        <v>1</v>
      </c>
      <c r="D289" s="65">
        <v>0</v>
      </c>
      <c r="E289" s="65">
        <v>2</v>
      </c>
      <c r="F289" s="65">
        <v>7</v>
      </c>
      <c r="G289" s="67" t="b">
        <v>0</v>
      </c>
      <c r="H289" s="65">
        <v>4</v>
      </c>
      <c r="I289" s="65">
        <v>1</v>
      </c>
      <c r="J289" s="65">
        <v>0.1</v>
      </c>
      <c r="K289" s="65">
        <v>7.5800000000000006E-2</v>
      </c>
      <c r="L289" s="65">
        <v>0.5</v>
      </c>
      <c r="M289" s="65">
        <v>0.41789999999999999</v>
      </c>
      <c r="N289" s="65">
        <v>0</v>
      </c>
      <c r="O289" s="65">
        <v>99</v>
      </c>
      <c r="P289" s="65">
        <v>99</v>
      </c>
    </row>
    <row r="290" spans="1:16" x14ac:dyDescent="0.3">
      <c r="A290" s="65">
        <v>908</v>
      </c>
      <c r="B290" s="66">
        <v>40584</v>
      </c>
      <c r="C290" s="65">
        <v>1</v>
      </c>
      <c r="D290" s="65">
        <v>0</v>
      </c>
      <c r="E290" s="65">
        <v>2</v>
      </c>
      <c r="F290" s="65">
        <v>8</v>
      </c>
      <c r="G290" s="67" t="b">
        <v>0</v>
      </c>
      <c r="H290" s="65">
        <v>4</v>
      </c>
      <c r="I290" s="65">
        <v>1</v>
      </c>
      <c r="J290" s="65">
        <v>0.1</v>
      </c>
      <c r="K290" s="65">
        <v>7.5800000000000006E-2</v>
      </c>
      <c r="L290" s="65">
        <v>0.49</v>
      </c>
      <c r="M290" s="65">
        <v>0.32840000000000003</v>
      </c>
      <c r="N290" s="65">
        <v>5</v>
      </c>
      <c r="O290" s="65">
        <v>173</v>
      </c>
      <c r="P290" s="65">
        <v>178</v>
      </c>
    </row>
    <row r="291" spans="1:16" x14ac:dyDescent="0.3">
      <c r="A291" s="65">
        <v>909</v>
      </c>
      <c r="B291" s="66">
        <v>40584</v>
      </c>
      <c r="C291" s="65">
        <v>1</v>
      </c>
      <c r="D291" s="65">
        <v>0</v>
      </c>
      <c r="E291" s="65">
        <v>2</v>
      </c>
      <c r="F291" s="65">
        <v>9</v>
      </c>
      <c r="G291" s="67" t="b">
        <v>0</v>
      </c>
      <c r="H291" s="65">
        <v>4</v>
      </c>
      <c r="I291" s="65">
        <v>1</v>
      </c>
      <c r="J291" s="65">
        <v>0.12</v>
      </c>
      <c r="K291" s="65">
        <v>0.1061</v>
      </c>
      <c r="L291" s="65">
        <v>0.42</v>
      </c>
      <c r="M291" s="65">
        <v>0.35820000000000002</v>
      </c>
      <c r="N291" s="65">
        <v>1</v>
      </c>
      <c r="O291" s="65">
        <v>121</v>
      </c>
      <c r="P291" s="65">
        <v>122</v>
      </c>
    </row>
    <row r="292" spans="1:16" x14ac:dyDescent="0.3">
      <c r="A292" s="65">
        <v>910</v>
      </c>
      <c r="B292" s="66">
        <v>40584</v>
      </c>
      <c r="C292" s="65">
        <v>1</v>
      </c>
      <c r="D292" s="65">
        <v>0</v>
      </c>
      <c r="E292" s="65">
        <v>2</v>
      </c>
      <c r="F292" s="65">
        <v>10</v>
      </c>
      <c r="G292" s="67" t="b">
        <v>0</v>
      </c>
      <c r="H292" s="65">
        <v>4</v>
      </c>
      <c r="I292" s="65">
        <v>1</v>
      </c>
      <c r="J292" s="65">
        <v>0.12</v>
      </c>
      <c r="K292" s="65">
        <v>0.1061</v>
      </c>
      <c r="L292" s="65">
        <v>0.42</v>
      </c>
      <c r="M292" s="65">
        <v>0.29849999999999999</v>
      </c>
      <c r="N292" s="65">
        <v>1</v>
      </c>
      <c r="O292" s="65">
        <v>34</v>
      </c>
      <c r="P292" s="65">
        <v>35</v>
      </c>
    </row>
    <row r="293" spans="1:16" x14ac:dyDescent="0.3">
      <c r="A293" s="65">
        <v>911</v>
      </c>
      <c r="B293" s="66">
        <v>40584</v>
      </c>
      <c r="C293" s="65">
        <v>1</v>
      </c>
      <c r="D293" s="65">
        <v>0</v>
      </c>
      <c r="E293" s="65">
        <v>2</v>
      </c>
      <c r="F293" s="65">
        <v>11</v>
      </c>
      <c r="G293" s="67" t="b">
        <v>0</v>
      </c>
      <c r="H293" s="65">
        <v>4</v>
      </c>
      <c r="I293" s="65">
        <v>1</v>
      </c>
      <c r="J293" s="65">
        <v>0.14000000000000001</v>
      </c>
      <c r="K293" s="65">
        <v>0.1212</v>
      </c>
      <c r="L293" s="65">
        <v>0.39</v>
      </c>
      <c r="M293" s="65">
        <v>0.35820000000000002</v>
      </c>
      <c r="N293" s="65">
        <v>1</v>
      </c>
      <c r="O293" s="65">
        <v>44</v>
      </c>
      <c r="P293" s="65">
        <v>45</v>
      </c>
    </row>
    <row r="294" spans="1:16" x14ac:dyDescent="0.3">
      <c r="A294" s="65">
        <v>912</v>
      </c>
      <c r="B294" s="66">
        <v>40584</v>
      </c>
      <c r="C294" s="65">
        <v>1</v>
      </c>
      <c r="D294" s="65">
        <v>0</v>
      </c>
      <c r="E294" s="65">
        <v>2</v>
      </c>
      <c r="F294" s="65">
        <v>12</v>
      </c>
      <c r="G294" s="67" t="b">
        <v>0</v>
      </c>
      <c r="H294" s="65">
        <v>4</v>
      </c>
      <c r="I294" s="65">
        <v>1</v>
      </c>
      <c r="J294" s="65">
        <v>0.16</v>
      </c>
      <c r="K294" s="65">
        <v>0.13639999999999999</v>
      </c>
      <c r="L294" s="65">
        <v>0.34</v>
      </c>
      <c r="M294" s="65">
        <v>0.3881</v>
      </c>
      <c r="N294" s="65">
        <v>4</v>
      </c>
      <c r="O294" s="65">
        <v>65</v>
      </c>
      <c r="P294" s="65">
        <v>69</v>
      </c>
    </row>
    <row r="295" spans="1:16" x14ac:dyDescent="0.3">
      <c r="A295" s="65">
        <v>913</v>
      </c>
      <c r="B295" s="66">
        <v>40584</v>
      </c>
      <c r="C295" s="65">
        <v>1</v>
      </c>
      <c r="D295" s="65">
        <v>0</v>
      </c>
      <c r="E295" s="65">
        <v>2</v>
      </c>
      <c r="F295" s="65">
        <v>13</v>
      </c>
      <c r="G295" s="67" t="b">
        <v>0</v>
      </c>
      <c r="H295" s="65">
        <v>4</v>
      </c>
      <c r="I295" s="65">
        <v>1</v>
      </c>
      <c r="J295" s="65">
        <v>0.18</v>
      </c>
      <c r="K295" s="65">
        <v>0.16669999999999999</v>
      </c>
      <c r="L295" s="65">
        <v>0.28999999999999998</v>
      </c>
      <c r="M295" s="65">
        <v>0.29849999999999999</v>
      </c>
      <c r="N295" s="65">
        <v>3</v>
      </c>
      <c r="O295" s="65">
        <v>59</v>
      </c>
      <c r="P295" s="65">
        <v>62</v>
      </c>
    </row>
    <row r="296" spans="1:16" x14ac:dyDescent="0.3">
      <c r="A296" s="65">
        <v>914</v>
      </c>
      <c r="B296" s="66">
        <v>40584</v>
      </c>
      <c r="C296" s="65">
        <v>1</v>
      </c>
      <c r="D296" s="65">
        <v>0</v>
      </c>
      <c r="E296" s="65">
        <v>2</v>
      </c>
      <c r="F296" s="65">
        <v>14</v>
      </c>
      <c r="G296" s="67" t="b">
        <v>0</v>
      </c>
      <c r="H296" s="65">
        <v>4</v>
      </c>
      <c r="I296" s="65">
        <v>1</v>
      </c>
      <c r="J296" s="65">
        <v>0.2</v>
      </c>
      <c r="K296" s="65">
        <v>0.18179999999999999</v>
      </c>
      <c r="L296" s="65">
        <v>0.27</v>
      </c>
      <c r="M296" s="65">
        <v>0.28360000000000002</v>
      </c>
      <c r="N296" s="65">
        <v>6</v>
      </c>
      <c r="O296" s="65">
        <v>42</v>
      </c>
      <c r="P296" s="65">
        <v>48</v>
      </c>
    </row>
    <row r="297" spans="1:16" x14ac:dyDescent="0.3">
      <c r="A297" s="65">
        <v>915</v>
      </c>
      <c r="B297" s="66">
        <v>40584</v>
      </c>
      <c r="C297" s="65">
        <v>1</v>
      </c>
      <c r="D297" s="65">
        <v>0</v>
      </c>
      <c r="E297" s="65">
        <v>2</v>
      </c>
      <c r="F297" s="65">
        <v>15</v>
      </c>
      <c r="G297" s="67" t="b">
        <v>0</v>
      </c>
      <c r="H297" s="65">
        <v>4</v>
      </c>
      <c r="I297" s="65">
        <v>1</v>
      </c>
      <c r="J297" s="65">
        <v>0.2</v>
      </c>
      <c r="K297" s="65">
        <v>0.19700000000000001</v>
      </c>
      <c r="L297" s="65">
        <v>0.25</v>
      </c>
      <c r="M297" s="65">
        <v>0.25369999999999998</v>
      </c>
      <c r="N297" s="65">
        <v>0</v>
      </c>
      <c r="O297" s="65">
        <v>50</v>
      </c>
      <c r="P297" s="65">
        <v>50</v>
      </c>
    </row>
    <row r="298" spans="1:16" x14ac:dyDescent="0.3">
      <c r="A298" s="65">
        <v>916</v>
      </c>
      <c r="B298" s="66">
        <v>40584</v>
      </c>
      <c r="C298" s="65">
        <v>1</v>
      </c>
      <c r="D298" s="65">
        <v>0</v>
      </c>
      <c r="E298" s="65">
        <v>2</v>
      </c>
      <c r="F298" s="65">
        <v>16</v>
      </c>
      <c r="G298" s="67" t="b">
        <v>0</v>
      </c>
      <c r="H298" s="65">
        <v>4</v>
      </c>
      <c r="I298" s="65">
        <v>1</v>
      </c>
      <c r="J298" s="65">
        <v>0.2</v>
      </c>
      <c r="K298" s="65">
        <v>0.18179999999999999</v>
      </c>
      <c r="L298" s="65">
        <v>0.27</v>
      </c>
      <c r="M298" s="65">
        <v>0.29849999999999999</v>
      </c>
      <c r="N298" s="65">
        <v>4</v>
      </c>
      <c r="O298" s="65">
        <v>76</v>
      </c>
      <c r="P298" s="65">
        <v>80</v>
      </c>
    </row>
    <row r="299" spans="1:16" x14ac:dyDescent="0.3">
      <c r="A299" s="65">
        <v>917</v>
      </c>
      <c r="B299" s="66">
        <v>40584</v>
      </c>
      <c r="C299" s="65">
        <v>1</v>
      </c>
      <c r="D299" s="65">
        <v>0</v>
      </c>
      <c r="E299" s="65">
        <v>2</v>
      </c>
      <c r="F299" s="65">
        <v>17</v>
      </c>
      <c r="G299" s="67" t="b">
        <v>0</v>
      </c>
      <c r="H299" s="65">
        <v>4</v>
      </c>
      <c r="I299" s="65">
        <v>1</v>
      </c>
      <c r="J299" s="65">
        <v>0.18</v>
      </c>
      <c r="K299" s="65">
        <v>0.18179999999999999</v>
      </c>
      <c r="L299" s="65">
        <v>0.26</v>
      </c>
      <c r="M299" s="65">
        <v>0.19400000000000001</v>
      </c>
      <c r="N299" s="65">
        <v>6</v>
      </c>
      <c r="O299" s="65">
        <v>159</v>
      </c>
      <c r="P299" s="65">
        <v>165</v>
      </c>
    </row>
    <row r="300" spans="1:16" x14ac:dyDescent="0.3">
      <c r="A300" s="65">
        <v>918</v>
      </c>
      <c r="B300" s="66">
        <v>40584</v>
      </c>
      <c r="C300" s="65">
        <v>1</v>
      </c>
      <c r="D300" s="65">
        <v>0</v>
      </c>
      <c r="E300" s="65">
        <v>2</v>
      </c>
      <c r="F300" s="65">
        <v>18</v>
      </c>
      <c r="G300" s="67" t="b">
        <v>0</v>
      </c>
      <c r="H300" s="65">
        <v>4</v>
      </c>
      <c r="I300" s="65">
        <v>1</v>
      </c>
      <c r="J300" s="65">
        <v>0.16</v>
      </c>
      <c r="K300" s="65">
        <v>0.18179999999999999</v>
      </c>
      <c r="L300" s="65">
        <v>0.28000000000000003</v>
      </c>
      <c r="M300" s="65">
        <v>0.1343</v>
      </c>
      <c r="N300" s="65">
        <v>3</v>
      </c>
      <c r="O300" s="65">
        <v>157</v>
      </c>
      <c r="P300" s="65">
        <v>160</v>
      </c>
    </row>
    <row r="301" spans="1:16" x14ac:dyDescent="0.3">
      <c r="A301" s="65">
        <v>919</v>
      </c>
      <c r="B301" s="66">
        <v>40584</v>
      </c>
      <c r="C301" s="65">
        <v>1</v>
      </c>
      <c r="D301" s="65">
        <v>0</v>
      </c>
      <c r="E301" s="65">
        <v>2</v>
      </c>
      <c r="F301" s="65">
        <v>19</v>
      </c>
      <c r="G301" s="67" t="b">
        <v>0</v>
      </c>
      <c r="H301" s="65">
        <v>4</v>
      </c>
      <c r="I301" s="65">
        <v>1</v>
      </c>
      <c r="J301" s="65">
        <v>0.14000000000000001</v>
      </c>
      <c r="K301" s="65">
        <v>0.16669999999999999</v>
      </c>
      <c r="L301" s="65">
        <v>0.28000000000000003</v>
      </c>
      <c r="M301" s="65">
        <v>0.1045</v>
      </c>
      <c r="N301" s="65">
        <v>2</v>
      </c>
      <c r="O301" s="65">
        <v>110</v>
      </c>
      <c r="P301" s="65">
        <v>112</v>
      </c>
    </row>
    <row r="302" spans="1:16" x14ac:dyDescent="0.3">
      <c r="A302" s="65">
        <v>920</v>
      </c>
      <c r="B302" s="66">
        <v>40584</v>
      </c>
      <c r="C302" s="65">
        <v>1</v>
      </c>
      <c r="D302" s="65">
        <v>0</v>
      </c>
      <c r="E302" s="65">
        <v>2</v>
      </c>
      <c r="F302" s="65">
        <v>20</v>
      </c>
      <c r="G302" s="67" t="b">
        <v>0</v>
      </c>
      <c r="H302" s="65">
        <v>4</v>
      </c>
      <c r="I302" s="65">
        <v>1</v>
      </c>
      <c r="J302" s="65">
        <v>0.14000000000000001</v>
      </c>
      <c r="K302" s="65">
        <v>0.18179999999999999</v>
      </c>
      <c r="L302" s="65">
        <v>0.31</v>
      </c>
      <c r="M302" s="65">
        <v>8.9599999999999999E-2</v>
      </c>
      <c r="N302" s="65">
        <v>4</v>
      </c>
      <c r="O302" s="65">
        <v>93</v>
      </c>
      <c r="P302" s="65">
        <v>97</v>
      </c>
    </row>
    <row r="303" spans="1:16" x14ac:dyDescent="0.3">
      <c r="A303" s="65">
        <v>921</v>
      </c>
      <c r="B303" s="66">
        <v>40584</v>
      </c>
      <c r="C303" s="65">
        <v>1</v>
      </c>
      <c r="D303" s="65">
        <v>0</v>
      </c>
      <c r="E303" s="65">
        <v>2</v>
      </c>
      <c r="F303" s="65">
        <v>21</v>
      </c>
      <c r="G303" s="67" t="b">
        <v>0</v>
      </c>
      <c r="H303" s="65">
        <v>4</v>
      </c>
      <c r="I303" s="65">
        <v>1</v>
      </c>
      <c r="J303" s="65">
        <v>0.14000000000000001</v>
      </c>
      <c r="K303" s="65">
        <v>0.21210000000000001</v>
      </c>
      <c r="L303" s="65">
        <v>0.39</v>
      </c>
      <c r="M303" s="65">
        <v>0</v>
      </c>
      <c r="N303" s="65">
        <v>2</v>
      </c>
      <c r="O303" s="65">
        <v>70</v>
      </c>
      <c r="P303" s="65">
        <v>72</v>
      </c>
    </row>
    <row r="304" spans="1:16" x14ac:dyDescent="0.3">
      <c r="A304" s="65">
        <v>922</v>
      </c>
      <c r="B304" s="66">
        <v>40584</v>
      </c>
      <c r="C304" s="65">
        <v>1</v>
      </c>
      <c r="D304" s="65">
        <v>0</v>
      </c>
      <c r="E304" s="65">
        <v>2</v>
      </c>
      <c r="F304" s="65">
        <v>22</v>
      </c>
      <c r="G304" s="67" t="b">
        <v>0</v>
      </c>
      <c r="H304" s="65">
        <v>4</v>
      </c>
      <c r="I304" s="65">
        <v>1</v>
      </c>
      <c r="J304" s="65">
        <v>0.12</v>
      </c>
      <c r="K304" s="65">
        <v>0.19700000000000001</v>
      </c>
      <c r="L304" s="65">
        <v>0.39</v>
      </c>
      <c r="M304" s="65">
        <v>0</v>
      </c>
      <c r="N304" s="65">
        <v>4</v>
      </c>
      <c r="O304" s="65">
        <v>47</v>
      </c>
      <c r="P304" s="65">
        <v>51</v>
      </c>
    </row>
    <row r="305" spans="1:16" x14ac:dyDescent="0.3">
      <c r="A305" s="65">
        <v>923</v>
      </c>
      <c r="B305" s="66">
        <v>40584</v>
      </c>
      <c r="C305" s="65">
        <v>1</v>
      </c>
      <c r="D305" s="65">
        <v>0</v>
      </c>
      <c r="E305" s="65">
        <v>2</v>
      </c>
      <c r="F305" s="65">
        <v>23</v>
      </c>
      <c r="G305" s="67" t="b">
        <v>0</v>
      </c>
      <c r="H305" s="65">
        <v>4</v>
      </c>
      <c r="I305" s="65">
        <v>1</v>
      </c>
      <c r="J305" s="65">
        <v>0.12</v>
      </c>
      <c r="K305" s="65">
        <v>0.1515</v>
      </c>
      <c r="L305" s="65">
        <v>0.42</v>
      </c>
      <c r="M305" s="65">
        <v>0.1045</v>
      </c>
      <c r="N305" s="65">
        <v>1</v>
      </c>
      <c r="O305" s="65">
        <v>33</v>
      </c>
      <c r="P305" s="65">
        <v>34</v>
      </c>
    </row>
    <row r="306" spans="1:16" x14ac:dyDescent="0.3">
      <c r="A306" s="65">
        <v>924</v>
      </c>
      <c r="B306" s="66">
        <v>40585</v>
      </c>
      <c r="C306" s="65">
        <v>1</v>
      </c>
      <c r="D306" s="65">
        <v>0</v>
      </c>
      <c r="E306" s="65">
        <v>2</v>
      </c>
      <c r="F306" s="65">
        <v>0</v>
      </c>
      <c r="G306" s="67" t="b">
        <v>0</v>
      </c>
      <c r="H306" s="65">
        <v>5</v>
      </c>
      <c r="I306" s="65">
        <v>1</v>
      </c>
      <c r="J306" s="65">
        <v>0.1</v>
      </c>
      <c r="K306" s="65">
        <v>0.13639999999999999</v>
      </c>
      <c r="L306" s="65">
        <v>0.49</v>
      </c>
      <c r="M306" s="65">
        <v>0.1045</v>
      </c>
      <c r="N306" s="65">
        <v>2</v>
      </c>
      <c r="O306" s="65">
        <v>12</v>
      </c>
      <c r="P306" s="65">
        <v>14</v>
      </c>
    </row>
    <row r="307" spans="1:16" x14ac:dyDescent="0.3">
      <c r="A307" s="65">
        <v>925</v>
      </c>
      <c r="B307" s="66">
        <v>40585</v>
      </c>
      <c r="C307" s="65">
        <v>1</v>
      </c>
      <c r="D307" s="65">
        <v>0</v>
      </c>
      <c r="E307" s="65">
        <v>2</v>
      </c>
      <c r="F307" s="65">
        <v>1</v>
      </c>
      <c r="G307" s="67" t="b">
        <v>0</v>
      </c>
      <c r="H307" s="65">
        <v>5</v>
      </c>
      <c r="I307" s="65">
        <v>1</v>
      </c>
      <c r="J307" s="65">
        <v>0.1</v>
      </c>
      <c r="K307" s="65">
        <v>0.13639999999999999</v>
      </c>
      <c r="L307" s="65">
        <v>0.54</v>
      </c>
      <c r="M307" s="65">
        <v>8.9599999999999999E-2</v>
      </c>
      <c r="N307" s="65">
        <v>1</v>
      </c>
      <c r="O307" s="65">
        <v>6</v>
      </c>
      <c r="P307" s="65">
        <v>7</v>
      </c>
    </row>
    <row r="308" spans="1:16" x14ac:dyDescent="0.3">
      <c r="A308" s="65">
        <v>926</v>
      </c>
      <c r="B308" s="66">
        <v>40585</v>
      </c>
      <c r="C308" s="65">
        <v>1</v>
      </c>
      <c r="D308" s="65">
        <v>0</v>
      </c>
      <c r="E308" s="65">
        <v>2</v>
      </c>
      <c r="F308" s="65">
        <v>2</v>
      </c>
      <c r="G308" s="67" t="b">
        <v>0</v>
      </c>
      <c r="H308" s="65">
        <v>5</v>
      </c>
      <c r="I308" s="65">
        <v>1</v>
      </c>
      <c r="J308" s="65">
        <v>0.1</v>
      </c>
      <c r="K308" s="65">
        <v>0.13639999999999999</v>
      </c>
      <c r="L308" s="65">
        <v>0.54</v>
      </c>
      <c r="M308" s="65">
        <v>8.9599999999999999E-2</v>
      </c>
      <c r="N308" s="65">
        <v>0</v>
      </c>
      <c r="O308" s="65">
        <v>3</v>
      </c>
      <c r="P308" s="65">
        <v>3</v>
      </c>
    </row>
    <row r="309" spans="1:16" x14ac:dyDescent="0.3">
      <c r="A309" s="65">
        <v>927</v>
      </c>
      <c r="B309" s="66">
        <v>40585</v>
      </c>
      <c r="C309" s="65">
        <v>1</v>
      </c>
      <c r="D309" s="65">
        <v>0</v>
      </c>
      <c r="E309" s="65">
        <v>2</v>
      </c>
      <c r="F309" s="65">
        <v>5</v>
      </c>
      <c r="G309" s="67" t="b">
        <v>0</v>
      </c>
      <c r="H309" s="65">
        <v>5</v>
      </c>
      <c r="I309" s="65">
        <v>1</v>
      </c>
      <c r="J309" s="65">
        <v>0.08</v>
      </c>
      <c r="K309" s="65">
        <v>0.1212</v>
      </c>
      <c r="L309" s="65">
        <v>0.63</v>
      </c>
      <c r="M309" s="65">
        <v>8.9599999999999999E-2</v>
      </c>
      <c r="N309" s="65">
        <v>0</v>
      </c>
      <c r="O309" s="65">
        <v>4</v>
      </c>
      <c r="P309" s="65">
        <v>4</v>
      </c>
    </row>
    <row r="310" spans="1:16" x14ac:dyDescent="0.3">
      <c r="A310" s="65">
        <v>928</v>
      </c>
      <c r="B310" s="66">
        <v>40585</v>
      </c>
      <c r="C310" s="65">
        <v>1</v>
      </c>
      <c r="D310" s="65">
        <v>0</v>
      </c>
      <c r="E310" s="65">
        <v>2</v>
      </c>
      <c r="F310" s="65">
        <v>6</v>
      </c>
      <c r="G310" s="67" t="b">
        <v>0</v>
      </c>
      <c r="H310" s="65">
        <v>5</v>
      </c>
      <c r="I310" s="65">
        <v>1</v>
      </c>
      <c r="J310" s="65">
        <v>0.1</v>
      </c>
      <c r="K310" s="65">
        <v>0.18179999999999999</v>
      </c>
      <c r="L310" s="65">
        <v>0.68</v>
      </c>
      <c r="M310" s="65">
        <v>0</v>
      </c>
      <c r="N310" s="65">
        <v>1</v>
      </c>
      <c r="O310" s="65">
        <v>23</v>
      </c>
      <c r="P310" s="65">
        <v>24</v>
      </c>
    </row>
    <row r="311" spans="1:16" x14ac:dyDescent="0.3">
      <c r="A311" s="65">
        <v>929</v>
      </c>
      <c r="B311" s="66">
        <v>40585</v>
      </c>
      <c r="C311" s="65">
        <v>1</v>
      </c>
      <c r="D311" s="65">
        <v>0</v>
      </c>
      <c r="E311" s="65">
        <v>2</v>
      </c>
      <c r="F311" s="65">
        <v>7</v>
      </c>
      <c r="G311" s="67" t="b">
        <v>0</v>
      </c>
      <c r="H311" s="65">
        <v>5</v>
      </c>
      <c r="I311" s="65">
        <v>1</v>
      </c>
      <c r="J311" s="65">
        <v>0.08</v>
      </c>
      <c r="K311" s="65">
        <v>0.16669999999999999</v>
      </c>
      <c r="L311" s="65">
        <v>0.73</v>
      </c>
      <c r="M311" s="65">
        <v>0</v>
      </c>
      <c r="N311" s="65">
        <v>1</v>
      </c>
      <c r="O311" s="65">
        <v>73</v>
      </c>
      <c r="P311" s="65">
        <v>74</v>
      </c>
    </row>
    <row r="312" spans="1:16" x14ac:dyDescent="0.3">
      <c r="A312" s="65">
        <v>930</v>
      </c>
      <c r="B312" s="66">
        <v>40585</v>
      </c>
      <c r="C312" s="65">
        <v>1</v>
      </c>
      <c r="D312" s="65">
        <v>0</v>
      </c>
      <c r="E312" s="65">
        <v>2</v>
      </c>
      <c r="F312" s="65">
        <v>8</v>
      </c>
      <c r="G312" s="67" t="b">
        <v>0</v>
      </c>
      <c r="H312" s="65">
        <v>5</v>
      </c>
      <c r="I312" s="65">
        <v>1</v>
      </c>
      <c r="J312" s="65">
        <v>0.1</v>
      </c>
      <c r="K312" s="65">
        <v>0.1212</v>
      </c>
      <c r="L312" s="65">
        <v>0.74</v>
      </c>
      <c r="M312" s="65">
        <v>0.16420000000000001</v>
      </c>
      <c r="N312" s="65">
        <v>4</v>
      </c>
      <c r="O312" s="65">
        <v>212</v>
      </c>
      <c r="P312" s="65">
        <v>216</v>
      </c>
    </row>
    <row r="313" spans="1:16" x14ac:dyDescent="0.3">
      <c r="A313" s="65">
        <v>931</v>
      </c>
      <c r="B313" s="66">
        <v>40585</v>
      </c>
      <c r="C313" s="65">
        <v>1</v>
      </c>
      <c r="D313" s="65">
        <v>0</v>
      </c>
      <c r="E313" s="65">
        <v>2</v>
      </c>
      <c r="F313" s="65">
        <v>9</v>
      </c>
      <c r="G313" s="67" t="b">
        <v>0</v>
      </c>
      <c r="H313" s="65">
        <v>5</v>
      </c>
      <c r="I313" s="65">
        <v>1</v>
      </c>
      <c r="J313" s="65">
        <v>0.12</v>
      </c>
      <c r="K313" s="65">
        <v>0.1212</v>
      </c>
      <c r="L313" s="65">
        <v>0.74</v>
      </c>
      <c r="M313" s="65">
        <v>0.22389999999999999</v>
      </c>
      <c r="N313" s="65">
        <v>8</v>
      </c>
      <c r="O313" s="65">
        <v>132</v>
      </c>
      <c r="P313" s="65">
        <v>140</v>
      </c>
    </row>
    <row r="314" spans="1:16" x14ac:dyDescent="0.3">
      <c r="A314" s="65">
        <v>932</v>
      </c>
      <c r="B314" s="66">
        <v>40585</v>
      </c>
      <c r="C314" s="65">
        <v>1</v>
      </c>
      <c r="D314" s="65">
        <v>0</v>
      </c>
      <c r="E314" s="65">
        <v>2</v>
      </c>
      <c r="F314" s="65">
        <v>10</v>
      </c>
      <c r="G314" s="67" t="b">
        <v>0</v>
      </c>
      <c r="H314" s="65">
        <v>5</v>
      </c>
      <c r="I314" s="65">
        <v>1</v>
      </c>
      <c r="J314" s="65">
        <v>0.14000000000000001</v>
      </c>
      <c r="K314" s="65">
        <v>0.13639999999999999</v>
      </c>
      <c r="L314" s="65">
        <v>0.69</v>
      </c>
      <c r="M314" s="65">
        <v>0.19400000000000001</v>
      </c>
      <c r="N314" s="65">
        <v>5</v>
      </c>
      <c r="O314" s="65">
        <v>39</v>
      </c>
      <c r="P314" s="65">
        <v>44</v>
      </c>
    </row>
    <row r="315" spans="1:16" x14ac:dyDescent="0.3">
      <c r="A315" s="65">
        <v>933</v>
      </c>
      <c r="B315" s="66">
        <v>40585</v>
      </c>
      <c r="C315" s="65">
        <v>1</v>
      </c>
      <c r="D315" s="65">
        <v>0</v>
      </c>
      <c r="E315" s="65">
        <v>2</v>
      </c>
      <c r="F315" s="65">
        <v>11</v>
      </c>
      <c r="G315" s="67" t="b">
        <v>0</v>
      </c>
      <c r="H315" s="65">
        <v>5</v>
      </c>
      <c r="I315" s="65">
        <v>1</v>
      </c>
      <c r="J315" s="65">
        <v>0.22</v>
      </c>
      <c r="K315" s="65">
        <v>0.2273</v>
      </c>
      <c r="L315" s="65">
        <v>0.47</v>
      </c>
      <c r="M315" s="65">
        <v>0.1343</v>
      </c>
      <c r="N315" s="65">
        <v>12</v>
      </c>
      <c r="O315" s="65">
        <v>52</v>
      </c>
      <c r="P315" s="65">
        <v>64</v>
      </c>
    </row>
    <row r="316" spans="1:16" x14ac:dyDescent="0.3">
      <c r="A316" s="65">
        <v>934</v>
      </c>
      <c r="B316" s="66">
        <v>40585</v>
      </c>
      <c r="C316" s="65">
        <v>1</v>
      </c>
      <c r="D316" s="65">
        <v>0</v>
      </c>
      <c r="E316" s="65">
        <v>2</v>
      </c>
      <c r="F316" s="65">
        <v>12</v>
      </c>
      <c r="G316" s="67" t="b">
        <v>0</v>
      </c>
      <c r="H316" s="65">
        <v>5</v>
      </c>
      <c r="I316" s="65">
        <v>1</v>
      </c>
      <c r="J316" s="65">
        <v>0.22</v>
      </c>
      <c r="K316" s="65">
        <v>0.2273</v>
      </c>
      <c r="L316" s="65">
        <v>0.47</v>
      </c>
      <c r="M316" s="65">
        <v>0.1343</v>
      </c>
      <c r="N316" s="65">
        <v>7</v>
      </c>
      <c r="O316" s="65">
        <v>64</v>
      </c>
      <c r="P316" s="65">
        <v>71</v>
      </c>
    </row>
    <row r="317" spans="1:16" x14ac:dyDescent="0.3">
      <c r="A317" s="65">
        <v>935</v>
      </c>
      <c r="B317" s="66">
        <v>40585</v>
      </c>
      <c r="C317" s="65">
        <v>1</v>
      </c>
      <c r="D317" s="65">
        <v>0</v>
      </c>
      <c r="E317" s="65">
        <v>2</v>
      </c>
      <c r="F317" s="65">
        <v>13</v>
      </c>
      <c r="G317" s="67" t="b">
        <v>0</v>
      </c>
      <c r="H317" s="65">
        <v>5</v>
      </c>
      <c r="I317" s="65">
        <v>1</v>
      </c>
      <c r="J317" s="65">
        <v>0.24</v>
      </c>
      <c r="K317" s="65">
        <v>0.2273</v>
      </c>
      <c r="L317" s="65">
        <v>0.35</v>
      </c>
      <c r="M317" s="65">
        <v>0.19400000000000001</v>
      </c>
      <c r="N317" s="65">
        <v>21</v>
      </c>
      <c r="O317" s="65">
        <v>89</v>
      </c>
      <c r="P317" s="65">
        <v>110</v>
      </c>
    </row>
    <row r="318" spans="1:16" x14ac:dyDescent="0.3">
      <c r="A318" s="65">
        <v>936</v>
      </c>
      <c r="B318" s="66">
        <v>40585</v>
      </c>
      <c r="C318" s="65">
        <v>1</v>
      </c>
      <c r="D318" s="65">
        <v>0</v>
      </c>
      <c r="E318" s="65">
        <v>2</v>
      </c>
      <c r="F318" s="65">
        <v>14</v>
      </c>
      <c r="G318" s="67" t="b">
        <v>0</v>
      </c>
      <c r="H318" s="65">
        <v>5</v>
      </c>
      <c r="I318" s="65">
        <v>1</v>
      </c>
      <c r="J318" s="65">
        <v>0.3</v>
      </c>
      <c r="K318" s="65">
        <v>0.28789999999999999</v>
      </c>
      <c r="L318" s="65">
        <v>0.26</v>
      </c>
      <c r="M318" s="65">
        <v>0.25369999999999998</v>
      </c>
      <c r="N318" s="65">
        <v>17</v>
      </c>
      <c r="O318" s="65">
        <v>67</v>
      </c>
      <c r="P318" s="65">
        <v>84</v>
      </c>
    </row>
    <row r="319" spans="1:16" x14ac:dyDescent="0.3">
      <c r="A319" s="65">
        <v>937</v>
      </c>
      <c r="B319" s="66">
        <v>40585</v>
      </c>
      <c r="C319" s="65">
        <v>1</v>
      </c>
      <c r="D319" s="65">
        <v>0</v>
      </c>
      <c r="E319" s="65">
        <v>2</v>
      </c>
      <c r="F319" s="65">
        <v>15</v>
      </c>
      <c r="G319" s="67" t="b">
        <v>0</v>
      </c>
      <c r="H319" s="65">
        <v>5</v>
      </c>
      <c r="I319" s="65">
        <v>1</v>
      </c>
      <c r="J319" s="65">
        <v>0.32</v>
      </c>
      <c r="K319" s="65">
        <v>0.31819999999999998</v>
      </c>
      <c r="L319" s="65">
        <v>0.21</v>
      </c>
      <c r="M319" s="65">
        <v>0.16420000000000001</v>
      </c>
      <c r="N319" s="65">
        <v>12</v>
      </c>
      <c r="O319" s="65">
        <v>62</v>
      </c>
      <c r="P319" s="65">
        <v>74</v>
      </c>
    </row>
    <row r="320" spans="1:16" x14ac:dyDescent="0.3">
      <c r="A320" s="65">
        <v>938</v>
      </c>
      <c r="B320" s="66">
        <v>40585</v>
      </c>
      <c r="C320" s="65">
        <v>1</v>
      </c>
      <c r="D320" s="65">
        <v>0</v>
      </c>
      <c r="E320" s="65">
        <v>2</v>
      </c>
      <c r="F320" s="65">
        <v>16</v>
      </c>
      <c r="G320" s="67" t="b">
        <v>0</v>
      </c>
      <c r="H320" s="65">
        <v>5</v>
      </c>
      <c r="I320" s="65">
        <v>1</v>
      </c>
      <c r="J320" s="65">
        <v>0.3</v>
      </c>
      <c r="K320" s="65">
        <v>0.28789999999999999</v>
      </c>
      <c r="L320" s="65">
        <v>0.28000000000000003</v>
      </c>
      <c r="M320" s="65">
        <v>0.19400000000000001</v>
      </c>
      <c r="N320" s="65">
        <v>14</v>
      </c>
      <c r="O320" s="65">
        <v>111</v>
      </c>
      <c r="P320" s="65">
        <v>125</v>
      </c>
    </row>
    <row r="321" spans="1:16" x14ac:dyDescent="0.3">
      <c r="A321" s="65">
        <v>939</v>
      </c>
      <c r="B321" s="66">
        <v>40585</v>
      </c>
      <c r="C321" s="65">
        <v>1</v>
      </c>
      <c r="D321" s="65">
        <v>0</v>
      </c>
      <c r="E321" s="65">
        <v>2</v>
      </c>
      <c r="F321" s="65">
        <v>17</v>
      </c>
      <c r="G321" s="67" t="b">
        <v>0</v>
      </c>
      <c r="H321" s="65">
        <v>5</v>
      </c>
      <c r="I321" s="65">
        <v>1</v>
      </c>
      <c r="J321" s="65">
        <v>0.3</v>
      </c>
      <c r="K321" s="65">
        <v>0.33329999999999999</v>
      </c>
      <c r="L321" s="65">
        <v>0.24</v>
      </c>
      <c r="M321" s="65">
        <v>0</v>
      </c>
      <c r="N321" s="65">
        <v>18</v>
      </c>
      <c r="O321" s="65">
        <v>193</v>
      </c>
      <c r="P321" s="65">
        <v>211</v>
      </c>
    </row>
    <row r="322" spans="1:16" x14ac:dyDescent="0.3">
      <c r="A322" s="65">
        <v>940</v>
      </c>
      <c r="B322" s="66">
        <v>40585</v>
      </c>
      <c r="C322" s="65">
        <v>1</v>
      </c>
      <c r="D322" s="65">
        <v>0</v>
      </c>
      <c r="E322" s="65">
        <v>2</v>
      </c>
      <c r="F322" s="65">
        <v>18</v>
      </c>
      <c r="G322" s="67" t="b">
        <v>0</v>
      </c>
      <c r="H322" s="65">
        <v>5</v>
      </c>
      <c r="I322" s="65">
        <v>1</v>
      </c>
      <c r="J322" s="65">
        <v>0.28000000000000003</v>
      </c>
      <c r="K322" s="65">
        <v>0.31819999999999998</v>
      </c>
      <c r="L322" s="65">
        <v>0.28000000000000003</v>
      </c>
      <c r="M322" s="65">
        <v>0</v>
      </c>
      <c r="N322" s="65">
        <v>9</v>
      </c>
      <c r="O322" s="65">
        <v>165</v>
      </c>
      <c r="P322" s="65">
        <v>174</v>
      </c>
    </row>
    <row r="323" spans="1:16" x14ac:dyDescent="0.3">
      <c r="A323" s="65">
        <v>941</v>
      </c>
      <c r="B323" s="66">
        <v>40585</v>
      </c>
      <c r="C323" s="65">
        <v>1</v>
      </c>
      <c r="D323" s="65">
        <v>0</v>
      </c>
      <c r="E323" s="65">
        <v>2</v>
      </c>
      <c r="F323" s="65">
        <v>19</v>
      </c>
      <c r="G323" s="67" t="b">
        <v>0</v>
      </c>
      <c r="H323" s="65">
        <v>5</v>
      </c>
      <c r="I323" s="65">
        <v>1</v>
      </c>
      <c r="J323" s="65">
        <v>0.26</v>
      </c>
      <c r="K323" s="65">
        <v>0.30299999999999999</v>
      </c>
      <c r="L323" s="65">
        <v>0.33</v>
      </c>
      <c r="M323" s="65">
        <v>0</v>
      </c>
      <c r="N323" s="65">
        <v>7</v>
      </c>
      <c r="O323" s="65">
        <v>94</v>
      </c>
      <c r="P323" s="65">
        <v>101</v>
      </c>
    </row>
    <row r="324" spans="1:16" x14ac:dyDescent="0.3">
      <c r="A324" s="65">
        <v>942</v>
      </c>
      <c r="B324" s="66">
        <v>40585</v>
      </c>
      <c r="C324" s="65">
        <v>1</v>
      </c>
      <c r="D324" s="65">
        <v>0</v>
      </c>
      <c r="E324" s="65">
        <v>2</v>
      </c>
      <c r="F324" s="65">
        <v>20</v>
      </c>
      <c r="G324" s="67" t="b">
        <v>0</v>
      </c>
      <c r="H324" s="65">
        <v>5</v>
      </c>
      <c r="I324" s="65">
        <v>1</v>
      </c>
      <c r="J324" s="65">
        <v>0.22</v>
      </c>
      <c r="K324" s="65">
        <v>0.2273</v>
      </c>
      <c r="L324" s="65">
        <v>0.55000000000000004</v>
      </c>
      <c r="M324" s="65">
        <v>0.1343</v>
      </c>
      <c r="N324" s="65">
        <v>2</v>
      </c>
      <c r="O324" s="65">
        <v>61</v>
      </c>
      <c r="P324" s="65">
        <v>63</v>
      </c>
    </row>
    <row r="325" spans="1:16" x14ac:dyDescent="0.3">
      <c r="A325" s="65">
        <v>943</v>
      </c>
      <c r="B325" s="66">
        <v>40585</v>
      </c>
      <c r="C325" s="65">
        <v>1</v>
      </c>
      <c r="D325" s="65">
        <v>0</v>
      </c>
      <c r="E325" s="65">
        <v>2</v>
      </c>
      <c r="F325" s="65">
        <v>21</v>
      </c>
      <c r="G325" s="67" t="b">
        <v>0</v>
      </c>
      <c r="H325" s="65">
        <v>5</v>
      </c>
      <c r="I325" s="65">
        <v>1</v>
      </c>
      <c r="J325" s="65">
        <v>0.2</v>
      </c>
      <c r="K325" s="65">
        <v>0.21210000000000001</v>
      </c>
      <c r="L325" s="65">
        <v>0.59</v>
      </c>
      <c r="M325" s="65">
        <v>0.1343</v>
      </c>
      <c r="N325" s="65">
        <v>1</v>
      </c>
      <c r="O325" s="65">
        <v>46</v>
      </c>
      <c r="P325" s="65">
        <v>47</v>
      </c>
    </row>
    <row r="326" spans="1:16" x14ac:dyDescent="0.3">
      <c r="A326" s="65">
        <v>944</v>
      </c>
      <c r="B326" s="66">
        <v>40585</v>
      </c>
      <c r="C326" s="65">
        <v>1</v>
      </c>
      <c r="D326" s="65">
        <v>0</v>
      </c>
      <c r="E326" s="65">
        <v>2</v>
      </c>
      <c r="F326" s="65">
        <v>22</v>
      </c>
      <c r="G326" s="67" t="b">
        <v>0</v>
      </c>
      <c r="H326" s="65">
        <v>5</v>
      </c>
      <c r="I326" s="65">
        <v>1</v>
      </c>
      <c r="J326" s="65">
        <v>0.2</v>
      </c>
      <c r="K326" s="65">
        <v>0.2273</v>
      </c>
      <c r="L326" s="65">
        <v>0.64</v>
      </c>
      <c r="M326" s="65">
        <v>8.9599999999999999E-2</v>
      </c>
      <c r="N326" s="65">
        <v>2</v>
      </c>
      <c r="O326" s="65">
        <v>41</v>
      </c>
      <c r="P326" s="65">
        <v>43</v>
      </c>
    </row>
    <row r="327" spans="1:16" x14ac:dyDescent="0.3">
      <c r="A327" s="65">
        <v>945</v>
      </c>
      <c r="B327" s="66">
        <v>40585</v>
      </c>
      <c r="C327" s="65">
        <v>1</v>
      </c>
      <c r="D327" s="65">
        <v>0</v>
      </c>
      <c r="E327" s="65">
        <v>2</v>
      </c>
      <c r="F327" s="65">
        <v>23</v>
      </c>
      <c r="G327" s="67" t="b">
        <v>0</v>
      </c>
      <c r="H327" s="65">
        <v>5</v>
      </c>
      <c r="I327" s="65">
        <v>1</v>
      </c>
      <c r="J327" s="65">
        <v>0.18</v>
      </c>
      <c r="K327" s="65">
        <v>0.2424</v>
      </c>
      <c r="L327" s="65">
        <v>0.69</v>
      </c>
      <c r="M327" s="65">
        <v>0</v>
      </c>
      <c r="N327" s="65">
        <v>5</v>
      </c>
      <c r="O327" s="65">
        <v>48</v>
      </c>
      <c r="P327" s="65">
        <v>53</v>
      </c>
    </row>
    <row r="328" spans="1:16" x14ac:dyDescent="0.3">
      <c r="A328" s="65">
        <v>946</v>
      </c>
      <c r="B328" s="66">
        <v>40586</v>
      </c>
      <c r="C328" s="65">
        <v>1</v>
      </c>
      <c r="D328" s="65">
        <v>0</v>
      </c>
      <c r="E328" s="65">
        <v>2</v>
      </c>
      <c r="F328" s="65">
        <v>0</v>
      </c>
      <c r="G328" s="67" t="b">
        <v>0</v>
      </c>
      <c r="H328" s="65">
        <v>6</v>
      </c>
      <c r="I328" s="65">
        <v>1</v>
      </c>
      <c r="J328" s="65">
        <v>0.16</v>
      </c>
      <c r="K328" s="65">
        <v>0.19700000000000001</v>
      </c>
      <c r="L328" s="65">
        <v>0.69</v>
      </c>
      <c r="M328" s="65">
        <v>8.9599999999999999E-2</v>
      </c>
      <c r="N328" s="65">
        <v>3</v>
      </c>
      <c r="O328" s="65">
        <v>27</v>
      </c>
      <c r="P328" s="65">
        <v>30</v>
      </c>
    </row>
    <row r="329" spans="1:16" x14ac:dyDescent="0.3">
      <c r="A329" s="65">
        <v>947</v>
      </c>
      <c r="B329" s="66">
        <v>40586</v>
      </c>
      <c r="C329" s="65">
        <v>1</v>
      </c>
      <c r="D329" s="65">
        <v>0</v>
      </c>
      <c r="E329" s="65">
        <v>2</v>
      </c>
      <c r="F329" s="65">
        <v>1</v>
      </c>
      <c r="G329" s="67" t="b">
        <v>0</v>
      </c>
      <c r="H329" s="65">
        <v>6</v>
      </c>
      <c r="I329" s="65">
        <v>1</v>
      </c>
      <c r="J329" s="65">
        <v>0.14000000000000001</v>
      </c>
      <c r="K329" s="65">
        <v>0.21210000000000001</v>
      </c>
      <c r="L329" s="65">
        <v>0.86</v>
      </c>
      <c r="M329" s="65">
        <v>0</v>
      </c>
      <c r="N329" s="65">
        <v>2</v>
      </c>
      <c r="O329" s="65">
        <v>22</v>
      </c>
      <c r="P329" s="65">
        <v>24</v>
      </c>
    </row>
    <row r="330" spans="1:16" x14ac:dyDescent="0.3">
      <c r="A330" s="65">
        <v>948</v>
      </c>
      <c r="B330" s="66">
        <v>40586</v>
      </c>
      <c r="C330" s="65">
        <v>1</v>
      </c>
      <c r="D330" s="65">
        <v>0</v>
      </c>
      <c r="E330" s="65">
        <v>2</v>
      </c>
      <c r="F330" s="65">
        <v>2</v>
      </c>
      <c r="G330" s="67" t="b">
        <v>0</v>
      </c>
      <c r="H330" s="65">
        <v>6</v>
      </c>
      <c r="I330" s="65">
        <v>1</v>
      </c>
      <c r="J330" s="65">
        <v>0.14000000000000001</v>
      </c>
      <c r="K330" s="65">
        <v>0.21210000000000001</v>
      </c>
      <c r="L330" s="65">
        <v>0.8</v>
      </c>
      <c r="M330" s="65">
        <v>0</v>
      </c>
      <c r="N330" s="65">
        <v>2</v>
      </c>
      <c r="O330" s="65">
        <v>13</v>
      </c>
      <c r="P330" s="65">
        <v>15</v>
      </c>
    </row>
    <row r="331" spans="1:16" x14ac:dyDescent="0.3">
      <c r="A331" s="65">
        <v>949</v>
      </c>
      <c r="B331" s="66">
        <v>40586</v>
      </c>
      <c r="C331" s="65">
        <v>1</v>
      </c>
      <c r="D331" s="65">
        <v>0</v>
      </c>
      <c r="E331" s="65">
        <v>2</v>
      </c>
      <c r="F331" s="65">
        <v>3</v>
      </c>
      <c r="G331" s="67" t="b">
        <v>0</v>
      </c>
      <c r="H331" s="65">
        <v>6</v>
      </c>
      <c r="I331" s="65">
        <v>1</v>
      </c>
      <c r="J331" s="65">
        <v>0.12</v>
      </c>
      <c r="K331" s="65">
        <v>0.19700000000000001</v>
      </c>
      <c r="L331" s="65">
        <v>0.8</v>
      </c>
      <c r="M331" s="65">
        <v>0</v>
      </c>
      <c r="N331" s="65">
        <v>3</v>
      </c>
      <c r="O331" s="65">
        <v>7</v>
      </c>
      <c r="P331" s="65">
        <v>10</v>
      </c>
    </row>
    <row r="332" spans="1:16" x14ac:dyDescent="0.3">
      <c r="A332" s="65">
        <v>950</v>
      </c>
      <c r="B332" s="66">
        <v>40586</v>
      </c>
      <c r="C332" s="65">
        <v>1</v>
      </c>
      <c r="D332" s="65">
        <v>0</v>
      </c>
      <c r="E332" s="65">
        <v>2</v>
      </c>
      <c r="F332" s="65">
        <v>4</v>
      </c>
      <c r="G332" s="67" t="b">
        <v>0</v>
      </c>
      <c r="H332" s="65">
        <v>6</v>
      </c>
      <c r="I332" s="65">
        <v>1</v>
      </c>
      <c r="J332" s="65">
        <v>0.12</v>
      </c>
      <c r="K332" s="65">
        <v>0.16669999999999999</v>
      </c>
      <c r="L332" s="65">
        <v>0.74</v>
      </c>
      <c r="M332" s="65">
        <v>8.9599999999999999E-2</v>
      </c>
      <c r="N332" s="65">
        <v>0</v>
      </c>
      <c r="O332" s="65">
        <v>4</v>
      </c>
      <c r="P332" s="65">
        <v>4</v>
      </c>
    </row>
    <row r="333" spans="1:16" x14ac:dyDescent="0.3">
      <c r="A333" s="65">
        <v>951</v>
      </c>
      <c r="B333" s="66">
        <v>40586</v>
      </c>
      <c r="C333" s="65">
        <v>1</v>
      </c>
      <c r="D333" s="65">
        <v>0</v>
      </c>
      <c r="E333" s="65">
        <v>2</v>
      </c>
      <c r="F333" s="65">
        <v>5</v>
      </c>
      <c r="G333" s="67" t="b">
        <v>0</v>
      </c>
      <c r="H333" s="65">
        <v>6</v>
      </c>
      <c r="I333" s="65">
        <v>1</v>
      </c>
      <c r="J333" s="65">
        <v>0.12</v>
      </c>
      <c r="K333" s="65">
        <v>0.16669999999999999</v>
      </c>
      <c r="L333" s="65">
        <v>0.74</v>
      </c>
      <c r="M333" s="65">
        <v>8.9599999999999999E-2</v>
      </c>
      <c r="N333" s="65">
        <v>0</v>
      </c>
      <c r="O333" s="65">
        <v>1</v>
      </c>
      <c r="P333" s="65">
        <v>1</v>
      </c>
    </row>
    <row r="334" spans="1:16" x14ac:dyDescent="0.3">
      <c r="A334" s="65">
        <v>952</v>
      </c>
      <c r="B334" s="66">
        <v>40586</v>
      </c>
      <c r="C334" s="65">
        <v>1</v>
      </c>
      <c r="D334" s="65">
        <v>0</v>
      </c>
      <c r="E334" s="65">
        <v>2</v>
      </c>
      <c r="F334" s="65">
        <v>6</v>
      </c>
      <c r="G334" s="67" t="b">
        <v>0</v>
      </c>
      <c r="H334" s="65">
        <v>6</v>
      </c>
      <c r="I334" s="65">
        <v>1</v>
      </c>
      <c r="J334" s="65">
        <v>0.12</v>
      </c>
      <c r="K334" s="65">
        <v>0.13639999999999999</v>
      </c>
      <c r="L334" s="65">
        <v>0.93</v>
      </c>
      <c r="M334" s="65">
        <v>0.19400000000000001</v>
      </c>
      <c r="N334" s="65">
        <v>1</v>
      </c>
      <c r="O334" s="65">
        <v>1</v>
      </c>
      <c r="P334" s="65">
        <v>2</v>
      </c>
    </row>
    <row r="335" spans="1:16" x14ac:dyDescent="0.3">
      <c r="A335" s="65">
        <v>953</v>
      </c>
      <c r="B335" s="66">
        <v>40586</v>
      </c>
      <c r="C335" s="65">
        <v>1</v>
      </c>
      <c r="D335" s="65">
        <v>0</v>
      </c>
      <c r="E335" s="65">
        <v>2</v>
      </c>
      <c r="F335" s="65">
        <v>7</v>
      </c>
      <c r="G335" s="67" t="b">
        <v>0</v>
      </c>
      <c r="H335" s="65">
        <v>6</v>
      </c>
      <c r="I335" s="65">
        <v>1</v>
      </c>
      <c r="J335" s="65">
        <v>0.12</v>
      </c>
      <c r="K335" s="65">
        <v>0.1515</v>
      </c>
      <c r="L335" s="65">
        <v>0.8</v>
      </c>
      <c r="M335" s="65">
        <v>0.1045</v>
      </c>
      <c r="N335" s="65">
        <v>2</v>
      </c>
      <c r="O335" s="65">
        <v>9</v>
      </c>
      <c r="P335" s="65">
        <v>11</v>
      </c>
    </row>
    <row r="336" spans="1:16" x14ac:dyDescent="0.3">
      <c r="A336" s="65">
        <v>954</v>
      </c>
      <c r="B336" s="66">
        <v>40586</v>
      </c>
      <c r="C336" s="65">
        <v>1</v>
      </c>
      <c r="D336" s="65">
        <v>0</v>
      </c>
      <c r="E336" s="65">
        <v>2</v>
      </c>
      <c r="F336" s="65">
        <v>8</v>
      </c>
      <c r="G336" s="67" t="b">
        <v>0</v>
      </c>
      <c r="H336" s="65">
        <v>6</v>
      </c>
      <c r="I336" s="65">
        <v>1</v>
      </c>
      <c r="J336" s="65">
        <v>0.14000000000000001</v>
      </c>
      <c r="K336" s="65">
        <v>0.1515</v>
      </c>
      <c r="L336" s="65">
        <v>0.86</v>
      </c>
      <c r="M336" s="65">
        <v>0.1343</v>
      </c>
      <c r="N336" s="65">
        <v>2</v>
      </c>
      <c r="O336" s="65">
        <v>28</v>
      </c>
      <c r="P336" s="65">
        <v>30</v>
      </c>
    </row>
    <row r="337" spans="1:16" x14ac:dyDescent="0.3">
      <c r="A337" s="65">
        <v>955</v>
      </c>
      <c r="B337" s="66">
        <v>40586</v>
      </c>
      <c r="C337" s="65">
        <v>1</v>
      </c>
      <c r="D337" s="65">
        <v>0</v>
      </c>
      <c r="E337" s="65">
        <v>2</v>
      </c>
      <c r="F337" s="65">
        <v>9</v>
      </c>
      <c r="G337" s="67" t="b">
        <v>0</v>
      </c>
      <c r="H337" s="65">
        <v>6</v>
      </c>
      <c r="I337" s="65">
        <v>1</v>
      </c>
      <c r="J337" s="65">
        <v>0.16</v>
      </c>
      <c r="K337" s="65">
        <v>0.18179999999999999</v>
      </c>
      <c r="L337" s="65">
        <v>0.64</v>
      </c>
      <c r="M337" s="65">
        <v>0.1343</v>
      </c>
      <c r="N337" s="65">
        <v>5</v>
      </c>
      <c r="O337" s="65">
        <v>38</v>
      </c>
      <c r="P337" s="65">
        <v>43</v>
      </c>
    </row>
    <row r="338" spans="1:16" x14ac:dyDescent="0.3">
      <c r="A338" s="65">
        <v>956</v>
      </c>
      <c r="B338" s="66">
        <v>40586</v>
      </c>
      <c r="C338" s="65">
        <v>1</v>
      </c>
      <c r="D338" s="65">
        <v>0</v>
      </c>
      <c r="E338" s="65">
        <v>2</v>
      </c>
      <c r="F338" s="65">
        <v>10</v>
      </c>
      <c r="G338" s="67" t="b">
        <v>0</v>
      </c>
      <c r="H338" s="65">
        <v>6</v>
      </c>
      <c r="I338" s="65">
        <v>1</v>
      </c>
      <c r="J338" s="65">
        <v>0.22</v>
      </c>
      <c r="K338" s="65">
        <v>0.21210000000000001</v>
      </c>
      <c r="L338" s="65">
        <v>0.41</v>
      </c>
      <c r="M338" s="65">
        <v>0.25369999999999998</v>
      </c>
      <c r="N338" s="65">
        <v>13</v>
      </c>
      <c r="O338" s="65">
        <v>71</v>
      </c>
      <c r="P338" s="65">
        <v>84</v>
      </c>
    </row>
    <row r="339" spans="1:16" x14ac:dyDescent="0.3">
      <c r="A339" s="65">
        <v>957</v>
      </c>
      <c r="B339" s="66">
        <v>40586</v>
      </c>
      <c r="C339" s="65">
        <v>1</v>
      </c>
      <c r="D339" s="65">
        <v>0</v>
      </c>
      <c r="E339" s="65">
        <v>2</v>
      </c>
      <c r="F339" s="65">
        <v>11</v>
      </c>
      <c r="G339" s="67" t="b">
        <v>0</v>
      </c>
      <c r="H339" s="65">
        <v>6</v>
      </c>
      <c r="I339" s="65">
        <v>1</v>
      </c>
      <c r="J339" s="65">
        <v>0.3</v>
      </c>
      <c r="K339" s="65">
        <v>0.2727</v>
      </c>
      <c r="L339" s="65">
        <v>0.28000000000000003</v>
      </c>
      <c r="M339" s="65">
        <v>0.32840000000000003</v>
      </c>
      <c r="N339" s="65">
        <v>30</v>
      </c>
      <c r="O339" s="65">
        <v>84</v>
      </c>
      <c r="P339" s="65">
        <v>114</v>
      </c>
    </row>
    <row r="340" spans="1:16" x14ac:dyDescent="0.3">
      <c r="A340" s="65">
        <v>958</v>
      </c>
      <c r="B340" s="66">
        <v>40586</v>
      </c>
      <c r="C340" s="65">
        <v>1</v>
      </c>
      <c r="D340" s="65">
        <v>0</v>
      </c>
      <c r="E340" s="65">
        <v>2</v>
      </c>
      <c r="F340" s="65">
        <v>12</v>
      </c>
      <c r="G340" s="67" t="b">
        <v>0</v>
      </c>
      <c r="H340" s="65">
        <v>6</v>
      </c>
      <c r="I340" s="65">
        <v>1</v>
      </c>
      <c r="J340" s="65">
        <v>0.3</v>
      </c>
      <c r="K340" s="65">
        <v>0.2727</v>
      </c>
      <c r="L340" s="65">
        <v>0.39</v>
      </c>
      <c r="M340" s="65">
        <v>0.4627</v>
      </c>
      <c r="N340" s="65">
        <v>27</v>
      </c>
      <c r="O340" s="65">
        <v>93</v>
      </c>
      <c r="P340" s="65">
        <v>120</v>
      </c>
    </row>
    <row r="341" spans="1:16" x14ac:dyDescent="0.3">
      <c r="A341" s="65">
        <v>959</v>
      </c>
      <c r="B341" s="66">
        <v>40586</v>
      </c>
      <c r="C341" s="65">
        <v>1</v>
      </c>
      <c r="D341" s="65">
        <v>0</v>
      </c>
      <c r="E341" s="65">
        <v>2</v>
      </c>
      <c r="F341" s="65">
        <v>13</v>
      </c>
      <c r="G341" s="67" t="b">
        <v>0</v>
      </c>
      <c r="H341" s="65">
        <v>6</v>
      </c>
      <c r="I341" s="65">
        <v>1</v>
      </c>
      <c r="J341" s="65">
        <v>0.3</v>
      </c>
      <c r="K341" s="65">
        <v>0.2727</v>
      </c>
      <c r="L341" s="65">
        <v>0.39</v>
      </c>
      <c r="M341" s="65">
        <v>0.41789999999999999</v>
      </c>
      <c r="N341" s="65">
        <v>32</v>
      </c>
      <c r="O341" s="65">
        <v>103</v>
      </c>
      <c r="P341" s="65">
        <v>135</v>
      </c>
    </row>
    <row r="342" spans="1:16" x14ac:dyDescent="0.3">
      <c r="A342" s="65">
        <v>960</v>
      </c>
      <c r="B342" s="66">
        <v>40586</v>
      </c>
      <c r="C342" s="65">
        <v>1</v>
      </c>
      <c r="D342" s="65">
        <v>0</v>
      </c>
      <c r="E342" s="65">
        <v>2</v>
      </c>
      <c r="F342" s="65">
        <v>14</v>
      </c>
      <c r="G342" s="67" t="b">
        <v>0</v>
      </c>
      <c r="H342" s="65">
        <v>6</v>
      </c>
      <c r="I342" s="65">
        <v>1</v>
      </c>
      <c r="J342" s="65">
        <v>0.34</v>
      </c>
      <c r="K342" s="65">
        <v>0.31819999999999998</v>
      </c>
      <c r="L342" s="65">
        <v>0.31</v>
      </c>
      <c r="M342" s="65">
        <v>0.28360000000000002</v>
      </c>
      <c r="N342" s="65">
        <v>30</v>
      </c>
      <c r="O342" s="65">
        <v>90</v>
      </c>
      <c r="P342" s="65">
        <v>120</v>
      </c>
    </row>
    <row r="343" spans="1:16" x14ac:dyDescent="0.3">
      <c r="A343" s="65">
        <v>961</v>
      </c>
      <c r="B343" s="66">
        <v>40586</v>
      </c>
      <c r="C343" s="65">
        <v>1</v>
      </c>
      <c r="D343" s="65">
        <v>0</v>
      </c>
      <c r="E343" s="65">
        <v>2</v>
      </c>
      <c r="F343" s="65">
        <v>15</v>
      </c>
      <c r="G343" s="67" t="b">
        <v>0</v>
      </c>
      <c r="H343" s="65">
        <v>6</v>
      </c>
      <c r="I343" s="65">
        <v>1</v>
      </c>
      <c r="J343" s="65">
        <v>0.34</v>
      </c>
      <c r="K343" s="65">
        <v>0.30299999999999999</v>
      </c>
      <c r="L343" s="65">
        <v>0.28999999999999998</v>
      </c>
      <c r="M343" s="65">
        <v>0.41789999999999999</v>
      </c>
      <c r="N343" s="65">
        <v>47</v>
      </c>
      <c r="O343" s="65">
        <v>127</v>
      </c>
      <c r="P343" s="65">
        <v>174</v>
      </c>
    </row>
    <row r="344" spans="1:16" x14ac:dyDescent="0.3">
      <c r="A344" s="65">
        <v>962</v>
      </c>
      <c r="B344" s="66">
        <v>40586</v>
      </c>
      <c r="C344" s="65">
        <v>1</v>
      </c>
      <c r="D344" s="65">
        <v>0</v>
      </c>
      <c r="E344" s="65">
        <v>2</v>
      </c>
      <c r="F344" s="65">
        <v>16</v>
      </c>
      <c r="G344" s="67" t="b">
        <v>0</v>
      </c>
      <c r="H344" s="65">
        <v>6</v>
      </c>
      <c r="I344" s="65">
        <v>1</v>
      </c>
      <c r="J344" s="65">
        <v>0.34</v>
      </c>
      <c r="K344" s="65">
        <v>0.30299999999999999</v>
      </c>
      <c r="L344" s="65">
        <v>0.28999999999999998</v>
      </c>
      <c r="M344" s="65">
        <v>0.41789999999999999</v>
      </c>
      <c r="N344" s="65">
        <v>42</v>
      </c>
      <c r="O344" s="65">
        <v>103</v>
      </c>
      <c r="P344" s="65">
        <v>145</v>
      </c>
    </row>
    <row r="345" spans="1:16" x14ac:dyDescent="0.3">
      <c r="A345" s="65">
        <v>963</v>
      </c>
      <c r="B345" s="66">
        <v>40586</v>
      </c>
      <c r="C345" s="65">
        <v>1</v>
      </c>
      <c r="D345" s="65">
        <v>0</v>
      </c>
      <c r="E345" s="65">
        <v>2</v>
      </c>
      <c r="F345" s="65">
        <v>17</v>
      </c>
      <c r="G345" s="67" t="b">
        <v>0</v>
      </c>
      <c r="H345" s="65">
        <v>6</v>
      </c>
      <c r="I345" s="65">
        <v>1</v>
      </c>
      <c r="J345" s="65">
        <v>0.32</v>
      </c>
      <c r="K345" s="65">
        <v>0.28789999999999999</v>
      </c>
      <c r="L345" s="65">
        <v>0.31</v>
      </c>
      <c r="M345" s="65">
        <v>0.52239999999999998</v>
      </c>
      <c r="N345" s="65">
        <v>24</v>
      </c>
      <c r="O345" s="65">
        <v>113</v>
      </c>
      <c r="P345" s="65">
        <v>137</v>
      </c>
    </row>
    <row r="346" spans="1:16" x14ac:dyDescent="0.3">
      <c r="A346" s="65">
        <v>964</v>
      </c>
      <c r="B346" s="66">
        <v>40586</v>
      </c>
      <c r="C346" s="65">
        <v>1</v>
      </c>
      <c r="D346" s="65">
        <v>0</v>
      </c>
      <c r="E346" s="65">
        <v>2</v>
      </c>
      <c r="F346" s="65">
        <v>18</v>
      </c>
      <c r="G346" s="67" t="b">
        <v>0</v>
      </c>
      <c r="H346" s="65">
        <v>6</v>
      </c>
      <c r="I346" s="65">
        <v>1</v>
      </c>
      <c r="J346" s="65">
        <v>0.28000000000000003</v>
      </c>
      <c r="K346" s="65">
        <v>0.2576</v>
      </c>
      <c r="L346" s="65">
        <v>0.38</v>
      </c>
      <c r="M346" s="65">
        <v>0.32840000000000003</v>
      </c>
      <c r="N346" s="65">
        <v>4</v>
      </c>
      <c r="O346" s="65">
        <v>60</v>
      </c>
      <c r="P346" s="65">
        <v>64</v>
      </c>
    </row>
    <row r="347" spans="1:16" x14ac:dyDescent="0.3">
      <c r="A347" s="65">
        <v>965</v>
      </c>
      <c r="B347" s="66">
        <v>40586</v>
      </c>
      <c r="C347" s="65">
        <v>1</v>
      </c>
      <c r="D347" s="65">
        <v>0</v>
      </c>
      <c r="E347" s="65">
        <v>2</v>
      </c>
      <c r="F347" s="65">
        <v>19</v>
      </c>
      <c r="G347" s="67" t="b">
        <v>0</v>
      </c>
      <c r="H347" s="65">
        <v>6</v>
      </c>
      <c r="I347" s="65">
        <v>1</v>
      </c>
      <c r="J347" s="65">
        <v>0.28000000000000003</v>
      </c>
      <c r="K347" s="65">
        <v>0.2727</v>
      </c>
      <c r="L347" s="65">
        <v>0.38</v>
      </c>
      <c r="M347" s="65">
        <v>0.16420000000000001</v>
      </c>
      <c r="N347" s="65">
        <v>2</v>
      </c>
      <c r="O347" s="65">
        <v>39</v>
      </c>
      <c r="P347" s="65">
        <v>41</v>
      </c>
    </row>
    <row r="348" spans="1:16" x14ac:dyDescent="0.3">
      <c r="A348" s="65">
        <v>966</v>
      </c>
      <c r="B348" s="66">
        <v>40586</v>
      </c>
      <c r="C348" s="65">
        <v>1</v>
      </c>
      <c r="D348" s="65">
        <v>0</v>
      </c>
      <c r="E348" s="65">
        <v>2</v>
      </c>
      <c r="F348" s="65">
        <v>20</v>
      </c>
      <c r="G348" s="67" t="b">
        <v>0</v>
      </c>
      <c r="H348" s="65">
        <v>6</v>
      </c>
      <c r="I348" s="65">
        <v>1</v>
      </c>
      <c r="J348" s="65">
        <v>0.26</v>
      </c>
      <c r="K348" s="65">
        <v>0.2576</v>
      </c>
      <c r="L348" s="65">
        <v>0.41</v>
      </c>
      <c r="M348" s="65">
        <v>0.22389999999999999</v>
      </c>
      <c r="N348" s="65">
        <v>1</v>
      </c>
      <c r="O348" s="65">
        <v>39</v>
      </c>
      <c r="P348" s="65">
        <v>40</v>
      </c>
    </row>
    <row r="349" spans="1:16" x14ac:dyDescent="0.3">
      <c r="A349" s="65">
        <v>967</v>
      </c>
      <c r="B349" s="66">
        <v>40586</v>
      </c>
      <c r="C349" s="65">
        <v>1</v>
      </c>
      <c r="D349" s="65">
        <v>0</v>
      </c>
      <c r="E349" s="65">
        <v>2</v>
      </c>
      <c r="F349" s="65">
        <v>21</v>
      </c>
      <c r="G349" s="67" t="b">
        <v>0</v>
      </c>
      <c r="H349" s="65">
        <v>6</v>
      </c>
      <c r="I349" s="65">
        <v>1</v>
      </c>
      <c r="J349" s="65">
        <v>0.26</v>
      </c>
      <c r="K349" s="65">
        <v>0.30299999999999999</v>
      </c>
      <c r="L349" s="65">
        <v>0.41</v>
      </c>
      <c r="M349" s="65">
        <v>0</v>
      </c>
      <c r="N349" s="65">
        <v>9</v>
      </c>
      <c r="O349" s="65">
        <v>42</v>
      </c>
      <c r="P349" s="65">
        <v>51</v>
      </c>
    </row>
    <row r="350" spans="1:16" x14ac:dyDescent="0.3">
      <c r="A350" s="65">
        <v>968</v>
      </c>
      <c r="B350" s="66">
        <v>40586</v>
      </c>
      <c r="C350" s="65">
        <v>1</v>
      </c>
      <c r="D350" s="65">
        <v>0</v>
      </c>
      <c r="E350" s="65">
        <v>2</v>
      </c>
      <c r="F350" s="65">
        <v>22</v>
      </c>
      <c r="G350" s="67" t="b">
        <v>0</v>
      </c>
      <c r="H350" s="65">
        <v>6</v>
      </c>
      <c r="I350" s="65">
        <v>1</v>
      </c>
      <c r="J350" s="65">
        <v>0.24</v>
      </c>
      <c r="K350" s="65">
        <v>0.2576</v>
      </c>
      <c r="L350" s="65">
        <v>0.44</v>
      </c>
      <c r="M350" s="65">
        <v>8.9599999999999999E-2</v>
      </c>
      <c r="N350" s="65">
        <v>6</v>
      </c>
      <c r="O350" s="65">
        <v>39</v>
      </c>
      <c r="P350" s="65">
        <v>45</v>
      </c>
    </row>
    <row r="351" spans="1:16" x14ac:dyDescent="0.3">
      <c r="A351" s="65">
        <v>969</v>
      </c>
      <c r="B351" s="66">
        <v>40586</v>
      </c>
      <c r="C351" s="65">
        <v>1</v>
      </c>
      <c r="D351" s="65">
        <v>0</v>
      </c>
      <c r="E351" s="65">
        <v>2</v>
      </c>
      <c r="F351" s="65">
        <v>23</v>
      </c>
      <c r="G351" s="67" t="b">
        <v>0</v>
      </c>
      <c r="H351" s="65">
        <v>6</v>
      </c>
      <c r="I351" s="65">
        <v>1</v>
      </c>
      <c r="J351" s="65">
        <v>0.22</v>
      </c>
      <c r="K351" s="65">
        <v>0.2273</v>
      </c>
      <c r="L351" s="65">
        <v>0.51</v>
      </c>
      <c r="M351" s="65">
        <v>0.1343</v>
      </c>
      <c r="N351" s="65">
        <v>1</v>
      </c>
      <c r="O351" s="65">
        <v>31</v>
      </c>
      <c r="P351" s="65">
        <v>32</v>
      </c>
    </row>
    <row r="352" spans="1:16" x14ac:dyDescent="0.3">
      <c r="A352" s="65">
        <v>970</v>
      </c>
      <c r="B352" s="66">
        <v>40587</v>
      </c>
      <c r="C352" s="65">
        <v>1</v>
      </c>
      <c r="D352" s="65">
        <v>0</v>
      </c>
      <c r="E352" s="65">
        <v>2</v>
      </c>
      <c r="F352" s="65">
        <v>0</v>
      </c>
      <c r="G352" s="67" t="b">
        <v>0</v>
      </c>
      <c r="H352" s="65">
        <v>0</v>
      </c>
      <c r="I352" s="65">
        <v>1</v>
      </c>
      <c r="J352" s="65">
        <v>0.2</v>
      </c>
      <c r="K352" s="65">
        <v>0.2273</v>
      </c>
      <c r="L352" s="65">
        <v>0.64</v>
      </c>
      <c r="M352" s="65">
        <v>0.1045</v>
      </c>
      <c r="N352" s="65">
        <v>5</v>
      </c>
      <c r="O352" s="65">
        <v>34</v>
      </c>
      <c r="P352" s="65">
        <v>39</v>
      </c>
    </row>
    <row r="353" spans="1:16" x14ac:dyDescent="0.3">
      <c r="A353" s="65">
        <v>971</v>
      </c>
      <c r="B353" s="66">
        <v>40587</v>
      </c>
      <c r="C353" s="65">
        <v>1</v>
      </c>
      <c r="D353" s="65">
        <v>0</v>
      </c>
      <c r="E353" s="65">
        <v>2</v>
      </c>
      <c r="F353" s="65">
        <v>1</v>
      </c>
      <c r="G353" s="67" t="b">
        <v>0</v>
      </c>
      <c r="H353" s="65">
        <v>0</v>
      </c>
      <c r="I353" s="65">
        <v>1</v>
      </c>
      <c r="J353" s="65">
        <v>0.2</v>
      </c>
      <c r="K353" s="65">
        <v>0.2273</v>
      </c>
      <c r="L353" s="65">
        <v>0.59</v>
      </c>
      <c r="M353" s="65">
        <v>8.9599999999999999E-2</v>
      </c>
      <c r="N353" s="65">
        <v>1</v>
      </c>
      <c r="O353" s="65">
        <v>23</v>
      </c>
      <c r="P353" s="65">
        <v>24</v>
      </c>
    </row>
    <row r="354" spans="1:16" x14ac:dyDescent="0.3">
      <c r="A354" s="65">
        <v>972</v>
      </c>
      <c r="B354" s="66">
        <v>40587</v>
      </c>
      <c r="C354" s="65">
        <v>1</v>
      </c>
      <c r="D354" s="65">
        <v>0</v>
      </c>
      <c r="E354" s="65">
        <v>2</v>
      </c>
      <c r="F354" s="65">
        <v>2</v>
      </c>
      <c r="G354" s="67" t="b">
        <v>0</v>
      </c>
      <c r="H354" s="65">
        <v>0</v>
      </c>
      <c r="I354" s="65">
        <v>2</v>
      </c>
      <c r="J354" s="65">
        <v>0.2</v>
      </c>
      <c r="K354" s="65">
        <v>0.2273</v>
      </c>
      <c r="L354" s="65">
        <v>0.75</v>
      </c>
      <c r="M354" s="65">
        <v>8.9599999999999999E-2</v>
      </c>
      <c r="N354" s="65">
        <v>1</v>
      </c>
      <c r="O354" s="65">
        <v>19</v>
      </c>
      <c r="P354" s="65">
        <v>20</v>
      </c>
    </row>
    <row r="355" spans="1:16" x14ac:dyDescent="0.3">
      <c r="A355" s="65">
        <v>973</v>
      </c>
      <c r="B355" s="66">
        <v>40587</v>
      </c>
      <c r="C355" s="65">
        <v>1</v>
      </c>
      <c r="D355" s="65">
        <v>0</v>
      </c>
      <c r="E355" s="65">
        <v>2</v>
      </c>
      <c r="F355" s="65">
        <v>3</v>
      </c>
      <c r="G355" s="67" t="b">
        <v>0</v>
      </c>
      <c r="H355" s="65">
        <v>0</v>
      </c>
      <c r="I355" s="65">
        <v>2</v>
      </c>
      <c r="J355" s="65">
        <v>0.2</v>
      </c>
      <c r="K355" s="65">
        <v>0.2273</v>
      </c>
      <c r="L355" s="65">
        <v>0.69</v>
      </c>
      <c r="M355" s="65">
        <v>0.1045</v>
      </c>
      <c r="N355" s="65">
        <v>4</v>
      </c>
      <c r="O355" s="65">
        <v>8</v>
      </c>
      <c r="P355" s="65">
        <v>12</v>
      </c>
    </row>
    <row r="356" spans="1:16" x14ac:dyDescent="0.3">
      <c r="A356" s="65">
        <v>974</v>
      </c>
      <c r="B356" s="66">
        <v>40587</v>
      </c>
      <c r="C356" s="65">
        <v>1</v>
      </c>
      <c r="D356" s="65">
        <v>0</v>
      </c>
      <c r="E356" s="65">
        <v>2</v>
      </c>
      <c r="F356" s="65">
        <v>4</v>
      </c>
      <c r="G356" s="67" t="b">
        <v>0</v>
      </c>
      <c r="H356" s="65">
        <v>0</v>
      </c>
      <c r="I356" s="65">
        <v>2</v>
      </c>
      <c r="J356" s="65">
        <v>0.2</v>
      </c>
      <c r="K356" s="65">
        <v>0.21210000000000001</v>
      </c>
      <c r="L356" s="65">
        <v>0.69</v>
      </c>
      <c r="M356" s="65">
        <v>0.16420000000000001</v>
      </c>
      <c r="N356" s="65">
        <v>0</v>
      </c>
      <c r="O356" s="65">
        <v>2</v>
      </c>
      <c r="P356" s="65">
        <v>2</v>
      </c>
    </row>
    <row r="357" spans="1:16" x14ac:dyDescent="0.3">
      <c r="A357" s="65">
        <v>975</v>
      </c>
      <c r="B357" s="66">
        <v>40587</v>
      </c>
      <c r="C357" s="65">
        <v>1</v>
      </c>
      <c r="D357" s="65">
        <v>0</v>
      </c>
      <c r="E357" s="65">
        <v>2</v>
      </c>
      <c r="F357" s="65">
        <v>6</v>
      </c>
      <c r="G357" s="67" t="b">
        <v>0</v>
      </c>
      <c r="H357" s="65">
        <v>0</v>
      </c>
      <c r="I357" s="65">
        <v>2</v>
      </c>
      <c r="J357" s="65">
        <v>0.2</v>
      </c>
      <c r="K357" s="65">
        <v>0.21210000000000001</v>
      </c>
      <c r="L357" s="65">
        <v>0.69</v>
      </c>
      <c r="M357" s="65">
        <v>0.1343</v>
      </c>
      <c r="N357" s="65">
        <v>2</v>
      </c>
      <c r="O357" s="65">
        <v>3</v>
      </c>
      <c r="P357" s="65">
        <v>5</v>
      </c>
    </row>
    <row r="358" spans="1:16" x14ac:dyDescent="0.3">
      <c r="A358" s="65">
        <v>976</v>
      </c>
      <c r="B358" s="66">
        <v>40587</v>
      </c>
      <c r="C358" s="65">
        <v>1</v>
      </c>
      <c r="D358" s="65">
        <v>0</v>
      </c>
      <c r="E358" s="65">
        <v>2</v>
      </c>
      <c r="F358" s="65">
        <v>7</v>
      </c>
      <c r="G358" s="67" t="b">
        <v>0</v>
      </c>
      <c r="H358" s="65">
        <v>0</v>
      </c>
      <c r="I358" s="65">
        <v>2</v>
      </c>
      <c r="J358" s="65">
        <v>0.22</v>
      </c>
      <c r="K358" s="65">
        <v>0.2727</v>
      </c>
      <c r="L358" s="65">
        <v>0.55000000000000004</v>
      </c>
      <c r="M358" s="65">
        <v>0</v>
      </c>
      <c r="N358" s="65">
        <v>0</v>
      </c>
      <c r="O358" s="65">
        <v>3</v>
      </c>
      <c r="P358" s="65">
        <v>3</v>
      </c>
    </row>
    <row r="359" spans="1:16" x14ac:dyDescent="0.3">
      <c r="A359" s="65">
        <v>977</v>
      </c>
      <c r="B359" s="66">
        <v>40587</v>
      </c>
      <c r="C359" s="65">
        <v>1</v>
      </c>
      <c r="D359" s="65">
        <v>0</v>
      </c>
      <c r="E359" s="65">
        <v>2</v>
      </c>
      <c r="F359" s="65">
        <v>8</v>
      </c>
      <c r="G359" s="67" t="b">
        <v>0</v>
      </c>
      <c r="H359" s="65">
        <v>0</v>
      </c>
      <c r="I359" s="65">
        <v>2</v>
      </c>
      <c r="J359" s="65">
        <v>0.22</v>
      </c>
      <c r="K359" s="65">
        <v>0.2273</v>
      </c>
      <c r="L359" s="65">
        <v>0.64</v>
      </c>
      <c r="M359" s="65">
        <v>0.19400000000000001</v>
      </c>
      <c r="N359" s="65">
        <v>1</v>
      </c>
      <c r="O359" s="65">
        <v>11</v>
      </c>
      <c r="P359" s="65">
        <v>12</v>
      </c>
    </row>
    <row r="360" spans="1:16" x14ac:dyDescent="0.3">
      <c r="A360" s="65">
        <v>978</v>
      </c>
      <c r="B360" s="66">
        <v>40587</v>
      </c>
      <c r="C360" s="65">
        <v>1</v>
      </c>
      <c r="D360" s="65">
        <v>0</v>
      </c>
      <c r="E360" s="65">
        <v>2</v>
      </c>
      <c r="F360" s="65">
        <v>9</v>
      </c>
      <c r="G360" s="67" t="b">
        <v>0</v>
      </c>
      <c r="H360" s="65">
        <v>0</v>
      </c>
      <c r="I360" s="65">
        <v>2</v>
      </c>
      <c r="J360" s="65">
        <v>0.24</v>
      </c>
      <c r="K360" s="65">
        <v>0.2273</v>
      </c>
      <c r="L360" s="65">
        <v>0.6</v>
      </c>
      <c r="M360" s="65">
        <v>0.22389999999999999</v>
      </c>
      <c r="N360" s="65">
        <v>12</v>
      </c>
      <c r="O360" s="65">
        <v>35</v>
      </c>
      <c r="P360" s="65">
        <v>47</v>
      </c>
    </row>
    <row r="361" spans="1:16" x14ac:dyDescent="0.3">
      <c r="A361" s="65">
        <v>979</v>
      </c>
      <c r="B361" s="66">
        <v>40587</v>
      </c>
      <c r="C361" s="65">
        <v>1</v>
      </c>
      <c r="D361" s="65">
        <v>0</v>
      </c>
      <c r="E361" s="65">
        <v>2</v>
      </c>
      <c r="F361" s="65">
        <v>10</v>
      </c>
      <c r="G361" s="67" t="b">
        <v>0</v>
      </c>
      <c r="H361" s="65">
        <v>0</v>
      </c>
      <c r="I361" s="65">
        <v>1</v>
      </c>
      <c r="J361" s="65">
        <v>0.3</v>
      </c>
      <c r="K361" s="65">
        <v>0.2727</v>
      </c>
      <c r="L361" s="65">
        <v>0.45</v>
      </c>
      <c r="M361" s="65">
        <v>0.32840000000000003</v>
      </c>
      <c r="N361" s="65">
        <v>19</v>
      </c>
      <c r="O361" s="65">
        <v>86</v>
      </c>
      <c r="P361" s="65">
        <v>105</v>
      </c>
    </row>
    <row r="362" spans="1:16" x14ac:dyDescent="0.3">
      <c r="A362" s="65">
        <v>980</v>
      </c>
      <c r="B362" s="66">
        <v>40587</v>
      </c>
      <c r="C362" s="65">
        <v>1</v>
      </c>
      <c r="D362" s="65">
        <v>0</v>
      </c>
      <c r="E362" s="65">
        <v>2</v>
      </c>
      <c r="F362" s="65">
        <v>11</v>
      </c>
      <c r="G362" s="67" t="b">
        <v>0</v>
      </c>
      <c r="H362" s="65">
        <v>0</v>
      </c>
      <c r="I362" s="65">
        <v>1</v>
      </c>
      <c r="J362" s="65">
        <v>0.32</v>
      </c>
      <c r="K362" s="65">
        <v>0.28789999999999999</v>
      </c>
      <c r="L362" s="65">
        <v>0.39</v>
      </c>
      <c r="M362" s="65">
        <v>0.44779999999999998</v>
      </c>
      <c r="N362" s="65">
        <v>26</v>
      </c>
      <c r="O362" s="65">
        <v>86</v>
      </c>
      <c r="P362" s="65">
        <v>112</v>
      </c>
    </row>
    <row r="363" spans="1:16" x14ac:dyDescent="0.3">
      <c r="A363" s="65">
        <v>981</v>
      </c>
      <c r="B363" s="66">
        <v>40587</v>
      </c>
      <c r="C363" s="65">
        <v>1</v>
      </c>
      <c r="D363" s="65">
        <v>0</v>
      </c>
      <c r="E363" s="65">
        <v>2</v>
      </c>
      <c r="F363" s="65">
        <v>12</v>
      </c>
      <c r="G363" s="67" t="b">
        <v>0</v>
      </c>
      <c r="H363" s="65">
        <v>0</v>
      </c>
      <c r="I363" s="65">
        <v>1</v>
      </c>
      <c r="J363" s="65">
        <v>0.36</v>
      </c>
      <c r="K363" s="65">
        <v>0.31819999999999998</v>
      </c>
      <c r="L363" s="65">
        <v>0.32</v>
      </c>
      <c r="M363" s="65">
        <v>0.4627</v>
      </c>
      <c r="N363" s="65">
        <v>58</v>
      </c>
      <c r="O363" s="65">
        <v>94</v>
      </c>
      <c r="P363" s="65">
        <v>152</v>
      </c>
    </row>
    <row r="364" spans="1:16" x14ac:dyDescent="0.3">
      <c r="A364" s="65">
        <v>982</v>
      </c>
      <c r="B364" s="66">
        <v>40587</v>
      </c>
      <c r="C364" s="65">
        <v>1</v>
      </c>
      <c r="D364" s="65">
        <v>0</v>
      </c>
      <c r="E364" s="65">
        <v>2</v>
      </c>
      <c r="F364" s="65">
        <v>13</v>
      </c>
      <c r="G364" s="67" t="b">
        <v>0</v>
      </c>
      <c r="H364" s="65">
        <v>0</v>
      </c>
      <c r="I364" s="65">
        <v>1</v>
      </c>
      <c r="J364" s="65">
        <v>0.38</v>
      </c>
      <c r="K364" s="65">
        <v>0.39389999999999997</v>
      </c>
      <c r="L364" s="65">
        <v>0.28999999999999998</v>
      </c>
      <c r="M364" s="65">
        <v>0.35820000000000002</v>
      </c>
      <c r="N364" s="65">
        <v>62</v>
      </c>
      <c r="O364" s="65">
        <v>92</v>
      </c>
      <c r="P364" s="65">
        <v>154</v>
      </c>
    </row>
    <row r="365" spans="1:16" x14ac:dyDescent="0.3">
      <c r="A365" s="65">
        <v>983</v>
      </c>
      <c r="B365" s="66">
        <v>40587</v>
      </c>
      <c r="C365" s="65">
        <v>1</v>
      </c>
      <c r="D365" s="65">
        <v>0</v>
      </c>
      <c r="E365" s="65">
        <v>2</v>
      </c>
      <c r="F365" s="65">
        <v>14</v>
      </c>
      <c r="G365" s="67" t="b">
        <v>0</v>
      </c>
      <c r="H365" s="65">
        <v>0</v>
      </c>
      <c r="I365" s="65">
        <v>2</v>
      </c>
      <c r="J365" s="65">
        <v>0.4</v>
      </c>
      <c r="K365" s="65">
        <v>0.40910000000000002</v>
      </c>
      <c r="L365" s="65">
        <v>0.3</v>
      </c>
      <c r="M365" s="65">
        <v>0.41789999999999999</v>
      </c>
      <c r="N365" s="65">
        <v>51</v>
      </c>
      <c r="O365" s="65">
        <v>110</v>
      </c>
      <c r="P365" s="65">
        <v>161</v>
      </c>
    </row>
    <row r="366" spans="1:16" x14ac:dyDescent="0.3">
      <c r="A366" s="65">
        <v>984</v>
      </c>
      <c r="B366" s="66">
        <v>40587</v>
      </c>
      <c r="C366" s="65">
        <v>1</v>
      </c>
      <c r="D366" s="65">
        <v>0</v>
      </c>
      <c r="E366" s="65">
        <v>2</v>
      </c>
      <c r="F366" s="65">
        <v>15</v>
      </c>
      <c r="G366" s="67" t="b">
        <v>0</v>
      </c>
      <c r="H366" s="65">
        <v>0</v>
      </c>
      <c r="I366" s="65">
        <v>2</v>
      </c>
      <c r="J366" s="65">
        <v>0.4</v>
      </c>
      <c r="K366" s="65">
        <v>0.40910000000000002</v>
      </c>
      <c r="L366" s="65">
        <v>0.3</v>
      </c>
      <c r="M366" s="65">
        <v>0.29849999999999999</v>
      </c>
      <c r="N366" s="65">
        <v>40</v>
      </c>
      <c r="O366" s="65">
        <v>122</v>
      </c>
      <c r="P366" s="65">
        <v>162</v>
      </c>
    </row>
    <row r="367" spans="1:16" x14ac:dyDescent="0.3">
      <c r="A367" s="65">
        <v>985</v>
      </c>
      <c r="B367" s="66">
        <v>40587</v>
      </c>
      <c r="C367" s="65">
        <v>1</v>
      </c>
      <c r="D367" s="65">
        <v>0</v>
      </c>
      <c r="E367" s="65">
        <v>2</v>
      </c>
      <c r="F367" s="65">
        <v>16</v>
      </c>
      <c r="G367" s="67" t="b">
        <v>0</v>
      </c>
      <c r="H367" s="65">
        <v>0</v>
      </c>
      <c r="I367" s="65">
        <v>2</v>
      </c>
      <c r="J367" s="65">
        <v>0.42</v>
      </c>
      <c r="K367" s="65">
        <v>0.42420000000000002</v>
      </c>
      <c r="L367" s="65">
        <v>0.28000000000000003</v>
      </c>
      <c r="M367" s="65">
        <v>0.32840000000000003</v>
      </c>
      <c r="N367" s="65">
        <v>28</v>
      </c>
      <c r="O367" s="65">
        <v>106</v>
      </c>
      <c r="P367" s="65">
        <v>134</v>
      </c>
    </row>
    <row r="368" spans="1:16" x14ac:dyDescent="0.3">
      <c r="A368" s="65">
        <v>986</v>
      </c>
      <c r="B368" s="66">
        <v>40587</v>
      </c>
      <c r="C368" s="65">
        <v>1</v>
      </c>
      <c r="D368" s="65">
        <v>0</v>
      </c>
      <c r="E368" s="65">
        <v>2</v>
      </c>
      <c r="F368" s="65">
        <v>17</v>
      </c>
      <c r="G368" s="67" t="b">
        <v>0</v>
      </c>
      <c r="H368" s="65">
        <v>0</v>
      </c>
      <c r="I368" s="65">
        <v>1</v>
      </c>
      <c r="J368" s="65">
        <v>0.42</v>
      </c>
      <c r="K368" s="65">
        <v>0.42420000000000002</v>
      </c>
      <c r="L368" s="65">
        <v>0.28000000000000003</v>
      </c>
      <c r="M368" s="65">
        <v>0.32840000000000003</v>
      </c>
      <c r="N368" s="65">
        <v>30</v>
      </c>
      <c r="O368" s="65">
        <v>95</v>
      </c>
      <c r="P368" s="65">
        <v>125</v>
      </c>
    </row>
    <row r="369" spans="1:16" x14ac:dyDescent="0.3">
      <c r="A369" s="65">
        <v>987</v>
      </c>
      <c r="B369" s="66">
        <v>40587</v>
      </c>
      <c r="C369" s="65">
        <v>1</v>
      </c>
      <c r="D369" s="65">
        <v>0</v>
      </c>
      <c r="E369" s="65">
        <v>2</v>
      </c>
      <c r="F369" s="65">
        <v>18</v>
      </c>
      <c r="G369" s="67" t="b">
        <v>0</v>
      </c>
      <c r="H369" s="65">
        <v>0</v>
      </c>
      <c r="I369" s="65">
        <v>1</v>
      </c>
      <c r="J369" s="65">
        <v>0.4</v>
      </c>
      <c r="K369" s="65">
        <v>0.40910000000000002</v>
      </c>
      <c r="L369" s="65">
        <v>0.32</v>
      </c>
      <c r="M369" s="65">
        <v>0.29849999999999999</v>
      </c>
      <c r="N369" s="65">
        <v>17</v>
      </c>
      <c r="O369" s="65">
        <v>78</v>
      </c>
      <c r="P369" s="65">
        <v>95</v>
      </c>
    </row>
    <row r="370" spans="1:16" x14ac:dyDescent="0.3">
      <c r="A370" s="65">
        <v>988</v>
      </c>
      <c r="B370" s="66">
        <v>40587</v>
      </c>
      <c r="C370" s="65">
        <v>1</v>
      </c>
      <c r="D370" s="65">
        <v>0</v>
      </c>
      <c r="E370" s="65">
        <v>2</v>
      </c>
      <c r="F370" s="65">
        <v>19</v>
      </c>
      <c r="G370" s="67" t="b">
        <v>0</v>
      </c>
      <c r="H370" s="65">
        <v>0</v>
      </c>
      <c r="I370" s="65">
        <v>1</v>
      </c>
      <c r="J370" s="65">
        <v>0.4</v>
      </c>
      <c r="K370" s="65">
        <v>0.40910000000000002</v>
      </c>
      <c r="L370" s="65">
        <v>0.35</v>
      </c>
      <c r="M370" s="65">
        <v>0.28360000000000002</v>
      </c>
      <c r="N370" s="65">
        <v>11</v>
      </c>
      <c r="O370" s="65">
        <v>50</v>
      </c>
      <c r="P370" s="65">
        <v>61</v>
      </c>
    </row>
    <row r="371" spans="1:16" x14ac:dyDescent="0.3">
      <c r="A371" s="65">
        <v>989</v>
      </c>
      <c r="B371" s="66">
        <v>40587</v>
      </c>
      <c r="C371" s="65">
        <v>1</v>
      </c>
      <c r="D371" s="65">
        <v>0</v>
      </c>
      <c r="E371" s="65">
        <v>2</v>
      </c>
      <c r="F371" s="65">
        <v>20</v>
      </c>
      <c r="G371" s="67" t="b">
        <v>0</v>
      </c>
      <c r="H371" s="65">
        <v>0</v>
      </c>
      <c r="I371" s="65">
        <v>1</v>
      </c>
      <c r="J371" s="65">
        <v>0.4</v>
      </c>
      <c r="K371" s="65">
        <v>0.40910000000000002</v>
      </c>
      <c r="L371" s="65">
        <v>0.35</v>
      </c>
      <c r="M371" s="65">
        <v>0.32840000000000003</v>
      </c>
      <c r="N371" s="65">
        <v>15</v>
      </c>
      <c r="O371" s="65">
        <v>32</v>
      </c>
      <c r="P371" s="65">
        <v>47</v>
      </c>
    </row>
    <row r="372" spans="1:16" x14ac:dyDescent="0.3">
      <c r="A372" s="65">
        <v>990</v>
      </c>
      <c r="B372" s="66">
        <v>40587</v>
      </c>
      <c r="C372" s="65">
        <v>1</v>
      </c>
      <c r="D372" s="65">
        <v>0</v>
      </c>
      <c r="E372" s="65">
        <v>2</v>
      </c>
      <c r="F372" s="65">
        <v>21</v>
      </c>
      <c r="G372" s="67" t="b">
        <v>0</v>
      </c>
      <c r="H372" s="65">
        <v>0</v>
      </c>
      <c r="I372" s="65">
        <v>1</v>
      </c>
      <c r="J372" s="65">
        <v>0.4</v>
      </c>
      <c r="K372" s="65">
        <v>0.40910000000000002</v>
      </c>
      <c r="L372" s="65">
        <v>0.35</v>
      </c>
      <c r="M372" s="65">
        <v>0.35820000000000002</v>
      </c>
      <c r="N372" s="65">
        <v>6</v>
      </c>
      <c r="O372" s="65">
        <v>45</v>
      </c>
      <c r="P372" s="65">
        <v>51</v>
      </c>
    </row>
    <row r="373" spans="1:16" x14ac:dyDescent="0.3">
      <c r="A373" s="65">
        <v>991</v>
      </c>
      <c r="B373" s="66">
        <v>40587</v>
      </c>
      <c r="C373" s="65">
        <v>1</v>
      </c>
      <c r="D373" s="65">
        <v>0</v>
      </c>
      <c r="E373" s="65">
        <v>2</v>
      </c>
      <c r="F373" s="65">
        <v>22</v>
      </c>
      <c r="G373" s="67" t="b">
        <v>0</v>
      </c>
      <c r="H373" s="65">
        <v>0</v>
      </c>
      <c r="I373" s="65">
        <v>1</v>
      </c>
      <c r="J373" s="65">
        <v>0.4</v>
      </c>
      <c r="K373" s="65">
        <v>0.40910000000000002</v>
      </c>
      <c r="L373" s="65">
        <v>0.35</v>
      </c>
      <c r="M373" s="65">
        <v>0.29849999999999999</v>
      </c>
      <c r="N373" s="65">
        <v>5</v>
      </c>
      <c r="O373" s="65">
        <v>31</v>
      </c>
      <c r="P373" s="65">
        <v>36</v>
      </c>
    </row>
    <row r="374" spans="1:16" x14ac:dyDescent="0.3">
      <c r="A374" s="65">
        <v>992</v>
      </c>
      <c r="B374" s="66">
        <v>40587</v>
      </c>
      <c r="C374" s="65">
        <v>1</v>
      </c>
      <c r="D374" s="65">
        <v>0</v>
      </c>
      <c r="E374" s="65">
        <v>2</v>
      </c>
      <c r="F374" s="65">
        <v>23</v>
      </c>
      <c r="G374" s="67" t="b">
        <v>0</v>
      </c>
      <c r="H374" s="65">
        <v>0</v>
      </c>
      <c r="I374" s="65">
        <v>1</v>
      </c>
      <c r="J374" s="65">
        <v>0.4</v>
      </c>
      <c r="K374" s="65">
        <v>0.40910000000000002</v>
      </c>
      <c r="L374" s="65">
        <v>0.35</v>
      </c>
      <c r="M374" s="65">
        <v>0.35820000000000002</v>
      </c>
      <c r="N374" s="65">
        <v>3</v>
      </c>
      <c r="O374" s="65">
        <v>27</v>
      </c>
      <c r="P374" s="65">
        <v>30</v>
      </c>
    </row>
    <row r="375" spans="1:16" x14ac:dyDescent="0.3">
      <c r="A375" s="65">
        <v>993</v>
      </c>
      <c r="B375" s="66">
        <v>40588</v>
      </c>
      <c r="C375" s="65">
        <v>1</v>
      </c>
      <c r="D375" s="65">
        <v>0</v>
      </c>
      <c r="E375" s="65">
        <v>2</v>
      </c>
      <c r="F375" s="65">
        <v>0</v>
      </c>
      <c r="G375" s="67" t="b">
        <v>0</v>
      </c>
      <c r="H375" s="65">
        <v>1</v>
      </c>
      <c r="I375" s="65">
        <v>1</v>
      </c>
      <c r="J375" s="65">
        <v>0.38</v>
      </c>
      <c r="K375" s="65">
        <v>0.39389999999999997</v>
      </c>
      <c r="L375" s="65">
        <v>0.37</v>
      </c>
      <c r="M375" s="65">
        <v>0.35820000000000002</v>
      </c>
      <c r="N375" s="65">
        <v>3</v>
      </c>
      <c r="O375" s="65">
        <v>8</v>
      </c>
      <c r="P375" s="65">
        <v>11</v>
      </c>
    </row>
    <row r="376" spans="1:16" x14ac:dyDescent="0.3">
      <c r="A376" s="65">
        <v>994</v>
      </c>
      <c r="B376" s="66">
        <v>40588</v>
      </c>
      <c r="C376" s="65">
        <v>1</v>
      </c>
      <c r="D376" s="65">
        <v>0</v>
      </c>
      <c r="E376" s="65">
        <v>2</v>
      </c>
      <c r="F376" s="65">
        <v>1</v>
      </c>
      <c r="G376" s="67" t="b">
        <v>0</v>
      </c>
      <c r="H376" s="65">
        <v>1</v>
      </c>
      <c r="I376" s="65">
        <v>1</v>
      </c>
      <c r="J376" s="65">
        <v>0.38</v>
      </c>
      <c r="K376" s="65">
        <v>0.39389999999999997</v>
      </c>
      <c r="L376" s="65">
        <v>0.37</v>
      </c>
      <c r="M376" s="65">
        <v>0.35820000000000002</v>
      </c>
      <c r="N376" s="65">
        <v>1</v>
      </c>
      <c r="O376" s="65">
        <v>6</v>
      </c>
      <c r="P376" s="65">
        <v>7</v>
      </c>
    </row>
    <row r="377" spans="1:16" x14ac:dyDescent="0.3">
      <c r="A377" s="65">
        <v>995</v>
      </c>
      <c r="B377" s="66">
        <v>40588</v>
      </c>
      <c r="C377" s="65">
        <v>1</v>
      </c>
      <c r="D377" s="65">
        <v>0</v>
      </c>
      <c r="E377" s="65">
        <v>2</v>
      </c>
      <c r="F377" s="65">
        <v>2</v>
      </c>
      <c r="G377" s="67" t="b">
        <v>0</v>
      </c>
      <c r="H377" s="65">
        <v>1</v>
      </c>
      <c r="I377" s="65">
        <v>1</v>
      </c>
      <c r="J377" s="65">
        <v>0.36</v>
      </c>
      <c r="K377" s="65">
        <v>0.33329999999999999</v>
      </c>
      <c r="L377" s="65">
        <v>0.4</v>
      </c>
      <c r="M377" s="65">
        <v>0.29849999999999999</v>
      </c>
      <c r="N377" s="65">
        <v>0</v>
      </c>
      <c r="O377" s="65">
        <v>2</v>
      </c>
      <c r="P377" s="65">
        <v>2</v>
      </c>
    </row>
    <row r="378" spans="1:16" x14ac:dyDescent="0.3">
      <c r="A378" s="65">
        <v>996</v>
      </c>
      <c r="B378" s="66">
        <v>40588</v>
      </c>
      <c r="C378" s="65">
        <v>1</v>
      </c>
      <c r="D378" s="65">
        <v>0</v>
      </c>
      <c r="E378" s="65">
        <v>2</v>
      </c>
      <c r="F378" s="65">
        <v>3</v>
      </c>
      <c r="G378" s="67" t="b">
        <v>0</v>
      </c>
      <c r="H378" s="65">
        <v>1</v>
      </c>
      <c r="I378" s="65">
        <v>1</v>
      </c>
      <c r="J378" s="65">
        <v>0.34</v>
      </c>
      <c r="K378" s="65">
        <v>0.31819999999999998</v>
      </c>
      <c r="L378" s="65">
        <v>0.46</v>
      </c>
      <c r="M378" s="65">
        <v>0.22389999999999999</v>
      </c>
      <c r="N378" s="65">
        <v>1</v>
      </c>
      <c r="O378" s="65">
        <v>1</v>
      </c>
      <c r="P378" s="65">
        <v>2</v>
      </c>
    </row>
    <row r="379" spans="1:16" x14ac:dyDescent="0.3">
      <c r="A379" s="65">
        <v>997</v>
      </c>
      <c r="B379" s="66">
        <v>40588</v>
      </c>
      <c r="C379" s="65">
        <v>1</v>
      </c>
      <c r="D379" s="65">
        <v>0</v>
      </c>
      <c r="E379" s="65">
        <v>2</v>
      </c>
      <c r="F379" s="65">
        <v>4</v>
      </c>
      <c r="G379" s="67" t="b">
        <v>0</v>
      </c>
      <c r="H379" s="65">
        <v>1</v>
      </c>
      <c r="I379" s="65">
        <v>1</v>
      </c>
      <c r="J379" s="65">
        <v>0.32</v>
      </c>
      <c r="K379" s="65">
        <v>0.30299999999999999</v>
      </c>
      <c r="L379" s="65">
        <v>0.53</v>
      </c>
      <c r="M379" s="65">
        <v>0.28360000000000002</v>
      </c>
      <c r="N379" s="65">
        <v>0</v>
      </c>
      <c r="O379" s="65">
        <v>2</v>
      </c>
      <c r="P379" s="65">
        <v>2</v>
      </c>
    </row>
    <row r="380" spans="1:16" x14ac:dyDescent="0.3">
      <c r="A380" s="65">
        <v>998</v>
      </c>
      <c r="B380" s="66">
        <v>40588</v>
      </c>
      <c r="C380" s="65">
        <v>1</v>
      </c>
      <c r="D380" s="65">
        <v>0</v>
      </c>
      <c r="E380" s="65">
        <v>2</v>
      </c>
      <c r="F380" s="65">
        <v>5</v>
      </c>
      <c r="G380" s="67" t="b">
        <v>0</v>
      </c>
      <c r="H380" s="65">
        <v>1</v>
      </c>
      <c r="I380" s="65">
        <v>1</v>
      </c>
      <c r="J380" s="65">
        <v>0.32</v>
      </c>
      <c r="K380" s="65">
        <v>0.30299999999999999</v>
      </c>
      <c r="L380" s="65">
        <v>0.53</v>
      </c>
      <c r="M380" s="65">
        <v>0.28360000000000002</v>
      </c>
      <c r="N380" s="65">
        <v>0</v>
      </c>
      <c r="O380" s="65">
        <v>3</v>
      </c>
      <c r="P380" s="65">
        <v>3</v>
      </c>
    </row>
    <row r="381" spans="1:16" x14ac:dyDescent="0.3">
      <c r="A381" s="65">
        <v>999</v>
      </c>
      <c r="B381" s="66">
        <v>40588</v>
      </c>
      <c r="C381" s="65">
        <v>1</v>
      </c>
      <c r="D381" s="65">
        <v>0</v>
      </c>
      <c r="E381" s="65">
        <v>2</v>
      </c>
      <c r="F381" s="65">
        <v>6</v>
      </c>
      <c r="G381" s="67" t="b">
        <v>0</v>
      </c>
      <c r="H381" s="65">
        <v>1</v>
      </c>
      <c r="I381" s="65">
        <v>1</v>
      </c>
      <c r="J381" s="65">
        <v>0.34</v>
      </c>
      <c r="K381" s="65">
        <v>0.30299999999999999</v>
      </c>
      <c r="L381" s="65">
        <v>0.46</v>
      </c>
      <c r="M381" s="65">
        <v>0.29849999999999999</v>
      </c>
      <c r="N381" s="65">
        <v>1</v>
      </c>
      <c r="O381" s="65">
        <v>25</v>
      </c>
      <c r="P381" s="65">
        <v>26</v>
      </c>
    </row>
    <row r="382" spans="1:16" x14ac:dyDescent="0.3">
      <c r="A382" s="65">
        <v>1000</v>
      </c>
      <c r="B382" s="66">
        <v>40588</v>
      </c>
      <c r="C382" s="65">
        <v>1</v>
      </c>
      <c r="D382" s="65">
        <v>0</v>
      </c>
      <c r="E382" s="65">
        <v>2</v>
      </c>
      <c r="F382" s="65">
        <v>7</v>
      </c>
      <c r="G382" s="67" t="b">
        <v>0</v>
      </c>
      <c r="H382" s="65">
        <v>1</v>
      </c>
      <c r="I382" s="65">
        <v>1</v>
      </c>
      <c r="J382" s="65">
        <v>0.34</v>
      </c>
      <c r="K382" s="65">
        <v>0.30299999999999999</v>
      </c>
      <c r="L382" s="65">
        <v>0.46</v>
      </c>
      <c r="M382" s="65">
        <v>0.29849999999999999</v>
      </c>
      <c r="N382" s="65">
        <v>2</v>
      </c>
      <c r="O382" s="65">
        <v>96</v>
      </c>
      <c r="P382" s="65">
        <v>98</v>
      </c>
    </row>
    <row r="383" spans="1:16" x14ac:dyDescent="0.3">
      <c r="A383" s="65">
        <v>611</v>
      </c>
      <c r="B383" s="66">
        <v>40571</v>
      </c>
      <c r="C383" s="65">
        <v>1</v>
      </c>
      <c r="D383" s="65">
        <v>0</v>
      </c>
      <c r="E383" s="65">
        <v>1</v>
      </c>
      <c r="F383" s="65">
        <v>16</v>
      </c>
      <c r="G383" s="67" t="b">
        <v>0</v>
      </c>
      <c r="H383" s="65">
        <v>5</v>
      </c>
      <c r="I383" s="65">
        <v>1</v>
      </c>
      <c r="J383" s="65">
        <v>0.22</v>
      </c>
      <c r="K383" s="65">
        <v>0.2727</v>
      </c>
      <c r="L383" s="65">
        <v>0.8</v>
      </c>
      <c r="M383" s="65">
        <v>0</v>
      </c>
      <c r="N383" s="65">
        <v>10</v>
      </c>
      <c r="O383" s="65">
        <v>70</v>
      </c>
      <c r="P383" s="65">
        <v>80</v>
      </c>
    </row>
    <row r="384" spans="1:16" x14ac:dyDescent="0.3">
      <c r="A384" s="65">
        <v>612</v>
      </c>
      <c r="B384" s="66">
        <v>40571</v>
      </c>
      <c r="C384" s="65">
        <v>1</v>
      </c>
      <c r="D384" s="65">
        <v>0</v>
      </c>
      <c r="E384" s="65">
        <v>1</v>
      </c>
      <c r="F384" s="65">
        <v>17</v>
      </c>
      <c r="G384" s="67" t="b">
        <v>0</v>
      </c>
      <c r="H384" s="65">
        <v>5</v>
      </c>
      <c r="I384" s="65">
        <v>1</v>
      </c>
      <c r="J384" s="65">
        <v>0.24</v>
      </c>
      <c r="K384" s="65">
        <v>0.2424</v>
      </c>
      <c r="L384" s="65">
        <v>0.75</v>
      </c>
      <c r="M384" s="65">
        <v>0.1343</v>
      </c>
      <c r="N384" s="65">
        <v>2</v>
      </c>
      <c r="O384" s="65">
        <v>147</v>
      </c>
      <c r="P384" s="65">
        <v>149</v>
      </c>
    </row>
    <row r="385" spans="1:16" x14ac:dyDescent="0.3">
      <c r="A385" s="65">
        <v>613</v>
      </c>
      <c r="B385" s="66">
        <v>40571</v>
      </c>
      <c r="C385" s="65">
        <v>1</v>
      </c>
      <c r="D385" s="65">
        <v>0</v>
      </c>
      <c r="E385" s="65">
        <v>1</v>
      </c>
      <c r="F385" s="65">
        <v>18</v>
      </c>
      <c r="G385" s="67" t="b">
        <v>0</v>
      </c>
      <c r="H385" s="65">
        <v>5</v>
      </c>
      <c r="I385" s="65">
        <v>1</v>
      </c>
      <c r="J385" s="65">
        <v>0.24</v>
      </c>
      <c r="K385" s="65">
        <v>0.2273</v>
      </c>
      <c r="L385" s="65">
        <v>0.75</v>
      </c>
      <c r="M385" s="65">
        <v>0.19400000000000001</v>
      </c>
      <c r="N385" s="65">
        <v>2</v>
      </c>
      <c r="O385" s="65">
        <v>107</v>
      </c>
      <c r="P385" s="65">
        <v>109</v>
      </c>
    </row>
    <row r="386" spans="1:16" x14ac:dyDescent="0.3">
      <c r="A386" s="65">
        <v>614</v>
      </c>
      <c r="B386" s="66">
        <v>40571</v>
      </c>
      <c r="C386" s="65">
        <v>1</v>
      </c>
      <c r="D386" s="65">
        <v>0</v>
      </c>
      <c r="E386" s="65">
        <v>1</v>
      </c>
      <c r="F386" s="65">
        <v>19</v>
      </c>
      <c r="G386" s="67" t="b">
        <v>0</v>
      </c>
      <c r="H386" s="65">
        <v>5</v>
      </c>
      <c r="I386" s="65">
        <v>2</v>
      </c>
      <c r="J386" s="65">
        <v>0.24</v>
      </c>
      <c r="K386" s="65">
        <v>0.2424</v>
      </c>
      <c r="L386" s="65">
        <v>0.75</v>
      </c>
      <c r="M386" s="65">
        <v>0.1343</v>
      </c>
      <c r="N386" s="65">
        <v>5</v>
      </c>
      <c r="O386" s="65">
        <v>84</v>
      </c>
      <c r="P386" s="65">
        <v>89</v>
      </c>
    </row>
    <row r="387" spans="1:16" x14ac:dyDescent="0.3">
      <c r="A387" s="65">
        <v>615</v>
      </c>
      <c r="B387" s="66">
        <v>40571</v>
      </c>
      <c r="C387" s="65">
        <v>1</v>
      </c>
      <c r="D387" s="65">
        <v>0</v>
      </c>
      <c r="E387" s="65">
        <v>1</v>
      </c>
      <c r="F387" s="65">
        <v>20</v>
      </c>
      <c r="G387" s="67" t="b">
        <v>0</v>
      </c>
      <c r="H387" s="65">
        <v>5</v>
      </c>
      <c r="I387" s="65">
        <v>2</v>
      </c>
      <c r="J387" s="65">
        <v>0.24</v>
      </c>
      <c r="K387" s="65">
        <v>0.2273</v>
      </c>
      <c r="L387" s="65">
        <v>0.7</v>
      </c>
      <c r="M387" s="65">
        <v>0.19400000000000001</v>
      </c>
      <c r="N387" s="65">
        <v>1</v>
      </c>
      <c r="O387" s="65">
        <v>61</v>
      </c>
      <c r="P387" s="65">
        <v>62</v>
      </c>
    </row>
    <row r="388" spans="1:16" x14ac:dyDescent="0.3">
      <c r="A388" s="65">
        <v>616</v>
      </c>
      <c r="B388" s="66">
        <v>40571</v>
      </c>
      <c r="C388" s="65">
        <v>1</v>
      </c>
      <c r="D388" s="65">
        <v>0</v>
      </c>
      <c r="E388" s="65">
        <v>1</v>
      </c>
      <c r="F388" s="65">
        <v>21</v>
      </c>
      <c r="G388" s="67" t="b">
        <v>0</v>
      </c>
      <c r="H388" s="65">
        <v>5</v>
      </c>
      <c r="I388" s="65">
        <v>2</v>
      </c>
      <c r="J388" s="65">
        <v>0.22</v>
      </c>
      <c r="K388" s="65">
        <v>0.2273</v>
      </c>
      <c r="L388" s="65">
        <v>0.75</v>
      </c>
      <c r="M388" s="65">
        <v>0.1343</v>
      </c>
      <c r="N388" s="65">
        <v>1</v>
      </c>
      <c r="O388" s="65">
        <v>57</v>
      </c>
      <c r="P388" s="65">
        <v>58</v>
      </c>
    </row>
    <row r="389" spans="1:16" x14ac:dyDescent="0.3">
      <c r="A389" s="65">
        <v>617</v>
      </c>
      <c r="B389" s="66">
        <v>40571</v>
      </c>
      <c r="C389" s="65">
        <v>1</v>
      </c>
      <c r="D389" s="65">
        <v>0</v>
      </c>
      <c r="E389" s="65">
        <v>1</v>
      </c>
      <c r="F389" s="65">
        <v>22</v>
      </c>
      <c r="G389" s="67" t="b">
        <v>0</v>
      </c>
      <c r="H389" s="65">
        <v>5</v>
      </c>
      <c r="I389" s="65">
        <v>1</v>
      </c>
      <c r="J389" s="65">
        <v>0.24</v>
      </c>
      <c r="K389" s="65">
        <v>0.21210000000000001</v>
      </c>
      <c r="L389" s="65">
        <v>0.65</v>
      </c>
      <c r="M389" s="65">
        <v>0.35820000000000002</v>
      </c>
      <c r="N389" s="65">
        <v>0</v>
      </c>
      <c r="O389" s="65">
        <v>26</v>
      </c>
      <c r="P389" s="65">
        <v>26</v>
      </c>
    </row>
    <row r="390" spans="1:16" x14ac:dyDescent="0.3">
      <c r="A390" s="65">
        <v>618</v>
      </c>
      <c r="B390" s="66">
        <v>40571</v>
      </c>
      <c r="C390" s="65">
        <v>1</v>
      </c>
      <c r="D390" s="65">
        <v>0</v>
      </c>
      <c r="E390" s="65">
        <v>1</v>
      </c>
      <c r="F390" s="65">
        <v>23</v>
      </c>
      <c r="G390" s="67" t="b">
        <v>0</v>
      </c>
      <c r="H390" s="65">
        <v>5</v>
      </c>
      <c r="I390" s="65">
        <v>1</v>
      </c>
      <c r="J390" s="65">
        <v>0.24</v>
      </c>
      <c r="K390" s="65">
        <v>0.2273</v>
      </c>
      <c r="L390" s="65">
        <v>0.6</v>
      </c>
      <c r="M390" s="65">
        <v>0.22389999999999999</v>
      </c>
      <c r="N390" s="65">
        <v>1</v>
      </c>
      <c r="O390" s="65">
        <v>22</v>
      </c>
      <c r="P390" s="65">
        <v>23</v>
      </c>
    </row>
    <row r="391" spans="1:16" x14ac:dyDescent="0.3">
      <c r="A391" s="65">
        <v>619</v>
      </c>
      <c r="B391" s="66">
        <v>40572</v>
      </c>
      <c r="C391" s="65">
        <v>1</v>
      </c>
      <c r="D391" s="65">
        <v>0</v>
      </c>
      <c r="E391" s="65">
        <v>1</v>
      </c>
      <c r="F391" s="65">
        <v>0</v>
      </c>
      <c r="G391" s="67" t="b">
        <v>0</v>
      </c>
      <c r="H391" s="65">
        <v>6</v>
      </c>
      <c r="I391" s="65">
        <v>1</v>
      </c>
      <c r="J391" s="65">
        <v>0.22</v>
      </c>
      <c r="K391" s="65">
        <v>0.19700000000000001</v>
      </c>
      <c r="L391" s="65">
        <v>0.64</v>
      </c>
      <c r="M391" s="65">
        <v>0.35820000000000002</v>
      </c>
      <c r="N391" s="65">
        <v>2</v>
      </c>
      <c r="O391" s="65">
        <v>26</v>
      </c>
      <c r="P391" s="65">
        <v>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38457-3F85-4F5D-800F-4BC89F33AB6F}">
  <sheetPr codeName="Sheet5"/>
  <dimension ref="A1:S391"/>
  <sheetViews>
    <sheetView workbookViewId="0">
      <selection activeCell="M8" sqref="M8"/>
    </sheetView>
  </sheetViews>
  <sheetFormatPr defaultRowHeight="14.4" x14ac:dyDescent="0.3"/>
  <cols>
    <col min="2" max="2" width="13" customWidth="1"/>
    <col min="5" max="5" width="9.33203125" customWidth="1"/>
    <col min="6" max="6" width="10.88671875" customWidth="1"/>
    <col min="7" max="7" width="11" customWidth="1"/>
    <col min="9" max="9" width="18.6640625" customWidth="1"/>
    <col min="10" max="10" width="10.33203125" customWidth="1"/>
    <col min="11" max="11" width="14" customWidth="1"/>
    <col min="12" max="12" width="13" customWidth="1"/>
    <col min="14" max="14" width="10.5546875" customWidth="1"/>
    <col min="15" max="15" width="16.5546875" customWidth="1"/>
    <col min="16" max="16" width="12.6640625" customWidth="1"/>
    <col min="18" max="18" width="12.33203125" customWidth="1"/>
  </cols>
  <sheetData>
    <row r="1" spans="1:19" s="14" customFormat="1" ht="27" thickBot="1" x14ac:dyDescent="0.35">
      <c r="A1" s="43" t="s">
        <v>11</v>
      </c>
      <c r="B1" s="12" t="s">
        <v>10</v>
      </c>
      <c r="C1" s="12" t="s">
        <v>21</v>
      </c>
      <c r="D1" s="12" t="s">
        <v>9</v>
      </c>
      <c r="E1" s="12" t="s">
        <v>5</v>
      </c>
      <c r="F1" s="12" t="s">
        <v>4</v>
      </c>
      <c r="G1" s="17" t="s">
        <v>22</v>
      </c>
      <c r="H1" s="25" t="s">
        <v>25</v>
      </c>
      <c r="I1" s="12" t="s">
        <v>3</v>
      </c>
      <c r="J1" s="17" t="s">
        <v>6</v>
      </c>
      <c r="K1" s="12" t="s">
        <v>8</v>
      </c>
      <c r="L1" s="17" t="s">
        <v>19</v>
      </c>
      <c r="M1" s="12" t="s">
        <v>12</v>
      </c>
      <c r="N1" s="12" t="s">
        <v>17</v>
      </c>
      <c r="O1" s="17" t="s">
        <v>18</v>
      </c>
      <c r="P1" s="12" t="s">
        <v>16</v>
      </c>
      <c r="Q1" s="12" t="s">
        <v>15</v>
      </c>
      <c r="R1" s="12" t="s">
        <v>14</v>
      </c>
      <c r="S1" s="44" t="s">
        <v>13</v>
      </c>
    </row>
    <row r="2" spans="1:19" ht="15" thickBot="1" x14ac:dyDescent="0.35">
      <c r="A2" s="4">
        <v>611</v>
      </c>
      <c r="B2" s="2">
        <v>40571</v>
      </c>
      <c r="C2" s="1">
        <v>1</v>
      </c>
      <c r="D2" s="1">
        <v>16</v>
      </c>
      <c r="E2" s="16" t="b">
        <v>0</v>
      </c>
      <c r="F2" s="1">
        <v>5</v>
      </c>
      <c r="G2" s="21" t="str">
        <f t="shared" ref="G2:G65" si="0">_xlfn.IFS(F2=0,"Yes",F2=6,"Yes",F2&gt;0,"No")</f>
        <v>No</v>
      </c>
      <c r="H2" s="26" t="str">
        <f>TEXT(B2:B391,"dddd")</f>
        <v>Friday</v>
      </c>
      <c r="I2" s="1">
        <v>1</v>
      </c>
      <c r="J2" s="21" t="str">
        <f t="shared" ref="J2:J65" si="1">_xlfn.IFS(I2=1,"Clean",I2=2,"Misty",I2=3,"Light Rain",I2=4,"Heavy Rain")</f>
        <v>Clean</v>
      </c>
      <c r="K2" s="1">
        <v>0.22</v>
      </c>
      <c r="L2" s="21" t="str">
        <f t="shared" ref="L2:L65" si="2">_xlfn.IFS(K2&lt;0.1,"Risky",K2&lt;0.35,"Safe",K2&gt;0.35,"Risky")</f>
        <v>Safe</v>
      </c>
      <c r="M2" s="1">
        <v>0.2727</v>
      </c>
      <c r="N2" s="1">
        <v>0.8</v>
      </c>
      <c r="O2" s="21" t="str">
        <f t="shared" ref="O2:O65" si="3">IF(N2&lt;0.7,"Acceptable","Risky")</f>
        <v>Risky</v>
      </c>
      <c r="P2" s="1">
        <v>0</v>
      </c>
      <c r="Q2" s="1">
        <v>10</v>
      </c>
      <c r="R2" s="1">
        <v>70</v>
      </c>
      <c r="S2" s="45">
        <v>80</v>
      </c>
    </row>
    <row r="3" spans="1:19" ht="15" thickBot="1" x14ac:dyDescent="0.35">
      <c r="A3" s="4">
        <v>612</v>
      </c>
      <c r="B3" s="2">
        <v>40571</v>
      </c>
      <c r="C3" s="1">
        <v>1</v>
      </c>
      <c r="D3" s="1">
        <v>17</v>
      </c>
      <c r="E3" s="16" t="b">
        <v>0</v>
      </c>
      <c r="F3" s="1">
        <v>5</v>
      </c>
      <c r="G3" s="21" t="str">
        <f t="shared" si="0"/>
        <v>No</v>
      </c>
      <c r="H3" s="26" t="str">
        <f t="shared" ref="H3:H66" si="4">TEXT(B3:B392,"dddd")</f>
        <v>Friday</v>
      </c>
      <c r="I3" s="1">
        <v>1</v>
      </c>
      <c r="J3" s="21" t="str">
        <f t="shared" si="1"/>
        <v>Clean</v>
      </c>
      <c r="K3" s="1">
        <v>0.24</v>
      </c>
      <c r="L3" s="21" t="str">
        <f t="shared" si="2"/>
        <v>Safe</v>
      </c>
      <c r="M3" s="1">
        <v>0.2424</v>
      </c>
      <c r="N3" s="1">
        <v>0.75</v>
      </c>
      <c r="O3" s="21" t="str">
        <f t="shared" si="3"/>
        <v>Risky</v>
      </c>
      <c r="P3" s="1">
        <v>0.1343</v>
      </c>
      <c r="Q3" s="1">
        <v>2</v>
      </c>
      <c r="R3" s="1">
        <v>147</v>
      </c>
      <c r="S3" s="45">
        <v>149</v>
      </c>
    </row>
    <row r="4" spans="1:19" ht="15" thickBot="1" x14ac:dyDescent="0.35">
      <c r="A4" s="4">
        <v>613</v>
      </c>
      <c r="B4" s="2">
        <v>40571</v>
      </c>
      <c r="C4" s="1">
        <v>1</v>
      </c>
      <c r="D4" s="1">
        <v>18</v>
      </c>
      <c r="E4" s="16" t="b">
        <v>0</v>
      </c>
      <c r="F4" s="1">
        <v>5</v>
      </c>
      <c r="G4" s="21" t="str">
        <f t="shared" si="0"/>
        <v>No</v>
      </c>
      <c r="H4" s="26" t="str">
        <f t="shared" si="4"/>
        <v>Friday</v>
      </c>
      <c r="I4" s="1">
        <v>1</v>
      </c>
      <c r="J4" s="21" t="str">
        <f t="shared" si="1"/>
        <v>Clean</v>
      </c>
      <c r="K4" s="1">
        <v>0.24</v>
      </c>
      <c r="L4" s="21" t="str">
        <f t="shared" si="2"/>
        <v>Safe</v>
      </c>
      <c r="M4" s="1">
        <v>0.2273</v>
      </c>
      <c r="N4" s="1">
        <v>0.75</v>
      </c>
      <c r="O4" s="21" t="str">
        <f t="shared" si="3"/>
        <v>Risky</v>
      </c>
      <c r="P4" s="1">
        <v>0.19400000000000001</v>
      </c>
      <c r="Q4" s="1">
        <v>2</v>
      </c>
      <c r="R4" s="1">
        <v>107</v>
      </c>
      <c r="S4" s="45">
        <v>109</v>
      </c>
    </row>
    <row r="5" spans="1:19" ht="15" thickBot="1" x14ac:dyDescent="0.35">
      <c r="A5" s="4">
        <v>614</v>
      </c>
      <c r="B5" s="2">
        <v>40571</v>
      </c>
      <c r="C5" s="1">
        <v>1</v>
      </c>
      <c r="D5" s="1">
        <v>19</v>
      </c>
      <c r="E5" s="16" t="b">
        <v>0</v>
      </c>
      <c r="F5" s="1">
        <v>5</v>
      </c>
      <c r="G5" s="21" t="str">
        <f t="shared" si="0"/>
        <v>No</v>
      </c>
      <c r="H5" s="26" t="str">
        <f t="shared" si="4"/>
        <v>Friday</v>
      </c>
      <c r="I5" s="1">
        <v>2</v>
      </c>
      <c r="J5" s="21" t="str">
        <f t="shared" si="1"/>
        <v>Misty</v>
      </c>
      <c r="K5" s="1">
        <v>0.24</v>
      </c>
      <c r="L5" s="21" t="str">
        <f t="shared" si="2"/>
        <v>Safe</v>
      </c>
      <c r="M5" s="1">
        <v>0.2424</v>
      </c>
      <c r="N5" s="1">
        <v>0.75</v>
      </c>
      <c r="O5" s="21" t="str">
        <f t="shared" si="3"/>
        <v>Risky</v>
      </c>
      <c r="P5" s="1">
        <v>0.1343</v>
      </c>
      <c r="Q5" s="1">
        <v>5</v>
      </c>
      <c r="R5" s="1">
        <v>84</v>
      </c>
      <c r="S5" s="45">
        <v>89</v>
      </c>
    </row>
    <row r="6" spans="1:19" ht="15" thickBot="1" x14ac:dyDescent="0.35">
      <c r="A6" s="4">
        <v>615</v>
      </c>
      <c r="B6" s="2">
        <v>40571</v>
      </c>
      <c r="C6" s="1">
        <v>1</v>
      </c>
      <c r="D6" s="1">
        <v>20</v>
      </c>
      <c r="E6" s="16" t="b">
        <v>0</v>
      </c>
      <c r="F6" s="1">
        <v>5</v>
      </c>
      <c r="G6" s="21" t="str">
        <f t="shared" si="0"/>
        <v>No</v>
      </c>
      <c r="H6" s="26" t="str">
        <f t="shared" si="4"/>
        <v>Friday</v>
      </c>
      <c r="I6" s="1">
        <v>2</v>
      </c>
      <c r="J6" s="21" t="str">
        <f t="shared" si="1"/>
        <v>Misty</v>
      </c>
      <c r="K6" s="1">
        <v>0.24</v>
      </c>
      <c r="L6" s="21" t="str">
        <f t="shared" si="2"/>
        <v>Safe</v>
      </c>
      <c r="M6" s="1">
        <v>0.2273</v>
      </c>
      <c r="N6" s="1">
        <v>0.7</v>
      </c>
      <c r="O6" s="21" t="str">
        <f t="shared" si="3"/>
        <v>Risky</v>
      </c>
      <c r="P6" s="1">
        <v>0.19400000000000001</v>
      </c>
      <c r="Q6" s="1">
        <v>1</v>
      </c>
      <c r="R6" s="1">
        <v>61</v>
      </c>
      <c r="S6" s="45">
        <v>62</v>
      </c>
    </row>
    <row r="7" spans="1:19" ht="15" thickBot="1" x14ac:dyDescent="0.35">
      <c r="A7" s="4">
        <v>616</v>
      </c>
      <c r="B7" s="2">
        <v>40571</v>
      </c>
      <c r="C7" s="1">
        <v>1</v>
      </c>
      <c r="D7" s="1">
        <v>21</v>
      </c>
      <c r="E7" s="16" t="b">
        <v>0</v>
      </c>
      <c r="F7" s="1">
        <v>5</v>
      </c>
      <c r="G7" s="21" t="str">
        <f t="shared" si="0"/>
        <v>No</v>
      </c>
      <c r="H7" s="26" t="str">
        <f t="shared" si="4"/>
        <v>Friday</v>
      </c>
      <c r="I7" s="1">
        <v>2</v>
      </c>
      <c r="J7" s="21" t="str">
        <f t="shared" si="1"/>
        <v>Misty</v>
      </c>
      <c r="K7" s="1">
        <v>0.22</v>
      </c>
      <c r="L7" s="21" t="str">
        <f t="shared" si="2"/>
        <v>Safe</v>
      </c>
      <c r="M7" s="1">
        <v>0.2273</v>
      </c>
      <c r="N7" s="1">
        <v>0.75</v>
      </c>
      <c r="O7" s="21" t="str">
        <f t="shared" si="3"/>
        <v>Risky</v>
      </c>
      <c r="P7" s="1">
        <v>0.1343</v>
      </c>
      <c r="Q7" s="1">
        <v>1</v>
      </c>
      <c r="R7" s="1">
        <v>57</v>
      </c>
      <c r="S7" s="45">
        <v>58</v>
      </c>
    </row>
    <row r="8" spans="1:19" ht="15" thickBot="1" x14ac:dyDescent="0.35">
      <c r="A8" s="4">
        <v>617</v>
      </c>
      <c r="B8" s="2">
        <v>40571</v>
      </c>
      <c r="C8" s="1">
        <v>1</v>
      </c>
      <c r="D8" s="1">
        <v>22</v>
      </c>
      <c r="E8" s="16" t="b">
        <v>0</v>
      </c>
      <c r="F8" s="1">
        <v>5</v>
      </c>
      <c r="G8" s="21" t="str">
        <f t="shared" si="0"/>
        <v>No</v>
      </c>
      <c r="H8" s="26" t="str">
        <f t="shared" si="4"/>
        <v>Friday</v>
      </c>
      <c r="I8" s="1">
        <v>1</v>
      </c>
      <c r="J8" s="21" t="str">
        <f t="shared" si="1"/>
        <v>Clean</v>
      </c>
      <c r="K8" s="1">
        <v>0.24</v>
      </c>
      <c r="L8" s="21" t="str">
        <f t="shared" si="2"/>
        <v>Safe</v>
      </c>
      <c r="M8" s="1">
        <v>0.21210000000000001</v>
      </c>
      <c r="N8" s="1">
        <v>0.65</v>
      </c>
      <c r="O8" s="21" t="str">
        <f t="shared" si="3"/>
        <v>Acceptable</v>
      </c>
      <c r="P8" s="1">
        <v>0.35820000000000002</v>
      </c>
      <c r="Q8" s="1">
        <v>0</v>
      </c>
      <c r="R8" s="1">
        <v>26</v>
      </c>
      <c r="S8" s="45">
        <v>26</v>
      </c>
    </row>
    <row r="9" spans="1:19" ht="15" thickBot="1" x14ac:dyDescent="0.35">
      <c r="A9" s="4">
        <v>618</v>
      </c>
      <c r="B9" s="2">
        <v>40571</v>
      </c>
      <c r="C9" s="1">
        <v>1</v>
      </c>
      <c r="D9" s="1">
        <v>23</v>
      </c>
      <c r="E9" s="16" t="b">
        <v>0</v>
      </c>
      <c r="F9" s="1">
        <v>5</v>
      </c>
      <c r="G9" s="21" t="str">
        <f t="shared" si="0"/>
        <v>No</v>
      </c>
      <c r="H9" s="26" t="str">
        <f t="shared" si="4"/>
        <v>Friday</v>
      </c>
      <c r="I9" s="1">
        <v>1</v>
      </c>
      <c r="J9" s="21" t="str">
        <f t="shared" si="1"/>
        <v>Clean</v>
      </c>
      <c r="K9" s="1">
        <v>0.24</v>
      </c>
      <c r="L9" s="21" t="str">
        <f t="shared" si="2"/>
        <v>Safe</v>
      </c>
      <c r="M9" s="1">
        <v>0.2273</v>
      </c>
      <c r="N9" s="1">
        <v>0.6</v>
      </c>
      <c r="O9" s="21" t="str">
        <f t="shared" si="3"/>
        <v>Acceptable</v>
      </c>
      <c r="P9" s="1">
        <v>0.22389999999999999</v>
      </c>
      <c r="Q9" s="1">
        <v>1</v>
      </c>
      <c r="R9" s="1">
        <v>22</v>
      </c>
      <c r="S9" s="45">
        <v>23</v>
      </c>
    </row>
    <row r="10" spans="1:19" ht="15" thickBot="1" x14ac:dyDescent="0.35">
      <c r="A10" s="4">
        <v>619</v>
      </c>
      <c r="B10" s="2">
        <v>40572</v>
      </c>
      <c r="C10" s="1">
        <v>1</v>
      </c>
      <c r="D10" s="1">
        <v>0</v>
      </c>
      <c r="E10" s="16" t="b">
        <v>0</v>
      </c>
      <c r="F10" s="1">
        <v>6</v>
      </c>
      <c r="G10" s="21" t="str">
        <f t="shared" si="0"/>
        <v>Yes</v>
      </c>
      <c r="H10" s="26" t="str">
        <f t="shared" si="4"/>
        <v>Saturday</v>
      </c>
      <c r="I10" s="1">
        <v>1</v>
      </c>
      <c r="J10" s="21" t="str">
        <f t="shared" si="1"/>
        <v>Clean</v>
      </c>
      <c r="K10" s="1">
        <v>0.22</v>
      </c>
      <c r="L10" s="21" t="str">
        <f t="shared" si="2"/>
        <v>Safe</v>
      </c>
      <c r="M10" s="1">
        <v>0.19700000000000001</v>
      </c>
      <c r="N10" s="1">
        <v>0.64</v>
      </c>
      <c r="O10" s="21" t="str">
        <f t="shared" si="3"/>
        <v>Acceptable</v>
      </c>
      <c r="P10" s="1">
        <v>0.35820000000000002</v>
      </c>
      <c r="Q10" s="1">
        <v>2</v>
      </c>
      <c r="R10" s="1">
        <v>26</v>
      </c>
      <c r="S10" s="45">
        <v>28</v>
      </c>
    </row>
    <row r="11" spans="1:19" ht="15" thickBot="1" x14ac:dyDescent="0.35">
      <c r="A11" s="4">
        <v>620</v>
      </c>
      <c r="B11" s="2">
        <v>40572</v>
      </c>
      <c r="C11" s="1">
        <v>1</v>
      </c>
      <c r="D11" s="1">
        <v>1</v>
      </c>
      <c r="E11" s="16" t="b">
        <v>0</v>
      </c>
      <c r="F11" s="1">
        <v>6</v>
      </c>
      <c r="G11" s="21" t="str">
        <f t="shared" si="0"/>
        <v>Yes</v>
      </c>
      <c r="H11" s="26" t="str">
        <f t="shared" si="4"/>
        <v>Saturday</v>
      </c>
      <c r="I11" s="1">
        <v>1</v>
      </c>
      <c r="J11" s="21" t="str">
        <f t="shared" si="1"/>
        <v>Clean</v>
      </c>
      <c r="K11" s="1">
        <v>0.22</v>
      </c>
      <c r="L11" s="21" t="str">
        <f t="shared" si="2"/>
        <v>Safe</v>
      </c>
      <c r="M11" s="1">
        <v>0.2273</v>
      </c>
      <c r="N11" s="1">
        <v>0.64</v>
      </c>
      <c r="O11" s="21" t="str">
        <f t="shared" si="3"/>
        <v>Acceptable</v>
      </c>
      <c r="P11" s="1">
        <v>0.19400000000000001</v>
      </c>
      <c r="Q11" s="1">
        <v>0</v>
      </c>
      <c r="R11" s="1">
        <v>20</v>
      </c>
      <c r="S11" s="45">
        <v>20</v>
      </c>
    </row>
    <row r="12" spans="1:19" ht="15" thickBot="1" x14ac:dyDescent="0.35">
      <c r="A12" s="4">
        <v>621</v>
      </c>
      <c r="B12" s="2">
        <v>40572</v>
      </c>
      <c r="C12" s="1">
        <v>1</v>
      </c>
      <c r="D12" s="1">
        <v>2</v>
      </c>
      <c r="E12" s="16" t="b">
        <v>0</v>
      </c>
      <c r="F12" s="1">
        <v>6</v>
      </c>
      <c r="G12" s="21" t="str">
        <f t="shared" si="0"/>
        <v>Yes</v>
      </c>
      <c r="H12" s="26" t="str">
        <f t="shared" si="4"/>
        <v>Saturday</v>
      </c>
      <c r="I12" s="1">
        <v>1</v>
      </c>
      <c r="J12" s="21" t="str">
        <f t="shared" si="1"/>
        <v>Clean</v>
      </c>
      <c r="K12" s="1">
        <v>0.22</v>
      </c>
      <c r="L12" s="21" t="str">
        <f t="shared" si="2"/>
        <v>Safe</v>
      </c>
      <c r="M12" s="1">
        <v>0.2273</v>
      </c>
      <c r="N12" s="1">
        <v>0.64</v>
      </c>
      <c r="O12" s="21" t="str">
        <f t="shared" si="3"/>
        <v>Acceptable</v>
      </c>
      <c r="P12" s="1">
        <v>0.16420000000000001</v>
      </c>
      <c r="Q12" s="1">
        <v>0</v>
      </c>
      <c r="R12" s="1">
        <v>15</v>
      </c>
      <c r="S12" s="45">
        <v>15</v>
      </c>
    </row>
    <row r="13" spans="1:19" ht="15" thickBot="1" x14ac:dyDescent="0.35">
      <c r="A13" s="4">
        <v>622</v>
      </c>
      <c r="B13" s="2">
        <v>40572</v>
      </c>
      <c r="C13" s="1">
        <v>1</v>
      </c>
      <c r="D13" s="1">
        <v>3</v>
      </c>
      <c r="E13" s="16" t="b">
        <v>0</v>
      </c>
      <c r="F13" s="1">
        <v>6</v>
      </c>
      <c r="G13" s="21" t="str">
        <f t="shared" si="0"/>
        <v>Yes</v>
      </c>
      <c r="H13" s="26" t="str">
        <f t="shared" si="4"/>
        <v>Saturday</v>
      </c>
      <c r="I13" s="1">
        <v>1</v>
      </c>
      <c r="J13" s="21" t="str">
        <f t="shared" si="1"/>
        <v>Clean</v>
      </c>
      <c r="K13" s="1">
        <v>0.2</v>
      </c>
      <c r="L13" s="21" t="str">
        <f t="shared" si="2"/>
        <v>Safe</v>
      </c>
      <c r="M13" s="1">
        <v>0.21210000000000001</v>
      </c>
      <c r="N13" s="1">
        <v>0.64</v>
      </c>
      <c r="O13" s="21" t="str">
        <f t="shared" si="3"/>
        <v>Acceptable</v>
      </c>
      <c r="P13" s="1">
        <v>0.1343</v>
      </c>
      <c r="Q13" s="1">
        <v>3</v>
      </c>
      <c r="R13" s="1">
        <v>5</v>
      </c>
      <c r="S13" s="45">
        <v>8</v>
      </c>
    </row>
    <row r="14" spans="1:19" ht="15" thickBot="1" x14ac:dyDescent="0.35">
      <c r="A14" s="4">
        <v>623</v>
      </c>
      <c r="B14" s="2">
        <v>40572</v>
      </c>
      <c r="C14" s="1">
        <v>1</v>
      </c>
      <c r="D14" s="1">
        <v>4</v>
      </c>
      <c r="E14" s="16" t="b">
        <v>0</v>
      </c>
      <c r="F14" s="1">
        <v>6</v>
      </c>
      <c r="G14" s="21" t="str">
        <f t="shared" si="0"/>
        <v>Yes</v>
      </c>
      <c r="H14" s="26" t="str">
        <f t="shared" si="4"/>
        <v>Saturday</v>
      </c>
      <c r="I14" s="1">
        <v>1</v>
      </c>
      <c r="J14" s="21" t="str">
        <f t="shared" si="1"/>
        <v>Clean</v>
      </c>
      <c r="K14" s="1">
        <v>0.16</v>
      </c>
      <c r="L14" s="21" t="str">
        <f t="shared" si="2"/>
        <v>Safe</v>
      </c>
      <c r="M14" s="1">
        <v>0.18179999999999999</v>
      </c>
      <c r="N14" s="1">
        <v>0.69</v>
      </c>
      <c r="O14" s="21" t="str">
        <f t="shared" si="3"/>
        <v>Acceptable</v>
      </c>
      <c r="P14" s="1">
        <v>0.1045</v>
      </c>
      <c r="Q14" s="1">
        <v>1</v>
      </c>
      <c r="R14" s="1">
        <v>2</v>
      </c>
      <c r="S14" s="45">
        <v>3</v>
      </c>
    </row>
    <row r="15" spans="1:19" ht="15" thickBot="1" x14ac:dyDescent="0.35">
      <c r="A15" s="4">
        <v>624</v>
      </c>
      <c r="B15" s="2">
        <v>40572</v>
      </c>
      <c r="C15" s="1">
        <v>1</v>
      </c>
      <c r="D15" s="1">
        <v>6</v>
      </c>
      <c r="E15" s="16" t="b">
        <v>0</v>
      </c>
      <c r="F15" s="1">
        <v>6</v>
      </c>
      <c r="G15" s="21" t="str">
        <f t="shared" si="0"/>
        <v>Yes</v>
      </c>
      <c r="H15" s="26" t="str">
        <f t="shared" si="4"/>
        <v>Saturday</v>
      </c>
      <c r="I15" s="1">
        <v>1</v>
      </c>
      <c r="J15" s="21" t="str">
        <f t="shared" si="1"/>
        <v>Clean</v>
      </c>
      <c r="K15" s="1">
        <v>0.16</v>
      </c>
      <c r="L15" s="21" t="str">
        <f t="shared" si="2"/>
        <v>Safe</v>
      </c>
      <c r="M15" s="1">
        <v>0.18179999999999999</v>
      </c>
      <c r="N15" s="1">
        <v>0.64</v>
      </c>
      <c r="O15" s="21" t="str">
        <f t="shared" si="3"/>
        <v>Acceptable</v>
      </c>
      <c r="P15" s="1">
        <v>0.1343</v>
      </c>
      <c r="Q15" s="1">
        <v>0</v>
      </c>
      <c r="R15" s="1">
        <v>2</v>
      </c>
      <c r="S15" s="45">
        <v>2</v>
      </c>
    </row>
    <row r="16" spans="1:19" ht="15" thickBot="1" x14ac:dyDescent="0.35">
      <c r="A16" s="4">
        <v>625</v>
      </c>
      <c r="B16" s="2">
        <v>40572</v>
      </c>
      <c r="C16" s="1">
        <v>1</v>
      </c>
      <c r="D16" s="1">
        <v>7</v>
      </c>
      <c r="E16" s="16" t="b">
        <v>0</v>
      </c>
      <c r="F16" s="1">
        <v>6</v>
      </c>
      <c r="G16" s="21" t="str">
        <f t="shared" si="0"/>
        <v>Yes</v>
      </c>
      <c r="H16" s="26" t="str">
        <f t="shared" si="4"/>
        <v>Saturday</v>
      </c>
      <c r="I16" s="1">
        <v>1</v>
      </c>
      <c r="J16" s="21" t="str">
        <f t="shared" si="1"/>
        <v>Clean</v>
      </c>
      <c r="K16" s="1">
        <v>0.16</v>
      </c>
      <c r="L16" s="21" t="str">
        <f t="shared" si="2"/>
        <v>Safe</v>
      </c>
      <c r="M16" s="1">
        <v>0.18179999999999999</v>
      </c>
      <c r="N16" s="1">
        <v>0.59</v>
      </c>
      <c r="O16" s="21" t="str">
        <f t="shared" si="3"/>
        <v>Acceptable</v>
      </c>
      <c r="P16" s="1">
        <v>0.1045</v>
      </c>
      <c r="Q16" s="1">
        <v>1</v>
      </c>
      <c r="R16" s="1">
        <v>4</v>
      </c>
      <c r="S16" s="45">
        <v>5</v>
      </c>
    </row>
    <row r="17" spans="1:19" ht="15" thickBot="1" x14ac:dyDescent="0.35">
      <c r="A17" s="4">
        <v>626</v>
      </c>
      <c r="B17" s="2">
        <v>40572</v>
      </c>
      <c r="C17" s="1">
        <v>1</v>
      </c>
      <c r="D17" s="1">
        <v>8</v>
      </c>
      <c r="E17" s="16" t="b">
        <v>0</v>
      </c>
      <c r="F17" s="1">
        <v>6</v>
      </c>
      <c r="G17" s="21" t="str">
        <f t="shared" si="0"/>
        <v>Yes</v>
      </c>
      <c r="H17" s="26" t="str">
        <f t="shared" si="4"/>
        <v>Saturday</v>
      </c>
      <c r="I17" s="1">
        <v>1</v>
      </c>
      <c r="J17" s="21" t="str">
        <f t="shared" si="1"/>
        <v>Clean</v>
      </c>
      <c r="K17" s="1">
        <v>0.18</v>
      </c>
      <c r="L17" s="21" t="str">
        <f t="shared" si="2"/>
        <v>Safe</v>
      </c>
      <c r="M17" s="1">
        <v>0.19700000000000001</v>
      </c>
      <c r="N17" s="1">
        <v>0.55000000000000004</v>
      </c>
      <c r="O17" s="21" t="str">
        <f t="shared" si="3"/>
        <v>Acceptable</v>
      </c>
      <c r="P17" s="1">
        <v>0.16420000000000001</v>
      </c>
      <c r="Q17" s="1">
        <v>3</v>
      </c>
      <c r="R17" s="1">
        <v>31</v>
      </c>
      <c r="S17" s="45">
        <v>34</v>
      </c>
    </row>
    <row r="18" spans="1:19" ht="15" thickBot="1" x14ac:dyDescent="0.35">
      <c r="A18" s="4">
        <v>627</v>
      </c>
      <c r="B18" s="2">
        <v>40572</v>
      </c>
      <c r="C18" s="1">
        <v>1</v>
      </c>
      <c r="D18" s="1">
        <v>9</v>
      </c>
      <c r="E18" s="16" t="b">
        <v>0</v>
      </c>
      <c r="F18" s="1">
        <v>6</v>
      </c>
      <c r="G18" s="21" t="str">
        <f t="shared" si="0"/>
        <v>Yes</v>
      </c>
      <c r="H18" s="26" t="str">
        <f t="shared" si="4"/>
        <v>Saturday</v>
      </c>
      <c r="I18" s="1">
        <v>1</v>
      </c>
      <c r="J18" s="21" t="str">
        <f t="shared" si="1"/>
        <v>Clean</v>
      </c>
      <c r="K18" s="1">
        <v>0.18</v>
      </c>
      <c r="L18" s="21" t="str">
        <f t="shared" si="2"/>
        <v>Safe</v>
      </c>
      <c r="M18" s="1">
        <v>0.21210000000000001</v>
      </c>
      <c r="N18" s="1">
        <v>0.59</v>
      </c>
      <c r="O18" s="21" t="str">
        <f t="shared" si="3"/>
        <v>Acceptable</v>
      </c>
      <c r="P18" s="1">
        <v>8.9599999999999999E-2</v>
      </c>
      <c r="Q18" s="1">
        <v>0</v>
      </c>
      <c r="R18" s="1">
        <v>34</v>
      </c>
      <c r="S18" s="45">
        <v>34</v>
      </c>
    </row>
    <row r="19" spans="1:19" ht="15" thickBot="1" x14ac:dyDescent="0.35">
      <c r="A19" s="4">
        <v>628</v>
      </c>
      <c r="B19" s="2">
        <v>40572</v>
      </c>
      <c r="C19" s="1">
        <v>1</v>
      </c>
      <c r="D19" s="1">
        <v>10</v>
      </c>
      <c r="E19" s="16" t="b">
        <v>0</v>
      </c>
      <c r="F19" s="1">
        <v>6</v>
      </c>
      <c r="G19" s="21" t="str">
        <f t="shared" si="0"/>
        <v>Yes</v>
      </c>
      <c r="H19" s="26" t="str">
        <f t="shared" si="4"/>
        <v>Saturday</v>
      </c>
      <c r="I19" s="1">
        <v>2</v>
      </c>
      <c r="J19" s="21" t="str">
        <f t="shared" si="1"/>
        <v>Misty</v>
      </c>
      <c r="K19" s="1">
        <v>0.18</v>
      </c>
      <c r="L19" s="21" t="str">
        <f t="shared" si="2"/>
        <v>Safe</v>
      </c>
      <c r="M19" s="1">
        <v>0.21210000000000001</v>
      </c>
      <c r="N19" s="1">
        <v>0.64</v>
      </c>
      <c r="O19" s="21" t="str">
        <f t="shared" si="3"/>
        <v>Acceptable</v>
      </c>
      <c r="P19" s="1">
        <v>0.1045</v>
      </c>
      <c r="Q19" s="1">
        <v>4</v>
      </c>
      <c r="R19" s="1">
        <v>51</v>
      </c>
      <c r="S19" s="45">
        <v>55</v>
      </c>
    </row>
    <row r="20" spans="1:19" ht="15" thickBot="1" x14ac:dyDescent="0.35">
      <c r="A20" s="4">
        <v>629</v>
      </c>
      <c r="B20" s="2">
        <v>40572</v>
      </c>
      <c r="C20" s="1">
        <v>1</v>
      </c>
      <c r="D20" s="1">
        <v>11</v>
      </c>
      <c r="E20" s="16" t="b">
        <v>0</v>
      </c>
      <c r="F20" s="1">
        <v>6</v>
      </c>
      <c r="G20" s="21" t="str">
        <f t="shared" si="0"/>
        <v>Yes</v>
      </c>
      <c r="H20" s="26" t="str">
        <f t="shared" si="4"/>
        <v>Saturday</v>
      </c>
      <c r="I20" s="1">
        <v>2</v>
      </c>
      <c r="J20" s="21" t="str">
        <f t="shared" si="1"/>
        <v>Misty</v>
      </c>
      <c r="K20" s="1">
        <v>0.18</v>
      </c>
      <c r="L20" s="21" t="str">
        <f t="shared" si="2"/>
        <v>Safe</v>
      </c>
      <c r="M20" s="1">
        <v>0.19700000000000001</v>
      </c>
      <c r="N20" s="1">
        <v>0.64</v>
      </c>
      <c r="O20" s="21" t="str">
        <f t="shared" si="3"/>
        <v>Acceptable</v>
      </c>
      <c r="P20" s="1">
        <v>0.1343</v>
      </c>
      <c r="Q20" s="1">
        <v>4</v>
      </c>
      <c r="R20" s="1">
        <v>60</v>
      </c>
      <c r="S20" s="45">
        <v>64</v>
      </c>
    </row>
    <row r="21" spans="1:19" ht="15" thickBot="1" x14ac:dyDescent="0.35">
      <c r="A21" s="4">
        <v>630</v>
      </c>
      <c r="B21" s="2">
        <v>40572</v>
      </c>
      <c r="C21" s="1">
        <v>1</v>
      </c>
      <c r="D21" s="1">
        <v>12</v>
      </c>
      <c r="E21" s="16" t="b">
        <v>0</v>
      </c>
      <c r="F21" s="1">
        <v>6</v>
      </c>
      <c r="G21" s="21" t="str">
        <f t="shared" si="0"/>
        <v>Yes</v>
      </c>
      <c r="H21" s="26" t="str">
        <f t="shared" si="4"/>
        <v>Saturday</v>
      </c>
      <c r="I21" s="1">
        <v>2</v>
      </c>
      <c r="J21" s="21" t="str">
        <f t="shared" si="1"/>
        <v>Misty</v>
      </c>
      <c r="K21" s="1">
        <v>0.2</v>
      </c>
      <c r="L21" s="21" t="str">
        <f t="shared" si="2"/>
        <v>Safe</v>
      </c>
      <c r="M21" s="1">
        <v>0.19700000000000001</v>
      </c>
      <c r="N21" s="1">
        <v>0.59</v>
      </c>
      <c r="O21" s="21" t="str">
        <f t="shared" si="3"/>
        <v>Acceptable</v>
      </c>
      <c r="P21" s="1">
        <v>0.19400000000000001</v>
      </c>
      <c r="Q21" s="1">
        <v>12</v>
      </c>
      <c r="R21" s="1">
        <v>66</v>
      </c>
      <c r="S21" s="45">
        <v>78</v>
      </c>
    </row>
    <row r="22" spans="1:19" ht="15" thickBot="1" x14ac:dyDescent="0.35">
      <c r="A22" s="4">
        <v>631</v>
      </c>
      <c r="B22" s="2">
        <v>40572</v>
      </c>
      <c r="C22" s="1">
        <v>1</v>
      </c>
      <c r="D22" s="1">
        <v>13</v>
      </c>
      <c r="E22" s="16" t="b">
        <v>0</v>
      </c>
      <c r="F22" s="1">
        <v>6</v>
      </c>
      <c r="G22" s="21" t="str">
        <f t="shared" si="0"/>
        <v>Yes</v>
      </c>
      <c r="H22" s="26" t="str">
        <f t="shared" si="4"/>
        <v>Saturday</v>
      </c>
      <c r="I22" s="1">
        <v>2</v>
      </c>
      <c r="J22" s="21" t="str">
        <f t="shared" si="1"/>
        <v>Misty</v>
      </c>
      <c r="K22" s="1">
        <v>0.22</v>
      </c>
      <c r="L22" s="21" t="str">
        <f t="shared" si="2"/>
        <v>Safe</v>
      </c>
      <c r="M22" s="1">
        <v>0.2273</v>
      </c>
      <c r="N22" s="1">
        <v>0.55000000000000004</v>
      </c>
      <c r="O22" s="21" t="str">
        <f t="shared" si="3"/>
        <v>Acceptable</v>
      </c>
      <c r="P22" s="1">
        <v>0.16420000000000001</v>
      </c>
      <c r="Q22" s="1">
        <v>9</v>
      </c>
      <c r="R22" s="1">
        <v>56</v>
      </c>
      <c r="S22" s="45">
        <v>65</v>
      </c>
    </row>
    <row r="23" spans="1:19" ht="15" thickBot="1" x14ac:dyDescent="0.35">
      <c r="A23" s="4">
        <v>632</v>
      </c>
      <c r="B23" s="2">
        <v>40572</v>
      </c>
      <c r="C23" s="1">
        <v>1</v>
      </c>
      <c r="D23" s="1">
        <v>14</v>
      </c>
      <c r="E23" s="16" t="b">
        <v>0</v>
      </c>
      <c r="F23" s="1">
        <v>6</v>
      </c>
      <c r="G23" s="21" t="str">
        <f t="shared" si="0"/>
        <v>Yes</v>
      </c>
      <c r="H23" s="26" t="str">
        <f t="shared" si="4"/>
        <v>Saturday</v>
      </c>
      <c r="I23" s="1">
        <v>2</v>
      </c>
      <c r="J23" s="21" t="str">
        <f t="shared" si="1"/>
        <v>Misty</v>
      </c>
      <c r="K23" s="1">
        <v>0.22</v>
      </c>
      <c r="L23" s="21" t="str">
        <f t="shared" si="2"/>
        <v>Safe</v>
      </c>
      <c r="M23" s="1">
        <v>0.2273</v>
      </c>
      <c r="N23" s="1">
        <v>0.6</v>
      </c>
      <c r="O23" s="21" t="str">
        <f t="shared" si="3"/>
        <v>Acceptable</v>
      </c>
      <c r="P23" s="1">
        <v>0.1343</v>
      </c>
      <c r="Q23" s="1">
        <v>10</v>
      </c>
      <c r="R23" s="1">
        <v>89</v>
      </c>
      <c r="S23" s="45">
        <v>99</v>
      </c>
    </row>
    <row r="24" spans="1:19" ht="15" thickBot="1" x14ac:dyDescent="0.35">
      <c r="A24" s="4">
        <v>633</v>
      </c>
      <c r="B24" s="2">
        <v>40572</v>
      </c>
      <c r="C24" s="1">
        <v>1</v>
      </c>
      <c r="D24" s="1">
        <v>15</v>
      </c>
      <c r="E24" s="16" t="b">
        <v>0</v>
      </c>
      <c r="F24" s="1">
        <v>6</v>
      </c>
      <c r="G24" s="21" t="str">
        <f t="shared" si="0"/>
        <v>Yes</v>
      </c>
      <c r="H24" s="26" t="str">
        <f t="shared" si="4"/>
        <v>Saturday</v>
      </c>
      <c r="I24" s="1">
        <v>1</v>
      </c>
      <c r="J24" s="21" t="str">
        <f t="shared" si="1"/>
        <v>Clean</v>
      </c>
      <c r="K24" s="1">
        <v>0.22</v>
      </c>
      <c r="L24" s="21" t="str">
        <f t="shared" si="2"/>
        <v>Safe</v>
      </c>
      <c r="M24" s="1">
        <v>0.21210000000000001</v>
      </c>
      <c r="N24" s="1">
        <v>0.69</v>
      </c>
      <c r="O24" s="21" t="str">
        <f t="shared" si="3"/>
        <v>Acceptable</v>
      </c>
      <c r="P24" s="1">
        <v>0.25369999999999998</v>
      </c>
      <c r="Q24" s="1">
        <v>22</v>
      </c>
      <c r="R24" s="1">
        <v>98</v>
      </c>
      <c r="S24" s="45">
        <v>120</v>
      </c>
    </row>
    <row r="25" spans="1:19" ht="15" thickBot="1" x14ac:dyDescent="0.35">
      <c r="A25" s="4">
        <v>634</v>
      </c>
      <c r="B25" s="2">
        <v>40572</v>
      </c>
      <c r="C25" s="1">
        <v>1</v>
      </c>
      <c r="D25" s="1">
        <v>16</v>
      </c>
      <c r="E25" s="16" t="b">
        <v>0</v>
      </c>
      <c r="F25" s="1">
        <v>6</v>
      </c>
      <c r="G25" s="21" t="str">
        <f t="shared" si="0"/>
        <v>Yes</v>
      </c>
      <c r="H25" s="26" t="str">
        <f t="shared" si="4"/>
        <v>Saturday</v>
      </c>
      <c r="I25" s="1">
        <v>1</v>
      </c>
      <c r="J25" s="21" t="str">
        <f t="shared" si="1"/>
        <v>Clean</v>
      </c>
      <c r="K25" s="1">
        <v>0.24</v>
      </c>
      <c r="L25" s="21" t="str">
        <f t="shared" si="2"/>
        <v>Safe</v>
      </c>
      <c r="M25" s="1">
        <v>0.2424</v>
      </c>
      <c r="N25" s="1">
        <v>0.6</v>
      </c>
      <c r="O25" s="21" t="str">
        <f t="shared" si="3"/>
        <v>Acceptable</v>
      </c>
      <c r="P25" s="1">
        <v>0.16420000000000001</v>
      </c>
      <c r="Q25" s="1">
        <v>19</v>
      </c>
      <c r="R25" s="1">
        <v>88</v>
      </c>
      <c r="S25" s="45">
        <v>107</v>
      </c>
    </row>
    <row r="26" spans="1:19" ht="15" thickBot="1" x14ac:dyDescent="0.35">
      <c r="A26" s="4">
        <v>635</v>
      </c>
      <c r="B26" s="2">
        <v>40572</v>
      </c>
      <c r="C26" s="1">
        <v>1</v>
      </c>
      <c r="D26" s="1">
        <v>17</v>
      </c>
      <c r="E26" s="16" t="b">
        <v>0</v>
      </c>
      <c r="F26" s="1">
        <v>6</v>
      </c>
      <c r="G26" s="21" t="str">
        <f t="shared" si="0"/>
        <v>Yes</v>
      </c>
      <c r="H26" s="26" t="str">
        <f t="shared" si="4"/>
        <v>Saturday</v>
      </c>
      <c r="I26" s="1">
        <v>1</v>
      </c>
      <c r="J26" s="21" t="str">
        <f t="shared" si="1"/>
        <v>Clean</v>
      </c>
      <c r="K26" s="1">
        <v>0.24</v>
      </c>
      <c r="L26" s="21" t="str">
        <f t="shared" si="2"/>
        <v>Safe</v>
      </c>
      <c r="M26" s="1">
        <v>0.28789999999999999</v>
      </c>
      <c r="N26" s="1">
        <v>0.6</v>
      </c>
      <c r="O26" s="21" t="str">
        <f t="shared" si="3"/>
        <v>Acceptable</v>
      </c>
      <c r="P26" s="1">
        <v>0</v>
      </c>
      <c r="Q26" s="1">
        <v>9</v>
      </c>
      <c r="R26" s="1">
        <v>82</v>
      </c>
      <c r="S26" s="45">
        <v>91</v>
      </c>
    </row>
    <row r="27" spans="1:19" ht="15" thickBot="1" x14ac:dyDescent="0.35">
      <c r="A27" s="4">
        <v>636</v>
      </c>
      <c r="B27" s="2">
        <v>40572</v>
      </c>
      <c r="C27" s="1">
        <v>1</v>
      </c>
      <c r="D27" s="1">
        <v>18</v>
      </c>
      <c r="E27" s="16" t="b">
        <v>0</v>
      </c>
      <c r="F27" s="1">
        <v>6</v>
      </c>
      <c r="G27" s="21" t="str">
        <f t="shared" si="0"/>
        <v>Yes</v>
      </c>
      <c r="H27" s="26" t="str">
        <f t="shared" si="4"/>
        <v>Saturday</v>
      </c>
      <c r="I27" s="1">
        <v>1</v>
      </c>
      <c r="J27" s="21" t="str">
        <f t="shared" si="1"/>
        <v>Clean</v>
      </c>
      <c r="K27" s="1">
        <v>0.22</v>
      </c>
      <c r="L27" s="21" t="str">
        <f t="shared" si="2"/>
        <v>Safe</v>
      </c>
      <c r="M27" s="1">
        <v>0.2273</v>
      </c>
      <c r="N27" s="1">
        <v>0.69</v>
      </c>
      <c r="O27" s="21" t="str">
        <f t="shared" si="3"/>
        <v>Acceptable</v>
      </c>
      <c r="P27" s="1">
        <v>0.1343</v>
      </c>
      <c r="Q27" s="1">
        <v>9</v>
      </c>
      <c r="R27" s="1">
        <v>59</v>
      </c>
      <c r="S27" s="45">
        <v>68</v>
      </c>
    </row>
    <row r="28" spans="1:19" ht="15" thickBot="1" x14ac:dyDescent="0.35">
      <c r="A28" s="4">
        <v>637</v>
      </c>
      <c r="B28" s="2">
        <v>40572</v>
      </c>
      <c r="C28" s="1">
        <v>1</v>
      </c>
      <c r="D28" s="1">
        <v>19</v>
      </c>
      <c r="E28" s="16" t="b">
        <v>0</v>
      </c>
      <c r="F28" s="1">
        <v>6</v>
      </c>
      <c r="G28" s="21" t="str">
        <f t="shared" si="0"/>
        <v>Yes</v>
      </c>
      <c r="H28" s="26" t="str">
        <f t="shared" si="4"/>
        <v>Saturday</v>
      </c>
      <c r="I28" s="1">
        <v>2</v>
      </c>
      <c r="J28" s="21" t="str">
        <f t="shared" si="1"/>
        <v>Misty</v>
      </c>
      <c r="K28" s="1">
        <v>0.22</v>
      </c>
      <c r="L28" s="21" t="str">
        <f t="shared" si="2"/>
        <v>Safe</v>
      </c>
      <c r="M28" s="1">
        <v>0.21210000000000001</v>
      </c>
      <c r="N28" s="1">
        <v>0.69</v>
      </c>
      <c r="O28" s="21" t="str">
        <f t="shared" si="3"/>
        <v>Acceptable</v>
      </c>
      <c r="P28" s="1">
        <v>0.25369999999999998</v>
      </c>
      <c r="Q28" s="1">
        <v>6</v>
      </c>
      <c r="R28" s="1">
        <v>52</v>
      </c>
      <c r="S28" s="45">
        <v>58</v>
      </c>
    </row>
    <row r="29" spans="1:19" ht="15" thickBot="1" x14ac:dyDescent="0.35">
      <c r="A29" s="4">
        <v>638</v>
      </c>
      <c r="B29" s="2">
        <v>40572</v>
      </c>
      <c r="C29" s="1">
        <v>1</v>
      </c>
      <c r="D29" s="1">
        <v>20</v>
      </c>
      <c r="E29" s="16" t="b">
        <v>0</v>
      </c>
      <c r="F29" s="1">
        <v>6</v>
      </c>
      <c r="G29" s="21" t="str">
        <f t="shared" si="0"/>
        <v>Yes</v>
      </c>
      <c r="H29" s="26" t="str">
        <f t="shared" si="4"/>
        <v>Saturday</v>
      </c>
      <c r="I29" s="1">
        <v>1</v>
      </c>
      <c r="J29" s="21" t="str">
        <f t="shared" si="1"/>
        <v>Clean</v>
      </c>
      <c r="K29" s="1">
        <v>0.18</v>
      </c>
      <c r="L29" s="21" t="str">
        <f t="shared" si="2"/>
        <v>Safe</v>
      </c>
      <c r="M29" s="1">
        <v>0.21210000000000001</v>
      </c>
      <c r="N29" s="1">
        <v>0.74</v>
      </c>
      <c r="O29" s="21" t="str">
        <f t="shared" si="3"/>
        <v>Risky</v>
      </c>
      <c r="P29" s="1">
        <v>8.9599999999999999E-2</v>
      </c>
      <c r="Q29" s="1">
        <v>1</v>
      </c>
      <c r="R29" s="1">
        <v>42</v>
      </c>
      <c r="S29" s="45">
        <v>43</v>
      </c>
    </row>
    <row r="30" spans="1:19" ht="15" thickBot="1" x14ac:dyDescent="0.35">
      <c r="A30" s="4">
        <v>639</v>
      </c>
      <c r="B30" s="2">
        <v>40572</v>
      </c>
      <c r="C30" s="1">
        <v>1</v>
      </c>
      <c r="D30" s="1">
        <v>21</v>
      </c>
      <c r="E30" s="16" t="b">
        <v>0</v>
      </c>
      <c r="F30" s="1">
        <v>6</v>
      </c>
      <c r="G30" s="21" t="str">
        <f t="shared" si="0"/>
        <v>Yes</v>
      </c>
      <c r="H30" s="26" t="str">
        <f t="shared" si="4"/>
        <v>Saturday</v>
      </c>
      <c r="I30" s="1">
        <v>1</v>
      </c>
      <c r="J30" s="21" t="str">
        <f t="shared" si="1"/>
        <v>Clean</v>
      </c>
      <c r="K30" s="1">
        <v>0.18</v>
      </c>
      <c r="L30" s="21" t="str">
        <f t="shared" si="2"/>
        <v>Safe</v>
      </c>
      <c r="M30" s="1">
        <v>0.21210000000000001</v>
      </c>
      <c r="N30" s="1">
        <v>0.74</v>
      </c>
      <c r="O30" s="21" t="str">
        <f t="shared" si="3"/>
        <v>Risky</v>
      </c>
      <c r="P30" s="1">
        <v>8.9599999999999999E-2</v>
      </c>
      <c r="Q30" s="1">
        <v>1</v>
      </c>
      <c r="R30" s="1">
        <v>35</v>
      </c>
      <c r="S30" s="45">
        <v>36</v>
      </c>
    </row>
    <row r="31" spans="1:19" ht="15" thickBot="1" x14ac:dyDescent="0.35">
      <c r="A31" s="4">
        <v>640</v>
      </c>
      <c r="B31" s="2">
        <v>40572</v>
      </c>
      <c r="C31" s="1">
        <v>1</v>
      </c>
      <c r="D31" s="1">
        <v>22</v>
      </c>
      <c r="E31" s="16" t="b">
        <v>0</v>
      </c>
      <c r="F31" s="1">
        <v>6</v>
      </c>
      <c r="G31" s="21" t="str">
        <f t="shared" si="0"/>
        <v>Yes</v>
      </c>
      <c r="H31" s="26" t="str">
        <f t="shared" si="4"/>
        <v>Saturday</v>
      </c>
      <c r="I31" s="1">
        <v>1</v>
      </c>
      <c r="J31" s="21" t="str">
        <f t="shared" si="1"/>
        <v>Clean</v>
      </c>
      <c r="K31" s="1">
        <v>0.16</v>
      </c>
      <c r="L31" s="21" t="str">
        <f t="shared" si="2"/>
        <v>Safe</v>
      </c>
      <c r="M31" s="1">
        <v>0.19700000000000001</v>
      </c>
      <c r="N31" s="1">
        <v>0.8</v>
      </c>
      <c r="O31" s="21" t="str">
        <f t="shared" si="3"/>
        <v>Risky</v>
      </c>
      <c r="P31" s="1">
        <v>8.9599999999999999E-2</v>
      </c>
      <c r="Q31" s="1">
        <v>4</v>
      </c>
      <c r="R31" s="1">
        <v>28</v>
      </c>
      <c r="S31" s="45">
        <v>32</v>
      </c>
    </row>
    <row r="32" spans="1:19" ht="15" thickBot="1" x14ac:dyDescent="0.35">
      <c r="A32" s="4">
        <v>641</v>
      </c>
      <c r="B32" s="2">
        <v>40572</v>
      </c>
      <c r="C32" s="1">
        <v>1</v>
      </c>
      <c r="D32" s="1">
        <v>23</v>
      </c>
      <c r="E32" s="16" t="b">
        <v>0</v>
      </c>
      <c r="F32" s="1">
        <v>6</v>
      </c>
      <c r="G32" s="21" t="str">
        <f t="shared" si="0"/>
        <v>Yes</v>
      </c>
      <c r="H32" s="26" t="str">
        <f t="shared" si="4"/>
        <v>Saturday</v>
      </c>
      <c r="I32" s="1">
        <v>1</v>
      </c>
      <c r="J32" s="21" t="str">
        <f t="shared" si="1"/>
        <v>Clean</v>
      </c>
      <c r="K32" s="1">
        <v>0.16</v>
      </c>
      <c r="L32" s="21" t="str">
        <f t="shared" si="2"/>
        <v>Safe</v>
      </c>
      <c r="M32" s="1">
        <v>0.19700000000000001</v>
      </c>
      <c r="N32" s="1">
        <v>0.8</v>
      </c>
      <c r="O32" s="21" t="str">
        <f t="shared" si="3"/>
        <v>Risky</v>
      </c>
      <c r="P32" s="1">
        <v>8.9599999999999999E-2</v>
      </c>
      <c r="Q32" s="1">
        <v>3</v>
      </c>
      <c r="R32" s="1">
        <v>30</v>
      </c>
      <c r="S32" s="45">
        <v>33</v>
      </c>
    </row>
    <row r="33" spans="1:19" ht="15" thickBot="1" x14ac:dyDescent="0.35">
      <c r="A33" s="4">
        <v>642</v>
      </c>
      <c r="B33" s="2">
        <v>40573</v>
      </c>
      <c r="C33" s="1">
        <v>1</v>
      </c>
      <c r="D33" s="1">
        <v>0</v>
      </c>
      <c r="E33" s="16" t="b">
        <v>0</v>
      </c>
      <c r="F33" s="1">
        <v>0</v>
      </c>
      <c r="G33" s="21" t="str">
        <f t="shared" si="0"/>
        <v>Yes</v>
      </c>
      <c r="H33" s="26" t="str">
        <f t="shared" si="4"/>
        <v>Sunday</v>
      </c>
      <c r="I33" s="1">
        <v>1</v>
      </c>
      <c r="J33" s="21" t="str">
        <f t="shared" si="1"/>
        <v>Clean</v>
      </c>
      <c r="K33" s="1">
        <v>0.16</v>
      </c>
      <c r="L33" s="21" t="str">
        <f t="shared" si="2"/>
        <v>Safe</v>
      </c>
      <c r="M33" s="1">
        <v>0.18179999999999999</v>
      </c>
      <c r="N33" s="1">
        <v>0.8</v>
      </c>
      <c r="O33" s="21" t="str">
        <f t="shared" si="3"/>
        <v>Risky</v>
      </c>
      <c r="P33" s="1">
        <v>0.1045</v>
      </c>
      <c r="Q33" s="1">
        <v>0</v>
      </c>
      <c r="R33" s="1">
        <v>33</v>
      </c>
      <c r="S33" s="45">
        <v>33</v>
      </c>
    </row>
    <row r="34" spans="1:19" ht="15" thickBot="1" x14ac:dyDescent="0.35">
      <c r="A34" s="4">
        <v>643</v>
      </c>
      <c r="B34" s="2">
        <v>40573</v>
      </c>
      <c r="C34" s="1">
        <v>1</v>
      </c>
      <c r="D34" s="1">
        <v>1</v>
      </c>
      <c r="E34" s="16" t="b">
        <v>0</v>
      </c>
      <c r="F34" s="1">
        <v>0</v>
      </c>
      <c r="G34" s="21" t="str">
        <f t="shared" si="0"/>
        <v>Yes</v>
      </c>
      <c r="H34" s="26" t="str">
        <f t="shared" si="4"/>
        <v>Sunday</v>
      </c>
      <c r="I34" s="1">
        <v>1</v>
      </c>
      <c r="J34" s="21" t="str">
        <f t="shared" si="1"/>
        <v>Clean</v>
      </c>
      <c r="K34" s="1">
        <v>0.14000000000000001</v>
      </c>
      <c r="L34" s="21" t="str">
        <f t="shared" si="2"/>
        <v>Safe</v>
      </c>
      <c r="M34" s="1">
        <v>0.21210000000000001</v>
      </c>
      <c r="N34" s="1">
        <v>0.8</v>
      </c>
      <c r="O34" s="21" t="str">
        <f t="shared" si="3"/>
        <v>Risky</v>
      </c>
      <c r="P34" s="1">
        <v>0</v>
      </c>
      <c r="Q34" s="1">
        <v>7</v>
      </c>
      <c r="R34" s="1">
        <v>22</v>
      </c>
      <c r="S34" s="45">
        <v>29</v>
      </c>
    </row>
    <row r="35" spans="1:19" ht="15" thickBot="1" x14ac:dyDescent="0.35">
      <c r="A35" s="4">
        <v>644</v>
      </c>
      <c r="B35" s="2">
        <v>40573</v>
      </c>
      <c r="C35" s="1">
        <v>1</v>
      </c>
      <c r="D35" s="1">
        <v>2</v>
      </c>
      <c r="E35" s="16" t="b">
        <v>0</v>
      </c>
      <c r="F35" s="1">
        <v>0</v>
      </c>
      <c r="G35" s="21" t="str">
        <f t="shared" si="0"/>
        <v>Yes</v>
      </c>
      <c r="H35" s="26" t="str">
        <f t="shared" si="4"/>
        <v>Sunday</v>
      </c>
      <c r="I35" s="1">
        <v>1</v>
      </c>
      <c r="J35" s="21" t="str">
        <f t="shared" si="1"/>
        <v>Clean</v>
      </c>
      <c r="K35" s="1">
        <v>0.16</v>
      </c>
      <c r="L35" s="21" t="str">
        <f t="shared" si="2"/>
        <v>Safe</v>
      </c>
      <c r="M35" s="1">
        <v>0.2273</v>
      </c>
      <c r="N35" s="1">
        <v>0.8</v>
      </c>
      <c r="O35" s="21" t="str">
        <f t="shared" si="3"/>
        <v>Risky</v>
      </c>
      <c r="P35" s="1">
        <v>0</v>
      </c>
      <c r="Q35" s="1">
        <v>1</v>
      </c>
      <c r="R35" s="1">
        <v>10</v>
      </c>
      <c r="S35" s="45">
        <v>11</v>
      </c>
    </row>
    <row r="36" spans="1:19" ht="15" thickBot="1" x14ac:dyDescent="0.35">
      <c r="A36" s="4">
        <v>645</v>
      </c>
      <c r="B36" s="2">
        <v>40573</v>
      </c>
      <c r="C36" s="1">
        <v>1</v>
      </c>
      <c r="D36" s="1">
        <v>3</v>
      </c>
      <c r="E36" s="16" t="b">
        <v>0</v>
      </c>
      <c r="F36" s="1">
        <v>0</v>
      </c>
      <c r="G36" s="21" t="str">
        <f t="shared" si="0"/>
        <v>Yes</v>
      </c>
      <c r="H36" s="26" t="str">
        <f t="shared" si="4"/>
        <v>Sunday</v>
      </c>
      <c r="I36" s="1">
        <v>1</v>
      </c>
      <c r="J36" s="21" t="str">
        <f t="shared" si="1"/>
        <v>Clean</v>
      </c>
      <c r="K36" s="1">
        <v>0.14000000000000001</v>
      </c>
      <c r="L36" s="21" t="str">
        <f t="shared" si="2"/>
        <v>Safe</v>
      </c>
      <c r="M36" s="1">
        <v>0.21210000000000001</v>
      </c>
      <c r="N36" s="1">
        <v>0.93</v>
      </c>
      <c r="O36" s="21" t="str">
        <f t="shared" si="3"/>
        <v>Risky</v>
      </c>
      <c r="P36" s="1">
        <v>0</v>
      </c>
      <c r="Q36" s="1">
        <v>1</v>
      </c>
      <c r="R36" s="1">
        <v>7</v>
      </c>
      <c r="S36" s="45">
        <v>8</v>
      </c>
    </row>
    <row r="37" spans="1:19" ht="15" thickBot="1" x14ac:dyDescent="0.35">
      <c r="A37" s="4">
        <v>646</v>
      </c>
      <c r="B37" s="2">
        <v>40573</v>
      </c>
      <c r="C37" s="1">
        <v>1</v>
      </c>
      <c r="D37" s="1">
        <v>4</v>
      </c>
      <c r="E37" s="16" t="b">
        <v>0</v>
      </c>
      <c r="F37" s="1">
        <v>0</v>
      </c>
      <c r="G37" s="21" t="str">
        <f t="shared" si="0"/>
        <v>Yes</v>
      </c>
      <c r="H37" s="26" t="str">
        <f t="shared" si="4"/>
        <v>Sunday</v>
      </c>
      <c r="I37" s="1">
        <v>1</v>
      </c>
      <c r="J37" s="21" t="str">
        <f t="shared" si="1"/>
        <v>Clean</v>
      </c>
      <c r="K37" s="1">
        <v>0.14000000000000001</v>
      </c>
      <c r="L37" s="21" t="str">
        <f t="shared" si="2"/>
        <v>Safe</v>
      </c>
      <c r="M37" s="1">
        <v>0.21210000000000001</v>
      </c>
      <c r="N37" s="1">
        <v>0.93</v>
      </c>
      <c r="O37" s="21" t="str">
        <f t="shared" si="3"/>
        <v>Risky</v>
      </c>
      <c r="P37" s="1">
        <v>0</v>
      </c>
      <c r="Q37" s="1">
        <v>0</v>
      </c>
      <c r="R37" s="1">
        <v>1</v>
      </c>
      <c r="S37" s="45">
        <v>1</v>
      </c>
    </row>
    <row r="38" spans="1:19" ht="15" thickBot="1" x14ac:dyDescent="0.35">
      <c r="A38" s="4">
        <v>647</v>
      </c>
      <c r="B38" s="2">
        <v>40573</v>
      </c>
      <c r="C38" s="1">
        <v>1</v>
      </c>
      <c r="D38" s="1">
        <v>5</v>
      </c>
      <c r="E38" s="16" t="b">
        <v>0</v>
      </c>
      <c r="F38" s="1">
        <v>0</v>
      </c>
      <c r="G38" s="21" t="str">
        <f t="shared" si="0"/>
        <v>Yes</v>
      </c>
      <c r="H38" s="26" t="str">
        <f t="shared" si="4"/>
        <v>Sunday</v>
      </c>
      <c r="I38" s="1">
        <v>1</v>
      </c>
      <c r="J38" s="21" t="str">
        <f t="shared" si="1"/>
        <v>Clean</v>
      </c>
      <c r="K38" s="1">
        <v>0.14000000000000001</v>
      </c>
      <c r="L38" s="21" t="str">
        <f t="shared" si="2"/>
        <v>Safe</v>
      </c>
      <c r="M38" s="1">
        <v>0.21210000000000001</v>
      </c>
      <c r="N38" s="1">
        <v>0.86</v>
      </c>
      <c r="O38" s="21" t="str">
        <f t="shared" si="3"/>
        <v>Risky</v>
      </c>
      <c r="P38" s="1">
        <v>0</v>
      </c>
      <c r="Q38" s="1">
        <v>0</v>
      </c>
      <c r="R38" s="1">
        <v>3</v>
      </c>
      <c r="S38" s="45">
        <v>3</v>
      </c>
    </row>
    <row r="39" spans="1:19" ht="15" thickBot="1" x14ac:dyDescent="0.35">
      <c r="A39" s="4">
        <v>648</v>
      </c>
      <c r="B39" s="2">
        <v>40573</v>
      </c>
      <c r="C39" s="1">
        <v>1</v>
      </c>
      <c r="D39" s="1">
        <v>7</v>
      </c>
      <c r="E39" s="16" t="b">
        <v>0</v>
      </c>
      <c r="F39" s="1">
        <v>0</v>
      </c>
      <c r="G39" s="21" t="str">
        <f t="shared" si="0"/>
        <v>Yes</v>
      </c>
      <c r="H39" s="26" t="str">
        <f t="shared" si="4"/>
        <v>Sunday</v>
      </c>
      <c r="I39" s="1">
        <v>1</v>
      </c>
      <c r="J39" s="21" t="str">
        <f t="shared" si="1"/>
        <v>Clean</v>
      </c>
      <c r="K39" s="1">
        <v>0.14000000000000001</v>
      </c>
      <c r="L39" s="21" t="str">
        <f t="shared" si="2"/>
        <v>Safe</v>
      </c>
      <c r="M39" s="1">
        <v>0.21210000000000001</v>
      </c>
      <c r="N39" s="1">
        <v>0.86</v>
      </c>
      <c r="O39" s="21" t="str">
        <f t="shared" si="3"/>
        <v>Risky</v>
      </c>
      <c r="P39" s="1">
        <v>0</v>
      </c>
      <c r="Q39" s="1">
        <v>0</v>
      </c>
      <c r="R39" s="1">
        <v>3</v>
      </c>
      <c r="S39" s="45">
        <v>3</v>
      </c>
    </row>
    <row r="40" spans="1:19" ht="15" thickBot="1" x14ac:dyDescent="0.35">
      <c r="A40" s="4">
        <v>649</v>
      </c>
      <c r="B40" s="2">
        <v>40573</v>
      </c>
      <c r="C40" s="1">
        <v>1</v>
      </c>
      <c r="D40" s="1">
        <v>8</v>
      </c>
      <c r="E40" s="16" t="b">
        <v>0</v>
      </c>
      <c r="F40" s="1">
        <v>0</v>
      </c>
      <c r="G40" s="21" t="str">
        <f t="shared" si="0"/>
        <v>Yes</v>
      </c>
      <c r="H40" s="26" t="str">
        <f t="shared" si="4"/>
        <v>Sunday</v>
      </c>
      <c r="I40" s="1">
        <v>2</v>
      </c>
      <c r="J40" s="21" t="str">
        <f t="shared" si="1"/>
        <v>Misty</v>
      </c>
      <c r="K40" s="1">
        <v>0.14000000000000001</v>
      </c>
      <c r="L40" s="21" t="str">
        <f t="shared" si="2"/>
        <v>Safe</v>
      </c>
      <c r="M40" s="1">
        <v>0.21210000000000001</v>
      </c>
      <c r="N40" s="1">
        <v>0.86</v>
      </c>
      <c r="O40" s="21" t="str">
        <f t="shared" si="3"/>
        <v>Risky</v>
      </c>
      <c r="P40" s="1">
        <v>0</v>
      </c>
      <c r="Q40" s="1">
        <v>1</v>
      </c>
      <c r="R40" s="1">
        <v>11</v>
      </c>
      <c r="S40" s="45">
        <v>12</v>
      </c>
    </row>
    <row r="41" spans="1:19" ht="15" thickBot="1" x14ac:dyDescent="0.35">
      <c r="A41" s="4">
        <v>650</v>
      </c>
      <c r="B41" s="2">
        <v>40573</v>
      </c>
      <c r="C41" s="1">
        <v>1</v>
      </c>
      <c r="D41" s="1">
        <v>9</v>
      </c>
      <c r="E41" s="16" t="b">
        <v>0</v>
      </c>
      <c r="F41" s="1">
        <v>0</v>
      </c>
      <c r="G41" s="21" t="str">
        <f t="shared" si="0"/>
        <v>Yes</v>
      </c>
      <c r="H41" s="26" t="str">
        <f t="shared" si="4"/>
        <v>Sunday</v>
      </c>
      <c r="I41" s="1">
        <v>2</v>
      </c>
      <c r="J41" s="21" t="str">
        <f t="shared" si="1"/>
        <v>Misty</v>
      </c>
      <c r="K41" s="1">
        <v>0.16</v>
      </c>
      <c r="L41" s="21" t="str">
        <f t="shared" si="2"/>
        <v>Safe</v>
      </c>
      <c r="M41" s="1">
        <v>0.2273</v>
      </c>
      <c r="N41" s="1">
        <v>0.8</v>
      </c>
      <c r="O41" s="21" t="str">
        <f t="shared" si="3"/>
        <v>Risky</v>
      </c>
      <c r="P41" s="1">
        <v>0</v>
      </c>
      <c r="Q41" s="1">
        <v>4</v>
      </c>
      <c r="R41" s="1">
        <v>34</v>
      </c>
      <c r="S41" s="45">
        <v>38</v>
      </c>
    </row>
    <row r="42" spans="1:19" ht="15" thickBot="1" x14ac:dyDescent="0.35">
      <c r="A42" s="4">
        <v>651</v>
      </c>
      <c r="B42" s="2">
        <v>40573</v>
      </c>
      <c r="C42" s="1">
        <v>1</v>
      </c>
      <c r="D42" s="1">
        <v>10</v>
      </c>
      <c r="E42" s="16" t="b">
        <v>0</v>
      </c>
      <c r="F42" s="1">
        <v>0</v>
      </c>
      <c r="G42" s="21" t="str">
        <f t="shared" si="0"/>
        <v>Yes</v>
      </c>
      <c r="H42" s="26" t="str">
        <f t="shared" si="4"/>
        <v>Sunday</v>
      </c>
      <c r="I42" s="1">
        <v>2</v>
      </c>
      <c r="J42" s="21" t="str">
        <f t="shared" si="1"/>
        <v>Misty</v>
      </c>
      <c r="K42" s="1">
        <v>0.18</v>
      </c>
      <c r="L42" s="21" t="str">
        <f t="shared" si="2"/>
        <v>Safe</v>
      </c>
      <c r="M42" s="1">
        <v>0.2424</v>
      </c>
      <c r="N42" s="1">
        <v>0.8</v>
      </c>
      <c r="O42" s="21" t="str">
        <f t="shared" si="3"/>
        <v>Risky</v>
      </c>
      <c r="P42" s="1">
        <v>0</v>
      </c>
      <c r="Q42" s="1">
        <v>7</v>
      </c>
      <c r="R42" s="1">
        <v>57</v>
      </c>
      <c r="S42" s="45">
        <v>64</v>
      </c>
    </row>
    <row r="43" spans="1:19" ht="15" thickBot="1" x14ac:dyDescent="0.35">
      <c r="A43" s="4">
        <v>652</v>
      </c>
      <c r="B43" s="2">
        <v>40573</v>
      </c>
      <c r="C43" s="1">
        <v>1</v>
      </c>
      <c r="D43" s="1">
        <v>11</v>
      </c>
      <c r="E43" s="16" t="b">
        <v>0</v>
      </c>
      <c r="F43" s="1">
        <v>0</v>
      </c>
      <c r="G43" s="21" t="str">
        <f t="shared" si="0"/>
        <v>Yes</v>
      </c>
      <c r="H43" s="26" t="str">
        <f t="shared" si="4"/>
        <v>Sunday</v>
      </c>
      <c r="I43" s="1">
        <v>1</v>
      </c>
      <c r="J43" s="21" t="str">
        <f t="shared" si="1"/>
        <v>Clean</v>
      </c>
      <c r="K43" s="1">
        <v>0.22</v>
      </c>
      <c r="L43" s="21" t="str">
        <f t="shared" si="2"/>
        <v>Safe</v>
      </c>
      <c r="M43" s="1">
        <v>0.2727</v>
      </c>
      <c r="N43" s="1">
        <v>0.75</v>
      </c>
      <c r="O43" s="21" t="str">
        <f t="shared" si="3"/>
        <v>Risky</v>
      </c>
      <c r="P43" s="1">
        <v>0</v>
      </c>
      <c r="Q43" s="1">
        <v>9</v>
      </c>
      <c r="R43" s="1">
        <v>50</v>
      </c>
      <c r="S43" s="45">
        <v>59</v>
      </c>
    </row>
    <row r="44" spans="1:19" ht="15" thickBot="1" x14ac:dyDescent="0.35">
      <c r="A44" s="4">
        <v>653</v>
      </c>
      <c r="B44" s="2">
        <v>40573</v>
      </c>
      <c r="C44" s="1">
        <v>1</v>
      </c>
      <c r="D44" s="1">
        <v>12</v>
      </c>
      <c r="E44" s="16" t="b">
        <v>0</v>
      </c>
      <c r="F44" s="1">
        <v>0</v>
      </c>
      <c r="G44" s="21" t="str">
        <f t="shared" si="0"/>
        <v>Yes</v>
      </c>
      <c r="H44" s="26" t="str">
        <f t="shared" si="4"/>
        <v>Sunday</v>
      </c>
      <c r="I44" s="1">
        <v>1</v>
      </c>
      <c r="J44" s="21" t="str">
        <f t="shared" si="1"/>
        <v>Clean</v>
      </c>
      <c r="K44" s="1">
        <v>0.3</v>
      </c>
      <c r="L44" s="21" t="str">
        <f t="shared" si="2"/>
        <v>Safe</v>
      </c>
      <c r="M44" s="1">
        <v>0.31819999999999998</v>
      </c>
      <c r="N44" s="1">
        <v>0.52</v>
      </c>
      <c r="O44" s="21" t="str">
        <f t="shared" si="3"/>
        <v>Acceptable</v>
      </c>
      <c r="P44" s="1">
        <v>0.1045</v>
      </c>
      <c r="Q44" s="1">
        <v>10</v>
      </c>
      <c r="R44" s="1">
        <v>87</v>
      </c>
      <c r="S44" s="45">
        <v>97</v>
      </c>
    </row>
    <row r="45" spans="1:19" ht="15" thickBot="1" x14ac:dyDescent="0.35">
      <c r="A45" s="4">
        <v>654</v>
      </c>
      <c r="B45" s="2">
        <v>40573</v>
      </c>
      <c r="C45" s="1">
        <v>1</v>
      </c>
      <c r="D45" s="1">
        <v>13</v>
      </c>
      <c r="E45" s="16" t="b">
        <v>0</v>
      </c>
      <c r="F45" s="1">
        <v>0</v>
      </c>
      <c r="G45" s="21" t="str">
        <f t="shared" si="0"/>
        <v>Yes</v>
      </c>
      <c r="H45" s="26" t="str">
        <f t="shared" si="4"/>
        <v>Sunday</v>
      </c>
      <c r="I45" s="1">
        <v>1</v>
      </c>
      <c r="J45" s="21" t="str">
        <f t="shared" si="1"/>
        <v>Clean</v>
      </c>
      <c r="K45" s="1">
        <v>0.28000000000000003</v>
      </c>
      <c r="L45" s="21" t="str">
        <f t="shared" si="2"/>
        <v>Safe</v>
      </c>
      <c r="M45" s="1">
        <v>0.28789999999999999</v>
      </c>
      <c r="N45" s="1">
        <v>0.61</v>
      </c>
      <c r="O45" s="21" t="str">
        <f t="shared" si="3"/>
        <v>Acceptable</v>
      </c>
      <c r="P45" s="1">
        <v>0.1045</v>
      </c>
      <c r="Q45" s="1">
        <v>13</v>
      </c>
      <c r="R45" s="1">
        <v>71</v>
      </c>
      <c r="S45" s="45">
        <v>84</v>
      </c>
    </row>
    <row r="46" spans="1:19" ht="15" thickBot="1" x14ac:dyDescent="0.35">
      <c r="A46" s="4">
        <v>655</v>
      </c>
      <c r="B46" s="2">
        <v>40573</v>
      </c>
      <c r="C46" s="1">
        <v>1</v>
      </c>
      <c r="D46" s="1">
        <v>14</v>
      </c>
      <c r="E46" s="16" t="b">
        <v>0</v>
      </c>
      <c r="F46" s="1">
        <v>0</v>
      </c>
      <c r="G46" s="21" t="str">
        <f t="shared" si="0"/>
        <v>Yes</v>
      </c>
      <c r="H46" s="26" t="str">
        <f t="shared" si="4"/>
        <v>Sunday</v>
      </c>
      <c r="I46" s="1">
        <v>1</v>
      </c>
      <c r="J46" s="21" t="str">
        <f t="shared" si="1"/>
        <v>Clean</v>
      </c>
      <c r="K46" s="1">
        <v>0.28000000000000003</v>
      </c>
      <c r="L46" s="21" t="str">
        <f t="shared" si="2"/>
        <v>Safe</v>
      </c>
      <c r="M46" s="1">
        <v>0.30299999999999999</v>
      </c>
      <c r="N46" s="1">
        <v>0.61</v>
      </c>
      <c r="O46" s="21" t="str">
        <f t="shared" si="3"/>
        <v>Acceptable</v>
      </c>
      <c r="P46" s="1">
        <v>8.9599999999999999E-2</v>
      </c>
      <c r="Q46" s="1">
        <v>18</v>
      </c>
      <c r="R46" s="1">
        <v>104</v>
      </c>
      <c r="S46" s="45">
        <v>122</v>
      </c>
    </row>
    <row r="47" spans="1:19" ht="15" thickBot="1" x14ac:dyDescent="0.35">
      <c r="A47" s="4">
        <v>656</v>
      </c>
      <c r="B47" s="2">
        <v>40573</v>
      </c>
      <c r="C47" s="1">
        <v>1</v>
      </c>
      <c r="D47" s="1">
        <v>15</v>
      </c>
      <c r="E47" s="16" t="b">
        <v>0</v>
      </c>
      <c r="F47" s="1">
        <v>0</v>
      </c>
      <c r="G47" s="21" t="str">
        <f t="shared" si="0"/>
        <v>Yes</v>
      </c>
      <c r="H47" s="26" t="str">
        <f t="shared" si="4"/>
        <v>Sunday</v>
      </c>
      <c r="I47" s="1">
        <v>1</v>
      </c>
      <c r="J47" s="21" t="str">
        <f t="shared" si="1"/>
        <v>Clean</v>
      </c>
      <c r="K47" s="1">
        <v>0.3</v>
      </c>
      <c r="L47" s="21" t="str">
        <f t="shared" si="2"/>
        <v>Safe</v>
      </c>
      <c r="M47" s="1">
        <v>0.33329999999999999</v>
      </c>
      <c r="N47" s="1">
        <v>0.56000000000000005</v>
      </c>
      <c r="O47" s="21" t="str">
        <f t="shared" si="3"/>
        <v>Acceptable</v>
      </c>
      <c r="P47" s="1">
        <v>0</v>
      </c>
      <c r="Q47" s="1">
        <v>14</v>
      </c>
      <c r="R47" s="1">
        <v>95</v>
      </c>
      <c r="S47" s="45">
        <v>109</v>
      </c>
    </row>
    <row r="48" spans="1:19" ht="15" thickBot="1" x14ac:dyDescent="0.35">
      <c r="A48" s="4">
        <v>657</v>
      </c>
      <c r="B48" s="2">
        <v>40573</v>
      </c>
      <c r="C48" s="1">
        <v>1</v>
      </c>
      <c r="D48" s="1">
        <v>16</v>
      </c>
      <c r="E48" s="16" t="b">
        <v>0</v>
      </c>
      <c r="F48" s="1">
        <v>0</v>
      </c>
      <c r="G48" s="21" t="str">
        <f t="shared" si="0"/>
        <v>Yes</v>
      </c>
      <c r="H48" s="26" t="str">
        <f t="shared" si="4"/>
        <v>Sunday</v>
      </c>
      <c r="I48" s="1">
        <v>1</v>
      </c>
      <c r="J48" s="21" t="str">
        <f t="shared" si="1"/>
        <v>Clean</v>
      </c>
      <c r="K48" s="1">
        <v>0.3</v>
      </c>
      <c r="L48" s="21" t="str">
        <f t="shared" si="2"/>
        <v>Safe</v>
      </c>
      <c r="M48" s="1">
        <v>0.33329999999999999</v>
      </c>
      <c r="N48" s="1">
        <v>0.56000000000000005</v>
      </c>
      <c r="O48" s="21" t="str">
        <f t="shared" si="3"/>
        <v>Acceptable</v>
      </c>
      <c r="P48" s="1">
        <v>0</v>
      </c>
      <c r="Q48" s="1">
        <v>19</v>
      </c>
      <c r="R48" s="1">
        <v>104</v>
      </c>
      <c r="S48" s="45">
        <v>123</v>
      </c>
    </row>
    <row r="49" spans="1:19" ht="15" thickBot="1" x14ac:dyDescent="0.35">
      <c r="A49" s="4">
        <v>658</v>
      </c>
      <c r="B49" s="2">
        <v>40573</v>
      </c>
      <c r="C49" s="1">
        <v>1</v>
      </c>
      <c r="D49" s="1">
        <v>17</v>
      </c>
      <c r="E49" s="16" t="b">
        <v>0</v>
      </c>
      <c r="F49" s="1">
        <v>0</v>
      </c>
      <c r="G49" s="21" t="str">
        <f t="shared" si="0"/>
        <v>Yes</v>
      </c>
      <c r="H49" s="26" t="str">
        <f t="shared" si="4"/>
        <v>Sunday</v>
      </c>
      <c r="I49" s="1">
        <v>1</v>
      </c>
      <c r="J49" s="21" t="str">
        <f t="shared" si="1"/>
        <v>Clean</v>
      </c>
      <c r="K49" s="1">
        <v>0.3</v>
      </c>
      <c r="L49" s="21" t="str">
        <f t="shared" si="2"/>
        <v>Safe</v>
      </c>
      <c r="M49" s="1">
        <v>0.28789999999999999</v>
      </c>
      <c r="N49" s="1">
        <v>0.56000000000000005</v>
      </c>
      <c r="O49" s="21" t="str">
        <f t="shared" si="3"/>
        <v>Acceptable</v>
      </c>
      <c r="P49" s="1">
        <v>0.19400000000000001</v>
      </c>
      <c r="Q49" s="1">
        <v>6</v>
      </c>
      <c r="R49" s="1">
        <v>71</v>
      </c>
      <c r="S49" s="45">
        <v>77</v>
      </c>
    </row>
    <row r="50" spans="1:19" ht="15" thickBot="1" x14ac:dyDescent="0.35">
      <c r="A50" s="4">
        <v>659</v>
      </c>
      <c r="B50" s="2">
        <v>40573</v>
      </c>
      <c r="C50" s="1">
        <v>1</v>
      </c>
      <c r="D50" s="1">
        <v>18</v>
      </c>
      <c r="E50" s="16" t="b">
        <v>0</v>
      </c>
      <c r="F50" s="1">
        <v>0</v>
      </c>
      <c r="G50" s="21" t="str">
        <f t="shared" si="0"/>
        <v>Yes</v>
      </c>
      <c r="H50" s="26" t="str">
        <f t="shared" si="4"/>
        <v>Sunday</v>
      </c>
      <c r="I50" s="1">
        <v>1</v>
      </c>
      <c r="J50" s="21" t="str">
        <f t="shared" si="1"/>
        <v>Clean</v>
      </c>
      <c r="K50" s="1">
        <v>0.26</v>
      </c>
      <c r="L50" s="21" t="str">
        <f t="shared" si="2"/>
        <v>Safe</v>
      </c>
      <c r="M50" s="1">
        <v>0.2576</v>
      </c>
      <c r="N50" s="1">
        <v>0.65</v>
      </c>
      <c r="O50" s="21" t="str">
        <f t="shared" si="3"/>
        <v>Acceptable</v>
      </c>
      <c r="P50" s="1">
        <v>0.16420000000000001</v>
      </c>
      <c r="Q50" s="1">
        <v>8</v>
      </c>
      <c r="R50" s="1">
        <v>57</v>
      </c>
      <c r="S50" s="45">
        <v>65</v>
      </c>
    </row>
    <row r="51" spans="1:19" ht="15" thickBot="1" x14ac:dyDescent="0.35">
      <c r="A51" s="4">
        <v>660</v>
      </c>
      <c r="B51" s="2">
        <v>40573</v>
      </c>
      <c r="C51" s="1">
        <v>1</v>
      </c>
      <c r="D51" s="1">
        <v>19</v>
      </c>
      <c r="E51" s="16" t="b">
        <v>0</v>
      </c>
      <c r="F51" s="1">
        <v>0</v>
      </c>
      <c r="G51" s="21" t="str">
        <f t="shared" si="0"/>
        <v>Yes</v>
      </c>
      <c r="H51" s="26" t="str">
        <f t="shared" si="4"/>
        <v>Sunday</v>
      </c>
      <c r="I51" s="1">
        <v>1</v>
      </c>
      <c r="J51" s="21" t="str">
        <f t="shared" si="1"/>
        <v>Clean</v>
      </c>
      <c r="K51" s="1">
        <v>0.26</v>
      </c>
      <c r="L51" s="21" t="str">
        <f t="shared" si="2"/>
        <v>Safe</v>
      </c>
      <c r="M51" s="1">
        <v>0.2576</v>
      </c>
      <c r="N51" s="1">
        <v>0.65</v>
      </c>
      <c r="O51" s="21" t="str">
        <f t="shared" si="3"/>
        <v>Acceptable</v>
      </c>
      <c r="P51" s="1">
        <v>0.19400000000000001</v>
      </c>
      <c r="Q51" s="1">
        <v>9</v>
      </c>
      <c r="R51" s="1">
        <v>46</v>
      </c>
      <c r="S51" s="45">
        <v>55</v>
      </c>
    </row>
    <row r="52" spans="1:19" ht="15" thickBot="1" x14ac:dyDescent="0.35">
      <c r="A52" s="4">
        <v>661</v>
      </c>
      <c r="B52" s="2">
        <v>40573</v>
      </c>
      <c r="C52" s="1">
        <v>1</v>
      </c>
      <c r="D52" s="1">
        <v>20</v>
      </c>
      <c r="E52" s="16" t="b">
        <v>0</v>
      </c>
      <c r="F52" s="1">
        <v>0</v>
      </c>
      <c r="G52" s="21" t="str">
        <f t="shared" si="0"/>
        <v>Yes</v>
      </c>
      <c r="H52" s="26" t="str">
        <f t="shared" si="4"/>
        <v>Sunday</v>
      </c>
      <c r="I52" s="1">
        <v>2</v>
      </c>
      <c r="J52" s="21" t="str">
        <f t="shared" si="1"/>
        <v>Misty</v>
      </c>
      <c r="K52" s="1">
        <v>0.26</v>
      </c>
      <c r="L52" s="21" t="str">
        <f t="shared" si="2"/>
        <v>Safe</v>
      </c>
      <c r="M52" s="1">
        <v>0.2727</v>
      </c>
      <c r="N52" s="1">
        <v>0.65</v>
      </c>
      <c r="O52" s="21" t="str">
        <f t="shared" si="3"/>
        <v>Acceptable</v>
      </c>
      <c r="P52" s="1">
        <v>0.1045</v>
      </c>
      <c r="Q52" s="1">
        <v>3</v>
      </c>
      <c r="R52" s="1">
        <v>30</v>
      </c>
      <c r="S52" s="45">
        <v>33</v>
      </c>
    </row>
    <row r="53" spans="1:19" ht="15" thickBot="1" x14ac:dyDescent="0.35">
      <c r="A53" s="4">
        <v>662</v>
      </c>
      <c r="B53" s="2">
        <v>40573</v>
      </c>
      <c r="C53" s="1">
        <v>1</v>
      </c>
      <c r="D53" s="1">
        <v>21</v>
      </c>
      <c r="E53" s="16" t="b">
        <v>0</v>
      </c>
      <c r="F53" s="1">
        <v>0</v>
      </c>
      <c r="G53" s="21" t="str">
        <f t="shared" si="0"/>
        <v>Yes</v>
      </c>
      <c r="H53" s="26" t="str">
        <f t="shared" si="4"/>
        <v>Sunday</v>
      </c>
      <c r="I53" s="1">
        <v>2</v>
      </c>
      <c r="J53" s="21" t="str">
        <f t="shared" si="1"/>
        <v>Misty</v>
      </c>
      <c r="K53" s="1">
        <v>0.24</v>
      </c>
      <c r="L53" s="21" t="str">
        <f t="shared" si="2"/>
        <v>Safe</v>
      </c>
      <c r="M53" s="1">
        <v>0.2424</v>
      </c>
      <c r="N53" s="1">
        <v>0.7</v>
      </c>
      <c r="O53" s="21" t="str">
        <f t="shared" si="3"/>
        <v>Risky</v>
      </c>
      <c r="P53" s="1">
        <v>0.16420000000000001</v>
      </c>
      <c r="Q53" s="1">
        <v>3</v>
      </c>
      <c r="R53" s="1">
        <v>25</v>
      </c>
      <c r="S53" s="45">
        <v>28</v>
      </c>
    </row>
    <row r="54" spans="1:19" ht="15" thickBot="1" x14ac:dyDescent="0.35">
      <c r="A54" s="4">
        <v>663</v>
      </c>
      <c r="B54" s="2">
        <v>40573</v>
      </c>
      <c r="C54" s="1">
        <v>1</v>
      </c>
      <c r="D54" s="1">
        <v>22</v>
      </c>
      <c r="E54" s="16" t="b">
        <v>0</v>
      </c>
      <c r="F54" s="1">
        <v>0</v>
      </c>
      <c r="G54" s="21" t="str">
        <f t="shared" si="0"/>
        <v>Yes</v>
      </c>
      <c r="H54" s="26" t="str">
        <f t="shared" si="4"/>
        <v>Sunday</v>
      </c>
      <c r="I54" s="1">
        <v>2</v>
      </c>
      <c r="J54" s="21" t="str">
        <f t="shared" si="1"/>
        <v>Misty</v>
      </c>
      <c r="K54" s="1">
        <v>0.24</v>
      </c>
      <c r="L54" s="21" t="str">
        <f t="shared" si="2"/>
        <v>Safe</v>
      </c>
      <c r="M54" s="1">
        <v>0.2273</v>
      </c>
      <c r="N54" s="1">
        <v>0.7</v>
      </c>
      <c r="O54" s="21" t="str">
        <f t="shared" si="3"/>
        <v>Risky</v>
      </c>
      <c r="P54" s="1">
        <v>0.19400000000000001</v>
      </c>
      <c r="Q54" s="1">
        <v>2</v>
      </c>
      <c r="R54" s="1">
        <v>19</v>
      </c>
      <c r="S54" s="45">
        <v>21</v>
      </c>
    </row>
    <row r="55" spans="1:19" ht="15" thickBot="1" x14ac:dyDescent="0.35">
      <c r="A55" s="4">
        <v>664</v>
      </c>
      <c r="B55" s="2">
        <v>40573</v>
      </c>
      <c r="C55" s="1">
        <v>1</v>
      </c>
      <c r="D55" s="1">
        <v>23</v>
      </c>
      <c r="E55" s="16" t="b">
        <v>0</v>
      </c>
      <c r="F55" s="1">
        <v>0</v>
      </c>
      <c r="G55" s="21" t="str">
        <f t="shared" si="0"/>
        <v>Yes</v>
      </c>
      <c r="H55" s="26" t="str">
        <f t="shared" si="4"/>
        <v>Sunday</v>
      </c>
      <c r="I55" s="1">
        <v>2</v>
      </c>
      <c r="J55" s="21" t="str">
        <f t="shared" si="1"/>
        <v>Misty</v>
      </c>
      <c r="K55" s="1">
        <v>0.24</v>
      </c>
      <c r="L55" s="21" t="str">
        <f t="shared" si="2"/>
        <v>Safe</v>
      </c>
      <c r="M55" s="1">
        <v>0.21210000000000001</v>
      </c>
      <c r="N55" s="1">
        <v>0.65</v>
      </c>
      <c r="O55" s="21" t="str">
        <f t="shared" si="3"/>
        <v>Acceptable</v>
      </c>
      <c r="P55" s="1">
        <v>0.28360000000000002</v>
      </c>
      <c r="Q55" s="1">
        <v>5</v>
      </c>
      <c r="R55" s="1">
        <v>16</v>
      </c>
      <c r="S55" s="45">
        <v>21</v>
      </c>
    </row>
    <row r="56" spans="1:19" ht="15" thickBot="1" x14ac:dyDescent="0.35">
      <c r="A56" s="4">
        <v>665</v>
      </c>
      <c r="B56" s="2">
        <v>40574</v>
      </c>
      <c r="C56" s="1">
        <v>1</v>
      </c>
      <c r="D56" s="1">
        <v>0</v>
      </c>
      <c r="E56" s="16" t="b">
        <v>0</v>
      </c>
      <c r="F56" s="1">
        <v>1</v>
      </c>
      <c r="G56" s="21" t="str">
        <f t="shared" si="0"/>
        <v>No</v>
      </c>
      <c r="H56" s="26" t="str">
        <f t="shared" si="4"/>
        <v>Monday</v>
      </c>
      <c r="I56" s="1">
        <v>2</v>
      </c>
      <c r="J56" s="21" t="str">
        <f t="shared" si="1"/>
        <v>Misty</v>
      </c>
      <c r="K56" s="1">
        <v>0.24</v>
      </c>
      <c r="L56" s="21" t="str">
        <f t="shared" si="2"/>
        <v>Safe</v>
      </c>
      <c r="M56" s="1">
        <v>0.2273</v>
      </c>
      <c r="N56" s="1">
        <v>0.65</v>
      </c>
      <c r="O56" s="21" t="str">
        <f t="shared" si="3"/>
        <v>Acceptable</v>
      </c>
      <c r="P56" s="1">
        <v>0.22389999999999999</v>
      </c>
      <c r="Q56" s="1">
        <v>1</v>
      </c>
      <c r="R56" s="1">
        <v>6</v>
      </c>
      <c r="S56" s="45">
        <v>7</v>
      </c>
    </row>
    <row r="57" spans="1:19" ht="15" thickBot="1" x14ac:dyDescent="0.35">
      <c r="A57" s="4">
        <v>666</v>
      </c>
      <c r="B57" s="2">
        <v>40574</v>
      </c>
      <c r="C57" s="1">
        <v>1</v>
      </c>
      <c r="D57" s="1">
        <v>1</v>
      </c>
      <c r="E57" s="16" t="b">
        <v>0</v>
      </c>
      <c r="F57" s="1">
        <v>1</v>
      </c>
      <c r="G57" s="21" t="str">
        <f t="shared" si="0"/>
        <v>No</v>
      </c>
      <c r="H57" s="26" t="str">
        <f t="shared" si="4"/>
        <v>Monday</v>
      </c>
      <c r="I57" s="1">
        <v>1</v>
      </c>
      <c r="J57" s="21" t="str">
        <f t="shared" si="1"/>
        <v>Clean</v>
      </c>
      <c r="K57" s="1">
        <v>0.22</v>
      </c>
      <c r="L57" s="21" t="str">
        <f t="shared" si="2"/>
        <v>Safe</v>
      </c>
      <c r="M57" s="1">
        <v>0.21210000000000001</v>
      </c>
      <c r="N57" s="1">
        <v>0.64</v>
      </c>
      <c r="O57" s="21" t="str">
        <f t="shared" si="3"/>
        <v>Acceptable</v>
      </c>
      <c r="P57" s="1">
        <v>0.25369999999999998</v>
      </c>
      <c r="Q57" s="1">
        <v>2</v>
      </c>
      <c r="R57" s="1">
        <v>5</v>
      </c>
      <c r="S57" s="45">
        <v>7</v>
      </c>
    </row>
    <row r="58" spans="1:19" ht="15" thickBot="1" x14ac:dyDescent="0.35">
      <c r="A58" s="4">
        <v>667</v>
      </c>
      <c r="B58" s="2">
        <v>40574</v>
      </c>
      <c r="C58" s="1">
        <v>1</v>
      </c>
      <c r="D58" s="1">
        <v>2</v>
      </c>
      <c r="E58" s="16" t="b">
        <v>0</v>
      </c>
      <c r="F58" s="1">
        <v>1</v>
      </c>
      <c r="G58" s="21" t="str">
        <f t="shared" si="0"/>
        <v>No</v>
      </c>
      <c r="H58" s="26" t="str">
        <f t="shared" si="4"/>
        <v>Monday</v>
      </c>
      <c r="I58" s="1">
        <v>1</v>
      </c>
      <c r="J58" s="21" t="str">
        <f t="shared" si="1"/>
        <v>Clean</v>
      </c>
      <c r="K58" s="1">
        <v>0.22</v>
      </c>
      <c r="L58" s="21" t="str">
        <f t="shared" si="2"/>
        <v>Safe</v>
      </c>
      <c r="M58" s="1">
        <v>0.2273</v>
      </c>
      <c r="N58" s="1">
        <v>0.64</v>
      </c>
      <c r="O58" s="21" t="str">
        <f t="shared" si="3"/>
        <v>Acceptable</v>
      </c>
      <c r="P58" s="1">
        <v>0.19400000000000001</v>
      </c>
      <c r="Q58" s="1">
        <v>0</v>
      </c>
      <c r="R58" s="1">
        <v>1</v>
      </c>
      <c r="S58" s="45">
        <v>1</v>
      </c>
    </row>
    <row r="59" spans="1:19" ht="15" thickBot="1" x14ac:dyDescent="0.35">
      <c r="A59" s="4">
        <v>668</v>
      </c>
      <c r="B59" s="2">
        <v>40574</v>
      </c>
      <c r="C59" s="1">
        <v>1</v>
      </c>
      <c r="D59" s="1">
        <v>3</v>
      </c>
      <c r="E59" s="16" t="b">
        <v>0</v>
      </c>
      <c r="F59" s="1">
        <v>1</v>
      </c>
      <c r="G59" s="21" t="str">
        <f t="shared" si="0"/>
        <v>No</v>
      </c>
      <c r="H59" s="26" t="str">
        <f t="shared" si="4"/>
        <v>Monday</v>
      </c>
      <c r="I59" s="1">
        <v>1</v>
      </c>
      <c r="J59" s="21" t="str">
        <f t="shared" si="1"/>
        <v>Clean</v>
      </c>
      <c r="K59" s="1">
        <v>0.22</v>
      </c>
      <c r="L59" s="21" t="str">
        <f t="shared" si="2"/>
        <v>Safe</v>
      </c>
      <c r="M59" s="1">
        <v>0.2273</v>
      </c>
      <c r="N59" s="1">
        <v>0.64</v>
      </c>
      <c r="O59" s="21" t="str">
        <f t="shared" si="3"/>
        <v>Acceptable</v>
      </c>
      <c r="P59" s="1">
        <v>0.19400000000000001</v>
      </c>
      <c r="Q59" s="1">
        <v>0</v>
      </c>
      <c r="R59" s="1">
        <v>2</v>
      </c>
      <c r="S59" s="45">
        <v>2</v>
      </c>
    </row>
    <row r="60" spans="1:19" ht="15" thickBot="1" x14ac:dyDescent="0.35">
      <c r="A60" s="4">
        <v>669</v>
      </c>
      <c r="B60" s="2">
        <v>40574</v>
      </c>
      <c r="C60" s="1">
        <v>1</v>
      </c>
      <c r="D60" s="1">
        <v>4</v>
      </c>
      <c r="E60" s="16" t="b">
        <v>0</v>
      </c>
      <c r="F60" s="1">
        <v>1</v>
      </c>
      <c r="G60" s="21" t="str">
        <f t="shared" si="0"/>
        <v>No</v>
      </c>
      <c r="H60" s="26" t="str">
        <f t="shared" si="4"/>
        <v>Monday</v>
      </c>
      <c r="I60" s="1">
        <v>1</v>
      </c>
      <c r="J60" s="21" t="str">
        <f t="shared" si="1"/>
        <v>Clean</v>
      </c>
      <c r="K60" s="1">
        <v>0.2</v>
      </c>
      <c r="L60" s="21" t="str">
        <f t="shared" si="2"/>
        <v>Safe</v>
      </c>
      <c r="M60" s="1">
        <v>0.19700000000000001</v>
      </c>
      <c r="N60" s="1">
        <v>0.59</v>
      </c>
      <c r="O60" s="21" t="str">
        <f t="shared" si="3"/>
        <v>Acceptable</v>
      </c>
      <c r="P60" s="1">
        <v>0.22389999999999999</v>
      </c>
      <c r="Q60" s="1">
        <v>0</v>
      </c>
      <c r="R60" s="1">
        <v>2</v>
      </c>
      <c r="S60" s="45">
        <v>2</v>
      </c>
    </row>
    <row r="61" spans="1:19" ht="15" thickBot="1" x14ac:dyDescent="0.35">
      <c r="A61" s="4">
        <v>670</v>
      </c>
      <c r="B61" s="2">
        <v>40574</v>
      </c>
      <c r="C61" s="1">
        <v>1</v>
      </c>
      <c r="D61" s="1">
        <v>5</v>
      </c>
      <c r="E61" s="16" t="b">
        <v>0</v>
      </c>
      <c r="F61" s="1">
        <v>1</v>
      </c>
      <c r="G61" s="21" t="str">
        <f t="shared" si="0"/>
        <v>No</v>
      </c>
      <c r="H61" s="26" t="str">
        <f t="shared" si="4"/>
        <v>Monday</v>
      </c>
      <c r="I61" s="1">
        <v>1</v>
      </c>
      <c r="J61" s="21" t="str">
        <f t="shared" si="1"/>
        <v>Clean</v>
      </c>
      <c r="K61" s="1">
        <v>0.18</v>
      </c>
      <c r="L61" s="21" t="str">
        <f t="shared" si="2"/>
        <v>Safe</v>
      </c>
      <c r="M61" s="1">
        <v>0.16669999999999999</v>
      </c>
      <c r="N61" s="1">
        <v>0.64</v>
      </c>
      <c r="O61" s="21" t="str">
        <f t="shared" si="3"/>
        <v>Acceptable</v>
      </c>
      <c r="P61" s="1">
        <v>0.28360000000000002</v>
      </c>
      <c r="Q61" s="1">
        <v>0</v>
      </c>
      <c r="R61" s="1">
        <v>8</v>
      </c>
      <c r="S61" s="45">
        <v>8</v>
      </c>
    </row>
    <row r="62" spans="1:19" ht="15" thickBot="1" x14ac:dyDescent="0.35">
      <c r="A62" s="4">
        <v>671</v>
      </c>
      <c r="B62" s="2">
        <v>40574</v>
      </c>
      <c r="C62" s="1">
        <v>1</v>
      </c>
      <c r="D62" s="1">
        <v>6</v>
      </c>
      <c r="E62" s="16" t="b">
        <v>0</v>
      </c>
      <c r="F62" s="1">
        <v>1</v>
      </c>
      <c r="G62" s="21" t="str">
        <f t="shared" si="0"/>
        <v>No</v>
      </c>
      <c r="H62" s="26" t="str">
        <f t="shared" si="4"/>
        <v>Monday</v>
      </c>
      <c r="I62" s="1">
        <v>1</v>
      </c>
      <c r="J62" s="21" t="str">
        <f t="shared" si="1"/>
        <v>Clean</v>
      </c>
      <c r="K62" s="1">
        <v>0.16</v>
      </c>
      <c r="L62" s="21" t="str">
        <f t="shared" si="2"/>
        <v>Safe</v>
      </c>
      <c r="M62" s="1">
        <v>0.13639999999999999</v>
      </c>
      <c r="N62" s="1">
        <v>0.69</v>
      </c>
      <c r="O62" s="21" t="str">
        <f t="shared" si="3"/>
        <v>Acceptable</v>
      </c>
      <c r="P62" s="1">
        <v>0.32840000000000003</v>
      </c>
      <c r="Q62" s="1">
        <v>0</v>
      </c>
      <c r="R62" s="1">
        <v>37</v>
      </c>
      <c r="S62" s="45">
        <v>37</v>
      </c>
    </row>
    <row r="63" spans="1:19" ht="15" thickBot="1" x14ac:dyDescent="0.35">
      <c r="A63" s="4">
        <v>672</v>
      </c>
      <c r="B63" s="2">
        <v>40574</v>
      </c>
      <c r="C63" s="1">
        <v>1</v>
      </c>
      <c r="D63" s="1">
        <v>7</v>
      </c>
      <c r="E63" s="16" t="b">
        <v>0</v>
      </c>
      <c r="F63" s="1">
        <v>1</v>
      </c>
      <c r="G63" s="21" t="str">
        <f t="shared" si="0"/>
        <v>No</v>
      </c>
      <c r="H63" s="26" t="str">
        <f t="shared" si="4"/>
        <v>Monday</v>
      </c>
      <c r="I63" s="1">
        <v>2</v>
      </c>
      <c r="J63" s="21" t="str">
        <f t="shared" si="1"/>
        <v>Misty</v>
      </c>
      <c r="K63" s="1">
        <v>0.16</v>
      </c>
      <c r="L63" s="21" t="str">
        <f t="shared" si="2"/>
        <v>Safe</v>
      </c>
      <c r="M63" s="1">
        <v>0.13639999999999999</v>
      </c>
      <c r="N63" s="1">
        <v>0.64</v>
      </c>
      <c r="O63" s="21" t="str">
        <f t="shared" si="3"/>
        <v>Acceptable</v>
      </c>
      <c r="P63" s="1">
        <v>0.28360000000000002</v>
      </c>
      <c r="Q63" s="1">
        <v>1</v>
      </c>
      <c r="R63" s="1">
        <v>71</v>
      </c>
      <c r="S63" s="45">
        <v>72</v>
      </c>
    </row>
    <row r="64" spans="1:19" ht="15" thickBot="1" x14ac:dyDescent="0.35">
      <c r="A64" s="4">
        <v>673</v>
      </c>
      <c r="B64" s="2">
        <v>40574</v>
      </c>
      <c r="C64" s="1">
        <v>1</v>
      </c>
      <c r="D64" s="1">
        <v>8</v>
      </c>
      <c r="E64" s="16" t="b">
        <v>0</v>
      </c>
      <c r="F64" s="1">
        <v>1</v>
      </c>
      <c r="G64" s="21" t="str">
        <f t="shared" si="0"/>
        <v>No</v>
      </c>
      <c r="H64" s="26" t="str">
        <f t="shared" si="4"/>
        <v>Monday</v>
      </c>
      <c r="I64" s="1">
        <v>2</v>
      </c>
      <c r="J64" s="21" t="str">
        <f t="shared" si="1"/>
        <v>Misty</v>
      </c>
      <c r="K64" s="1">
        <v>0.16</v>
      </c>
      <c r="L64" s="21" t="str">
        <f t="shared" si="2"/>
        <v>Safe</v>
      </c>
      <c r="M64" s="1">
        <v>0.13639999999999999</v>
      </c>
      <c r="N64" s="1">
        <v>0.59</v>
      </c>
      <c r="O64" s="21" t="str">
        <f t="shared" si="3"/>
        <v>Acceptable</v>
      </c>
      <c r="P64" s="1">
        <v>0.28360000000000002</v>
      </c>
      <c r="Q64" s="1">
        <v>3</v>
      </c>
      <c r="R64" s="1">
        <v>182</v>
      </c>
      <c r="S64" s="45">
        <v>185</v>
      </c>
    </row>
    <row r="65" spans="1:19" ht="15" thickBot="1" x14ac:dyDescent="0.35">
      <c r="A65" s="4">
        <v>674</v>
      </c>
      <c r="B65" s="2">
        <v>40574</v>
      </c>
      <c r="C65" s="1">
        <v>1</v>
      </c>
      <c r="D65" s="1">
        <v>9</v>
      </c>
      <c r="E65" s="16" t="b">
        <v>0</v>
      </c>
      <c r="F65" s="1">
        <v>1</v>
      </c>
      <c r="G65" s="21" t="str">
        <f t="shared" si="0"/>
        <v>No</v>
      </c>
      <c r="H65" s="26" t="str">
        <f t="shared" si="4"/>
        <v>Monday</v>
      </c>
      <c r="I65" s="1">
        <v>2</v>
      </c>
      <c r="J65" s="21" t="str">
        <f t="shared" si="1"/>
        <v>Misty</v>
      </c>
      <c r="K65" s="1">
        <v>0.16</v>
      </c>
      <c r="L65" s="21" t="str">
        <f t="shared" si="2"/>
        <v>Safe</v>
      </c>
      <c r="M65" s="1">
        <v>0.13639999999999999</v>
      </c>
      <c r="N65" s="1">
        <v>0.59</v>
      </c>
      <c r="O65" s="21" t="str">
        <f t="shared" si="3"/>
        <v>Acceptable</v>
      </c>
      <c r="P65" s="1">
        <v>0.29849999999999999</v>
      </c>
      <c r="Q65" s="1">
        <v>0</v>
      </c>
      <c r="R65" s="1">
        <v>112</v>
      </c>
      <c r="S65" s="45">
        <v>112</v>
      </c>
    </row>
    <row r="66" spans="1:19" ht="15" thickBot="1" x14ac:dyDescent="0.35">
      <c r="A66" s="4">
        <v>675</v>
      </c>
      <c r="B66" s="2">
        <v>40574</v>
      </c>
      <c r="C66" s="1">
        <v>1</v>
      </c>
      <c r="D66" s="1">
        <v>10</v>
      </c>
      <c r="E66" s="16" t="b">
        <v>0</v>
      </c>
      <c r="F66" s="1">
        <v>1</v>
      </c>
      <c r="G66" s="21" t="str">
        <f t="shared" ref="G66:G129" si="5">_xlfn.IFS(F66=0,"Yes",F66=6,"Yes",F66&gt;0,"No")</f>
        <v>No</v>
      </c>
      <c r="H66" s="26" t="str">
        <f t="shared" si="4"/>
        <v>Monday</v>
      </c>
      <c r="I66" s="1">
        <v>2</v>
      </c>
      <c r="J66" s="21" t="str">
        <f t="shared" ref="J66:J129" si="6">_xlfn.IFS(I66=1,"Clean",I66=2,"Misty",I66=3,"Light Rain",I66=4,"Heavy Rain")</f>
        <v>Misty</v>
      </c>
      <c r="K66" s="1">
        <v>0.16</v>
      </c>
      <c r="L66" s="21" t="str">
        <f t="shared" ref="L66:L129" si="7">_xlfn.IFS(K66&lt;0.1,"Risky",K66&lt;0.35,"Safe",K66&gt;0.35,"Risky")</f>
        <v>Safe</v>
      </c>
      <c r="M66" s="1">
        <v>0.1515</v>
      </c>
      <c r="N66" s="1">
        <v>0.59</v>
      </c>
      <c r="O66" s="21" t="str">
        <f t="shared" ref="O66:O129" si="8">IF(N66&lt;0.7,"Acceptable","Risky")</f>
        <v>Acceptable</v>
      </c>
      <c r="P66" s="1">
        <v>0.19400000000000001</v>
      </c>
      <c r="Q66" s="1">
        <v>1</v>
      </c>
      <c r="R66" s="1">
        <v>68</v>
      </c>
      <c r="S66" s="45">
        <v>69</v>
      </c>
    </row>
    <row r="67" spans="1:19" ht="15" thickBot="1" x14ac:dyDescent="0.35">
      <c r="A67" s="4">
        <v>676</v>
      </c>
      <c r="B67" s="2">
        <v>40574</v>
      </c>
      <c r="C67" s="1">
        <v>1</v>
      </c>
      <c r="D67" s="1">
        <v>11</v>
      </c>
      <c r="E67" s="16" t="b">
        <v>0</v>
      </c>
      <c r="F67" s="1">
        <v>1</v>
      </c>
      <c r="G67" s="21" t="str">
        <f t="shared" si="5"/>
        <v>No</v>
      </c>
      <c r="H67" s="26" t="str">
        <f t="shared" ref="H67:H130" si="9">TEXT(B67:B456,"dddd")</f>
        <v>Monday</v>
      </c>
      <c r="I67" s="1">
        <v>2</v>
      </c>
      <c r="J67" s="21" t="str">
        <f t="shared" si="6"/>
        <v>Misty</v>
      </c>
      <c r="K67" s="1">
        <v>0.16</v>
      </c>
      <c r="L67" s="21" t="str">
        <f t="shared" si="7"/>
        <v>Safe</v>
      </c>
      <c r="M67" s="1">
        <v>0.1515</v>
      </c>
      <c r="N67" s="1">
        <v>0.59</v>
      </c>
      <c r="O67" s="21" t="str">
        <f t="shared" si="8"/>
        <v>Acceptable</v>
      </c>
      <c r="P67" s="1">
        <v>0.19400000000000001</v>
      </c>
      <c r="Q67" s="1">
        <v>2</v>
      </c>
      <c r="R67" s="1">
        <v>46</v>
      </c>
      <c r="S67" s="45">
        <v>48</v>
      </c>
    </row>
    <row r="68" spans="1:19" ht="15" thickBot="1" x14ac:dyDescent="0.35">
      <c r="A68" s="4">
        <v>677</v>
      </c>
      <c r="B68" s="2">
        <v>40574</v>
      </c>
      <c r="C68" s="1">
        <v>1</v>
      </c>
      <c r="D68" s="1">
        <v>12</v>
      </c>
      <c r="E68" s="16" t="b">
        <v>0</v>
      </c>
      <c r="F68" s="1">
        <v>1</v>
      </c>
      <c r="G68" s="21" t="str">
        <f t="shared" si="5"/>
        <v>No</v>
      </c>
      <c r="H68" s="26" t="str">
        <f t="shared" si="9"/>
        <v>Monday</v>
      </c>
      <c r="I68" s="1">
        <v>2</v>
      </c>
      <c r="J68" s="21" t="str">
        <f t="shared" si="6"/>
        <v>Misty</v>
      </c>
      <c r="K68" s="1">
        <v>0.18</v>
      </c>
      <c r="L68" s="21" t="str">
        <f t="shared" si="7"/>
        <v>Safe</v>
      </c>
      <c r="M68" s="1">
        <v>0.21210000000000001</v>
      </c>
      <c r="N68" s="1">
        <v>0.55000000000000004</v>
      </c>
      <c r="O68" s="21" t="str">
        <f t="shared" si="8"/>
        <v>Acceptable</v>
      </c>
      <c r="P68" s="1">
        <v>0.1045</v>
      </c>
      <c r="Q68" s="1">
        <v>6</v>
      </c>
      <c r="R68" s="1">
        <v>62</v>
      </c>
      <c r="S68" s="45">
        <v>68</v>
      </c>
    </row>
    <row r="69" spans="1:19" ht="15" thickBot="1" x14ac:dyDescent="0.35">
      <c r="A69" s="4">
        <v>678</v>
      </c>
      <c r="B69" s="2">
        <v>40574</v>
      </c>
      <c r="C69" s="1">
        <v>1</v>
      </c>
      <c r="D69" s="1">
        <v>13</v>
      </c>
      <c r="E69" s="16" t="b">
        <v>0</v>
      </c>
      <c r="F69" s="1">
        <v>1</v>
      </c>
      <c r="G69" s="21" t="str">
        <f t="shared" si="5"/>
        <v>No</v>
      </c>
      <c r="H69" s="26" t="str">
        <f t="shared" si="9"/>
        <v>Monday</v>
      </c>
      <c r="I69" s="1">
        <v>2</v>
      </c>
      <c r="J69" s="21" t="str">
        <f t="shared" si="6"/>
        <v>Misty</v>
      </c>
      <c r="K69" s="1">
        <v>0.16</v>
      </c>
      <c r="L69" s="21" t="str">
        <f t="shared" si="7"/>
        <v>Safe</v>
      </c>
      <c r="M69" s="1">
        <v>0.2273</v>
      </c>
      <c r="N69" s="1">
        <v>0.59</v>
      </c>
      <c r="O69" s="21" t="str">
        <f t="shared" si="8"/>
        <v>Acceptable</v>
      </c>
      <c r="P69" s="1">
        <v>0</v>
      </c>
      <c r="Q69" s="1">
        <v>2</v>
      </c>
      <c r="R69" s="1">
        <v>52</v>
      </c>
      <c r="S69" s="45">
        <v>54</v>
      </c>
    </row>
    <row r="70" spans="1:19" ht="15" thickBot="1" x14ac:dyDescent="0.35">
      <c r="A70" s="4">
        <v>679</v>
      </c>
      <c r="B70" s="2">
        <v>40574</v>
      </c>
      <c r="C70" s="1">
        <v>1</v>
      </c>
      <c r="D70" s="1">
        <v>14</v>
      </c>
      <c r="E70" s="16" t="b">
        <v>0</v>
      </c>
      <c r="F70" s="1">
        <v>1</v>
      </c>
      <c r="G70" s="21" t="str">
        <f t="shared" si="5"/>
        <v>No</v>
      </c>
      <c r="H70" s="26" t="str">
        <f t="shared" si="9"/>
        <v>Monday</v>
      </c>
      <c r="I70" s="1">
        <v>2</v>
      </c>
      <c r="J70" s="21" t="str">
        <f t="shared" si="6"/>
        <v>Misty</v>
      </c>
      <c r="K70" s="1">
        <v>0.18</v>
      </c>
      <c r="L70" s="21" t="str">
        <f t="shared" si="7"/>
        <v>Safe</v>
      </c>
      <c r="M70" s="1">
        <v>0.19700000000000001</v>
      </c>
      <c r="N70" s="1">
        <v>0.55000000000000004</v>
      </c>
      <c r="O70" s="21" t="str">
        <f t="shared" si="8"/>
        <v>Acceptable</v>
      </c>
      <c r="P70" s="1">
        <v>0.1343</v>
      </c>
      <c r="Q70" s="1">
        <v>1</v>
      </c>
      <c r="R70" s="1">
        <v>85</v>
      </c>
      <c r="S70" s="45">
        <v>86</v>
      </c>
    </row>
    <row r="71" spans="1:19" ht="15" thickBot="1" x14ac:dyDescent="0.35">
      <c r="A71" s="4">
        <v>680</v>
      </c>
      <c r="B71" s="2">
        <v>40574</v>
      </c>
      <c r="C71" s="1">
        <v>1</v>
      </c>
      <c r="D71" s="1">
        <v>15</v>
      </c>
      <c r="E71" s="16" t="b">
        <v>0</v>
      </c>
      <c r="F71" s="1">
        <v>1</v>
      </c>
      <c r="G71" s="21" t="str">
        <f t="shared" si="5"/>
        <v>No</v>
      </c>
      <c r="H71" s="26" t="str">
        <f t="shared" si="9"/>
        <v>Monday</v>
      </c>
      <c r="I71" s="1">
        <v>2</v>
      </c>
      <c r="J71" s="21" t="str">
        <f t="shared" si="6"/>
        <v>Misty</v>
      </c>
      <c r="K71" s="1">
        <v>0.16</v>
      </c>
      <c r="L71" s="21" t="str">
        <f t="shared" si="7"/>
        <v>Safe</v>
      </c>
      <c r="M71" s="1">
        <v>0.18179999999999999</v>
      </c>
      <c r="N71" s="1">
        <v>0.59</v>
      </c>
      <c r="O71" s="21" t="str">
        <f t="shared" si="8"/>
        <v>Acceptable</v>
      </c>
      <c r="P71" s="1">
        <v>0.1343</v>
      </c>
      <c r="Q71" s="1">
        <v>3</v>
      </c>
      <c r="R71" s="1">
        <v>41</v>
      </c>
      <c r="S71" s="45">
        <v>44</v>
      </c>
    </row>
    <row r="72" spans="1:19" ht="15" thickBot="1" x14ac:dyDescent="0.35">
      <c r="A72" s="4">
        <v>681</v>
      </c>
      <c r="B72" s="2">
        <v>40574</v>
      </c>
      <c r="C72" s="1">
        <v>1</v>
      </c>
      <c r="D72" s="1">
        <v>16</v>
      </c>
      <c r="E72" s="16" t="b">
        <v>0</v>
      </c>
      <c r="F72" s="1">
        <v>1</v>
      </c>
      <c r="G72" s="21" t="str">
        <f t="shared" si="5"/>
        <v>No</v>
      </c>
      <c r="H72" s="26" t="str">
        <f t="shared" si="9"/>
        <v>Monday</v>
      </c>
      <c r="I72" s="1">
        <v>2</v>
      </c>
      <c r="J72" s="21" t="str">
        <f t="shared" si="6"/>
        <v>Misty</v>
      </c>
      <c r="K72" s="1">
        <v>0.16</v>
      </c>
      <c r="L72" s="21" t="str">
        <f t="shared" si="7"/>
        <v>Safe</v>
      </c>
      <c r="M72" s="1">
        <v>0.18179999999999999</v>
      </c>
      <c r="N72" s="1">
        <v>0.56000000000000005</v>
      </c>
      <c r="O72" s="21" t="str">
        <f t="shared" si="8"/>
        <v>Acceptable</v>
      </c>
      <c r="P72" s="1">
        <v>0.19400000000000001</v>
      </c>
      <c r="Q72" s="1">
        <v>3</v>
      </c>
      <c r="R72" s="1">
        <v>83</v>
      </c>
      <c r="S72" s="45">
        <v>86</v>
      </c>
    </row>
    <row r="73" spans="1:19" ht="15" thickBot="1" x14ac:dyDescent="0.35">
      <c r="A73" s="4">
        <v>682</v>
      </c>
      <c r="B73" s="2">
        <v>40574</v>
      </c>
      <c r="C73" s="1">
        <v>1</v>
      </c>
      <c r="D73" s="1">
        <v>17</v>
      </c>
      <c r="E73" s="16" t="b">
        <v>0</v>
      </c>
      <c r="F73" s="1">
        <v>1</v>
      </c>
      <c r="G73" s="21" t="str">
        <f t="shared" si="5"/>
        <v>No</v>
      </c>
      <c r="H73" s="26" t="str">
        <f t="shared" si="9"/>
        <v>Monday</v>
      </c>
      <c r="I73" s="1">
        <v>2</v>
      </c>
      <c r="J73" s="21" t="str">
        <f t="shared" si="6"/>
        <v>Misty</v>
      </c>
      <c r="K73" s="1">
        <v>0.16</v>
      </c>
      <c r="L73" s="21" t="str">
        <f t="shared" si="7"/>
        <v>Safe</v>
      </c>
      <c r="M73" s="1">
        <v>0.1515</v>
      </c>
      <c r="N73" s="1">
        <v>0.59</v>
      </c>
      <c r="O73" s="21" t="str">
        <f t="shared" si="8"/>
        <v>Acceptable</v>
      </c>
      <c r="P73" s="1">
        <v>0.19400000000000001</v>
      </c>
      <c r="Q73" s="1">
        <v>6</v>
      </c>
      <c r="R73" s="1">
        <v>155</v>
      </c>
      <c r="S73" s="45">
        <v>161</v>
      </c>
    </row>
    <row r="74" spans="1:19" ht="15" thickBot="1" x14ac:dyDescent="0.35">
      <c r="A74" s="4">
        <v>683</v>
      </c>
      <c r="B74" s="2">
        <v>40574</v>
      </c>
      <c r="C74" s="1">
        <v>1</v>
      </c>
      <c r="D74" s="1">
        <v>18</v>
      </c>
      <c r="E74" s="16" t="b">
        <v>0</v>
      </c>
      <c r="F74" s="1">
        <v>1</v>
      </c>
      <c r="G74" s="21" t="str">
        <f t="shared" si="5"/>
        <v>No</v>
      </c>
      <c r="H74" s="26" t="str">
        <f t="shared" si="9"/>
        <v>Monday</v>
      </c>
      <c r="I74" s="1">
        <v>2</v>
      </c>
      <c r="J74" s="21" t="str">
        <f t="shared" si="6"/>
        <v>Misty</v>
      </c>
      <c r="K74" s="1">
        <v>0.16</v>
      </c>
      <c r="L74" s="21" t="str">
        <f t="shared" si="7"/>
        <v>Safe</v>
      </c>
      <c r="M74" s="1">
        <v>0.1515</v>
      </c>
      <c r="N74" s="1">
        <v>0.55000000000000004</v>
      </c>
      <c r="O74" s="21" t="str">
        <f t="shared" si="8"/>
        <v>Acceptable</v>
      </c>
      <c r="P74" s="1">
        <v>0.22389999999999999</v>
      </c>
      <c r="Q74" s="1">
        <v>3</v>
      </c>
      <c r="R74" s="1">
        <v>153</v>
      </c>
      <c r="S74" s="45">
        <v>156</v>
      </c>
    </row>
    <row r="75" spans="1:19" ht="15" thickBot="1" x14ac:dyDescent="0.35">
      <c r="A75" s="4">
        <v>684</v>
      </c>
      <c r="B75" s="2">
        <v>40574</v>
      </c>
      <c r="C75" s="1">
        <v>1</v>
      </c>
      <c r="D75" s="1">
        <v>19</v>
      </c>
      <c r="E75" s="16" t="b">
        <v>0</v>
      </c>
      <c r="F75" s="1">
        <v>1</v>
      </c>
      <c r="G75" s="21" t="str">
        <f t="shared" si="5"/>
        <v>No</v>
      </c>
      <c r="H75" s="26" t="str">
        <f t="shared" si="9"/>
        <v>Monday</v>
      </c>
      <c r="I75" s="1">
        <v>1</v>
      </c>
      <c r="J75" s="21" t="str">
        <f t="shared" si="6"/>
        <v>Clean</v>
      </c>
      <c r="K75" s="1">
        <v>0.3</v>
      </c>
      <c r="L75" s="21" t="str">
        <f t="shared" si="7"/>
        <v>Safe</v>
      </c>
      <c r="M75" s="1">
        <v>0.31819999999999998</v>
      </c>
      <c r="N75" s="1">
        <v>0.61</v>
      </c>
      <c r="O75" s="21" t="str">
        <f t="shared" si="8"/>
        <v>Acceptable</v>
      </c>
      <c r="P75" s="1">
        <v>0.1045</v>
      </c>
      <c r="Q75" s="1">
        <v>3</v>
      </c>
      <c r="R75" s="1">
        <v>108</v>
      </c>
      <c r="S75" s="45">
        <v>111</v>
      </c>
    </row>
    <row r="76" spans="1:19" ht="15" thickBot="1" x14ac:dyDescent="0.35">
      <c r="A76" s="4">
        <v>685</v>
      </c>
      <c r="B76" s="2">
        <v>40574</v>
      </c>
      <c r="C76" s="1">
        <v>1</v>
      </c>
      <c r="D76" s="1">
        <v>20</v>
      </c>
      <c r="E76" s="16" t="b">
        <v>0</v>
      </c>
      <c r="F76" s="1">
        <v>1</v>
      </c>
      <c r="G76" s="21" t="str">
        <f t="shared" si="5"/>
        <v>No</v>
      </c>
      <c r="H76" s="26" t="str">
        <f t="shared" si="9"/>
        <v>Monday</v>
      </c>
      <c r="I76" s="1">
        <v>3</v>
      </c>
      <c r="J76" s="21" t="str">
        <f t="shared" si="6"/>
        <v>Light Rain</v>
      </c>
      <c r="K76" s="1">
        <v>0.16</v>
      </c>
      <c r="L76" s="21" t="str">
        <f t="shared" si="7"/>
        <v>Safe</v>
      </c>
      <c r="M76" s="1">
        <v>0.16669999999999999</v>
      </c>
      <c r="N76" s="1">
        <v>0.59</v>
      </c>
      <c r="O76" s="21" t="str">
        <f t="shared" si="8"/>
        <v>Acceptable</v>
      </c>
      <c r="P76" s="1">
        <v>0.16420000000000001</v>
      </c>
      <c r="Q76" s="1">
        <v>0</v>
      </c>
      <c r="R76" s="1">
        <v>78</v>
      </c>
      <c r="S76" s="45">
        <v>78</v>
      </c>
    </row>
    <row r="77" spans="1:19" ht="15" thickBot="1" x14ac:dyDescent="0.35">
      <c r="A77" s="4">
        <v>686</v>
      </c>
      <c r="B77" s="2">
        <v>40574</v>
      </c>
      <c r="C77" s="1">
        <v>1</v>
      </c>
      <c r="D77" s="1">
        <v>21</v>
      </c>
      <c r="E77" s="16" t="b">
        <v>0</v>
      </c>
      <c r="F77" s="1">
        <v>1</v>
      </c>
      <c r="G77" s="21" t="str">
        <f t="shared" si="5"/>
        <v>No</v>
      </c>
      <c r="H77" s="26" t="str">
        <f t="shared" si="9"/>
        <v>Monday</v>
      </c>
      <c r="I77" s="1">
        <v>3</v>
      </c>
      <c r="J77" s="21" t="str">
        <f t="shared" si="6"/>
        <v>Light Rain</v>
      </c>
      <c r="K77" s="1">
        <v>0.16</v>
      </c>
      <c r="L77" s="21" t="str">
        <f t="shared" si="7"/>
        <v>Safe</v>
      </c>
      <c r="M77" s="1">
        <v>0.19700000000000001</v>
      </c>
      <c r="N77" s="1">
        <v>0.59</v>
      </c>
      <c r="O77" s="21" t="str">
        <f t="shared" si="8"/>
        <v>Acceptable</v>
      </c>
      <c r="P77" s="1">
        <v>8.9599999999999999E-2</v>
      </c>
      <c r="Q77" s="1">
        <v>3</v>
      </c>
      <c r="R77" s="1">
        <v>53</v>
      </c>
      <c r="S77" s="45">
        <v>56</v>
      </c>
    </row>
    <row r="78" spans="1:19" ht="15" thickBot="1" x14ac:dyDescent="0.35">
      <c r="A78" s="4">
        <v>687</v>
      </c>
      <c r="B78" s="2">
        <v>40574</v>
      </c>
      <c r="C78" s="1">
        <v>1</v>
      </c>
      <c r="D78" s="1">
        <v>22</v>
      </c>
      <c r="E78" s="16" t="b">
        <v>0</v>
      </c>
      <c r="F78" s="1">
        <v>1</v>
      </c>
      <c r="G78" s="21" t="str">
        <f t="shared" si="5"/>
        <v>No</v>
      </c>
      <c r="H78" s="26" t="str">
        <f t="shared" si="9"/>
        <v>Monday</v>
      </c>
      <c r="I78" s="1">
        <v>2</v>
      </c>
      <c r="J78" s="21" t="str">
        <f t="shared" si="6"/>
        <v>Misty</v>
      </c>
      <c r="K78" s="1">
        <v>0.16</v>
      </c>
      <c r="L78" s="21" t="str">
        <f t="shared" si="7"/>
        <v>Safe</v>
      </c>
      <c r="M78" s="1">
        <v>0.18179999999999999</v>
      </c>
      <c r="N78" s="1">
        <v>0.59</v>
      </c>
      <c r="O78" s="21" t="str">
        <f t="shared" si="8"/>
        <v>Acceptable</v>
      </c>
      <c r="P78" s="1">
        <v>0.1045</v>
      </c>
      <c r="Q78" s="1">
        <v>0</v>
      </c>
      <c r="R78" s="1">
        <v>34</v>
      </c>
      <c r="S78" s="45">
        <v>34</v>
      </c>
    </row>
    <row r="79" spans="1:19" ht="15" thickBot="1" x14ac:dyDescent="0.35">
      <c r="A79" s="4">
        <v>688</v>
      </c>
      <c r="B79" s="2">
        <v>40574</v>
      </c>
      <c r="C79" s="1">
        <v>1</v>
      </c>
      <c r="D79" s="1">
        <v>23</v>
      </c>
      <c r="E79" s="16" t="b">
        <v>0</v>
      </c>
      <c r="F79" s="1">
        <v>1</v>
      </c>
      <c r="G79" s="21" t="str">
        <f t="shared" si="5"/>
        <v>No</v>
      </c>
      <c r="H79" s="26" t="str">
        <f t="shared" si="9"/>
        <v>Monday</v>
      </c>
      <c r="I79" s="1">
        <v>2</v>
      </c>
      <c r="J79" s="21" t="str">
        <f t="shared" si="6"/>
        <v>Misty</v>
      </c>
      <c r="K79" s="1">
        <v>0.16</v>
      </c>
      <c r="L79" s="21" t="str">
        <f t="shared" si="7"/>
        <v>Safe</v>
      </c>
      <c r="M79" s="1">
        <v>0.19700000000000001</v>
      </c>
      <c r="N79" s="1">
        <v>0.64</v>
      </c>
      <c r="O79" s="21" t="str">
        <f t="shared" si="8"/>
        <v>Acceptable</v>
      </c>
      <c r="P79" s="1">
        <v>8.9599999999999999E-2</v>
      </c>
      <c r="Q79" s="1">
        <v>2</v>
      </c>
      <c r="R79" s="1">
        <v>15</v>
      </c>
      <c r="S79" s="45">
        <v>17</v>
      </c>
    </row>
    <row r="80" spans="1:19" ht="15" thickBot="1" x14ac:dyDescent="0.35">
      <c r="A80" s="4">
        <v>689</v>
      </c>
      <c r="B80" s="2">
        <v>40575</v>
      </c>
      <c r="C80" s="1">
        <v>2</v>
      </c>
      <c r="D80" s="1">
        <v>0</v>
      </c>
      <c r="E80" s="16" t="b">
        <v>0</v>
      </c>
      <c r="F80" s="1">
        <v>2</v>
      </c>
      <c r="G80" s="21" t="str">
        <f t="shared" si="5"/>
        <v>No</v>
      </c>
      <c r="H80" s="26" t="str">
        <f t="shared" si="9"/>
        <v>Tuesday</v>
      </c>
      <c r="I80" s="1">
        <v>2</v>
      </c>
      <c r="J80" s="21" t="str">
        <f t="shared" si="6"/>
        <v>Misty</v>
      </c>
      <c r="K80" s="1">
        <v>0.16</v>
      </c>
      <c r="L80" s="21" t="str">
        <f t="shared" si="7"/>
        <v>Safe</v>
      </c>
      <c r="M80" s="1">
        <v>0.18179999999999999</v>
      </c>
      <c r="N80" s="1">
        <v>0.64</v>
      </c>
      <c r="O80" s="21" t="str">
        <f t="shared" si="8"/>
        <v>Acceptable</v>
      </c>
      <c r="P80" s="1">
        <v>0.1045</v>
      </c>
      <c r="Q80" s="1">
        <v>2</v>
      </c>
      <c r="R80" s="1">
        <v>6</v>
      </c>
      <c r="S80" s="45">
        <v>8</v>
      </c>
    </row>
    <row r="81" spans="1:19" ht="15" thickBot="1" x14ac:dyDescent="0.35">
      <c r="A81" s="4">
        <v>690</v>
      </c>
      <c r="B81" s="2">
        <v>40575</v>
      </c>
      <c r="C81" s="1">
        <v>2</v>
      </c>
      <c r="D81" s="1">
        <v>1</v>
      </c>
      <c r="E81" s="16" t="b">
        <v>0</v>
      </c>
      <c r="F81" s="1">
        <v>2</v>
      </c>
      <c r="G81" s="21" t="str">
        <f t="shared" si="5"/>
        <v>No</v>
      </c>
      <c r="H81" s="26" t="str">
        <f t="shared" si="9"/>
        <v>Tuesday</v>
      </c>
      <c r="I81" s="1">
        <v>2</v>
      </c>
      <c r="J81" s="21" t="str">
        <f t="shared" si="6"/>
        <v>Misty</v>
      </c>
      <c r="K81" s="1">
        <v>0.16</v>
      </c>
      <c r="L81" s="21" t="str">
        <f t="shared" si="7"/>
        <v>Safe</v>
      </c>
      <c r="M81" s="1">
        <v>0.18179999999999999</v>
      </c>
      <c r="N81" s="1">
        <v>0.69</v>
      </c>
      <c r="O81" s="21" t="str">
        <f t="shared" si="8"/>
        <v>Acceptable</v>
      </c>
      <c r="P81" s="1">
        <v>0.1045</v>
      </c>
      <c r="Q81" s="1">
        <v>0</v>
      </c>
      <c r="R81" s="1">
        <v>3</v>
      </c>
      <c r="S81" s="45">
        <v>3</v>
      </c>
    </row>
    <row r="82" spans="1:19" ht="15" thickBot="1" x14ac:dyDescent="0.35">
      <c r="A82" s="4">
        <v>691</v>
      </c>
      <c r="B82" s="2">
        <v>40575</v>
      </c>
      <c r="C82" s="1">
        <v>2</v>
      </c>
      <c r="D82" s="1">
        <v>2</v>
      </c>
      <c r="E82" s="16" t="b">
        <v>0</v>
      </c>
      <c r="F82" s="1">
        <v>2</v>
      </c>
      <c r="G82" s="21" t="str">
        <f t="shared" si="5"/>
        <v>No</v>
      </c>
      <c r="H82" s="26" t="str">
        <f t="shared" si="9"/>
        <v>Tuesday</v>
      </c>
      <c r="I82" s="1">
        <v>2</v>
      </c>
      <c r="J82" s="21" t="str">
        <f t="shared" si="6"/>
        <v>Misty</v>
      </c>
      <c r="K82" s="1">
        <v>0.16</v>
      </c>
      <c r="L82" s="21" t="str">
        <f t="shared" si="7"/>
        <v>Safe</v>
      </c>
      <c r="M82" s="1">
        <v>0.2273</v>
      </c>
      <c r="N82" s="1">
        <v>0.69</v>
      </c>
      <c r="O82" s="21" t="str">
        <f t="shared" si="8"/>
        <v>Acceptable</v>
      </c>
      <c r="P82" s="1">
        <v>0</v>
      </c>
      <c r="Q82" s="1">
        <v>0</v>
      </c>
      <c r="R82" s="1">
        <v>2</v>
      </c>
      <c r="S82" s="45">
        <v>2</v>
      </c>
    </row>
    <row r="83" spans="1:19" ht="15" thickBot="1" x14ac:dyDescent="0.35">
      <c r="A83" s="4">
        <v>692</v>
      </c>
      <c r="B83" s="2">
        <v>40575</v>
      </c>
      <c r="C83" s="1">
        <v>2</v>
      </c>
      <c r="D83" s="1">
        <v>3</v>
      </c>
      <c r="E83" s="16" t="b">
        <v>0</v>
      </c>
      <c r="F83" s="1">
        <v>2</v>
      </c>
      <c r="G83" s="21" t="str">
        <f t="shared" si="5"/>
        <v>No</v>
      </c>
      <c r="H83" s="26" t="str">
        <f t="shared" si="9"/>
        <v>Tuesday</v>
      </c>
      <c r="I83" s="1">
        <v>2</v>
      </c>
      <c r="J83" s="21" t="str">
        <f t="shared" si="6"/>
        <v>Misty</v>
      </c>
      <c r="K83" s="1">
        <v>0.16</v>
      </c>
      <c r="L83" s="21" t="str">
        <f t="shared" si="7"/>
        <v>Safe</v>
      </c>
      <c r="M83" s="1">
        <v>0.2273</v>
      </c>
      <c r="N83" s="1">
        <v>0.69</v>
      </c>
      <c r="O83" s="21" t="str">
        <f t="shared" si="8"/>
        <v>Acceptable</v>
      </c>
      <c r="P83" s="1">
        <v>0</v>
      </c>
      <c r="Q83" s="1">
        <v>0</v>
      </c>
      <c r="R83" s="1">
        <v>2</v>
      </c>
      <c r="S83" s="45">
        <v>2</v>
      </c>
    </row>
    <row r="84" spans="1:19" ht="15" thickBot="1" x14ac:dyDescent="0.35">
      <c r="A84" s="4">
        <v>693</v>
      </c>
      <c r="B84" s="2">
        <v>40575</v>
      </c>
      <c r="C84" s="1">
        <v>2</v>
      </c>
      <c r="D84" s="1">
        <v>5</v>
      </c>
      <c r="E84" s="16" t="b">
        <v>0</v>
      </c>
      <c r="F84" s="1">
        <v>2</v>
      </c>
      <c r="G84" s="21" t="str">
        <f t="shared" si="5"/>
        <v>No</v>
      </c>
      <c r="H84" s="26" t="str">
        <f t="shared" si="9"/>
        <v>Tuesday</v>
      </c>
      <c r="I84" s="1">
        <v>3</v>
      </c>
      <c r="J84" s="21" t="str">
        <f t="shared" si="6"/>
        <v>Light Rain</v>
      </c>
      <c r="K84" s="1">
        <v>0.14000000000000001</v>
      </c>
      <c r="L84" s="21" t="str">
        <f t="shared" si="7"/>
        <v>Safe</v>
      </c>
      <c r="M84" s="1">
        <v>0.21210000000000001</v>
      </c>
      <c r="N84" s="1">
        <v>0.93</v>
      </c>
      <c r="O84" s="21" t="str">
        <f t="shared" si="8"/>
        <v>Risky</v>
      </c>
      <c r="P84" s="1">
        <v>0</v>
      </c>
      <c r="Q84" s="1">
        <v>0</v>
      </c>
      <c r="R84" s="1">
        <v>3</v>
      </c>
      <c r="S84" s="45">
        <v>3</v>
      </c>
    </row>
    <row r="85" spans="1:19" ht="15" thickBot="1" x14ac:dyDescent="0.35">
      <c r="A85" s="4">
        <v>694</v>
      </c>
      <c r="B85" s="2">
        <v>40575</v>
      </c>
      <c r="C85" s="1">
        <v>2</v>
      </c>
      <c r="D85" s="1">
        <v>6</v>
      </c>
      <c r="E85" s="16" t="b">
        <v>0</v>
      </c>
      <c r="F85" s="1">
        <v>2</v>
      </c>
      <c r="G85" s="21" t="str">
        <f t="shared" si="5"/>
        <v>No</v>
      </c>
      <c r="H85" s="26" t="str">
        <f t="shared" si="9"/>
        <v>Tuesday</v>
      </c>
      <c r="I85" s="1">
        <v>3</v>
      </c>
      <c r="J85" s="21" t="str">
        <f t="shared" si="6"/>
        <v>Light Rain</v>
      </c>
      <c r="K85" s="1">
        <v>0.14000000000000001</v>
      </c>
      <c r="L85" s="21" t="str">
        <f t="shared" si="7"/>
        <v>Safe</v>
      </c>
      <c r="M85" s="1">
        <v>0.21210000000000001</v>
      </c>
      <c r="N85" s="1">
        <v>0.93</v>
      </c>
      <c r="O85" s="21" t="str">
        <f t="shared" si="8"/>
        <v>Risky</v>
      </c>
      <c r="P85" s="1">
        <v>0</v>
      </c>
      <c r="Q85" s="1">
        <v>0</v>
      </c>
      <c r="R85" s="1">
        <v>22</v>
      </c>
      <c r="S85" s="45">
        <v>22</v>
      </c>
    </row>
    <row r="86" spans="1:19" ht="15" thickBot="1" x14ac:dyDescent="0.35">
      <c r="A86" s="4">
        <v>695</v>
      </c>
      <c r="B86" s="2">
        <v>40575</v>
      </c>
      <c r="C86" s="1">
        <v>2</v>
      </c>
      <c r="D86" s="1">
        <v>7</v>
      </c>
      <c r="E86" s="16" t="b">
        <v>0</v>
      </c>
      <c r="F86" s="1">
        <v>2</v>
      </c>
      <c r="G86" s="21" t="str">
        <f t="shared" si="5"/>
        <v>No</v>
      </c>
      <c r="H86" s="26" t="str">
        <f t="shared" si="9"/>
        <v>Tuesday</v>
      </c>
      <c r="I86" s="1">
        <v>3</v>
      </c>
      <c r="J86" s="21" t="str">
        <f t="shared" si="6"/>
        <v>Light Rain</v>
      </c>
      <c r="K86" s="1">
        <v>0.16</v>
      </c>
      <c r="L86" s="21" t="str">
        <f t="shared" si="7"/>
        <v>Safe</v>
      </c>
      <c r="M86" s="1">
        <v>0.2273</v>
      </c>
      <c r="N86" s="1">
        <v>0.93</v>
      </c>
      <c r="O86" s="21" t="str">
        <f t="shared" si="8"/>
        <v>Risky</v>
      </c>
      <c r="P86" s="1">
        <v>0</v>
      </c>
      <c r="Q86" s="1">
        <v>0</v>
      </c>
      <c r="R86" s="1">
        <v>52</v>
      </c>
      <c r="S86" s="45">
        <v>52</v>
      </c>
    </row>
    <row r="87" spans="1:19" ht="15" thickBot="1" x14ac:dyDescent="0.35">
      <c r="A87" s="4">
        <v>696</v>
      </c>
      <c r="B87" s="2">
        <v>40575</v>
      </c>
      <c r="C87" s="1">
        <v>2</v>
      </c>
      <c r="D87" s="1">
        <v>8</v>
      </c>
      <c r="E87" s="16" t="b">
        <v>0</v>
      </c>
      <c r="F87" s="1">
        <v>2</v>
      </c>
      <c r="G87" s="21" t="str">
        <f t="shared" si="5"/>
        <v>No</v>
      </c>
      <c r="H87" s="26" t="str">
        <f t="shared" si="9"/>
        <v>Tuesday</v>
      </c>
      <c r="I87" s="1">
        <v>3</v>
      </c>
      <c r="J87" s="21" t="str">
        <f t="shared" si="6"/>
        <v>Light Rain</v>
      </c>
      <c r="K87" s="1">
        <v>0.16</v>
      </c>
      <c r="L87" s="21" t="str">
        <f t="shared" si="7"/>
        <v>Safe</v>
      </c>
      <c r="M87" s="1">
        <v>0.2273</v>
      </c>
      <c r="N87" s="1">
        <v>0.93</v>
      </c>
      <c r="O87" s="21" t="str">
        <f t="shared" si="8"/>
        <v>Risky</v>
      </c>
      <c r="P87" s="1">
        <v>0</v>
      </c>
      <c r="Q87" s="1">
        <v>3</v>
      </c>
      <c r="R87" s="1">
        <v>132</v>
      </c>
      <c r="S87" s="45">
        <v>135</v>
      </c>
    </row>
    <row r="88" spans="1:19" ht="15" thickBot="1" x14ac:dyDescent="0.35">
      <c r="A88" s="4">
        <v>697</v>
      </c>
      <c r="B88" s="2">
        <v>40575</v>
      </c>
      <c r="C88" s="1">
        <v>2</v>
      </c>
      <c r="D88" s="1">
        <v>9</v>
      </c>
      <c r="E88" s="16" t="b">
        <v>0</v>
      </c>
      <c r="F88" s="1">
        <v>2</v>
      </c>
      <c r="G88" s="21" t="str">
        <f t="shared" si="5"/>
        <v>No</v>
      </c>
      <c r="H88" s="26" t="str">
        <f t="shared" si="9"/>
        <v>Tuesday</v>
      </c>
      <c r="I88" s="1">
        <v>2</v>
      </c>
      <c r="J88" s="21" t="str">
        <f t="shared" si="6"/>
        <v>Misty</v>
      </c>
      <c r="K88" s="1">
        <v>0.16</v>
      </c>
      <c r="L88" s="21" t="str">
        <f t="shared" si="7"/>
        <v>Safe</v>
      </c>
      <c r="M88" s="1">
        <v>0.2273</v>
      </c>
      <c r="N88" s="1">
        <v>0.93</v>
      </c>
      <c r="O88" s="21" t="str">
        <f t="shared" si="8"/>
        <v>Risky</v>
      </c>
      <c r="P88" s="1">
        <v>0</v>
      </c>
      <c r="Q88" s="1">
        <v>2</v>
      </c>
      <c r="R88" s="1">
        <v>114</v>
      </c>
      <c r="S88" s="45">
        <v>116</v>
      </c>
    </row>
    <row r="89" spans="1:19" ht="15" thickBot="1" x14ac:dyDescent="0.35">
      <c r="A89" s="4">
        <v>698</v>
      </c>
      <c r="B89" s="2">
        <v>40575</v>
      </c>
      <c r="C89" s="1">
        <v>2</v>
      </c>
      <c r="D89" s="1">
        <v>10</v>
      </c>
      <c r="E89" s="16" t="b">
        <v>0</v>
      </c>
      <c r="F89" s="1">
        <v>2</v>
      </c>
      <c r="G89" s="21" t="str">
        <f t="shared" si="5"/>
        <v>No</v>
      </c>
      <c r="H89" s="26" t="str">
        <f t="shared" si="9"/>
        <v>Tuesday</v>
      </c>
      <c r="I89" s="1">
        <v>2</v>
      </c>
      <c r="J89" s="21" t="str">
        <f t="shared" si="6"/>
        <v>Misty</v>
      </c>
      <c r="K89" s="1">
        <v>0.16</v>
      </c>
      <c r="L89" s="21" t="str">
        <f t="shared" si="7"/>
        <v>Safe</v>
      </c>
      <c r="M89" s="1">
        <v>0.2273</v>
      </c>
      <c r="N89" s="1">
        <v>0.93</v>
      </c>
      <c r="O89" s="21" t="str">
        <f t="shared" si="8"/>
        <v>Risky</v>
      </c>
      <c r="P89" s="1">
        <v>0</v>
      </c>
      <c r="Q89" s="1">
        <v>0</v>
      </c>
      <c r="R89" s="1">
        <v>47</v>
      </c>
      <c r="S89" s="45">
        <v>47</v>
      </c>
    </row>
    <row r="90" spans="1:19" ht="15" thickBot="1" x14ac:dyDescent="0.35">
      <c r="A90" s="4">
        <v>699</v>
      </c>
      <c r="B90" s="2">
        <v>40575</v>
      </c>
      <c r="C90" s="1">
        <v>2</v>
      </c>
      <c r="D90" s="1">
        <v>11</v>
      </c>
      <c r="E90" s="16" t="b">
        <v>0</v>
      </c>
      <c r="F90" s="1">
        <v>2</v>
      </c>
      <c r="G90" s="21" t="str">
        <f t="shared" si="5"/>
        <v>No</v>
      </c>
      <c r="H90" s="26" t="str">
        <f t="shared" si="9"/>
        <v>Tuesday</v>
      </c>
      <c r="I90" s="1">
        <v>2</v>
      </c>
      <c r="J90" s="21" t="str">
        <f t="shared" si="6"/>
        <v>Misty</v>
      </c>
      <c r="K90" s="1">
        <v>0.18</v>
      </c>
      <c r="L90" s="21" t="str">
        <f t="shared" si="7"/>
        <v>Safe</v>
      </c>
      <c r="M90" s="1">
        <v>0.2424</v>
      </c>
      <c r="N90" s="1">
        <v>0.86</v>
      </c>
      <c r="O90" s="21" t="str">
        <f t="shared" si="8"/>
        <v>Risky</v>
      </c>
      <c r="P90" s="1">
        <v>0</v>
      </c>
      <c r="Q90" s="1">
        <v>2</v>
      </c>
      <c r="R90" s="1">
        <v>49</v>
      </c>
      <c r="S90" s="45">
        <v>51</v>
      </c>
    </row>
    <row r="91" spans="1:19" ht="15" thickBot="1" x14ac:dyDescent="0.35">
      <c r="A91" s="4">
        <v>700</v>
      </c>
      <c r="B91" s="2">
        <v>40575</v>
      </c>
      <c r="C91" s="1">
        <v>2</v>
      </c>
      <c r="D91" s="1">
        <v>12</v>
      </c>
      <c r="E91" s="16" t="b">
        <v>0</v>
      </c>
      <c r="F91" s="1">
        <v>2</v>
      </c>
      <c r="G91" s="21" t="str">
        <f t="shared" si="5"/>
        <v>No</v>
      </c>
      <c r="H91" s="26" t="str">
        <f t="shared" si="9"/>
        <v>Tuesday</v>
      </c>
      <c r="I91" s="1">
        <v>2</v>
      </c>
      <c r="J91" s="21" t="str">
        <f t="shared" si="6"/>
        <v>Misty</v>
      </c>
      <c r="K91" s="1">
        <v>0.2</v>
      </c>
      <c r="L91" s="21" t="str">
        <f t="shared" si="7"/>
        <v>Safe</v>
      </c>
      <c r="M91" s="1">
        <v>0.2576</v>
      </c>
      <c r="N91" s="1">
        <v>0.86</v>
      </c>
      <c r="O91" s="21" t="str">
        <f t="shared" si="8"/>
        <v>Risky</v>
      </c>
      <c r="P91" s="1">
        <v>0</v>
      </c>
      <c r="Q91" s="1">
        <v>2</v>
      </c>
      <c r="R91" s="1">
        <v>53</v>
      </c>
      <c r="S91" s="45">
        <v>55</v>
      </c>
    </row>
    <row r="92" spans="1:19" ht="15" thickBot="1" x14ac:dyDescent="0.35">
      <c r="A92" s="4">
        <v>701</v>
      </c>
      <c r="B92" s="2">
        <v>40575</v>
      </c>
      <c r="C92" s="1">
        <v>2</v>
      </c>
      <c r="D92" s="1">
        <v>13</v>
      </c>
      <c r="E92" s="16" t="b">
        <v>0</v>
      </c>
      <c r="F92" s="1">
        <v>2</v>
      </c>
      <c r="G92" s="21" t="str">
        <f t="shared" si="5"/>
        <v>No</v>
      </c>
      <c r="H92" s="26" t="str">
        <f t="shared" si="9"/>
        <v>Tuesday</v>
      </c>
      <c r="I92" s="1">
        <v>2</v>
      </c>
      <c r="J92" s="21" t="str">
        <f t="shared" si="6"/>
        <v>Misty</v>
      </c>
      <c r="K92" s="1">
        <v>0.2</v>
      </c>
      <c r="L92" s="21" t="str">
        <f t="shared" si="7"/>
        <v>Safe</v>
      </c>
      <c r="M92" s="1">
        <v>0.2576</v>
      </c>
      <c r="N92" s="1">
        <v>0.86</v>
      </c>
      <c r="O92" s="21" t="str">
        <f t="shared" si="8"/>
        <v>Risky</v>
      </c>
      <c r="P92" s="1">
        <v>0</v>
      </c>
      <c r="Q92" s="1">
        <v>3</v>
      </c>
      <c r="R92" s="1">
        <v>49</v>
      </c>
      <c r="S92" s="45">
        <v>52</v>
      </c>
    </row>
    <row r="93" spans="1:19" ht="15" thickBot="1" x14ac:dyDescent="0.35">
      <c r="A93" s="4">
        <v>702</v>
      </c>
      <c r="B93" s="2">
        <v>40575</v>
      </c>
      <c r="C93" s="1">
        <v>2</v>
      </c>
      <c r="D93" s="1">
        <v>14</v>
      </c>
      <c r="E93" s="16" t="b">
        <v>0</v>
      </c>
      <c r="F93" s="1">
        <v>2</v>
      </c>
      <c r="G93" s="21" t="str">
        <f t="shared" si="5"/>
        <v>No</v>
      </c>
      <c r="H93" s="26" t="str">
        <f t="shared" si="9"/>
        <v>Tuesday</v>
      </c>
      <c r="I93" s="1">
        <v>2</v>
      </c>
      <c r="J93" s="21" t="str">
        <f t="shared" si="6"/>
        <v>Misty</v>
      </c>
      <c r="K93" s="1">
        <v>0.22</v>
      </c>
      <c r="L93" s="21" t="str">
        <f t="shared" si="7"/>
        <v>Safe</v>
      </c>
      <c r="M93" s="1">
        <v>0.2576</v>
      </c>
      <c r="N93" s="1">
        <v>0.8</v>
      </c>
      <c r="O93" s="21" t="str">
        <f t="shared" si="8"/>
        <v>Risky</v>
      </c>
      <c r="P93" s="1">
        <v>8.9599999999999999E-2</v>
      </c>
      <c r="Q93" s="1">
        <v>5</v>
      </c>
      <c r="R93" s="1">
        <v>49</v>
      </c>
      <c r="S93" s="45">
        <v>54</v>
      </c>
    </row>
    <row r="94" spans="1:19" ht="15" thickBot="1" x14ac:dyDescent="0.35">
      <c r="A94" s="4">
        <v>703</v>
      </c>
      <c r="B94" s="2">
        <v>40575</v>
      </c>
      <c r="C94" s="1">
        <v>2</v>
      </c>
      <c r="D94" s="1">
        <v>15</v>
      </c>
      <c r="E94" s="16" t="b">
        <v>0</v>
      </c>
      <c r="F94" s="1">
        <v>2</v>
      </c>
      <c r="G94" s="21" t="str">
        <f t="shared" si="5"/>
        <v>No</v>
      </c>
      <c r="H94" s="26" t="str">
        <f t="shared" si="9"/>
        <v>Tuesday</v>
      </c>
      <c r="I94" s="1">
        <v>2</v>
      </c>
      <c r="J94" s="21" t="str">
        <f t="shared" si="6"/>
        <v>Misty</v>
      </c>
      <c r="K94" s="1">
        <v>0.24</v>
      </c>
      <c r="L94" s="21" t="str">
        <f t="shared" si="7"/>
        <v>Safe</v>
      </c>
      <c r="M94" s="1">
        <v>0.28789999999999999</v>
      </c>
      <c r="N94" s="1">
        <v>0.75</v>
      </c>
      <c r="O94" s="21" t="str">
        <f t="shared" si="8"/>
        <v>Risky</v>
      </c>
      <c r="P94" s="1">
        <v>0</v>
      </c>
      <c r="Q94" s="1">
        <v>7</v>
      </c>
      <c r="R94" s="1">
        <v>45</v>
      </c>
      <c r="S94" s="45">
        <v>52</v>
      </c>
    </row>
    <row r="95" spans="1:19" ht="15" thickBot="1" x14ac:dyDescent="0.35">
      <c r="A95" s="4">
        <v>704</v>
      </c>
      <c r="B95" s="2">
        <v>40575</v>
      </c>
      <c r="C95" s="1">
        <v>2</v>
      </c>
      <c r="D95" s="1">
        <v>16</v>
      </c>
      <c r="E95" s="16" t="b">
        <v>0</v>
      </c>
      <c r="F95" s="1">
        <v>2</v>
      </c>
      <c r="G95" s="21" t="str">
        <f t="shared" si="5"/>
        <v>No</v>
      </c>
      <c r="H95" s="26" t="str">
        <f t="shared" si="9"/>
        <v>Tuesday</v>
      </c>
      <c r="I95" s="1">
        <v>2</v>
      </c>
      <c r="J95" s="21" t="str">
        <f t="shared" si="6"/>
        <v>Misty</v>
      </c>
      <c r="K95" s="1">
        <v>0.24</v>
      </c>
      <c r="L95" s="21" t="str">
        <f t="shared" si="7"/>
        <v>Safe</v>
      </c>
      <c r="M95" s="1">
        <v>0.2424</v>
      </c>
      <c r="N95" s="1">
        <v>0.75</v>
      </c>
      <c r="O95" s="21" t="str">
        <f t="shared" si="8"/>
        <v>Risky</v>
      </c>
      <c r="P95" s="1">
        <v>0.1343</v>
      </c>
      <c r="Q95" s="1">
        <v>3</v>
      </c>
      <c r="R95" s="1">
        <v>61</v>
      </c>
      <c r="S95" s="45">
        <v>64</v>
      </c>
    </row>
    <row r="96" spans="1:19" ht="15" thickBot="1" x14ac:dyDescent="0.35">
      <c r="A96" s="4">
        <v>705</v>
      </c>
      <c r="B96" s="2">
        <v>40575</v>
      </c>
      <c r="C96" s="1">
        <v>2</v>
      </c>
      <c r="D96" s="1">
        <v>17</v>
      </c>
      <c r="E96" s="16" t="b">
        <v>0</v>
      </c>
      <c r="F96" s="1">
        <v>2</v>
      </c>
      <c r="G96" s="21" t="str">
        <f t="shared" si="5"/>
        <v>No</v>
      </c>
      <c r="H96" s="26" t="str">
        <f t="shared" si="9"/>
        <v>Tuesday</v>
      </c>
      <c r="I96" s="1">
        <v>2</v>
      </c>
      <c r="J96" s="21" t="str">
        <f t="shared" si="6"/>
        <v>Misty</v>
      </c>
      <c r="K96" s="1">
        <v>0.24</v>
      </c>
      <c r="L96" s="21" t="str">
        <f t="shared" si="7"/>
        <v>Safe</v>
      </c>
      <c r="M96" s="1">
        <v>0.28789999999999999</v>
      </c>
      <c r="N96" s="1">
        <v>0.75</v>
      </c>
      <c r="O96" s="21" t="str">
        <f t="shared" si="8"/>
        <v>Risky</v>
      </c>
      <c r="P96" s="1">
        <v>0</v>
      </c>
      <c r="Q96" s="1">
        <v>4</v>
      </c>
      <c r="R96" s="1">
        <v>172</v>
      </c>
      <c r="S96" s="45">
        <v>176</v>
      </c>
    </row>
    <row r="97" spans="1:19" ht="15" thickBot="1" x14ac:dyDescent="0.35">
      <c r="A97" s="4">
        <v>706</v>
      </c>
      <c r="B97" s="2">
        <v>40575</v>
      </c>
      <c r="C97" s="1">
        <v>2</v>
      </c>
      <c r="D97" s="1">
        <v>18</v>
      </c>
      <c r="E97" s="16" t="b">
        <v>0</v>
      </c>
      <c r="F97" s="1">
        <v>2</v>
      </c>
      <c r="G97" s="21" t="str">
        <f t="shared" si="5"/>
        <v>No</v>
      </c>
      <c r="H97" s="26" t="str">
        <f t="shared" si="9"/>
        <v>Tuesday</v>
      </c>
      <c r="I97" s="1">
        <v>2</v>
      </c>
      <c r="J97" s="21" t="str">
        <f t="shared" si="6"/>
        <v>Misty</v>
      </c>
      <c r="K97" s="1">
        <v>0.24</v>
      </c>
      <c r="L97" s="21" t="str">
        <f t="shared" si="7"/>
        <v>Safe</v>
      </c>
      <c r="M97" s="1">
        <v>0.2576</v>
      </c>
      <c r="N97" s="1">
        <v>0.81</v>
      </c>
      <c r="O97" s="21" t="str">
        <f t="shared" si="8"/>
        <v>Risky</v>
      </c>
      <c r="P97" s="1">
        <v>0.1045</v>
      </c>
      <c r="Q97" s="1">
        <v>3</v>
      </c>
      <c r="R97" s="1">
        <v>165</v>
      </c>
      <c r="S97" s="45">
        <v>168</v>
      </c>
    </row>
    <row r="98" spans="1:19" ht="15" thickBot="1" x14ac:dyDescent="0.35">
      <c r="A98" s="4">
        <v>707</v>
      </c>
      <c r="B98" s="2">
        <v>40575</v>
      </c>
      <c r="C98" s="1">
        <v>2</v>
      </c>
      <c r="D98" s="1">
        <v>19</v>
      </c>
      <c r="E98" s="16" t="b">
        <v>0</v>
      </c>
      <c r="F98" s="1">
        <v>2</v>
      </c>
      <c r="G98" s="21" t="str">
        <f t="shared" si="5"/>
        <v>No</v>
      </c>
      <c r="H98" s="26" t="str">
        <f t="shared" si="9"/>
        <v>Tuesday</v>
      </c>
      <c r="I98" s="1">
        <v>2</v>
      </c>
      <c r="J98" s="21" t="str">
        <f t="shared" si="6"/>
        <v>Misty</v>
      </c>
      <c r="K98" s="1">
        <v>0.24</v>
      </c>
      <c r="L98" s="21" t="str">
        <f t="shared" si="7"/>
        <v>Safe</v>
      </c>
      <c r="M98" s="1">
        <v>0.2424</v>
      </c>
      <c r="N98" s="1">
        <v>0.81</v>
      </c>
      <c r="O98" s="21" t="str">
        <f t="shared" si="8"/>
        <v>Risky</v>
      </c>
      <c r="P98" s="1">
        <v>0.1343</v>
      </c>
      <c r="Q98" s="1">
        <v>3</v>
      </c>
      <c r="R98" s="1">
        <v>105</v>
      </c>
      <c r="S98" s="45">
        <v>108</v>
      </c>
    </row>
    <row r="99" spans="1:19" ht="15" thickBot="1" x14ac:dyDescent="0.35">
      <c r="A99" s="4">
        <v>708</v>
      </c>
      <c r="B99" s="2">
        <v>40575</v>
      </c>
      <c r="C99" s="1">
        <v>2</v>
      </c>
      <c r="D99" s="1">
        <v>20</v>
      </c>
      <c r="E99" s="16" t="b">
        <v>0</v>
      </c>
      <c r="F99" s="1">
        <v>2</v>
      </c>
      <c r="G99" s="21" t="str">
        <f t="shared" si="5"/>
        <v>No</v>
      </c>
      <c r="H99" s="26" t="str">
        <f t="shared" si="9"/>
        <v>Tuesday</v>
      </c>
      <c r="I99" s="1">
        <v>2</v>
      </c>
      <c r="J99" s="21" t="str">
        <f t="shared" si="6"/>
        <v>Misty</v>
      </c>
      <c r="K99" s="1">
        <v>0.22</v>
      </c>
      <c r="L99" s="21" t="str">
        <f t="shared" si="7"/>
        <v>Safe</v>
      </c>
      <c r="M99" s="1">
        <v>0.2273</v>
      </c>
      <c r="N99" s="1">
        <v>0.87</v>
      </c>
      <c r="O99" s="21" t="str">
        <f t="shared" si="8"/>
        <v>Risky</v>
      </c>
      <c r="P99" s="1">
        <v>0.1343</v>
      </c>
      <c r="Q99" s="1">
        <v>5</v>
      </c>
      <c r="R99" s="1">
        <v>69</v>
      </c>
      <c r="S99" s="45">
        <v>74</v>
      </c>
    </row>
    <row r="100" spans="1:19" ht="15" thickBot="1" x14ac:dyDescent="0.35">
      <c r="A100" s="4">
        <v>709</v>
      </c>
      <c r="B100" s="2">
        <v>40575</v>
      </c>
      <c r="C100" s="1">
        <v>2</v>
      </c>
      <c r="D100" s="1">
        <v>21</v>
      </c>
      <c r="E100" s="16" t="b">
        <v>0</v>
      </c>
      <c r="F100" s="1">
        <v>2</v>
      </c>
      <c r="G100" s="21" t="str">
        <f t="shared" si="5"/>
        <v>No</v>
      </c>
      <c r="H100" s="26" t="str">
        <f t="shared" si="9"/>
        <v>Tuesday</v>
      </c>
      <c r="I100" s="1">
        <v>2</v>
      </c>
      <c r="J100" s="21" t="str">
        <f t="shared" si="6"/>
        <v>Misty</v>
      </c>
      <c r="K100" s="1">
        <v>0.22</v>
      </c>
      <c r="L100" s="21" t="str">
        <f t="shared" si="7"/>
        <v>Safe</v>
      </c>
      <c r="M100" s="1">
        <v>0.2273</v>
      </c>
      <c r="N100" s="1">
        <v>0.87</v>
      </c>
      <c r="O100" s="21" t="str">
        <f t="shared" si="8"/>
        <v>Risky</v>
      </c>
      <c r="P100" s="1">
        <v>0.1343</v>
      </c>
      <c r="Q100" s="1">
        <v>0</v>
      </c>
      <c r="R100" s="1">
        <v>64</v>
      </c>
      <c r="S100" s="45">
        <v>64</v>
      </c>
    </row>
    <row r="101" spans="1:19" ht="15" thickBot="1" x14ac:dyDescent="0.35">
      <c r="A101" s="4">
        <v>710</v>
      </c>
      <c r="B101" s="2">
        <v>40575</v>
      </c>
      <c r="C101" s="1">
        <v>2</v>
      </c>
      <c r="D101" s="1">
        <v>22</v>
      </c>
      <c r="E101" s="16" t="b">
        <v>0</v>
      </c>
      <c r="F101" s="1">
        <v>2</v>
      </c>
      <c r="G101" s="21" t="str">
        <f t="shared" si="5"/>
        <v>No</v>
      </c>
      <c r="H101" s="26" t="str">
        <f t="shared" si="9"/>
        <v>Tuesday</v>
      </c>
      <c r="I101" s="1">
        <v>2</v>
      </c>
      <c r="J101" s="21" t="str">
        <f t="shared" si="6"/>
        <v>Misty</v>
      </c>
      <c r="K101" s="1">
        <v>0.22</v>
      </c>
      <c r="L101" s="21" t="str">
        <f t="shared" si="7"/>
        <v>Safe</v>
      </c>
      <c r="M101" s="1">
        <v>0.2576</v>
      </c>
      <c r="N101" s="1">
        <v>0.87</v>
      </c>
      <c r="O101" s="21" t="str">
        <f t="shared" si="8"/>
        <v>Risky</v>
      </c>
      <c r="P101" s="1">
        <v>8.9599999999999999E-2</v>
      </c>
      <c r="Q101" s="1">
        <v>2</v>
      </c>
      <c r="R101" s="1">
        <v>34</v>
      </c>
      <c r="S101" s="45">
        <v>36</v>
      </c>
    </row>
    <row r="102" spans="1:19" ht="15" thickBot="1" x14ac:dyDescent="0.35">
      <c r="A102" s="4">
        <v>711</v>
      </c>
      <c r="B102" s="2">
        <v>40575</v>
      </c>
      <c r="C102" s="1">
        <v>2</v>
      </c>
      <c r="D102" s="1">
        <v>23</v>
      </c>
      <c r="E102" s="16" t="b">
        <v>0</v>
      </c>
      <c r="F102" s="1">
        <v>2</v>
      </c>
      <c r="G102" s="21" t="str">
        <f t="shared" si="5"/>
        <v>No</v>
      </c>
      <c r="H102" s="26" t="str">
        <f t="shared" si="9"/>
        <v>Tuesday</v>
      </c>
      <c r="I102" s="1">
        <v>3</v>
      </c>
      <c r="J102" s="21" t="str">
        <f t="shared" si="6"/>
        <v>Light Rain</v>
      </c>
      <c r="K102" s="1">
        <v>0.2</v>
      </c>
      <c r="L102" s="21" t="str">
        <f t="shared" si="7"/>
        <v>Safe</v>
      </c>
      <c r="M102" s="1">
        <v>0.19700000000000001</v>
      </c>
      <c r="N102" s="1">
        <v>0.93</v>
      </c>
      <c r="O102" s="21" t="str">
        <f t="shared" si="8"/>
        <v>Risky</v>
      </c>
      <c r="P102" s="1">
        <v>0.19400000000000001</v>
      </c>
      <c r="Q102" s="1">
        <v>1</v>
      </c>
      <c r="R102" s="1">
        <v>15</v>
      </c>
      <c r="S102" s="45">
        <v>16</v>
      </c>
    </row>
    <row r="103" spans="1:19" ht="15" thickBot="1" x14ac:dyDescent="0.35">
      <c r="A103" s="4">
        <v>712</v>
      </c>
      <c r="B103" s="2">
        <v>40576</v>
      </c>
      <c r="C103" s="1">
        <v>2</v>
      </c>
      <c r="D103" s="1">
        <v>0</v>
      </c>
      <c r="E103" s="16" t="b">
        <v>0</v>
      </c>
      <c r="F103" s="1">
        <v>3</v>
      </c>
      <c r="G103" s="21" t="str">
        <f t="shared" si="5"/>
        <v>No</v>
      </c>
      <c r="H103" s="26" t="str">
        <f t="shared" si="9"/>
        <v>Wednesday</v>
      </c>
      <c r="I103" s="1">
        <v>3</v>
      </c>
      <c r="J103" s="21" t="str">
        <f t="shared" si="6"/>
        <v>Light Rain</v>
      </c>
      <c r="K103" s="1">
        <v>0.22</v>
      </c>
      <c r="L103" s="21" t="str">
        <f t="shared" si="7"/>
        <v>Safe</v>
      </c>
      <c r="M103" s="1">
        <v>0.2424</v>
      </c>
      <c r="N103" s="1">
        <v>0.93</v>
      </c>
      <c r="O103" s="21" t="str">
        <f t="shared" si="8"/>
        <v>Risky</v>
      </c>
      <c r="P103" s="1">
        <v>0.1045</v>
      </c>
      <c r="Q103" s="1">
        <v>0</v>
      </c>
      <c r="R103" s="1">
        <v>2</v>
      </c>
      <c r="S103" s="45">
        <v>2</v>
      </c>
    </row>
    <row r="104" spans="1:19" ht="15" thickBot="1" x14ac:dyDescent="0.35">
      <c r="A104" s="4">
        <v>713</v>
      </c>
      <c r="B104" s="2">
        <v>40576</v>
      </c>
      <c r="C104" s="1">
        <v>2</v>
      </c>
      <c r="D104" s="1">
        <v>1</v>
      </c>
      <c r="E104" s="16" t="b">
        <v>0</v>
      </c>
      <c r="F104" s="1">
        <v>3</v>
      </c>
      <c r="G104" s="21" t="str">
        <f t="shared" si="5"/>
        <v>No</v>
      </c>
      <c r="H104" s="26" t="str">
        <f t="shared" si="9"/>
        <v>Wednesday</v>
      </c>
      <c r="I104" s="1">
        <v>3</v>
      </c>
      <c r="J104" s="21" t="str">
        <f t="shared" si="6"/>
        <v>Light Rain</v>
      </c>
      <c r="K104" s="1">
        <v>0.22</v>
      </c>
      <c r="L104" s="21" t="str">
        <f t="shared" si="7"/>
        <v>Safe</v>
      </c>
      <c r="M104" s="1">
        <v>0.2273</v>
      </c>
      <c r="N104" s="1">
        <v>0.93</v>
      </c>
      <c r="O104" s="21" t="str">
        <f t="shared" si="8"/>
        <v>Risky</v>
      </c>
      <c r="P104" s="1">
        <v>0.19400000000000001</v>
      </c>
      <c r="Q104" s="1">
        <v>0</v>
      </c>
      <c r="R104" s="1">
        <v>3</v>
      </c>
      <c r="S104" s="45">
        <v>3</v>
      </c>
    </row>
    <row r="105" spans="1:19" ht="15" thickBot="1" x14ac:dyDescent="0.35">
      <c r="A105" s="4">
        <v>714</v>
      </c>
      <c r="B105" s="2">
        <v>40576</v>
      </c>
      <c r="C105" s="1">
        <v>2</v>
      </c>
      <c r="D105" s="1">
        <v>2</v>
      </c>
      <c r="E105" s="16" t="b">
        <v>0</v>
      </c>
      <c r="F105" s="1">
        <v>3</v>
      </c>
      <c r="G105" s="21" t="str">
        <f t="shared" si="5"/>
        <v>No</v>
      </c>
      <c r="H105" s="26" t="str">
        <f t="shared" si="9"/>
        <v>Wednesday</v>
      </c>
      <c r="I105" s="1">
        <v>3</v>
      </c>
      <c r="J105" s="21" t="str">
        <f t="shared" si="6"/>
        <v>Light Rain</v>
      </c>
      <c r="K105" s="1">
        <v>0.22</v>
      </c>
      <c r="L105" s="21" t="str">
        <f t="shared" si="7"/>
        <v>Safe</v>
      </c>
      <c r="M105" s="1">
        <v>0.2273</v>
      </c>
      <c r="N105" s="1">
        <v>0.93</v>
      </c>
      <c r="O105" s="21" t="str">
        <f t="shared" si="8"/>
        <v>Risky</v>
      </c>
      <c r="P105" s="1">
        <v>0.1343</v>
      </c>
      <c r="Q105" s="1">
        <v>4</v>
      </c>
      <c r="R105" s="1">
        <v>0</v>
      </c>
      <c r="S105" s="45">
        <v>4</v>
      </c>
    </row>
    <row r="106" spans="1:19" ht="15" thickBot="1" x14ac:dyDescent="0.35">
      <c r="A106" s="4">
        <v>715</v>
      </c>
      <c r="B106" s="2">
        <v>40576</v>
      </c>
      <c r="C106" s="1">
        <v>2</v>
      </c>
      <c r="D106" s="1">
        <v>3</v>
      </c>
      <c r="E106" s="16" t="b">
        <v>0</v>
      </c>
      <c r="F106" s="1">
        <v>3</v>
      </c>
      <c r="G106" s="21" t="str">
        <f t="shared" si="5"/>
        <v>No</v>
      </c>
      <c r="H106" s="26" t="str">
        <f t="shared" si="9"/>
        <v>Wednesday</v>
      </c>
      <c r="I106" s="1">
        <v>3</v>
      </c>
      <c r="J106" s="21" t="str">
        <f t="shared" si="6"/>
        <v>Light Rain</v>
      </c>
      <c r="K106" s="1">
        <v>0.22</v>
      </c>
      <c r="L106" s="21" t="str">
        <f t="shared" si="7"/>
        <v>Safe</v>
      </c>
      <c r="M106" s="1">
        <v>0.2273</v>
      </c>
      <c r="N106" s="1">
        <v>0.93</v>
      </c>
      <c r="O106" s="21" t="str">
        <f t="shared" si="8"/>
        <v>Risky</v>
      </c>
      <c r="P106" s="1">
        <v>0.1343</v>
      </c>
      <c r="Q106" s="1">
        <v>0</v>
      </c>
      <c r="R106" s="1">
        <v>1</v>
      </c>
      <c r="S106" s="45">
        <v>1</v>
      </c>
    </row>
    <row r="107" spans="1:19" ht="15" thickBot="1" x14ac:dyDescent="0.35">
      <c r="A107" s="4">
        <v>716</v>
      </c>
      <c r="B107" s="2">
        <v>40576</v>
      </c>
      <c r="C107" s="1">
        <v>2</v>
      </c>
      <c r="D107" s="1">
        <v>4</v>
      </c>
      <c r="E107" s="16" t="b">
        <v>0</v>
      </c>
      <c r="F107" s="1">
        <v>3</v>
      </c>
      <c r="G107" s="21" t="str">
        <f t="shared" si="5"/>
        <v>No</v>
      </c>
      <c r="H107" s="26" t="str">
        <f t="shared" si="9"/>
        <v>Wednesday</v>
      </c>
      <c r="I107" s="1">
        <v>3</v>
      </c>
      <c r="J107" s="21" t="str">
        <f t="shared" si="6"/>
        <v>Light Rain</v>
      </c>
      <c r="K107" s="1">
        <v>0.22</v>
      </c>
      <c r="L107" s="21" t="str">
        <f t="shared" si="7"/>
        <v>Safe</v>
      </c>
      <c r="M107" s="1">
        <v>0.21210000000000001</v>
      </c>
      <c r="N107" s="1">
        <v>0.93</v>
      </c>
      <c r="O107" s="21" t="str">
        <f t="shared" si="8"/>
        <v>Risky</v>
      </c>
      <c r="P107" s="1">
        <v>0.28360000000000002</v>
      </c>
      <c r="Q107" s="1">
        <v>0</v>
      </c>
      <c r="R107" s="1">
        <v>1</v>
      </c>
      <c r="S107" s="45">
        <v>1</v>
      </c>
    </row>
    <row r="108" spans="1:19" ht="15" thickBot="1" x14ac:dyDescent="0.35">
      <c r="A108" s="4">
        <v>717</v>
      </c>
      <c r="B108" s="2">
        <v>40576</v>
      </c>
      <c r="C108" s="1">
        <v>2</v>
      </c>
      <c r="D108" s="1">
        <v>5</v>
      </c>
      <c r="E108" s="16" t="b">
        <v>0</v>
      </c>
      <c r="F108" s="1">
        <v>3</v>
      </c>
      <c r="G108" s="21" t="str">
        <f t="shared" si="5"/>
        <v>No</v>
      </c>
      <c r="H108" s="26" t="str">
        <f t="shared" si="9"/>
        <v>Wednesday</v>
      </c>
      <c r="I108" s="1">
        <v>3</v>
      </c>
      <c r="J108" s="21" t="str">
        <f t="shared" si="6"/>
        <v>Light Rain</v>
      </c>
      <c r="K108" s="1">
        <v>0.22</v>
      </c>
      <c r="L108" s="21" t="str">
        <f t="shared" si="7"/>
        <v>Safe</v>
      </c>
      <c r="M108" s="1">
        <v>0.2424</v>
      </c>
      <c r="N108" s="1">
        <v>0.93</v>
      </c>
      <c r="O108" s="21" t="str">
        <f t="shared" si="8"/>
        <v>Risky</v>
      </c>
      <c r="P108" s="1">
        <v>0.1045</v>
      </c>
      <c r="Q108" s="1">
        <v>0</v>
      </c>
      <c r="R108" s="1">
        <v>3</v>
      </c>
      <c r="S108" s="45">
        <v>3</v>
      </c>
    </row>
    <row r="109" spans="1:19" ht="15" thickBot="1" x14ac:dyDescent="0.35">
      <c r="A109" s="4">
        <v>718</v>
      </c>
      <c r="B109" s="2">
        <v>40576</v>
      </c>
      <c r="C109" s="1">
        <v>2</v>
      </c>
      <c r="D109" s="1">
        <v>6</v>
      </c>
      <c r="E109" s="16" t="b">
        <v>0</v>
      </c>
      <c r="F109" s="1">
        <v>3</v>
      </c>
      <c r="G109" s="21" t="str">
        <f t="shared" si="5"/>
        <v>No</v>
      </c>
      <c r="H109" s="26" t="str">
        <f t="shared" si="9"/>
        <v>Wednesday</v>
      </c>
      <c r="I109" s="1">
        <v>3</v>
      </c>
      <c r="J109" s="21" t="str">
        <f t="shared" si="6"/>
        <v>Light Rain</v>
      </c>
      <c r="K109" s="1">
        <v>0.22</v>
      </c>
      <c r="L109" s="21" t="str">
        <f t="shared" si="7"/>
        <v>Safe</v>
      </c>
      <c r="M109" s="1">
        <v>0.2424</v>
      </c>
      <c r="N109" s="1">
        <v>0.93</v>
      </c>
      <c r="O109" s="21" t="str">
        <f t="shared" si="8"/>
        <v>Risky</v>
      </c>
      <c r="P109" s="1">
        <v>0.1045</v>
      </c>
      <c r="Q109" s="1">
        <v>1</v>
      </c>
      <c r="R109" s="1">
        <v>17</v>
      </c>
      <c r="S109" s="45">
        <v>18</v>
      </c>
    </row>
    <row r="110" spans="1:19" ht="15" thickBot="1" x14ac:dyDescent="0.35">
      <c r="A110" s="4">
        <v>719</v>
      </c>
      <c r="B110" s="2">
        <v>40576</v>
      </c>
      <c r="C110" s="1">
        <v>2</v>
      </c>
      <c r="D110" s="1">
        <v>7</v>
      </c>
      <c r="E110" s="16" t="b">
        <v>0</v>
      </c>
      <c r="F110" s="1">
        <v>3</v>
      </c>
      <c r="G110" s="21" t="str">
        <f t="shared" si="5"/>
        <v>No</v>
      </c>
      <c r="H110" s="26" t="str">
        <f t="shared" si="9"/>
        <v>Wednesday</v>
      </c>
      <c r="I110" s="1">
        <v>3</v>
      </c>
      <c r="J110" s="21" t="str">
        <f t="shared" si="6"/>
        <v>Light Rain</v>
      </c>
      <c r="K110" s="1">
        <v>0.22</v>
      </c>
      <c r="L110" s="21" t="str">
        <f t="shared" si="7"/>
        <v>Safe</v>
      </c>
      <c r="M110" s="1">
        <v>0.21210000000000001</v>
      </c>
      <c r="N110" s="1">
        <v>0.93</v>
      </c>
      <c r="O110" s="21" t="str">
        <f t="shared" si="8"/>
        <v>Risky</v>
      </c>
      <c r="P110" s="1">
        <v>0.22389999999999999</v>
      </c>
      <c r="Q110" s="1">
        <v>1</v>
      </c>
      <c r="R110" s="1">
        <v>48</v>
      </c>
      <c r="S110" s="45">
        <v>49</v>
      </c>
    </row>
    <row r="111" spans="1:19" ht="15" thickBot="1" x14ac:dyDescent="0.35">
      <c r="A111" s="4">
        <v>720</v>
      </c>
      <c r="B111" s="2">
        <v>40576</v>
      </c>
      <c r="C111" s="1">
        <v>2</v>
      </c>
      <c r="D111" s="1">
        <v>8</v>
      </c>
      <c r="E111" s="16" t="b">
        <v>0</v>
      </c>
      <c r="F111" s="1">
        <v>3</v>
      </c>
      <c r="G111" s="21" t="str">
        <f t="shared" si="5"/>
        <v>No</v>
      </c>
      <c r="H111" s="26" t="str">
        <f t="shared" si="9"/>
        <v>Wednesday</v>
      </c>
      <c r="I111" s="1">
        <v>3</v>
      </c>
      <c r="J111" s="21" t="str">
        <f t="shared" si="6"/>
        <v>Light Rain</v>
      </c>
      <c r="K111" s="1">
        <v>0.22</v>
      </c>
      <c r="L111" s="21" t="str">
        <f t="shared" si="7"/>
        <v>Safe</v>
      </c>
      <c r="M111" s="1">
        <v>0.21210000000000001</v>
      </c>
      <c r="N111" s="1">
        <v>0.93</v>
      </c>
      <c r="O111" s="21" t="str">
        <f t="shared" si="8"/>
        <v>Risky</v>
      </c>
      <c r="P111" s="1">
        <v>0.22389999999999999</v>
      </c>
      <c r="Q111" s="1">
        <v>1</v>
      </c>
      <c r="R111" s="1">
        <v>154</v>
      </c>
      <c r="S111" s="45">
        <v>155</v>
      </c>
    </row>
    <row r="112" spans="1:19" ht="15" thickBot="1" x14ac:dyDescent="0.35">
      <c r="A112" s="4">
        <v>721</v>
      </c>
      <c r="B112" s="2">
        <v>40576</v>
      </c>
      <c r="C112" s="1">
        <v>2</v>
      </c>
      <c r="D112" s="1">
        <v>9</v>
      </c>
      <c r="E112" s="16" t="b">
        <v>0</v>
      </c>
      <c r="F112" s="1">
        <v>3</v>
      </c>
      <c r="G112" s="21" t="str">
        <f t="shared" si="5"/>
        <v>No</v>
      </c>
      <c r="H112" s="26" t="str">
        <f t="shared" si="9"/>
        <v>Wednesday</v>
      </c>
      <c r="I112" s="1">
        <v>2</v>
      </c>
      <c r="J112" s="21" t="str">
        <f t="shared" si="6"/>
        <v>Misty</v>
      </c>
      <c r="K112" s="1">
        <v>0.24</v>
      </c>
      <c r="L112" s="21" t="str">
        <f t="shared" si="7"/>
        <v>Safe</v>
      </c>
      <c r="M112" s="1">
        <v>0.2576</v>
      </c>
      <c r="N112" s="1">
        <v>0.93</v>
      </c>
      <c r="O112" s="21" t="str">
        <f t="shared" si="8"/>
        <v>Risky</v>
      </c>
      <c r="P112" s="1">
        <v>8.9599999999999999E-2</v>
      </c>
      <c r="Q112" s="1">
        <v>4</v>
      </c>
      <c r="R112" s="1">
        <v>119</v>
      </c>
      <c r="S112" s="45">
        <v>123</v>
      </c>
    </row>
    <row r="113" spans="1:19" ht="15" thickBot="1" x14ac:dyDescent="0.35">
      <c r="A113" s="4">
        <v>722</v>
      </c>
      <c r="B113" s="2">
        <v>40576</v>
      </c>
      <c r="C113" s="1">
        <v>2</v>
      </c>
      <c r="D113" s="1">
        <v>10</v>
      </c>
      <c r="E113" s="16" t="b">
        <v>0</v>
      </c>
      <c r="F113" s="1">
        <v>3</v>
      </c>
      <c r="G113" s="21" t="str">
        <f t="shared" si="5"/>
        <v>No</v>
      </c>
      <c r="H113" s="26" t="str">
        <f t="shared" si="9"/>
        <v>Wednesday</v>
      </c>
      <c r="I113" s="1">
        <v>2</v>
      </c>
      <c r="J113" s="21" t="str">
        <f t="shared" si="6"/>
        <v>Misty</v>
      </c>
      <c r="K113" s="1">
        <v>0.22</v>
      </c>
      <c r="L113" s="21" t="str">
        <f t="shared" si="7"/>
        <v>Safe</v>
      </c>
      <c r="M113" s="1">
        <v>0.2727</v>
      </c>
      <c r="N113" s="1">
        <v>1</v>
      </c>
      <c r="O113" s="21" t="str">
        <f t="shared" si="8"/>
        <v>Risky</v>
      </c>
      <c r="P113" s="1">
        <v>0</v>
      </c>
      <c r="Q113" s="1">
        <v>2</v>
      </c>
      <c r="R113" s="1">
        <v>59</v>
      </c>
      <c r="S113" s="45">
        <v>61</v>
      </c>
    </row>
    <row r="114" spans="1:19" ht="15" thickBot="1" x14ac:dyDescent="0.35">
      <c r="A114" s="4">
        <v>723</v>
      </c>
      <c r="B114" s="2">
        <v>40576</v>
      </c>
      <c r="C114" s="1">
        <v>2</v>
      </c>
      <c r="D114" s="1">
        <v>11</v>
      </c>
      <c r="E114" s="16" t="b">
        <v>0</v>
      </c>
      <c r="F114" s="1">
        <v>3</v>
      </c>
      <c r="G114" s="21" t="str">
        <f t="shared" si="5"/>
        <v>No</v>
      </c>
      <c r="H114" s="26" t="str">
        <f t="shared" si="9"/>
        <v>Wednesday</v>
      </c>
      <c r="I114" s="1">
        <v>2</v>
      </c>
      <c r="J114" s="21" t="str">
        <f t="shared" si="6"/>
        <v>Misty</v>
      </c>
      <c r="K114" s="1">
        <v>0.24</v>
      </c>
      <c r="L114" s="21" t="str">
        <f t="shared" si="7"/>
        <v>Safe</v>
      </c>
      <c r="M114" s="1">
        <v>0.2273</v>
      </c>
      <c r="N114" s="1">
        <v>0.93</v>
      </c>
      <c r="O114" s="21" t="str">
        <f t="shared" si="8"/>
        <v>Risky</v>
      </c>
      <c r="P114" s="1">
        <v>0.19400000000000001</v>
      </c>
      <c r="Q114" s="1">
        <v>5</v>
      </c>
      <c r="R114" s="1">
        <v>47</v>
      </c>
      <c r="S114" s="45">
        <v>52</v>
      </c>
    </row>
    <row r="115" spans="1:19" ht="15" thickBot="1" x14ac:dyDescent="0.35">
      <c r="A115" s="4">
        <v>724</v>
      </c>
      <c r="B115" s="2">
        <v>40576</v>
      </c>
      <c r="C115" s="1">
        <v>2</v>
      </c>
      <c r="D115" s="1">
        <v>12</v>
      </c>
      <c r="E115" s="16" t="b">
        <v>0</v>
      </c>
      <c r="F115" s="1">
        <v>3</v>
      </c>
      <c r="G115" s="21" t="str">
        <f t="shared" si="5"/>
        <v>No</v>
      </c>
      <c r="H115" s="26" t="str">
        <f t="shared" si="9"/>
        <v>Wednesday</v>
      </c>
      <c r="I115" s="1">
        <v>2</v>
      </c>
      <c r="J115" s="21" t="str">
        <f t="shared" si="6"/>
        <v>Misty</v>
      </c>
      <c r="K115" s="1">
        <v>0.24</v>
      </c>
      <c r="L115" s="21" t="str">
        <f t="shared" si="7"/>
        <v>Safe</v>
      </c>
      <c r="M115" s="1">
        <v>0.2273</v>
      </c>
      <c r="N115" s="1">
        <v>0.93</v>
      </c>
      <c r="O115" s="21" t="str">
        <f t="shared" si="8"/>
        <v>Risky</v>
      </c>
      <c r="P115" s="1">
        <v>0.22389999999999999</v>
      </c>
      <c r="Q115" s="1">
        <v>3</v>
      </c>
      <c r="R115" s="1">
        <v>61</v>
      </c>
      <c r="S115" s="45">
        <v>64</v>
      </c>
    </row>
    <row r="116" spans="1:19" ht="15" thickBot="1" x14ac:dyDescent="0.35">
      <c r="A116" s="4">
        <v>725</v>
      </c>
      <c r="B116" s="2">
        <v>40576</v>
      </c>
      <c r="C116" s="1">
        <v>2</v>
      </c>
      <c r="D116" s="1">
        <v>13</v>
      </c>
      <c r="E116" s="16" t="b">
        <v>0</v>
      </c>
      <c r="F116" s="1">
        <v>3</v>
      </c>
      <c r="G116" s="21" t="str">
        <f t="shared" si="5"/>
        <v>No</v>
      </c>
      <c r="H116" s="26" t="str">
        <f t="shared" si="9"/>
        <v>Wednesday</v>
      </c>
      <c r="I116" s="1">
        <v>1</v>
      </c>
      <c r="J116" s="21" t="str">
        <f t="shared" si="6"/>
        <v>Clean</v>
      </c>
      <c r="K116" s="1">
        <v>0.34</v>
      </c>
      <c r="L116" s="21" t="str">
        <f t="shared" si="7"/>
        <v>Safe</v>
      </c>
      <c r="M116" s="1">
        <v>0.33329999999999999</v>
      </c>
      <c r="N116" s="1">
        <v>0.93</v>
      </c>
      <c r="O116" s="21" t="str">
        <f t="shared" si="8"/>
        <v>Risky</v>
      </c>
      <c r="P116" s="1">
        <v>0.16420000000000001</v>
      </c>
      <c r="Q116" s="1">
        <v>1</v>
      </c>
      <c r="R116" s="1">
        <v>74</v>
      </c>
      <c r="S116" s="45">
        <v>75</v>
      </c>
    </row>
    <row r="117" spans="1:19" ht="15" thickBot="1" x14ac:dyDescent="0.35">
      <c r="A117" s="4">
        <v>726</v>
      </c>
      <c r="B117" s="2">
        <v>40576</v>
      </c>
      <c r="C117" s="1">
        <v>2</v>
      </c>
      <c r="D117" s="1">
        <v>14</v>
      </c>
      <c r="E117" s="16" t="b">
        <v>0</v>
      </c>
      <c r="F117" s="1">
        <v>3</v>
      </c>
      <c r="G117" s="21" t="str">
        <f t="shared" si="5"/>
        <v>No</v>
      </c>
      <c r="H117" s="26" t="str">
        <f t="shared" si="9"/>
        <v>Wednesday</v>
      </c>
      <c r="I117" s="1">
        <v>1</v>
      </c>
      <c r="J117" s="21" t="str">
        <f t="shared" si="6"/>
        <v>Clean</v>
      </c>
      <c r="K117" s="1">
        <v>0.38</v>
      </c>
      <c r="L117" s="21" t="str">
        <f t="shared" si="7"/>
        <v>Risky</v>
      </c>
      <c r="M117" s="1">
        <v>0.39389999999999997</v>
      </c>
      <c r="N117" s="1">
        <v>0.82</v>
      </c>
      <c r="O117" s="21" t="str">
        <f t="shared" si="8"/>
        <v>Risky</v>
      </c>
      <c r="P117" s="1">
        <v>0.3881</v>
      </c>
      <c r="Q117" s="1">
        <v>2</v>
      </c>
      <c r="R117" s="1">
        <v>61</v>
      </c>
      <c r="S117" s="45">
        <v>63</v>
      </c>
    </row>
    <row r="118" spans="1:19" ht="15" thickBot="1" x14ac:dyDescent="0.35">
      <c r="A118" s="4">
        <v>727</v>
      </c>
      <c r="B118" s="2">
        <v>40576</v>
      </c>
      <c r="C118" s="1">
        <v>2</v>
      </c>
      <c r="D118" s="1">
        <v>15</v>
      </c>
      <c r="E118" s="16" t="b">
        <v>0</v>
      </c>
      <c r="F118" s="1">
        <v>3</v>
      </c>
      <c r="G118" s="21" t="str">
        <f t="shared" si="5"/>
        <v>No</v>
      </c>
      <c r="H118" s="26" t="str">
        <f t="shared" si="9"/>
        <v>Wednesday</v>
      </c>
      <c r="I118" s="1">
        <v>1</v>
      </c>
      <c r="J118" s="21" t="str">
        <f t="shared" si="6"/>
        <v>Clean</v>
      </c>
      <c r="K118" s="1">
        <v>0.38</v>
      </c>
      <c r="L118" s="21" t="str">
        <f t="shared" si="7"/>
        <v>Risky</v>
      </c>
      <c r="M118" s="1">
        <v>0.39389999999999997</v>
      </c>
      <c r="N118" s="1">
        <v>0.76</v>
      </c>
      <c r="O118" s="21" t="str">
        <f t="shared" si="8"/>
        <v>Risky</v>
      </c>
      <c r="P118" s="1">
        <v>0.32840000000000003</v>
      </c>
      <c r="Q118" s="1">
        <v>10</v>
      </c>
      <c r="R118" s="1">
        <v>66</v>
      </c>
      <c r="S118" s="45">
        <v>76</v>
      </c>
    </row>
    <row r="119" spans="1:19" ht="15" thickBot="1" x14ac:dyDescent="0.35">
      <c r="A119" s="4">
        <v>728</v>
      </c>
      <c r="B119" s="2">
        <v>40576</v>
      </c>
      <c r="C119" s="1">
        <v>2</v>
      </c>
      <c r="D119" s="1">
        <v>16</v>
      </c>
      <c r="E119" s="16" t="b">
        <v>0</v>
      </c>
      <c r="F119" s="1">
        <v>3</v>
      </c>
      <c r="G119" s="21" t="str">
        <f t="shared" si="5"/>
        <v>No</v>
      </c>
      <c r="H119" s="26" t="str">
        <f t="shared" si="9"/>
        <v>Wednesday</v>
      </c>
      <c r="I119" s="1">
        <v>1</v>
      </c>
      <c r="J119" s="21" t="str">
        <f t="shared" si="6"/>
        <v>Clean</v>
      </c>
      <c r="K119" s="1">
        <v>0.36</v>
      </c>
      <c r="L119" s="21" t="str">
        <f t="shared" si="7"/>
        <v>Risky</v>
      </c>
      <c r="M119" s="1">
        <v>0.33329999999999999</v>
      </c>
      <c r="N119" s="1">
        <v>0.71</v>
      </c>
      <c r="O119" s="21" t="str">
        <f t="shared" si="8"/>
        <v>Risky</v>
      </c>
      <c r="P119" s="1">
        <v>0.29849999999999999</v>
      </c>
      <c r="Q119" s="1">
        <v>8</v>
      </c>
      <c r="R119" s="1">
        <v>95</v>
      </c>
      <c r="S119" s="45">
        <v>103</v>
      </c>
    </row>
    <row r="120" spans="1:19" ht="15" thickBot="1" x14ac:dyDescent="0.35">
      <c r="A120" s="4">
        <v>729</v>
      </c>
      <c r="B120" s="2">
        <v>40576</v>
      </c>
      <c r="C120" s="1">
        <v>2</v>
      </c>
      <c r="D120" s="1">
        <v>17</v>
      </c>
      <c r="E120" s="16" t="b">
        <v>0</v>
      </c>
      <c r="F120" s="1">
        <v>3</v>
      </c>
      <c r="G120" s="21" t="str">
        <f t="shared" si="5"/>
        <v>No</v>
      </c>
      <c r="H120" s="26" t="str">
        <f t="shared" si="9"/>
        <v>Wednesday</v>
      </c>
      <c r="I120" s="1">
        <v>1</v>
      </c>
      <c r="J120" s="21" t="str">
        <f t="shared" si="6"/>
        <v>Clean</v>
      </c>
      <c r="K120" s="1">
        <v>0.36</v>
      </c>
      <c r="L120" s="21" t="str">
        <f t="shared" si="7"/>
        <v>Risky</v>
      </c>
      <c r="M120" s="1">
        <v>0.31819999999999998</v>
      </c>
      <c r="N120" s="1">
        <v>0.53</v>
      </c>
      <c r="O120" s="21" t="str">
        <f t="shared" si="8"/>
        <v>Acceptable</v>
      </c>
      <c r="P120" s="1">
        <v>0.52239999999999998</v>
      </c>
      <c r="Q120" s="1">
        <v>7</v>
      </c>
      <c r="R120" s="1">
        <v>183</v>
      </c>
      <c r="S120" s="45">
        <v>190</v>
      </c>
    </row>
    <row r="121" spans="1:19" ht="15" thickBot="1" x14ac:dyDescent="0.35">
      <c r="A121" s="4">
        <v>730</v>
      </c>
      <c r="B121" s="2">
        <v>40576</v>
      </c>
      <c r="C121" s="1">
        <v>2</v>
      </c>
      <c r="D121" s="1">
        <v>18</v>
      </c>
      <c r="E121" s="16" t="b">
        <v>0</v>
      </c>
      <c r="F121" s="1">
        <v>3</v>
      </c>
      <c r="G121" s="21" t="str">
        <f t="shared" si="5"/>
        <v>No</v>
      </c>
      <c r="H121" s="26" t="str">
        <f t="shared" si="9"/>
        <v>Wednesday</v>
      </c>
      <c r="I121" s="1">
        <v>1</v>
      </c>
      <c r="J121" s="21" t="str">
        <f t="shared" si="6"/>
        <v>Clean</v>
      </c>
      <c r="K121" s="1">
        <v>0.34</v>
      </c>
      <c r="L121" s="21" t="str">
        <f t="shared" si="7"/>
        <v>Safe</v>
      </c>
      <c r="M121" s="1">
        <v>0.28789999999999999</v>
      </c>
      <c r="N121" s="1">
        <v>0.42</v>
      </c>
      <c r="O121" s="21" t="str">
        <f t="shared" si="8"/>
        <v>Acceptable</v>
      </c>
      <c r="P121" s="1">
        <v>0.55220000000000002</v>
      </c>
      <c r="Q121" s="1">
        <v>7</v>
      </c>
      <c r="R121" s="1">
        <v>175</v>
      </c>
      <c r="S121" s="45">
        <v>182</v>
      </c>
    </row>
    <row r="122" spans="1:19" ht="15" thickBot="1" x14ac:dyDescent="0.35">
      <c r="A122" s="4">
        <v>731</v>
      </c>
      <c r="B122" s="2">
        <v>40576</v>
      </c>
      <c r="C122" s="1">
        <v>2</v>
      </c>
      <c r="D122" s="1">
        <v>19</v>
      </c>
      <c r="E122" s="16" t="b">
        <v>0</v>
      </c>
      <c r="F122" s="1">
        <v>3</v>
      </c>
      <c r="G122" s="21" t="str">
        <f t="shared" si="5"/>
        <v>No</v>
      </c>
      <c r="H122" s="26" t="str">
        <f t="shared" si="9"/>
        <v>Wednesday</v>
      </c>
      <c r="I122" s="1">
        <v>1</v>
      </c>
      <c r="J122" s="21" t="str">
        <f t="shared" si="6"/>
        <v>Clean</v>
      </c>
      <c r="K122" s="1">
        <v>0.28000000000000003</v>
      </c>
      <c r="L122" s="21" t="str">
        <f t="shared" si="7"/>
        <v>Safe</v>
      </c>
      <c r="M122" s="1">
        <v>0.2424</v>
      </c>
      <c r="N122" s="1">
        <v>0.45</v>
      </c>
      <c r="O122" s="21" t="str">
        <f t="shared" si="8"/>
        <v>Acceptable</v>
      </c>
      <c r="P122" s="1">
        <v>0.49249999999999999</v>
      </c>
      <c r="Q122" s="1">
        <v>3</v>
      </c>
      <c r="R122" s="1">
        <v>88</v>
      </c>
      <c r="S122" s="45">
        <v>91</v>
      </c>
    </row>
    <row r="123" spans="1:19" ht="15" thickBot="1" x14ac:dyDescent="0.35">
      <c r="A123" s="4">
        <v>732</v>
      </c>
      <c r="B123" s="2">
        <v>40576</v>
      </c>
      <c r="C123" s="1">
        <v>2</v>
      </c>
      <c r="D123" s="1">
        <v>20</v>
      </c>
      <c r="E123" s="16" t="b">
        <v>0</v>
      </c>
      <c r="F123" s="1">
        <v>3</v>
      </c>
      <c r="G123" s="21" t="str">
        <f t="shared" si="5"/>
        <v>No</v>
      </c>
      <c r="H123" s="26" t="str">
        <f t="shared" si="9"/>
        <v>Wednesday</v>
      </c>
      <c r="I123" s="1">
        <v>1</v>
      </c>
      <c r="J123" s="21" t="str">
        <f t="shared" si="6"/>
        <v>Clean</v>
      </c>
      <c r="K123" s="1">
        <v>0.24</v>
      </c>
      <c r="L123" s="21" t="str">
        <f t="shared" si="7"/>
        <v>Safe</v>
      </c>
      <c r="M123" s="1">
        <v>0.19700000000000001</v>
      </c>
      <c r="N123" s="1">
        <v>0.48</v>
      </c>
      <c r="O123" s="21" t="str">
        <f t="shared" si="8"/>
        <v>Acceptable</v>
      </c>
      <c r="P123" s="1">
        <v>0.55220000000000002</v>
      </c>
      <c r="Q123" s="1">
        <v>4</v>
      </c>
      <c r="R123" s="1">
        <v>71</v>
      </c>
      <c r="S123" s="45">
        <v>75</v>
      </c>
    </row>
    <row r="124" spans="1:19" ht="15" thickBot="1" x14ac:dyDescent="0.35">
      <c r="A124" s="4">
        <v>733</v>
      </c>
      <c r="B124" s="2">
        <v>40576</v>
      </c>
      <c r="C124" s="1">
        <v>2</v>
      </c>
      <c r="D124" s="1">
        <v>21</v>
      </c>
      <c r="E124" s="16" t="b">
        <v>0</v>
      </c>
      <c r="F124" s="1">
        <v>3</v>
      </c>
      <c r="G124" s="21" t="str">
        <f t="shared" si="5"/>
        <v>No</v>
      </c>
      <c r="H124" s="26" t="str">
        <f t="shared" si="9"/>
        <v>Wednesday</v>
      </c>
      <c r="I124" s="1">
        <v>1</v>
      </c>
      <c r="J124" s="21" t="str">
        <f t="shared" si="6"/>
        <v>Clean</v>
      </c>
      <c r="K124" s="1">
        <v>0.22</v>
      </c>
      <c r="L124" s="21" t="str">
        <f t="shared" si="7"/>
        <v>Safe</v>
      </c>
      <c r="M124" s="1">
        <v>0.19700000000000001</v>
      </c>
      <c r="N124" s="1">
        <v>0.47</v>
      </c>
      <c r="O124" s="21" t="str">
        <f t="shared" si="8"/>
        <v>Acceptable</v>
      </c>
      <c r="P124" s="1">
        <v>0.32840000000000003</v>
      </c>
      <c r="Q124" s="1">
        <v>1</v>
      </c>
      <c r="R124" s="1">
        <v>62</v>
      </c>
      <c r="S124" s="45">
        <v>63</v>
      </c>
    </row>
    <row r="125" spans="1:19" ht="15" thickBot="1" x14ac:dyDescent="0.35">
      <c r="A125" s="4">
        <v>734</v>
      </c>
      <c r="B125" s="2">
        <v>40576</v>
      </c>
      <c r="C125" s="1">
        <v>2</v>
      </c>
      <c r="D125" s="1">
        <v>22</v>
      </c>
      <c r="E125" s="16" t="b">
        <v>0</v>
      </c>
      <c r="F125" s="1">
        <v>3</v>
      </c>
      <c r="G125" s="21" t="str">
        <f t="shared" si="5"/>
        <v>No</v>
      </c>
      <c r="H125" s="26" t="str">
        <f t="shared" si="9"/>
        <v>Wednesday</v>
      </c>
      <c r="I125" s="1">
        <v>1</v>
      </c>
      <c r="J125" s="21" t="str">
        <f t="shared" si="6"/>
        <v>Clean</v>
      </c>
      <c r="K125" s="1">
        <v>0.22</v>
      </c>
      <c r="L125" s="21" t="str">
        <f t="shared" si="7"/>
        <v>Safe</v>
      </c>
      <c r="M125" s="1">
        <v>0.21210000000000001</v>
      </c>
      <c r="N125" s="1">
        <v>0.44</v>
      </c>
      <c r="O125" s="21" t="str">
        <f t="shared" si="8"/>
        <v>Acceptable</v>
      </c>
      <c r="P125" s="1">
        <v>0.25369999999999998</v>
      </c>
      <c r="Q125" s="1">
        <v>5</v>
      </c>
      <c r="R125" s="1">
        <v>35</v>
      </c>
      <c r="S125" s="45">
        <v>40</v>
      </c>
    </row>
    <row r="126" spans="1:19" ht="15" thickBot="1" x14ac:dyDescent="0.35">
      <c r="A126" s="4">
        <v>735</v>
      </c>
      <c r="B126" s="2">
        <v>40576</v>
      </c>
      <c r="C126" s="1">
        <v>2</v>
      </c>
      <c r="D126" s="1">
        <v>23</v>
      </c>
      <c r="E126" s="16" t="b">
        <v>0</v>
      </c>
      <c r="F126" s="1">
        <v>3</v>
      </c>
      <c r="G126" s="21" t="str">
        <f t="shared" si="5"/>
        <v>No</v>
      </c>
      <c r="H126" s="26" t="str">
        <f t="shared" si="9"/>
        <v>Wednesday</v>
      </c>
      <c r="I126" s="1">
        <v>1</v>
      </c>
      <c r="J126" s="21" t="str">
        <f t="shared" si="6"/>
        <v>Clean</v>
      </c>
      <c r="K126" s="1">
        <v>0.2</v>
      </c>
      <c r="L126" s="21" t="str">
        <f t="shared" si="7"/>
        <v>Safe</v>
      </c>
      <c r="M126" s="1">
        <v>0.16669999999999999</v>
      </c>
      <c r="N126" s="1">
        <v>0.44</v>
      </c>
      <c r="O126" s="21" t="str">
        <f t="shared" si="8"/>
        <v>Acceptable</v>
      </c>
      <c r="P126" s="1">
        <v>0.44779999999999998</v>
      </c>
      <c r="Q126" s="1">
        <v>3</v>
      </c>
      <c r="R126" s="1">
        <v>29</v>
      </c>
      <c r="S126" s="45">
        <v>32</v>
      </c>
    </row>
    <row r="127" spans="1:19" ht="15" thickBot="1" x14ac:dyDescent="0.35">
      <c r="A127" s="4">
        <v>736</v>
      </c>
      <c r="B127" s="2">
        <v>40577</v>
      </c>
      <c r="C127" s="1">
        <v>2</v>
      </c>
      <c r="D127" s="1">
        <v>0</v>
      </c>
      <c r="E127" s="16" t="b">
        <v>0</v>
      </c>
      <c r="F127" s="1">
        <v>4</v>
      </c>
      <c r="G127" s="21" t="str">
        <f t="shared" si="5"/>
        <v>No</v>
      </c>
      <c r="H127" s="26" t="str">
        <f t="shared" si="9"/>
        <v>Thursday</v>
      </c>
      <c r="I127" s="1">
        <v>1</v>
      </c>
      <c r="J127" s="21" t="str">
        <f t="shared" si="6"/>
        <v>Clean</v>
      </c>
      <c r="K127" s="1">
        <v>0.2</v>
      </c>
      <c r="L127" s="21" t="str">
        <f t="shared" si="7"/>
        <v>Safe</v>
      </c>
      <c r="M127" s="1">
        <v>0.16669999999999999</v>
      </c>
      <c r="N127" s="1">
        <v>0.4</v>
      </c>
      <c r="O127" s="21" t="str">
        <f t="shared" si="8"/>
        <v>Acceptable</v>
      </c>
      <c r="P127" s="1">
        <v>0.44779999999999998</v>
      </c>
      <c r="Q127" s="1">
        <v>1</v>
      </c>
      <c r="R127" s="1">
        <v>11</v>
      </c>
      <c r="S127" s="45">
        <v>12</v>
      </c>
    </row>
    <row r="128" spans="1:19" ht="15" thickBot="1" x14ac:dyDescent="0.35">
      <c r="A128" s="4">
        <v>737</v>
      </c>
      <c r="B128" s="2">
        <v>40577</v>
      </c>
      <c r="C128" s="1">
        <v>2</v>
      </c>
      <c r="D128" s="1">
        <v>1</v>
      </c>
      <c r="E128" s="16" t="b">
        <v>0</v>
      </c>
      <c r="F128" s="1">
        <v>4</v>
      </c>
      <c r="G128" s="21" t="str">
        <f t="shared" si="5"/>
        <v>No</v>
      </c>
      <c r="H128" s="26" t="str">
        <f t="shared" si="9"/>
        <v>Thursday</v>
      </c>
      <c r="I128" s="1">
        <v>1</v>
      </c>
      <c r="J128" s="21" t="str">
        <f t="shared" si="6"/>
        <v>Clean</v>
      </c>
      <c r="K128" s="1">
        <v>0.2</v>
      </c>
      <c r="L128" s="21" t="str">
        <f t="shared" si="7"/>
        <v>Safe</v>
      </c>
      <c r="M128" s="1">
        <v>0.1515</v>
      </c>
      <c r="N128" s="1">
        <v>0.44</v>
      </c>
      <c r="O128" s="21" t="str">
        <f t="shared" si="8"/>
        <v>Acceptable</v>
      </c>
      <c r="P128" s="1">
        <v>0.52239999999999998</v>
      </c>
      <c r="Q128" s="1">
        <v>0</v>
      </c>
      <c r="R128" s="1">
        <v>5</v>
      </c>
      <c r="S128" s="45">
        <v>5</v>
      </c>
    </row>
    <row r="129" spans="1:19" ht="15" thickBot="1" x14ac:dyDescent="0.35">
      <c r="A129" s="4">
        <v>738</v>
      </c>
      <c r="B129" s="2">
        <v>40577</v>
      </c>
      <c r="C129" s="1">
        <v>2</v>
      </c>
      <c r="D129" s="1">
        <v>2</v>
      </c>
      <c r="E129" s="16" t="b">
        <v>0</v>
      </c>
      <c r="F129" s="1">
        <v>4</v>
      </c>
      <c r="G129" s="21" t="str">
        <f t="shared" si="5"/>
        <v>No</v>
      </c>
      <c r="H129" s="26" t="str">
        <f t="shared" si="9"/>
        <v>Thursday</v>
      </c>
      <c r="I129" s="1">
        <v>1</v>
      </c>
      <c r="J129" s="21" t="str">
        <f t="shared" si="6"/>
        <v>Clean</v>
      </c>
      <c r="K129" s="1">
        <v>0.18</v>
      </c>
      <c r="L129" s="21" t="str">
        <f t="shared" si="7"/>
        <v>Safe</v>
      </c>
      <c r="M129" s="1">
        <v>0.16669999999999999</v>
      </c>
      <c r="N129" s="1">
        <v>0.43</v>
      </c>
      <c r="O129" s="21" t="str">
        <f t="shared" si="8"/>
        <v>Acceptable</v>
      </c>
      <c r="P129" s="1">
        <v>0.25369999999999998</v>
      </c>
      <c r="Q129" s="1">
        <v>0</v>
      </c>
      <c r="R129" s="1">
        <v>2</v>
      </c>
      <c r="S129" s="45">
        <v>2</v>
      </c>
    </row>
    <row r="130" spans="1:19" ht="15" thickBot="1" x14ac:dyDescent="0.35">
      <c r="A130" s="4">
        <v>739</v>
      </c>
      <c r="B130" s="2">
        <v>40577</v>
      </c>
      <c r="C130" s="1">
        <v>2</v>
      </c>
      <c r="D130" s="1">
        <v>3</v>
      </c>
      <c r="E130" s="16" t="b">
        <v>0</v>
      </c>
      <c r="F130" s="1">
        <v>4</v>
      </c>
      <c r="G130" s="21" t="str">
        <f t="shared" ref="G130:G193" si="10">_xlfn.IFS(F130=0,"Yes",F130=6,"Yes",F130&gt;0,"No")</f>
        <v>No</v>
      </c>
      <c r="H130" s="26" t="str">
        <f t="shared" si="9"/>
        <v>Thursday</v>
      </c>
      <c r="I130" s="1">
        <v>1</v>
      </c>
      <c r="J130" s="21" t="str">
        <f t="shared" ref="J130:J193" si="11">_xlfn.IFS(I130=1,"Clean",I130=2,"Misty",I130=3,"Light Rain",I130=4,"Heavy Rain")</f>
        <v>Clean</v>
      </c>
      <c r="K130" s="1">
        <v>0.18</v>
      </c>
      <c r="L130" s="21" t="str">
        <f t="shared" ref="L130:L193" si="12">_xlfn.IFS(K130&lt;0.1,"Risky",K130&lt;0.35,"Safe",K130&gt;0.35,"Risky")</f>
        <v>Safe</v>
      </c>
      <c r="M130" s="1">
        <v>0.16669999999999999</v>
      </c>
      <c r="N130" s="1">
        <v>0.43</v>
      </c>
      <c r="O130" s="21" t="str">
        <f t="shared" ref="O130:O193" si="13">IF(N130&lt;0.7,"Acceptable","Risky")</f>
        <v>Acceptable</v>
      </c>
      <c r="P130" s="1">
        <v>0.25369999999999998</v>
      </c>
      <c r="Q130" s="1">
        <v>0</v>
      </c>
      <c r="R130" s="1">
        <v>1</v>
      </c>
      <c r="S130" s="45">
        <v>1</v>
      </c>
    </row>
    <row r="131" spans="1:19" ht="15" thickBot="1" x14ac:dyDescent="0.35">
      <c r="A131" s="4">
        <v>740</v>
      </c>
      <c r="B131" s="2">
        <v>40577</v>
      </c>
      <c r="C131" s="1">
        <v>2</v>
      </c>
      <c r="D131" s="1">
        <v>5</v>
      </c>
      <c r="E131" s="16" t="b">
        <v>0</v>
      </c>
      <c r="F131" s="1">
        <v>4</v>
      </c>
      <c r="G131" s="21" t="str">
        <f t="shared" si="10"/>
        <v>No</v>
      </c>
      <c r="H131" s="26" t="str">
        <f t="shared" ref="H131:H194" si="14">TEXT(B131:B520,"dddd")</f>
        <v>Thursday</v>
      </c>
      <c r="I131" s="1">
        <v>1</v>
      </c>
      <c r="J131" s="21" t="str">
        <f t="shared" si="11"/>
        <v>Clean</v>
      </c>
      <c r="K131" s="1">
        <v>0.16</v>
      </c>
      <c r="L131" s="21" t="str">
        <f t="shared" si="12"/>
        <v>Safe</v>
      </c>
      <c r="M131" s="1">
        <v>0.13639999999999999</v>
      </c>
      <c r="N131" s="1">
        <v>0.5</v>
      </c>
      <c r="O131" s="21" t="str">
        <f t="shared" si="13"/>
        <v>Acceptable</v>
      </c>
      <c r="P131" s="1">
        <v>0.29849999999999999</v>
      </c>
      <c r="Q131" s="1">
        <v>0</v>
      </c>
      <c r="R131" s="1">
        <v>2</v>
      </c>
      <c r="S131" s="45">
        <v>2</v>
      </c>
    </row>
    <row r="132" spans="1:19" ht="15" thickBot="1" x14ac:dyDescent="0.35">
      <c r="A132" s="4">
        <v>741</v>
      </c>
      <c r="B132" s="2">
        <v>40577</v>
      </c>
      <c r="C132" s="1">
        <v>2</v>
      </c>
      <c r="D132" s="1">
        <v>6</v>
      </c>
      <c r="E132" s="16" t="b">
        <v>0</v>
      </c>
      <c r="F132" s="1">
        <v>4</v>
      </c>
      <c r="G132" s="21" t="str">
        <f t="shared" si="10"/>
        <v>No</v>
      </c>
      <c r="H132" s="26" t="str">
        <f t="shared" si="14"/>
        <v>Thursday</v>
      </c>
      <c r="I132" s="1">
        <v>1</v>
      </c>
      <c r="J132" s="21" t="str">
        <f t="shared" si="11"/>
        <v>Clean</v>
      </c>
      <c r="K132" s="1">
        <v>0.16</v>
      </c>
      <c r="L132" s="21" t="str">
        <f t="shared" si="12"/>
        <v>Safe</v>
      </c>
      <c r="M132" s="1">
        <v>0.13639999999999999</v>
      </c>
      <c r="N132" s="1">
        <v>0.43</v>
      </c>
      <c r="O132" s="21" t="str">
        <f t="shared" si="13"/>
        <v>Acceptable</v>
      </c>
      <c r="P132" s="1">
        <v>0.35820000000000002</v>
      </c>
      <c r="Q132" s="1">
        <v>0</v>
      </c>
      <c r="R132" s="1">
        <v>39</v>
      </c>
      <c r="S132" s="45">
        <v>39</v>
      </c>
    </row>
    <row r="133" spans="1:19" ht="15" thickBot="1" x14ac:dyDescent="0.35">
      <c r="A133" s="4">
        <v>742</v>
      </c>
      <c r="B133" s="2">
        <v>40577</v>
      </c>
      <c r="C133" s="1">
        <v>2</v>
      </c>
      <c r="D133" s="1">
        <v>7</v>
      </c>
      <c r="E133" s="16" t="b">
        <v>0</v>
      </c>
      <c r="F133" s="1">
        <v>4</v>
      </c>
      <c r="G133" s="21" t="str">
        <f t="shared" si="10"/>
        <v>No</v>
      </c>
      <c r="H133" s="26" t="str">
        <f t="shared" si="14"/>
        <v>Thursday</v>
      </c>
      <c r="I133" s="1">
        <v>1</v>
      </c>
      <c r="J133" s="21" t="str">
        <f t="shared" si="11"/>
        <v>Clean</v>
      </c>
      <c r="K133" s="1">
        <v>0.14000000000000001</v>
      </c>
      <c r="L133" s="21" t="str">
        <f t="shared" si="12"/>
        <v>Safe</v>
      </c>
      <c r="M133" s="1">
        <v>0.1212</v>
      </c>
      <c r="N133" s="1">
        <v>0.5</v>
      </c>
      <c r="O133" s="21" t="str">
        <f t="shared" si="13"/>
        <v>Acceptable</v>
      </c>
      <c r="P133" s="1">
        <v>0.32840000000000003</v>
      </c>
      <c r="Q133" s="1">
        <v>1</v>
      </c>
      <c r="R133" s="1">
        <v>86</v>
      </c>
      <c r="S133" s="45">
        <v>87</v>
      </c>
    </row>
    <row r="134" spans="1:19" ht="15" thickBot="1" x14ac:dyDescent="0.35">
      <c r="A134" s="4">
        <v>743</v>
      </c>
      <c r="B134" s="2">
        <v>40577</v>
      </c>
      <c r="C134" s="1">
        <v>2</v>
      </c>
      <c r="D134" s="1">
        <v>8</v>
      </c>
      <c r="E134" s="16" t="b">
        <v>0</v>
      </c>
      <c r="F134" s="1">
        <v>4</v>
      </c>
      <c r="G134" s="21" t="str">
        <f t="shared" si="10"/>
        <v>No</v>
      </c>
      <c r="H134" s="26" t="str">
        <f t="shared" si="14"/>
        <v>Thursday</v>
      </c>
      <c r="I134" s="1">
        <v>1</v>
      </c>
      <c r="J134" s="21" t="str">
        <f t="shared" si="11"/>
        <v>Clean</v>
      </c>
      <c r="K134" s="1">
        <v>0.14000000000000001</v>
      </c>
      <c r="L134" s="21" t="str">
        <f t="shared" si="12"/>
        <v>Safe</v>
      </c>
      <c r="M134" s="1">
        <v>0.1212</v>
      </c>
      <c r="N134" s="1">
        <v>0.5</v>
      </c>
      <c r="O134" s="21" t="str">
        <f t="shared" si="13"/>
        <v>Acceptable</v>
      </c>
      <c r="P134" s="1">
        <v>0.35820000000000002</v>
      </c>
      <c r="Q134" s="1">
        <v>4</v>
      </c>
      <c r="R134" s="1">
        <v>184</v>
      </c>
      <c r="S134" s="45">
        <v>188</v>
      </c>
    </row>
    <row r="135" spans="1:19" ht="15" thickBot="1" x14ac:dyDescent="0.35">
      <c r="A135" s="4">
        <v>744</v>
      </c>
      <c r="B135" s="2">
        <v>40577</v>
      </c>
      <c r="C135" s="1">
        <v>2</v>
      </c>
      <c r="D135" s="1">
        <v>9</v>
      </c>
      <c r="E135" s="16" t="b">
        <v>0</v>
      </c>
      <c r="F135" s="1">
        <v>4</v>
      </c>
      <c r="G135" s="21" t="str">
        <f t="shared" si="10"/>
        <v>No</v>
      </c>
      <c r="H135" s="26" t="str">
        <f t="shared" si="14"/>
        <v>Thursday</v>
      </c>
      <c r="I135" s="1">
        <v>1</v>
      </c>
      <c r="J135" s="21" t="str">
        <f t="shared" si="11"/>
        <v>Clean</v>
      </c>
      <c r="K135" s="1">
        <v>0.16</v>
      </c>
      <c r="L135" s="21" t="str">
        <f t="shared" si="12"/>
        <v>Safe</v>
      </c>
      <c r="M135" s="1">
        <v>0.13639999999999999</v>
      </c>
      <c r="N135" s="1">
        <v>0.47</v>
      </c>
      <c r="O135" s="21" t="str">
        <f t="shared" si="13"/>
        <v>Acceptable</v>
      </c>
      <c r="P135" s="1">
        <v>0.29849999999999999</v>
      </c>
      <c r="Q135" s="1">
        <v>6</v>
      </c>
      <c r="R135" s="1">
        <v>127</v>
      </c>
      <c r="S135" s="45">
        <v>133</v>
      </c>
    </row>
    <row r="136" spans="1:19" ht="15" thickBot="1" x14ac:dyDescent="0.35">
      <c r="A136" s="4">
        <v>745</v>
      </c>
      <c r="B136" s="2">
        <v>40577</v>
      </c>
      <c r="C136" s="1">
        <v>2</v>
      </c>
      <c r="D136" s="1">
        <v>10</v>
      </c>
      <c r="E136" s="16" t="b">
        <v>0</v>
      </c>
      <c r="F136" s="1">
        <v>4</v>
      </c>
      <c r="G136" s="21" t="str">
        <f t="shared" si="10"/>
        <v>No</v>
      </c>
      <c r="H136" s="26" t="str">
        <f t="shared" si="14"/>
        <v>Thursday</v>
      </c>
      <c r="I136" s="1">
        <v>1</v>
      </c>
      <c r="J136" s="21" t="str">
        <f t="shared" si="11"/>
        <v>Clean</v>
      </c>
      <c r="K136" s="1">
        <v>0.18</v>
      </c>
      <c r="L136" s="21" t="str">
        <f t="shared" si="12"/>
        <v>Safe</v>
      </c>
      <c r="M136" s="1">
        <v>0.1515</v>
      </c>
      <c r="N136" s="1">
        <v>0.43</v>
      </c>
      <c r="O136" s="21" t="str">
        <f t="shared" si="13"/>
        <v>Acceptable</v>
      </c>
      <c r="P136" s="1">
        <v>0.32840000000000003</v>
      </c>
      <c r="Q136" s="1">
        <v>2</v>
      </c>
      <c r="R136" s="1">
        <v>50</v>
      </c>
      <c r="S136" s="45">
        <v>52</v>
      </c>
    </row>
    <row r="137" spans="1:19" ht="15" thickBot="1" x14ac:dyDescent="0.35">
      <c r="A137" s="4">
        <v>746</v>
      </c>
      <c r="B137" s="2">
        <v>40577</v>
      </c>
      <c r="C137" s="1">
        <v>2</v>
      </c>
      <c r="D137" s="1">
        <v>11</v>
      </c>
      <c r="E137" s="16" t="b">
        <v>0</v>
      </c>
      <c r="F137" s="1">
        <v>4</v>
      </c>
      <c r="G137" s="21" t="str">
        <f t="shared" si="10"/>
        <v>No</v>
      </c>
      <c r="H137" s="26" t="str">
        <f t="shared" si="14"/>
        <v>Thursday</v>
      </c>
      <c r="I137" s="1">
        <v>1</v>
      </c>
      <c r="J137" s="21" t="str">
        <f t="shared" si="11"/>
        <v>Clean</v>
      </c>
      <c r="K137" s="1">
        <v>0.18</v>
      </c>
      <c r="L137" s="21" t="str">
        <f t="shared" si="12"/>
        <v>Safe</v>
      </c>
      <c r="M137" s="1">
        <v>0.13639999999999999</v>
      </c>
      <c r="N137" s="1">
        <v>0.43</v>
      </c>
      <c r="O137" s="21" t="str">
        <f t="shared" si="13"/>
        <v>Acceptable</v>
      </c>
      <c r="P137" s="1">
        <v>0.44779999999999998</v>
      </c>
      <c r="Q137" s="1">
        <v>9</v>
      </c>
      <c r="R137" s="1">
        <v>55</v>
      </c>
      <c r="S137" s="45">
        <v>64</v>
      </c>
    </row>
    <row r="138" spans="1:19" ht="15" thickBot="1" x14ac:dyDescent="0.35">
      <c r="A138" s="4">
        <v>747</v>
      </c>
      <c r="B138" s="2">
        <v>40577</v>
      </c>
      <c r="C138" s="1">
        <v>2</v>
      </c>
      <c r="D138" s="1">
        <v>12</v>
      </c>
      <c r="E138" s="16" t="b">
        <v>0</v>
      </c>
      <c r="F138" s="1">
        <v>4</v>
      </c>
      <c r="G138" s="21" t="str">
        <f t="shared" si="10"/>
        <v>No</v>
      </c>
      <c r="H138" s="26" t="str">
        <f t="shared" si="14"/>
        <v>Thursday</v>
      </c>
      <c r="I138" s="1">
        <v>1</v>
      </c>
      <c r="J138" s="21" t="str">
        <f t="shared" si="11"/>
        <v>Clean</v>
      </c>
      <c r="K138" s="1">
        <v>0.2</v>
      </c>
      <c r="L138" s="21" t="str">
        <f t="shared" si="12"/>
        <v>Safe</v>
      </c>
      <c r="M138" s="1">
        <v>0.18179999999999999</v>
      </c>
      <c r="N138" s="1">
        <v>0.4</v>
      </c>
      <c r="O138" s="21" t="str">
        <f t="shared" si="13"/>
        <v>Acceptable</v>
      </c>
      <c r="P138" s="1">
        <v>0.35820000000000002</v>
      </c>
      <c r="Q138" s="1">
        <v>2</v>
      </c>
      <c r="R138" s="1">
        <v>67</v>
      </c>
      <c r="S138" s="45">
        <v>69</v>
      </c>
    </row>
    <row r="139" spans="1:19" ht="15" thickBot="1" x14ac:dyDescent="0.35">
      <c r="A139" s="4">
        <v>748</v>
      </c>
      <c r="B139" s="2">
        <v>40577</v>
      </c>
      <c r="C139" s="1">
        <v>2</v>
      </c>
      <c r="D139" s="1">
        <v>13</v>
      </c>
      <c r="E139" s="16" t="b">
        <v>0</v>
      </c>
      <c r="F139" s="1">
        <v>4</v>
      </c>
      <c r="G139" s="21" t="str">
        <f t="shared" si="10"/>
        <v>No</v>
      </c>
      <c r="H139" s="26" t="str">
        <f t="shared" si="14"/>
        <v>Thursday</v>
      </c>
      <c r="I139" s="1">
        <v>1</v>
      </c>
      <c r="J139" s="21" t="str">
        <f t="shared" si="11"/>
        <v>Clean</v>
      </c>
      <c r="K139" s="1">
        <v>0.2</v>
      </c>
      <c r="L139" s="21" t="str">
        <f t="shared" si="12"/>
        <v>Safe</v>
      </c>
      <c r="M139" s="1">
        <v>0.16669999999999999</v>
      </c>
      <c r="N139" s="1">
        <v>0.4</v>
      </c>
      <c r="O139" s="21" t="str">
        <f t="shared" si="13"/>
        <v>Acceptable</v>
      </c>
      <c r="P139" s="1">
        <v>0.41789999999999999</v>
      </c>
      <c r="Q139" s="1">
        <v>4</v>
      </c>
      <c r="R139" s="1">
        <v>47</v>
      </c>
      <c r="S139" s="45">
        <v>51</v>
      </c>
    </row>
    <row r="140" spans="1:19" ht="15" thickBot="1" x14ac:dyDescent="0.35">
      <c r="A140" s="4">
        <v>749</v>
      </c>
      <c r="B140" s="2">
        <v>40577</v>
      </c>
      <c r="C140" s="1">
        <v>2</v>
      </c>
      <c r="D140" s="1">
        <v>14</v>
      </c>
      <c r="E140" s="16" t="b">
        <v>0</v>
      </c>
      <c r="F140" s="1">
        <v>4</v>
      </c>
      <c r="G140" s="21" t="str">
        <f t="shared" si="10"/>
        <v>No</v>
      </c>
      <c r="H140" s="26" t="str">
        <f t="shared" si="14"/>
        <v>Thursday</v>
      </c>
      <c r="I140" s="1">
        <v>1</v>
      </c>
      <c r="J140" s="21" t="str">
        <f t="shared" si="11"/>
        <v>Clean</v>
      </c>
      <c r="K140" s="1">
        <v>0.22</v>
      </c>
      <c r="L140" s="21" t="str">
        <f t="shared" si="12"/>
        <v>Safe</v>
      </c>
      <c r="M140" s="1">
        <v>0.19700000000000001</v>
      </c>
      <c r="N140" s="1">
        <v>0.37</v>
      </c>
      <c r="O140" s="21" t="str">
        <f t="shared" si="13"/>
        <v>Acceptable</v>
      </c>
      <c r="P140" s="1">
        <v>0.3881</v>
      </c>
      <c r="Q140" s="1">
        <v>4</v>
      </c>
      <c r="R140" s="1">
        <v>43</v>
      </c>
      <c r="S140" s="45">
        <v>47</v>
      </c>
    </row>
    <row r="141" spans="1:19" ht="15" thickBot="1" x14ac:dyDescent="0.35">
      <c r="A141" s="4">
        <v>750</v>
      </c>
      <c r="B141" s="2">
        <v>40577</v>
      </c>
      <c r="C141" s="1">
        <v>2</v>
      </c>
      <c r="D141" s="1">
        <v>15</v>
      </c>
      <c r="E141" s="16" t="b">
        <v>0</v>
      </c>
      <c r="F141" s="1">
        <v>4</v>
      </c>
      <c r="G141" s="21" t="str">
        <f t="shared" si="10"/>
        <v>No</v>
      </c>
      <c r="H141" s="26" t="str">
        <f t="shared" si="14"/>
        <v>Thursday</v>
      </c>
      <c r="I141" s="1">
        <v>1</v>
      </c>
      <c r="J141" s="21" t="str">
        <f t="shared" si="11"/>
        <v>Clean</v>
      </c>
      <c r="K141" s="1">
        <v>0.22</v>
      </c>
      <c r="L141" s="21" t="str">
        <f t="shared" si="12"/>
        <v>Safe</v>
      </c>
      <c r="M141" s="1">
        <v>0.19700000000000001</v>
      </c>
      <c r="N141" s="1">
        <v>0.37</v>
      </c>
      <c r="O141" s="21" t="str">
        <f t="shared" si="13"/>
        <v>Acceptable</v>
      </c>
      <c r="P141" s="1">
        <v>0.32840000000000003</v>
      </c>
      <c r="Q141" s="1">
        <v>4</v>
      </c>
      <c r="R141" s="1">
        <v>56</v>
      </c>
      <c r="S141" s="45">
        <v>60</v>
      </c>
    </row>
    <row r="142" spans="1:19" ht="15" thickBot="1" x14ac:dyDescent="0.35">
      <c r="A142" s="4">
        <v>751</v>
      </c>
      <c r="B142" s="2">
        <v>40577</v>
      </c>
      <c r="C142" s="1">
        <v>2</v>
      </c>
      <c r="D142" s="1">
        <v>16</v>
      </c>
      <c r="E142" s="16" t="b">
        <v>0</v>
      </c>
      <c r="F142" s="1">
        <v>4</v>
      </c>
      <c r="G142" s="21" t="str">
        <f t="shared" si="10"/>
        <v>No</v>
      </c>
      <c r="H142" s="26" t="str">
        <f t="shared" si="14"/>
        <v>Thursday</v>
      </c>
      <c r="I142" s="1">
        <v>1</v>
      </c>
      <c r="J142" s="21" t="str">
        <f t="shared" si="11"/>
        <v>Clean</v>
      </c>
      <c r="K142" s="1">
        <v>0.22</v>
      </c>
      <c r="L142" s="21" t="str">
        <f t="shared" si="12"/>
        <v>Safe</v>
      </c>
      <c r="M142" s="1">
        <v>0.21210000000000001</v>
      </c>
      <c r="N142" s="1">
        <v>0.37</v>
      </c>
      <c r="O142" s="21" t="str">
        <f t="shared" si="13"/>
        <v>Acceptable</v>
      </c>
      <c r="P142" s="1">
        <v>0.25369999999999998</v>
      </c>
      <c r="Q142" s="1">
        <v>5</v>
      </c>
      <c r="R142" s="1">
        <v>73</v>
      </c>
      <c r="S142" s="45">
        <v>78</v>
      </c>
    </row>
    <row r="143" spans="1:19" ht="15" thickBot="1" x14ac:dyDescent="0.35">
      <c r="A143" s="4">
        <v>752</v>
      </c>
      <c r="B143" s="2">
        <v>40577</v>
      </c>
      <c r="C143" s="1">
        <v>2</v>
      </c>
      <c r="D143" s="1">
        <v>17</v>
      </c>
      <c r="E143" s="16" t="b">
        <v>0</v>
      </c>
      <c r="F143" s="1">
        <v>4</v>
      </c>
      <c r="G143" s="21" t="str">
        <f t="shared" si="10"/>
        <v>No</v>
      </c>
      <c r="H143" s="26" t="str">
        <f t="shared" si="14"/>
        <v>Thursday</v>
      </c>
      <c r="I143" s="1">
        <v>1</v>
      </c>
      <c r="J143" s="21" t="str">
        <f t="shared" si="11"/>
        <v>Clean</v>
      </c>
      <c r="K143" s="1">
        <v>0.2</v>
      </c>
      <c r="L143" s="21" t="str">
        <f t="shared" si="12"/>
        <v>Safe</v>
      </c>
      <c r="M143" s="1">
        <v>0.19700000000000001</v>
      </c>
      <c r="N143" s="1">
        <v>0.4</v>
      </c>
      <c r="O143" s="21" t="str">
        <f t="shared" si="13"/>
        <v>Acceptable</v>
      </c>
      <c r="P143" s="1">
        <v>0.19400000000000001</v>
      </c>
      <c r="Q143" s="1">
        <v>5</v>
      </c>
      <c r="R143" s="1">
        <v>170</v>
      </c>
      <c r="S143" s="45">
        <v>175</v>
      </c>
    </row>
    <row r="144" spans="1:19" ht="15" thickBot="1" x14ac:dyDescent="0.35">
      <c r="A144" s="4">
        <v>753</v>
      </c>
      <c r="B144" s="2">
        <v>40577</v>
      </c>
      <c r="C144" s="1">
        <v>2</v>
      </c>
      <c r="D144" s="1">
        <v>18</v>
      </c>
      <c r="E144" s="16" t="b">
        <v>0</v>
      </c>
      <c r="F144" s="1">
        <v>4</v>
      </c>
      <c r="G144" s="21" t="str">
        <f t="shared" si="10"/>
        <v>No</v>
      </c>
      <c r="H144" s="26" t="str">
        <f t="shared" si="14"/>
        <v>Thursday</v>
      </c>
      <c r="I144" s="1">
        <v>1</v>
      </c>
      <c r="J144" s="21" t="str">
        <f t="shared" si="11"/>
        <v>Clean</v>
      </c>
      <c r="K144" s="1">
        <v>0.2</v>
      </c>
      <c r="L144" s="21" t="str">
        <f t="shared" si="12"/>
        <v>Safe</v>
      </c>
      <c r="M144" s="1">
        <v>0.21210000000000001</v>
      </c>
      <c r="N144" s="1">
        <v>0.4</v>
      </c>
      <c r="O144" s="21" t="str">
        <f t="shared" si="13"/>
        <v>Acceptable</v>
      </c>
      <c r="P144" s="1">
        <v>0.16420000000000001</v>
      </c>
      <c r="Q144" s="1">
        <v>2</v>
      </c>
      <c r="R144" s="1">
        <v>145</v>
      </c>
      <c r="S144" s="45">
        <v>147</v>
      </c>
    </row>
    <row r="145" spans="1:19" ht="15" thickBot="1" x14ac:dyDescent="0.35">
      <c r="A145" s="4">
        <v>754</v>
      </c>
      <c r="B145" s="2">
        <v>40577</v>
      </c>
      <c r="C145" s="1">
        <v>2</v>
      </c>
      <c r="D145" s="1">
        <v>19</v>
      </c>
      <c r="E145" s="16" t="b">
        <v>0</v>
      </c>
      <c r="F145" s="1">
        <v>4</v>
      </c>
      <c r="G145" s="21" t="str">
        <f t="shared" si="10"/>
        <v>No</v>
      </c>
      <c r="H145" s="26" t="str">
        <f t="shared" si="14"/>
        <v>Thursday</v>
      </c>
      <c r="I145" s="1">
        <v>1</v>
      </c>
      <c r="J145" s="21" t="str">
        <f t="shared" si="11"/>
        <v>Clean</v>
      </c>
      <c r="K145" s="1">
        <v>0.2</v>
      </c>
      <c r="L145" s="21" t="str">
        <f t="shared" si="12"/>
        <v>Safe</v>
      </c>
      <c r="M145" s="1">
        <v>0.2576</v>
      </c>
      <c r="N145" s="1">
        <v>0.4</v>
      </c>
      <c r="O145" s="21" t="str">
        <f t="shared" si="13"/>
        <v>Acceptable</v>
      </c>
      <c r="P145" s="1">
        <v>0</v>
      </c>
      <c r="Q145" s="1">
        <v>4</v>
      </c>
      <c r="R145" s="1">
        <v>92</v>
      </c>
      <c r="S145" s="45">
        <v>96</v>
      </c>
    </row>
    <row r="146" spans="1:19" ht="15" thickBot="1" x14ac:dyDescent="0.35">
      <c r="A146" s="4">
        <v>755</v>
      </c>
      <c r="B146" s="2">
        <v>40577</v>
      </c>
      <c r="C146" s="1">
        <v>2</v>
      </c>
      <c r="D146" s="1">
        <v>20</v>
      </c>
      <c r="E146" s="16" t="b">
        <v>0</v>
      </c>
      <c r="F146" s="1">
        <v>4</v>
      </c>
      <c r="G146" s="21" t="str">
        <f t="shared" si="10"/>
        <v>No</v>
      </c>
      <c r="H146" s="26" t="str">
        <f t="shared" si="14"/>
        <v>Thursday</v>
      </c>
      <c r="I146" s="1">
        <v>1</v>
      </c>
      <c r="J146" s="21" t="str">
        <f t="shared" si="11"/>
        <v>Clean</v>
      </c>
      <c r="K146" s="1">
        <v>0.2</v>
      </c>
      <c r="L146" s="21" t="str">
        <f t="shared" si="12"/>
        <v>Safe</v>
      </c>
      <c r="M146" s="1">
        <v>0.2273</v>
      </c>
      <c r="N146" s="1">
        <v>0.47</v>
      </c>
      <c r="O146" s="21" t="str">
        <f t="shared" si="13"/>
        <v>Acceptable</v>
      </c>
      <c r="P146" s="1">
        <v>8.9599999999999999E-2</v>
      </c>
      <c r="Q146" s="1">
        <v>1</v>
      </c>
      <c r="R146" s="1">
        <v>108</v>
      </c>
      <c r="S146" s="45">
        <v>109</v>
      </c>
    </row>
    <row r="147" spans="1:19" ht="15" thickBot="1" x14ac:dyDescent="0.35">
      <c r="A147" s="4">
        <v>756</v>
      </c>
      <c r="B147" s="2">
        <v>40577</v>
      </c>
      <c r="C147" s="1">
        <v>2</v>
      </c>
      <c r="D147" s="1">
        <v>21</v>
      </c>
      <c r="E147" s="16" t="b">
        <v>0</v>
      </c>
      <c r="F147" s="1">
        <v>4</v>
      </c>
      <c r="G147" s="21" t="str">
        <f t="shared" si="10"/>
        <v>No</v>
      </c>
      <c r="H147" s="26" t="str">
        <f t="shared" si="14"/>
        <v>Thursday</v>
      </c>
      <c r="I147" s="1">
        <v>1</v>
      </c>
      <c r="J147" s="21" t="str">
        <f t="shared" si="11"/>
        <v>Clean</v>
      </c>
      <c r="K147" s="1">
        <v>0.18</v>
      </c>
      <c r="L147" s="21" t="str">
        <f t="shared" si="12"/>
        <v>Safe</v>
      </c>
      <c r="M147" s="1">
        <v>0.21210000000000001</v>
      </c>
      <c r="N147" s="1">
        <v>0.55000000000000004</v>
      </c>
      <c r="O147" s="21" t="str">
        <f t="shared" si="13"/>
        <v>Acceptable</v>
      </c>
      <c r="P147" s="1">
        <v>0.1045</v>
      </c>
      <c r="Q147" s="1">
        <v>1</v>
      </c>
      <c r="R147" s="1">
        <v>53</v>
      </c>
      <c r="S147" s="45">
        <v>54</v>
      </c>
    </row>
    <row r="148" spans="1:19" ht="15" thickBot="1" x14ac:dyDescent="0.35">
      <c r="A148" s="4">
        <v>757</v>
      </c>
      <c r="B148" s="2">
        <v>40577</v>
      </c>
      <c r="C148" s="1">
        <v>2</v>
      </c>
      <c r="D148" s="1">
        <v>22</v>
      </c>
      <c r="E148" s="16" t="b">
        <v>0</v>
      </c>
      <c r="F148" s="1">
        <v>4</v>
      </c>
      <c r="G148" s="21" t="str">
        <f t="shared" si="10"/>
        <v>No</v>
      </c>
      <c r="H148" s="26" t="str">
        <f t="shared" si="14"/>
        <v>Thursday</v>
      </c>
      <c r="I148" s="1">
        <v>1</v>
      </c>
      <c r="J148" s="21" t="str">
        <f t="shared" si="11"/>
        <v>Clean</v>
      </c>
      <c r="K148" s="1">
        <v>0.18</v>
      </c>
      <c r="L148" s="21" t="str">
        <f t="shared" si="12"/>
        <v>Safe</v>
      </c>
      <c r="M148" s="1">
        <v>0.21210000000000001</v>
      </c>
      <c r="N148" s="1">
        <v>0.51</v>
      </c>
      <c r="O148" s="21" t="str">
        <f t="shared" si="13"/>
        <v>Acceptable</v>
      </c>
      <c r="P148" s="1">
        <v>8.9599999999999999E-2</v>
      </c>
      <c r="Q148" s="1">
        <v>2</v>
      </c>
      <c r="R148" s="1">
        <v>39</v>
      </c>
      <c r="S148" s="45">
        <v>41</v>
      </c>
    </row>
    <row r="149" spans="1:19" ht="15" thickBot="1" x14ac:dyDescent="0.35">
      <c r="A149" s="4">
        <v>758</v>
      </c>
      <c r="B149" s="2">
        <v>40577</v>
      </c>
      <c r="C149" s="1">
        <v>2</v>
      </c>
      <c r="D149" s="1">
        <v>23</v>
      </c>
      <c r="E149" s="16" t="b">
        <v>0</v>
      </c>
      <c r="F149" s="1">
        <v>4</v>
      </c>
      <c r="G149" s="21" t="str">
        <f t="shared" si="10"/>
        <v>No</v>
      </c>
      <c r="H149" s="26" t="str">
        <f t="shared" si="14"/>
        <v>Thursday</v>
      </c>
      <c r="I149" s="1">
        <v>1</v>
      </c>
      <c r="J149" s="21" t="str">
        <f t="shared" si="11"/>
        <v>Clean</v>
      </c>
      <c r="K149" s="1">
        <v>0.2</v>
      </c>
      <c r="L149" s="21" t="str">
        <f t="shared" si="12"/>
        <v>Safe</v>
      </c>
      <c r="M149" s="1">
        <v>0.2273</v>
      </c>
      <c r="N149" s="1">
        <v>0.47</v>
      </c>
      <c r="O149" s="21" t="str">
        <f t="shared" si="13"/>
        <v>Acceptable</v>
      </c>
      <c r="P149" s="1">
        <v>0.1045</v>
      </c>
      <c r="Q149" s="1">
        <v>4</v>
      </c>
      <c r="R149" s="1">
        <v>34</v>
      </c>
      <c r="S149" s="45">
        <v>38</v>
      </c>
    </row>
    <row r="150" spans="1:19" ht="15" thickBot="1" x14ac:dyDescent="0.35">
      <c r="A150" s="4">
        <v>759</v>
      </c>
      <c r="B150" s="2">
        <v>40578</v>
      </c>
      <c r="C150" s="1">
        <v>2</v>
      </c>
      <c r="D150" s="1">
        <v>0</v>
      </c>
      <c r="E150" s="16" t="b">
        <v>0</v>
      </c>
      <c r="F150" s="1">
        <v>5</v>
      </c>
      <c r="G150" s="21" t="str">
        <f t="shared" si="10"/>
        <v>No</v>
      </c>
      <c r="H150" s="26" t="str">
        <f t="shared" si="14"/>
        <v>Friday</v>
      </c>
      <c r="I150" s="1">
        <v>2</v>
      </c>
      <c r="J150" s="21" t="str">
        <f t="shared" si="11"/>
        <v>Misty</v>
      </c>
      <c r="K150" s="1">
        <v>0.2</v>
      </c>
      <c r="L150" s="21" t="str">
        <f t="shared" si="12"/>
        <v>Safe</v>
      </c>
      <c r="M150" s="1">
        <v>0.2576</v>
      </c>
      <c r="N150" s="1">
        <v>0.44</v>
      </c>
      <c r="O150" s="21" t="str">
        <f t="shared" si="13"/>
        <v>Acceptable</v>
      </c>
      <c r="P150" s="1">
        <v>0</v>
      </c>
      <c r="Q150" s="1">
        <v>3</v>
      </c>
      <c r="R150" s="1">
        <v>10</v>
      </c>
      <c r="S150" s="45">
        <v>13</v>
      </c>
    </row>
    <row r="151" spans="1:19" ht="15" thickBot="1" x14ac:dyDescent="0.35">
      <c r="A151" s="4">
        <v>760</v>
      </c>
      <c r="B151" s="2">
        <v>40578</v>
      </c>
      <c r="C151" s="1">
        <v>2</v>
      </c>
      <c r="D151" s="1">
        <v>1</v>
      </c>
      <c r="E151" s="16" t="b">
        <v>0</v>
      </c>
      <c r="F151" s="1">
        <v>5</v>
      </c>
      <c r="G151" s="21" t="str">
        <f t="shared" si="10"/>
        <v>No</v>
      </c>
      <c r="H151" s="26" t="str">
        <f t="shared" si="14"/>
        <v>Friday</v>
      </c>
      <c r="I151" s="1">
        <v>2</v>
      </c>
      <c r="J151" s="21" t="str">
        <f t="shared" si="11"/>
        <v>Misty</v>
      </c>
      <c r="K151" s="1">
        <v>0.16</v>
      </c>
      <c r="L151" s="21" t="str">
        <f t="shared" si="12"/>
        <v>Safe</v>
      </c>
      <c r="M151" s="1">
        <v>0.2273</v>
      </c>
      <c r="N151" s="1">
        <v>0.59</v>
      </c>
      <c r="O151" s="21" t="str">
        <f t="shared" si="13"/>
        <v>Acceptable</v>
      </c>
      <c r="P151" s="1">
        <v>0</v>
      </c>
      <c r="Q151" s="1">
        <v>0</v>
      </c>
      <c r="R151" s="1">
        <v>7</v>
      </c>
      <c r="S151" s="45">
        <v>7</v>
      </c>
    </row>
    <row r="152" spans="1:19" ht="15" thickBot="1" x14ac:dyDescent="0.35">
      <c r="A152" s="4">
        <v>761</v>
      </c>
      <c r="B152" s="2">
        <v>40578</v>
      </c>
      <c r="C152" s="1">
        <v>2</v>
      </c>
      <c r="D152" s="1">
        <v>2</v>
      </c>
      <c r="E152" s="16" t="b">
        <v>0</v>
      </c>
      <c r="F152" s="1">
        <v>5</v>
      </c>
      <c r="G152" s="21" t="str">
        <f t="shared" si="10"/>
        <v>No</v>
      </c>
      <c r="H152" s="26" t="str">
        <f t="shared" si="14"/>
        <v>Friday</v>
      </c>
      <c r="I152" s="1">
        <v>2</v>
      </c>
      <c r="J152" s="21" t="str">
        <f t="shared" si="11"/>
        <v>Misty</v>
      </c>
      <c r="K152" s="1">
        <v>0.14000000000000001</v>
      </c>
      <c r="L152" s="21" t="str">
        <f t="shared" si="12"/>
        <v>Safe</v>
      </c>
      <c r="M152" s="1">
        <v>0.16669999999999999</v>
      </c>
      <c r="N152" s="1">
        <v>0.63</v>
      </c>
      <c r="O152" s="21" t="str">
        <f t="shared" si="13"/>
        <v>Acceptable</v>
      </c>
      <c r="P152" s="1">
        <v>0.1045</v>
      </c>
      <c r="Q152" s="1">
        <v>0</v>
      </c>
      <c r="R152" s="1">
        <v>1</v>
      </c>
      <c r="S152" s="45">
        <v>1</v>
      </c>
    </row>
    <row r="153" spans="1:19" ht="15" thickBot="1" x14ac:dyDescent="0.35">
      <c r="A153" s="4">
        <v>762</v>
      </c>
      <c r="B153" s="2">
        <v>40578</v>
      </c>
      <c r="C153" s="1">
        <v>2</v>
      </c>
      <c r="D153" s="1">
        <v>3</v>
      </c>
      <c r="E153" s="16" t="b">
        <v>0</v>
      </c>
      <c r="F153" s="1">
        <v>5</v>
      </c>
      <c r="G153" s="21" t="str">
        <f t="shared" si="10"/>
        <v>No</v>
      </c>
      <c r="H153" s="26" t="str">
        <f t="shared" si="14"/>
        <v>Friday</v>
      </c>
      <c r="I153" s="1">
        <v>2</v>
      </c>
      <c r="J153" s="21" t="str">
        <f t="shared" si="11"/>
        <v>Misty</v>
      </c>
      <c r="K153" s="1">
        <v>0.14000000000000001</v>
      </c>
      <c r="L153" s="21" t="str">
        <f t="shared" si="12"/>
        <v>Safe</v>
      </c>
      <c r="M153" s="1">
        <v>0.16669999999999999</v>
      </c>
      <c r="N153" s="1">
        <v>0.63</v>
      </c>
      <c r="O153" s="21" t="str">
        <f t="shared" si="13"/>
        <v>Acceptable</v>
      </c>
      <c r="P153" s="1">
        <v>0.1045</v>
      </c>
      <c r="Q153" s="1">
        <v>0</v>
      </c>
      <c r="R153" s="1">
        <v>1</v>
      </c>
      <c r="S153" s="45">
        <v>1</v>
      </c>
    </row>
    <row r="154" spans="1:19" ht="15" thickBot="1" x14ac:dyDescent="0.35">
      <c r="A154" s="4">
        <v>763</v>
      </c>
      <c r="B154" s="2">
        <v>40578</v>
      </c>
      <c r="C154" s="1">
        <v>2</v>
      </c>
      <c r="D154" s="1">
        <v>5</v>
      </c>
      <c r="E154" s="16" t="b">
        <v>0</v>
      </c>
      <c r="F154" s="1">
        <v>5</v>
      </c>
      <c r="G154" s="21" t="str">
        <f t="shared" si="10"/>
        <v>No</v>
      </c>
      <c r="H154" s="26" t="str">
        <f t="shared" si="14"/>
        <v>Friday</v>
      </c>
      <c r="I154" s="1">
        <v>2</v>
      </c>
      <c r="J154" s="21" t="str">
        <f t="shared" si="11"/>
        <v>Misty</v>
      </c>
      <c r="K154" s="1">
        <v>0.14000000000000001</v>
      </c>
      <c r="L154" s="21" t="str">
        <f t="shared" si="12"/>
        <v>Safe</v>
      </c>
      <c r="M154" s="1">
        <v>0.1515</v>
      </c>
      <c r="N154" s="1">
        <v>0.63</v>
      </c>
      <c r="O154" s="21" t="str">
        <f t="shared" si="13"/>
        <v>Acceptable</v>
      </c>
      <c r="P154" s="1">
        <v>0.1343</v>
      </c>
      <c r="Q154" s="1">
        <v>0</v>
      </c>
      <c r="R154" s="1">
        <v>7</v>
      </c>
      <c r="S154" s="45">
        <v>7</v>
      </c>
    </row>
    <row r="155" spans="1:19" ht="15" thickBot="1" x14ac:dyDescent="0.35">
      <c r="A155" s="4">
        <v>764</v>
      </c>
      <c r="B155" s="2">
        <v>40578</v>
      </c>
      <c r="C155" s="1">
        <v>2</v>
      </c>
      <c r="D155" s="1">
        <v>6</v>
      </c>
      <c r="E155" s="16" t="b">
        <v>0</v>
      </c>
      <c r="F155" s="1">
        <v>5</v>
      </c>
      <c r="G155" s="21" t="str">
        <f t="shared" si="10"/>
        <v>No</v>
      </c>
      <c r="H155" s="26" t="str">
        <f t="shared" si="14"/>
        <v>Friday</v>
      </c>
      <c r="I155" s="1">
        <v>2</v>
      </c>
      <c r="J155" s="21" t="str">
        <f t="shared" si="11"/>
        <v>Misty</v>
      </c>
      <c r="K155" s="1">
        <v>0.16</v>
      </c>
      <c r="L155" s="21" t="str">
        <f t="shared" si="12"/>
        <v>Safe</v>
      </c>
      <c r="M155" s="1">
        <v>0.2273</v>
      </c>
      <c r="N155" s="1">
        <v>0.55000000000000004</v>
      </c>
      <c r="O155" s="21" t="str">
        <f t="shared" si="13"/>
        <v>Acceptable</v>
      </c>
      <c r="P155" s="1">
        <v>0</v>
      </c>
      <c r="Q155" s="1">
        <v>2</v>
      </c>
      <c r="R155" s="1">
        <v>26</v>
      </c>
      <c r="S155" s="45">
        <v>28</v>
      </c>
    </row>
    <row r="156" spans="1:19" ht="15" thickBot="1" x14ac:dyDescent="0.35">
      <c r="A156" s="4">
        <v>765</v>
      </c>
      <c r="B156" s="2">
        <v>40578</v>
      </c>
      <c r="C156" s="1">
        <v>2</v>
      </c>
      <c r="D156" s="1">
        <v>7</v>
      </c>
      <c r="E156" s="16" t="b">
        <v>0</v>
      </c>
      <c r="F156" s="1">
        <v>5</v>
      </c>
      <c r="G156" s="21" t="str">
        <f t="shared" si="10"/>
        <v>No</v>
      </c>
      <c r="H156" s="26" t="str">
        <f t="shared" si="14"/>
        <v>Friday</v>
      </c>
      <c r="I156" s="1">
        <v>1</v>
      </c>
      <c r="J156" s="21" t="str">
        <f t="shared" si="11"/>
        <v>Clean</v>
      </c>
      <c r="K156" s="1">
        <v>0.14000000000000001</v>
      </c>
      <c r="L156" s="21" t="str">
        <f t="shared" si="12"/>
        <v>Safe</v>
      </c>
      <c r="M156" s="1">
        <v>0.21210000000000001</v>
      </c>
      <c r="N156" s="1">
        <v>0.59</v>
      </c>
      <c r="O156" s="21" t="str">
        <f t="shared" si="13"/>
        <v>Acceptable</v>
      </c>
      <c r="P156" s="1">
        <v>0</v>
      </c>
      <c r="Q156" s="1">
        <v>0</v>
      </c>
      <c r="R156" s="1">
        <v>87</v>
      </c>
      <c r="S156" s="45">
        <v>87</v>
      </c>
    </row>
    <row r="157" spans="1:19" ht="15" thickBot="1" x14ac:dyDescent="0.35">
      <c r="A157" s="4">
        <v>766</v>
      </c>
      <c r="B157" s="2">
        <v>40578</v>
      </c>
      <c r="C157" s="1">
        <v>2</v>
      </c>
      <c r="D157" s="1">
        <v>8</v>
      </c>
      <c r="E157" s="16" t="b">
        <v>0</v>
      </c>
      <c r="F157" s="1">
        <v>5</v>
      </c>
      <c r="G157" s="21" t="str">
        <f t="shared" si="10"/>
        <v>No</v>
      </c>
      <c r="H157" s="26" t="str">
        <f t="shared" si="14"/>
        <v>Friday</v>
      </c>
      <c r="I157" s="1">
        <v>1</v>
      </c>
      <c r="J157" s="21" t="str">
        <f t="shared" si="11"/>
        <v>Clean</v>
      </c>
      <c r="K157" s="1">
        <v>0.14000000000000001</v>
      </c>
      <c r="L157" s="21" t="str">
        <f t="shared" si="12"/>
        <v>Safe</v>
      </c>
      <c r="M157" s="1">
        <v>0.1515</v>
      </c>
      <c r="N157" s="1">
        <v>0.74</v>
      </c>
      <c r="O157" s="21" t="str">
        <f t="shared" si="13"/>
        <v>Risky</v>
      </c>
      <c r="P157" s="1">
        <v>0.1343</v>
      </c>
      <c r="Q157" s="1">
        <v>3</v>
      </c>
      <c r="R157" s="1">
        <v>217</v>
      </c>
      <c r="S157" s="45">
        <v>220</v>
      </c>
    </row>
    <row r="158" spans="1:19" ht="15" thickBot="1" x14ac:dyDescent="0.35">
      <c r="A158" s="4">
        <v>767</v>
      </c>
      <c r="B158" s="2">
        <v>40578</v>
      </c>
      <c r="C158" s="1">
        <v>2</v>
      </c>
      <c r="D158" s="1">
        <v>9</v>
      </c>
      <c r="E158" s="16" t="b">
        <v>0</v>
      </c>
      <c r="F158" s="1">
        <v>5</v>
      </c>
      <c r="G158" s="21" t="str">
        <f t="shared" si="10"/>
        <v>No</v>
      </c>
      <c r="H158" s="26" t="str">
        <f t="shared" si="14"/>
        <v>Friday</v>
      </c>
      <c r="I158" s="1">
        <v>2</v>
      </c>
      <c r="J158" s="21" t="str">
        <f t="shared" si="11"/>
        <v>Misty</v>
      </c>
      <c r="K158" s="1">
        <v>0.16</v>
      </c>
      <c r="L158" s="21" t="str">
        <f t="shared" si="12"/>
        <v>Safe</v>
      </c>
      <c r="M158" s="1">
        <v>0.18179999999999999</v>
      </c>
      <c r="N158" s="1">
        <v>0.8</v>
      </c>
      <c r="O158" s="21" t="str">
        <f t="shared" si="13"/>
        <v>Risky</v>
      </c>
      <c r="P158" s="1">
        <v>0.1343</v>
      </c>
      <c r="Q158" s="1">
        <v>3</v>
      </c>
      <c r="R158" s="1">
        <v>124</v>
      </c>
      <c r="S158" s="45">
        <v>127</v>
      </c>
    </row>
    <row r="159" spans="1:19" ht="15" thickBot="1" x14ac:dyDescent="0.35">
      <c r="A159" s="4">
        <v>768</v>
      </c>
      <c r="B159" s="2">
        <v>40578</v>
      </c>
      <c r="C159" s="1">
        <v>2</v>
      </c>
      <c r="D159" s="1">
        <v>10</v>
      </c>
      <c r="E159" s="16" t="b">
        <v>0</v>
      </c>
      <c r="F159" s="1">
        <v>5</v>
      </c>
      <c r="G159" s="21" t="str">
        <f t="shared" si="10"/>
        <v>No</v>
      </c>
      <c r="H159" s="26" t="str">
        <f t="shared" si="14"/>
        <v>Friday</v>
      </c>
      <c r="I159" s="1">
        <v>2</v>
      </c>
      <c r="J159" s="21" t="str">
        <f t="shared" si="11"/>
        <v>Misty</v>
      </c>
      <c r="K159" s="1">
        <v>0.2</v>
      </c>
      <c r="L159" s="21" t="str">
        <f t="shared" si="12"/>
        <v>Safe</v>
      </c>
      <c r="M159" s="1">
        <v>0.21210000000000001</v>
      </c>
      <c r="N159" s="1">
        <v>0.51</v>
      </c>
      <c r="O159" s="21" t="str">
        <f t="shared" si="13"/>
        <v>Acceptable</v>
      </c>
      <c r="P159" s="1">
        <v>0.1343</v>
      </c>
      <c r="Q159" s="1">
        <v>5</v>
      </c>
      <c r="R159" s="1">
        <v>46</v>
      </c>
      <c r="S159" s="45">
        <v>51</v>
      </c>
    </row>
    <row r="160" spans="1:19" ht="15" thickBot="1" x14ac:dyDescent="0.35">
      <c r="A160" s="4">
        <v>769</v>
      </c>
      <c r="B160" s="2">
        <v>40578</v>
      </c>
      <c r="C160" s="1">
        <v>2</v>
      </c>
      <c r="D160" s="1">
        <v>11</v>
      </c>
      <c r="E160" s="16" t="b">
        <v>0</v>
      </c>
      <c r="F160" s="1">
        <v>5</v>
      </c>
      <c r="G160" s="21" t="str">
        <f t="shared" si="10"/>
        <v>No</v>
      </c>
      <c r="H160" s="26" t="str">
        <f t="shared" si="14"/>
        <v>Friday</v>
      </c>
      <c r="I160" s="1">
        <v>1</v>
      </c>
      <c r="J160" s="21" t="str">
        <f t="shared" si="11"/>
        <v>Clean</v>
      </c>
      <c r="K160" s="1">
        <v>0.22</v>
      </c>
      <c r="L160" s="21" t="str">
        <f t="shared" si="12"/>
        <v>Safe</v>
      </c>
      <c r="M160" s="1">
        <v>0.2273</v>
      </c>
      <c r="N160" s="1">
        <v>0.51</v>
      </c>
      <c r="O160" s="21" t="str">
        <f t="shared" si="13"/>
        <v>Acceptable</v>
      </c>
      <c r="P160" s="1">
        <v>0.16420000000000001</v>
      </c>
      <c r="Q160" s="1">
        <v>3</v>
      </c>
      <c r="R160" s="1">
        <v>61</v>
      </c>
      <c r="S160" s="45">
        <v>64</v>
      </c>
    </row>
    <row r="161" spans="1:19" ht="15" thickBot="1" x14ac:dyDescent="0.35">
      <c r="A161" s="4">
        <v>770</v>
      </c>
      <c r="B161" s="2">
        <v>40578</v>
      </c>
      <c r="C161" s="1">
        <v>2</v>
      </c>
      <c r="D161" s="1">
        <v>12</v>
      </c>
      <c r="E161" s="16" t="b">
        <v>0</v>
      </c>
      <c r="F161" s="1">
        <v>5</v>
      </c>
      <c r="G161" s="21" t="str">
        <f t="shared" si="10"/>
        <v>No</v>
      </c>
      <c r="H161" s="26" t="str">
        <f t="shared" si="14"/>
        <v>Friday</v>
      </c>
      <c r="I161" s="1">
        <v>2</v>
      </c>
      <c r="J161" s="21" t="str">
        <f t="shared" si="11"/>
        <v>Misty</v>
      </c>
      <c r="K161" s="1">
        <v>0.24</v>
      </c>
      <c r="L161" s="21" t="str">
        <f t="shared" si="12"/>
        <v>Safe</v>
      </c>
      <c r="M161" s="1">
        <v>0.2424</v>
      </c>
      <c r="N161" s="1">
        <v>0.48</v>
      </c>
      <c r="O161" s="21" t="str">
        <f t="shared" si="13"/>
        <v>Acceptable</v>
      </c>
      <c r="P161" s="1">
        <v>0.16420000000000001</v>
      </c>
      <c r="Q161" s="1">
        <v>8</v>
      </c>
      <c r="R161" s="1">
        <v>78</v>
      </c>
      <c r="S161" s="45">
        <v>86</v>
      </c>
    </row>
    <row r="162" spans="1:19" ht="15" thickBot="1" x14ac:dyDescent="0.35">
      <c r="A162" s="4">
        <v>771</v>
      </c>
      <c r="B162" s="2">
        <v>40578</v>
      </c>
      <c r="C162" s="1">
        <v>2</v>
      </c>
      <c r="D162" s="1">
        <v>13</v>
      </c>
      <c r="E162" s="16" t="b">
        <v>0</v>
      </c>
      <c r="F162" s="1">
        <v>5</v>
      </c>
      <c r="G162" s="21" t="str">
        <f t="shared" si="10"/>
        <v>No</v>
      </c>
      <c r="H162" s="26" t="str">
        <f t="shared" si="14"/>
        <v>Friday</v>
      </c>
      <c r="I162" s="1">
        <v>2</v>
      </c>
      <c r="J162" s="21" t="str">
        <f t="shared" si="11"/>
        <v>Misty</v>
      </c>
      <c r="K162" s="1">
        <v>0.26</v>
      </c>
      <c r="L162" s="21" t="str">
        <f t="shared" si="12"/>
        <v>Safe</v>
      </c>
      <c r="M162" s="1">
        <v>0.2576</v>
      </c>
      <c r="N162" s="1">
        <v>0.5</v>
      </c>
      <c r="O162" s="21" t="str">
        <f t="shared" si="13"/>
        <v>Acceptable</v>
      </c>
      <c r="P162" s="1">
        <v>0.22389999999999999</v>
      </c>
      <c r="Q162" s="1">
        <v>9</v>
      </c>
      <c r="R162" s="1">
        <v>73</v>
      </c>
      <c r="S162" s="45">
        <v>82</v>
      </c>
    </row>
    <row r="163" spans="1:19" ht="15" thickBot="1" x14ac:dyDescent="0.35">
      <c r="A163" s="4">
        <v>772</v>
      </c>
      <c r="B163" s="2">
        <v>40578</v>
      </c>
      <c r="C163" s="1">
        <v>2</v>
      </c>
      <c r="D163" s="1">
        <v>14</v>
      </c>
      <c r="E163" s="16" t="b">
        <v>0</v>
      </c>
      <c r="F163" s="1">
        <v>5</v>
      </c>
      <c r="G163" s="21" t="str">
        <f t="shared" si="10"/>
        <v>No</v>
      </c>
      <c r="H163" s="26" t="str">
        <f t="shared" si="14"/>
        <v>Friday</v>
      </c>
      <c r="I163" s="1">
        <v>2</v>
      </c>
      <c r="J163" s="21" t="str">
        <f t="shared" si="11"/>
        <v>Misty</v>
      </c>
      <c r="K163" s="1">
        <v>0.28000000000000003</v>
      </c>
      <c r="L163" s="21" t="str">
        <f t="shared" si="12"/>
        <v>Safe</v>
      </c>
      <c r="M163" s="1">
        <v>0.2727</v>
      </c>
      <c r="N163" s="1">
        <v>0.45</v>
      </c>
      <c r="O163" s="21" t="str">
        <f t="shared" si="13"/>
        <v>Acceptable</v>
      </c>
      <c r="P163" s="1">
        <v>0.16420000000000001</v>
      </c>
      <c r="Q163" s="1">
        <v>15</v>
      </c>
      <c r="R163" s="1">
        <v>76</v>
      </c>
      <c r="S163" s="45">
        <v>91</v>
      </c>
    </row>
    <row r="164" spans="1:19" ht="15" thickBot="1" x14ac:dyDescent="0.35">
      <c r="A164" s="4">
        <v>773</v>
      </c>
      <c r="B164" s="2">
        <v>40578</v>
      </c>
      <c r="C164" s="1">
        <v>2</v>
      </c>
      <c r="D164" s="1">
        <v>15</v>
      </c>
      <c r="E164" s="16" t="b">
        <v>0</v>
      </c>
      <c r="F164" s="1">
        <v>5</v>
      </c>
      <c r="G164" s="21" t="str">
        <f t="shared" si="10"/>
        <v>No</v>
      </c>
      <c r="H164" s="26" t="str">
        <f t="shared" si="14"/>
        <v>Friday</v>
      </c>
      <c r="I164" s="1">
        <v>2</v>
      </c>
      <c r="J164" s="21" t="str">
        <f t="shared" si="11"/>
        <v>Misty</v>
      </c>
      <c r="K164" s="1">
        <v>0.28000000000000003</v>
      </c>
      <c r="L164" s="21" t="str">
        <f t="shared" si="12"/>
        <v>Safe</v>
      </c>
      <c r="M164" s="1">
        <v>0.2727</v>
      </c>
      <c r="N164" s="1">
        <v>0.48</v>
      </c>
      <c r="O164" s="21" t="str">
        <f t="shared" si="13"/>
        <v>Acceptable</v>
      </c>
      <c r="P164" s="1">
        <v>0.25369999999999998</v>
      </c>
      <c r="Q164" s="1">
        <v>9</v>
      </c>
      <c r="R164" s="1">
        <v>81</v>
      </c>
      <c r="S164" s="45">
        <v>90</v>
      </c>
    </row>
    <row r="165" spans="1:19" ht="15" thickBot="1" x14ac:dyDescent="0.35">
      <c r="A165" s="4">
        <v>774</v>
      </c>
      <c r="B165" s="2">
        <v>40578</v>
      </c>
      <c r="C165" s="1">
        <v>2</v>
      </c>
      <c r="D165" s="1">
        <v>16</v>
      </c>
      <c r="E165" s="16" t="b">
        <v>0</v>
      </c>
      <c r="F165" s="1">
        <v>5</v>
      </c>
      <c r="G165" s="21" t="str">
        <f t="shared" si="10"/>
        <v>No</v>
      </c>
      <c r="H165" s="26" t="str">
        <f t="shared" si="14"/>
        <v>Friday</v>
      </c>
      <c r="I165" s="1">
        <v>2</v>
      </c>
      <c r="J165" s="21" t="str">
        <f t="shared" si="11"/>
        <v>Misty</v>
      </c>
      <c r="K165" s="1">
        <v>0.3</v>
      </c>
      <c r="L165" s="21" t="str">
        <f t="shared" si="12"/>
        <v>Safe</v>
      </c>
      <c r="M165" s="1">
        <v>0.28789999999999999</v>
      </c>
      <c r="N165" s="1">
        <v>0.42</v>
      </c>
      <c r="O165" s="21" t="str">
        <f t="shared" si="13"/>
        <v>Acceptable</v>
      </c>
      <c r="P165" s="1">
        <v>0.22389999999999999</v>
      </c>
      <c r="Q165" s="1">
        <v>8</v>
      </c>
      <c r="R165" s="1">
        <v>91</v>
      </c>
      <c r="S165" s="45">
        <v>99</v>
      </c>
    </row>
    <row r="166" spans="1:19" ht="15" thickBot="1" x14ac:dyDescent="0.35">
      <c r="A166" s="4">
        <v>775</v>
      </c>
      <c r="B166" s="2">
        <v>40578</v>
      </c>
      <c r="C166" s="1">
        <v>2</v>
      </c>
      <c r="D166" s="1">
        <v>17</v>
      </c>
      <c r="E166" s="16" t="b">
        <v>0</v>
      </c>
      <c r="F166" s="1">
        <v>5</v>
      </c>
      <c r="G166" s="21" t="str">
        <f t="shared" si="10"/>
        <v>No</v>
      </c>
      <c r="H166" s="26" t="str">
        <f t="shared" si="14"/>
        <v>Friday</v>
      </c>
      <c r="I166" s="1">
        <v>2</v>
      </c>
      <c r="J166" s="21" t="str">
        <f t="shared" si="11"/>
        <v>Misty</v>
      </c>
      <c r="K166" s="1">
        <v>0.26</v>
      </c>
      <c r="L166" s="21" t="str">
        <f t="shared" si="12"/>
        <v>Safe</v>
      </c>
      <c r="M166" s="1">
        <v>0.2727</v>
      </c>
      <c r="N166" s="1">
        <v>0.56000000000000005</v>
      </c>
      <c r="O166" s="21" t="str">
        <f t="shared" si="13"/>
        <v>Acceptable</v>
      </c>
      <c r="P166" s="1">
        <v>0.1343</v>
      </c>
      <c r="Q166" s="1">
        <v>10</v>
      </c>
      <c r="R166" s="1">
        <v>195</v>
      </c>
      <c r="S166" s="45">
        <v>205</v>
      </c>
    </row>
    <row r="167" spans="1:19" ht="15" thickBot="1" x14ac:dyDescent="0.35">
      <c r="A167" s="4">
        <v>776</v>
      </c>
      <c r="B167" s="2">
        <v>40578</v>
      </c>
      <c r="C167" s="1">
        <v>2</v>
      </c>
      <c r="D167" s="1">
        <v>18</v>
      </c>
      <c r="E167" s="16" t="b">
        <v>0</v>
      </c>
      <c r="F167" s="1">
        <v>5</v>
      </c>
      <c r="G167" s="21" t="str">
        <f t="shared" si="10"/>
        <v>No</v>
      </c>
      <c r="H167" s="26" t="str">
        <f t="shared" si="14"/>
        <v>Friday</v>
      </c>
      <c r="I167" s="1">
        <v>2</v>
      </c>
      <c r="J167" s="21" t="str">
        <f t="shared" si="11"/>
        <v>Misty</v>
      </c>
      <c r="K167" s="1">
        <v>0.24</v>
      </c>
      <c r="L167" s="21" t="str">
        <f t="shared" si="12"/>
        <v>Safe</v>
      </c>
      <c r="M167" s="1">
        <v>0.2576</v>
      </c>
      <c r="N167" s="1">
        <v>0.6</v>
      </c>
      <c r="O167" s="21" t="str">
        <f t="shared" si="13"/>
        <v>Acceptable</v>
      </c>
      <c r="P167" s="1">
        <v>0.1045</v>
      </c>
      <c r="Q167" s="1">
        <v>3</v>
      </c>
      <c r="R167" s="1">
        <v>152</v>
      </c>
      <c r="S167" s="45">
        <v>155</v>
      </c>
    </row>
    <row r="168" spans="1:19" ht="15" thickBot="1" x14ac:dyDescent="0.35">
      <c r="A168" s="4">
        <v>777</v>
      </c>
      <c r="B168" s="2">
        <v>40578</v>
      </c>
      <c r="C168" s="1">
        <v>2</v>
      </c>
      <c r="D168" s="1">
        <v>19</v>
      </c>
      <c r="E168" s="16" t="b">
        <v>0</v>
      </c>
      <c r="F168" s="1">
        <v>5</v>
      </c>
      <c r="G168" s="21" t="str">
        <f t="shared" si="10"/>
        <v>No</v>
      </c>
      <c r="H168" s="26" t="str">
        <f t="shared" si="14"/>
        <v>Friday</v>
      </c>
      <c r="I168" s="1">
        <v>2</v>
      </c>
      <c r="J168" s="21" t="str">
        <f t="shared" si="11"/>
        <v>Misty</v>
      </c>
      <c r="K168" s="1">
        <v>0.24</v>
      </c>
      <c r="L168" s="21" t="str">
        <f t="shared" si="12"/>
        <v>Safe</v>
      </c>
      <c r="M168" s="1">
        <v>0.2424</v>
      </c>
      <c r="N168" s="1">
        <v>0.65</v>
      </c>
      <c r="O168" s="21" t="str">
        <f t="shared" si="13"/>
        <v>Acceptable</v>
      </c>
      <c r="P168" s="1">
        <v>0.1343</v>
      </c>
      <c r="Q168" s="1">
        <v>1</v>
      </c>
      <c r="R168" s="1">
        <v>102</v>
      </c>
      <c r="S168" s="45">
        <v>103</v>
      </c>
    </row>
    <row r="169" spans="1:19" ht="15" thickBot="1" x14ac:dyDescent="0.35">
      <c r="A169" s="4">
        <v>778</v>
      </c>
      <c r="B169" s="2">
        <v>40578</v>
      </c>
      <c r="C169" s="1">
        <v>2</v>
      </c>
      <c r="D169" s="1">
        <v>20</v>
      </c>
      <c r="E169" s="16" t="b">
        <v>0</v>
      </c>
      <c r="F169" s="1">
        <v>5</v>
      </c>
      <c r="G169" s="21" t="str">
        <f t="shared" si="10"/>
        <v>No</v>
      </c>
      <c r="H169" s="26" t="str">
        <f t="shared" si="14"/>
        <v>Friday</v>
      </c>
      <c r="I169" s="1">
        <v>2</v>
      </c>
      <c r="J169" s="21" t="str">
        <f t="shared" si="11"/>
        <v>Misty</v>
      </c>
      <c r="K169" s="1">
        <v>0.24</v>
      </c>
      <c r="L169" s="21" t="str">
        <f t="shared" si="12"/>
        <v>Safe</v>
      </c>
      <c r="M169" s="1">
        <v>0.2424</v>
      </c>
      <c r="N169" s="1">
        <v>0.65</v>
      </c>
      <c r="O169" s="21" t="str">
        <f t="shared" si="13"/>
        <v>Acceptable</v>
      </c>
      <c r="P169" s="1">
        <v>0.16420000000000001</v>
      </c>
      <c r="Q169" s="1">
        <v>2</v>
      </c>
      <c r="R169" s="1">
        <v>69</v>
      </c>
      <c r="S169" s="45">
        <v>71</v>
      </c>
    </row>
    <row r="170" spans="1:19" ht="15" thickBot="1" x14ac:dyDescent="0.35">
      <c r="A170" s="4">
        <v>779</v>
      </c>
      <c r="B170" s="2">
        <v>40578</v>
      </c>
      <c r="C170" s="1">
        <v>2</v>
      </c>
      <c r="D170" s="1">
        <v>21</v>
      </c>
      <c r="E170" s="16" t="b">
        <v>0</v>
      </c>
      <c r="F170" s="1">
        <v>5</v>
      </c>
      <c r="G170" s="21" t="str">
        <f t="shared" si="10"/>
        <v>No</v>
      </c>
      <c r="H170" s="26" t="str">
        <f t="shared" si="14"/>
        <v>Friday</v>
      </c>
      <c r="I170" s="1">
        <v>2</v>
      </c>
      <c r="J170" s="21" t="str">
        <f t="shared" si="11"/>
        <v>Misty</v>
      </c>
      <c r="K170" s="1">
        <v>0.24</v>
      </c>
      <c r="L170" s="21" t="str">
        <f t="shared" si="12"/>
        <v>Safe</v>
      </c>
      <c r="M170" s="1">
        <v>0.2424</v>
      </c>
      <c r="N170" s="1">
        <v>0.7</v>
      </c>
      <c r="O170" s="21" t="str">
        <f t="shared" si="13"/>
        <v>Risky</v>
      </c>
      <c r="P170" s="1">
        <v>0.16420000000000001</v>
      </c>
      <c r="Q170" s="1">
        <v>2</v>
      </c>
      <c r="R170" s="1">
        <v>41</v>
      </c>
      <c r="S170" s="45">
        <v>43</v>
      </c>
    </row>
    <row r="171" spans="1:19" ht="15" thickBot="1" x14ac:dyDescent="0.35">
      <c r="A171" s="4">
        <v>780</v>
      </c>
      <c r="B171" s="2">
        <v>40578</v>
      </c>
      <c r="C171" s="1">
        <v>2</v>
      </c>
      <c r="D171" s="1">
        <v>22</v>
      </c>
      <c r="E171" s="16" t="b">
        <v>0</v>
      </c>
      <c r="F171" s="1">
        <v>5</v>
      </c>
      <c r="G171" s="21" t="str">
        <f t="shared" si="10"/>
        <v>No</v>
      </c>
      <c r="H171" s="26" t="str">
        <f t="shared" si="14"/>
        <v>Friday</v>
      </c>
      <c r="I171" s="1">
        <v>2</v>
      </c>
      <c r="J171" s="21" t="str">
        <f t="shared" si="11"/>
        <v>Misty</v>
      </c>
      <c r="K171" s="1">
        <v>0.24</v>
      </c>
      <c r="L171" s="21" t="str">
        <f t="shared" si="12"/>
        <v>Safe</v>
      </c>
      <c r="M171" s="1">
        <v>0.2424</v>
      </c>
      <c r="N171" s="1">
        <v>0.65</v>
      </c>
      <c r="O171" s="21" t="str">
        <f t="shared" si="13"/>
        <v>Acceptable</v>
      </c>
      <c r="P171" s="1">
        <v>0.16420000000000001</v>
      </c>
      <c r="Q171" s="1">
        <v>1</v>
      </c>
      <c r="R171" s="1">
        <v>45</v>
      </c>
      <c r="S171" s="45">
        <v>46</v>
      </c>
    </row>
    <row r="172" spans="1:19" ht="15" thickBot="1" x14ac:dyDescent="0.35">
      <c r="A172" s="4">
        <v>781</v>
      </c>
      <c r="B172" s="2">
        <v>40578</v>
      </c>
      <c r="C172" s="1">
        <v>2</v>
      </c>
      <c r="D172" s="1">
        <v>23</v>
      </c>
      <c r="E172" s="16" t="b">
        <v>0</v>
      </c>
      <c r="F172" s="1">
        <v>5</v>
      </c>
      <c r="G172" s="21" t="str">
        <f t="shared" si="10"/>
        <v>No</v>
      </c>
      <c r="H172" s="26" t="str">
        <f t="shared" si="14"/>
        <v>Friday</v>
      </c>
      <c r="I172" s="1">
        <v>2</v>
      </c>
      <c r="J172" s="21" t="str">
        <f t="shared" si="11"/>
        <v>Misty</v>
      </c>
      <c r="K172" s="1">
        <v>0.24</v>
      </c>
      <c r="L172" s="21" t="str">
        <f t="shared" si="12"/>
        <v>Safe</v>
      </c>
      <c r="M172" s="1">
        <v>0.2424</v>
      </c>
      <c r="N172" s="1">
        <v>0.7</v>
      </c>
      <c r="O172" s="21" t="str">
        <f t="shared" si="13"/>
        <v>Risky</v>
      </c>
      <c r="P172" s="1">
        <v>0.1343</v>
      </c>
      <c r="Q172" s="1">
        <v>1</v>
      </c>
      <c r="R172" s="1">
        <v>30</v>
      </c>
      <c r="S172" s="45">
        <v>31</v>
      </c>
    </row>
    <row r="173" spans="1:19" ht="15" thickBot="1" x14ac:dyDescent="0.35">
      <c r="A173" s="4">
        <v>782</v>
      </c>
      <c r="B173" s="2">
        <v>40579</v>
      </c>
      <c r="C173" s="1">
        <v>2</v>
      </c>
      <c r="D173" s="1">
        <v>0</v>
      </c>
      <c r="E173" s="16" t="b">
        <v>0</v>
      </c>
      <c r="F173" s="1">
        <v>6</v>
      </c>
      <c r="G173" s="21" t="str">
        <f t="shared" si="10"/>
        <v>Yes</v>
      </c>
      <c r="H173" s="26" t="str">
        <f t="shared" si="14"/>
        <v>Saturday</v>
      </c>
      <c r="I173" s="1">
        <v>2</v>
      </c>
      <c r="J173" s="21" t="str">
        <f t="shared" si="11"/>
        <v>Misty</v>
      </c>
      <c r="K173" s="1">
        <v>0.24</v>
      </c>
      <c r="L173" s="21" t="str">
        <f t="shared" si="12"/>
        <v>Safe</v>
      </c>
      <c r="M173" s="1">
        <v>0.2424</v>
      </c>
      <c r="N173" s="1">
        <v>0.7</v>
      </c>
      <c r="O173" s="21" t="str">
        <f t="shared" si="13"/>
        <v>Risky</v>
      </c>
      <c r="P173" s="1">
        <v>0.16420000000000001</v>
      </c>
      <c r="Q173" s="1">
        <v>3</v>
      </c>
      <c r="R173" s="1">
        <v>36</v>
      </c>
      <c r="S173" s="45">
        <v>39</v>
      </c>
    </row>
    <row r="174" spans="1:19" ht="15" thickBot="1" x14ac:dyDescent="0.35">
      <c r="A174" s="4">
        <v>783</v>
      </c>
      <c r="B174" s="2">
        <v>40579</v>
      </c>
      <c r="C174" s="1">
        <v>2</v>
      </c>
      <c r="D174" s="1">
        <v>1</v>
      </c>
      <c r="E174" s="16" t="b">
        <v>0</v>
      </c>
      <c r="F174" s="1">
        <v>6</v>
      </c>
      <c r="G174" s="21" t="str">
        <f t="shared" si="10"/>
        <v>Yes</v>
      </c>
      <c r="H174" s="26" t="str">
        <f t="shared" si="14"/>
        <v>Saturday</v>
      </c>
      <c r="I174" s="1">
        <v>2</v>
      </c>
      <c r="J174" s="21" t="str">
        <f t="shared" si="11"/>
        <v>Misty</v>
      </c>
      <c r="K174" s="1">
        <v>0.24</v>
      </c>
      <c r="L174" s="21" t="str">
        <f t="shared" si="12"/>
        <v>Safe</v>
      </c>
      <c r="M174" s="1">
        <v>0.2424</v>
      </c>
      <c r="N174" s="1">
        <v>0.65</v>
      </c>
      <c r="O174" s="21" t="str">
        <f t="shared" si="13"/>
        <v>Acceptable</v>
      </c>
      <c r="P174" s="1">
        <v>0.16420000000000001</v>
      </c>
      <c r="Q174" s="1">
        <v>1</v>
      </c>
      <c r="R174" s="1">
        <v>17</v>
      </c>
      <c r="S174" s="45">
        <v>18</v>
      </c>
    </row>
    <row r="175" spans="1:19" ht="15" thickBot="1" x14ac:dyDescent="0.35">
      <c r="A175" s="4">
        <v>784</v>
      </c>
      <c r="B175" s="2">
        <v>40579</v>
      </c>
      <c r="C175" s="1">
        <v>2</v>
      </c>
      <c r="D175" s="1">
        <v>2</v>
      </c>
      <c r="E175" s="16" t="b">
        <v>0</v>
      </c>
      <c r="F175" s="1">
        <v>6</v>
      </c>
      <c r="G175" s="21" t="str">
        <f t="shared" si="10"/>
        <v>Yes</v>
      </c>
      <c r="H175" s="26" t="str">
        <f t="shared" si="14"/>
        <v>Saturday</v>
      </c>
      <c r="I175" s="1">
        <v>2</v>
      </c>
      <c r="J175" s="21" t="str">
        <f t="shared" si="11"/>
        <v>Misty</v>
      </c>
      <c r="K175" s="1">
        <v>0.24</v>
      </c>
      <c r="L175" s="21" t="str">
        <f t="shared" si="12"/>
        <v>Safe</v>
      </c>
      <c r="M175" s="1">
        <v>0.2424</v>
      </c>
      <c r="N175" s="1">
        <v>0.75</v>
      </c>
      <c r="O175" s="21" t="str">
        <f t="shared" si="13"/>
        <v>Risky</v>
      </c>
      <c r="P175" s="1">
        <v>0.16420000000000001</v>
      </c>
      <c r="Q175" s="1">
        <v>5</v>
      </c>
      <c r="R175" s="1">
        <v>12</v>
      </c>
      <c r="S175" s="45">
        <v>17</v>
      </c>
    </row>
    <row r="176" spans="1:19" ht="15" thickBot="1" x14ac:dyDescent="0.35">
      <c r="A176" s="4">
        <v>785</v>
      </c>
      <c r="B176" s="2">
        <v>40579</v>
      </c>
      <c r="C176" s="1">
        <v>2</v>
      </c>
      <c r="D176" s="1">
        <v>3</v>
      </c>
      <c r="E176" s="16" t="b">
        <v>0</v>
      </c>
      <c r="F176" s="1">
        <v>6</v>
      </c>
      <c r="G176" s="21" t="str">
        <f t="shared" si="10"/>
        <v>Yes</v>
      </c>
      <c r="H176" s="26" t="str">
        <f t="shared" si="14"/>
        <v>Saturday</v>
      </c>
      <c r="I176" s="1">
        <v>2</v>
      </c>
      <c r="J176" s="21" t="str">
        <f t="shared" si="11"/>
        <v>Misty</v>
      </c>
      <c r="K176" s="1">
        <v>0.24</v>
      </c>
      <c r="L176" s="21" t="str">
        <f t="shared" si="12"/>
        <v>Safe</v>
      </c>
      <c r="M176" s="1">
        <v>0.2424</v>
      </c>
      <c r="N176" s="1">
        <v>0.75</v>
      </c>
      <c r="O176" s="21" t="str">
        <f t="shared" si="13"/>
        <v>Risky</v>
      </c>
      <c r="P176" s="1">
        <v>0.16420000000000001</v>
      </c>
      <c r="Q176" s="1">
        <v>1</v>
      </c>
      <c r="R176" s="1">
        <v>10</v>
      </c>
      <c r="S176" s="45">
        <v>11</v>
      </c>
    </row>
    <row r="177" spans="1:19" ht="15" thickBot="1" x14ac:dyDescent="0.35">
      <c r="A177" s="4">
        <v>786</v>
      </c>
      <c r="B177" s="2">
        <v>40579</v>
      </c>
      <c r="C177" s="1">
        <v>2</v>
      </c>
      <c r="D177" s="1">
        <v>4</v>
      </c>
      <c r="E177" s="16" t="b">
        <v>0</v>
      </c>
      <c r="F177" s="1">
        <v>6</v>
      </c>
      <c r="G177" s="21" t="str">
        <f t="shared" si="10"/>
        <v>Yes</v>
      </c>
      <c r="H177" s="26" t="str">
        <f t="shared" si="14"/>
        <v>Saturday</v>
      </c>
      <c r="I177" s="1">
        <v>3</v>
      </c>
      <c r="J177" s="21" t="str">
        <f t="shared" si="11"/>
        <v>Light Rain</v>
      </c>
      <c r="K177" s="1">
        <v>0.22</v>
      </c>
      <c r="L177" s="21" t="str">
        <f t="shared" si="12"/>
        <v>Safe</v>
      </c>
      <c r="M177" s="1">
        <v>0.2273</v>
      </c>
      <c r="N177" s="1">
        <v>0.93</v>
      </c>
      <c r="O177" s="21" t="str">
        <f t="shared" si="13"/>
        <v>Risky</v>
      </c>
      <c r="P177" s="1">
        <v>0.1343</v>
      </c>
      <c r="Q177" s="1">
        <v>0</v>
      </c>
      <c r="R177" s="1">
        <v>8</v>
      </c>
      <c r="S177" s="45">
        <v>8</v>
      </c>
    </row>
    <row r="178" spans="1:19" ht="15" thickBot="1" x14ac:dyDescent="0.35">
      <c r="A178" s="4">
        <v>787</v>
      </c>
      <c r="B178" s="2">
        <v>40579</v>
      </c>
      <c r="C178" s="1">
        <v>2</v>
      </c>
      <c r="D178" s="1">
        <v>5</v>
      </c>
      <c r="E178" s="16" t="b">
        <v>0</v>
      </c>
      <c r="F178" s="1">
        <v>6</v>
      </c>
      <c r="G178" s="21" t="str">
        <f t="shared" si="10"/>
        <v>Yes</v>
      </c>
      <c r="H178" s="26" t="str">
        <f t="shared" si="14"/>
        <v>Saturday</v>
      </c>
      <c r="I178" s="1">
        <v>3</v>
      </c>
      <c r="J178" s="21" t="str">
        <f t="shared" si="11"/>
        <v>Light Rain</v>
      </c>
      <c r="K178" s="1">
        <v>0.2</v>
      </c>
      <c r="L178" s="21" t="str">
        <f t="shared" si="12"/>
        <v>Safe</v>
      </c>
      <c r="M178" s="1">
        <v>0.2273</v>
      </c>
      <c r="N178" s="1">
        <v>1</v>
      </c>
      <c r="O178" s="21" t="str">
        <f t="shared" si="13"/>
        <v>Risky</v>
      </c>
      <c r="P178" s="1">
        <v>8.9599999999999999E-2</v>
      </c>
      <c r="Q178" s="1">
        <v>0</v>
      </c>
      <c r="R178" s="1">
        <v>9</v>
      </c>
      <c r="S178" s="45">
        <v>9</v>
      </c>
    </row>
    <row r="179" spans="1:19" ht="15" thickBot="1" x14ac:dyDescent="0.35">
      <c r="A179" s="4">
        <v>788</v>
      </c>
      <c r="B179" s="2">
        <v>40579</v>
      </c>
      <c r="C179" s="1">
        <v>2</v>
      </c>
      <c r="D179" s="1">
        <v>6</v>
      </c>
      <c r="E179" s="16" t="b">
        <v>0</v>
      </c>
      <c r="F179" s="1">
        <v>6</v>
      </c>
      <c r="G179" s="21" t="str">
        <f t="shared" si="10"/>
        <v>Yes</v>
      </c>
      <c r="H179" s="26" t="str">
        <f t="shared" si="14"/>
        <v>Saturday</v>
      </c>
      <c r="I179" s="1">
        <v>3</v>
      </c>
      <c r="J179" s="21" t="str">
        <f t="shared" si="11"/>
        <v>Light Rain</v>
      </c>
      <c r="K179" s="1">
        <v>0.2</v>
      </c>
      <c r="L179" s="21" t="str">
        <f t="shared" si="12"/>
        <v>Safe</v>
      </c>
      <c r="M179" s="1">
        <v>0.2576</v>
      </c>
      <c r="N179" s="1">
        <v>1</v>
      </c>
      <c r="O179" s="21" t="str">
        <f t="shared" si="13"/>
        <v>Risky</v>
      </c>
      <c r="P179" s="1">
        <v>0</v>
      </c>
      <c r="Q179" s="1">
        <v>0</v>
      </c>
      <c r="R179" s="1">
        <v>4</v>
      </c>
      <c r="S179" s="45">
        <v>4</v>
      </c>
    </row>
    <row r="180" spans="1:19" ht="15" thickBot="1" x14ac:dyDescent="0.35">
      <c r="A180" s="4">
        <v>789</v>
      </c>
      <c r="B180" s="2">
        <v>40579</v>
      </c>
      <c r="C180" s="1">
        <v>2</v>
      </c>
      <c r="D180" s="1">
        <v>7</v>
      </c>
      <c r="E180" s="16" t="b">
        <v>0</v>
      </c>
      <c r="F180" s="1">
        <v>6</v>
      </c>
      <c r="G180" s="21" t="str">
        <f t="shared" si="10"/>
        <v>Yes</v>
      </c>
      <c r="H180" s="26" t="str">
        <f t="shared" si="14"/>
        <v>Saturday</v>
      </c>
      <c r="I180" s="1">
        <v>3</v>
      </c>
      <c r="J180" s="21" t="str">
        <f t="shared" si="11"/>
        <v>Light Rain</v>
      </c>
      <c r="K180" s="1">
        <v>0.22</v>
      </c>
      <c r="L180" s="21" t="str">
        <f t="shared" si="12"/>
        <v>Safe</v>
      </c>
      <c r="M180" s="1">
        <v>0.2576</v>
      </c>
      <c r="N180" s="1">
        <v>0.93</v>
      </c>
      <c r="O180" s="21" t="str">
        <f t="shared" si="13"/>
        <v>Risky</v>
      </c>
      <c r="P180" s="1">
        <v>8.9599999999999999E-2</v>
      </c>
      <c r="Q180" s="1">
        <v>0</v>
      </c>
      <c r="R180" s="1">
        <v>4</v>
      </c>
      <c r="S180" s="45">
        <v>4</v>
      </c>
    </row>
    <row r="181" spans="1:19" ht="15" thickBot="1" x14ac:dyDescent="0.35">
      <c r="A181" s="4">
        <v>790</v>
      </c>
      <c r="B181" s="2">
        <v>40579</v>
      </c>
      <c r="C181" s="1">
        <v>2</v>
      </c>
      <c r="D181" s="1">
        <v>8</v>
      </c>
      <c r="E181" s="16" t="b">
        <v>0</v>
      </c>
      <c r="F181" s="1">
        <v>6</v>
      </c>
      <c r="G181" s="21" t="str">
        <f t="shared" si="10"/>
        <v>Yes</v>
      </c>
      <c r="H181" s="26" t="str">
        <f t="shared" si="14"/>
        <v>Saturday</v>
      </c>
      <c r="I181" s="1">
        <v>3</v>
      </c>
      <c r="J181" s="21" t="str">
        <f t="shared" si="11"/>
        <v>Light Rain</v>
      </c>
      <c r="K181" s="1">
        <v>0.2</v>
      </c>
      <c r="L181" s="21" t="str">
        <f t="shared" si="12"/>
        <v>Safe</v>
      </c>
      <c r="M181" s="1">
        <v>0.2273</v>
      </c>
      <c r="N181" s="1">
        <v>1</v>
      </c>
      <c r="O181" s="21" t="str">
        <f t="shared" si="13"/>
        <v>Risky</v>
      </c>
      <c r="P181" s="1">
        <v>8.9599999999999999E-2</v>
      </c>
      <c r="Q181" s="1">
        <v>0</v>
      </c>
      <c r="R181" s="1">
        <v>10</v>
      </c>
      <c r="S181" s="45">
        <v>10</v>
      </c>
    </row>
    <row r="182" spans="1:19" ht="15" thickBot="1" x14ac:dyDescent="0.35">
      <c r="A182" s="4">
        <v>791</v>
      </c>
      <c r="B182" s="2">
        <v>40579</v>
      </c>
      <c r="C182" s="1">
        <v>2</v>
      </c>
      <c r="D182" s="1">
        <v>9</v>
      </c>
      <c r="E182" s="16" t="b">
        <v>0</v>
      </c>
      <c r="F182" s="1">
        <v>6</v>
      </c>
      <c r="G182" s="21" t="str">
        <f t="shared" si="10"/>
        <v>Yes</v>
      </c>
      <c r="H182" s="26" t="str">
        <f t="shared" si="14"/>
        <v>Saturday</v>
      </c>
      <c r="I182" s="1">
        <v>3</v>
      </c>
      <c r="J182" s="21" t="str">
        <f t="shared" si="11"/>
        <v>Light Rain</v>
      </c>
      <c r="K182" s="1">
        <v>0.2</v>
      </c>
      <c r="L182" s="21" t="str">
        <f t="shared" si="12"/>
        <v>Safe</v>
      </c>
      <c r="M182" s="1">
        <v>0.2273</v>
      </c>
      <c r="N182" s="1">
        <v>1</v>
      </c>
      <c r="O182" s="21" t="str">
        <f t="shared" si="13"/>
        <v>Risky</v>
      </c>
      <c r="P182" s="1">
        <v>8.9599999999999999E-2</v>
      </c>
      <c r="Q182" s="1">
        <v>3</v>
      </c>
      <c r="R182" s="1">
        <v>17</v>
      </c>
      <c r="S182" s="45">
        <v>20</v>
      </c>
    </row>
    <row r="183" spans="1:19" ht="15" thickBot="1" x14ac:dyDescent="0.35">
      <c r="A183" s="4">
        <v>792</v>
      </c>
      <c r="B183" s="2">
        <v>40579</v>
      </c>
      <c r="C183" s="1">
        <v>2</v>
      </c>
      <c r="D183" s="1">
        <v>10</v>
      </c>
      <c r="E183" s="16" t="b">
        <v>0</v>
      </c>
      <c r="F183" s="1">
        <v>6</v>
      </c>
      <c r="G183" s="21" t="str">
        <f t="shared" si="10"/>
        <v>Yes</v>
      </c>
      <c r="H183" s="26" t="str">
        <f t="shared" si="14"/>
        <v>Saturday</v>
      </c>
      <c r="I183" s="1">
        <v>3</v>
      </c>
      <c r="J183" s="21" t="str">
        <f t="shared" si="11"/>
        <v>Light Rain</v>
      </c>
      <c r="K183" s="1">
        <v>0.2</v>
      </c>
      <c r="L183" s="21" t="str">
        <f t="shared" si="12"/>
        <v>Safe</v>
      </c>
      <c r="M183" s="1">
        <v>0.21210000000000001</v>
      </c>
      <c r="N183" s="1">
        <v>1</v>
      </c>
      <c r="O183" s="21" t="str">
        <f t="shared" si="13"/>
        <v>Risky</v>
      </c>
      <c r="P183" s="1">
        <v>0.1343</v>
      </c>
      <c r="Q183" s="1">
        <v>3</v>
      </c>
      <c r="R183" s="1">
        <v>31</v>
      </c>
      <c r="S183" s="45">
        <v>34</v>
      </c>
    </row>
    <row r="184" spans="1:19" ht="15" thickBot="1" x14ac:dyDescent="0.35">
      <c r="A184" s="4">
        <v>793</v>
      </c>
      <c r="B184" s="2">
        <v>40579</v>
      </c>
      <c r="C184" s="1">
        <v>2</v>
      </c>
      <c r="D184" s="1">
        <v>11</v>
      </c>
      <c r="E184" s="16" t="b">
        <v>0</v>
      </c>
      <c r="F184" s="1">
        <v>6</v>
      </c>
      <c r="G184" s="21" t="str">
        <f t="shared" si="10"/>
        <v>Yes</v>
      </c>
      <c r="H184" s="26" t="str">
        <f t="shared" si="14"/>
        <v>Saturday</v>
      </c>
      <c r="I184" s="1">
        <v>3</v>
      </c>
      <c r="J184" s="21" t="str">
        <f t="shared" si="11"/>
        <v>Light Rain</v>
      </c>
      <c r="K184" s="1">
        <v>0.22</v>
      </c>
      <c r="L184" s="21" t="str">
        <f t="shared" si="12"/>
        <v>Safe</v>
      </c>
      <c r="M184" s="1">
        <v>0.2273</v>
      </c>
      <c r="N184" s="1">
        <v>1</v>
      </c>
      <c r="O184" s="21" t="str">
        <f t="shared" si="13"/>
        <v>Risky</v>
      </c>
      <c r="P184" s="1">
        <v>0.1343</v>
      </c>
      <c r="Q184" s="1">
        <v>1</v>
      </c>
      <c r="R184" s="1">
        <v>46</v>
      </c>
      <c r="S184" s="45">
        <v>47</v>
      </c>
    </row>
    <row r="185" spans="1:19" ht="15" thickBot="1" x14ac:dyDescent="0.35">
      <c r="A185" s="4">
        <v>794</v>
      </c>
      <c r="B185" s="2">
        <v>40579</v>
      </c>
      <c r="C185" s="1">
        <v>2</v>
      </c>
      <c r="D185" s="1">
        <v>12</v>
      </c>
      <c r="E185" s="16" t="b">
        <v>0</v>
      </c>
      <c r="F185" s="1">
        <v>6</v>
      </c>
      <c r="G185" s="21" t="str">
        <f t="shared" si="10"/>
        <v>Yes</v>
      </c>
      <c r="H185" s="26" t="str">
        <f t="shared" si="14"/>
        <v>Saturday</v>
      </c>
      <c r="I185" s="1">
        <v>3</v>
      </c>
      <c r="J185" s="21" t="str">
        <f t="shared" si="11"/>
        <v>Light Rain</v>
      </c>
      <c r="K185" s="1">
        <v>0.22</v>
      </c>
      <c r="L185" s="21" t="str">
        <f t="shared" si="12"/>
        <v>Safe</v>
      </c>
      <c r="M185" s="1">
        <v>0.2273</v>
      </c>
      <c r="N185" s="1">
        <v>1</v>
      </c>
      <c r="O185" s="21" t="str">
        <f t="shared" si="13"/>
        <v>Risky</v>
      </c>
      <c r="P185" s="1">
        <v>0.16420000000000001</v>
      </c>
      <c r="Q185" s="1">
        <v>10</v>
      </c>
      <c r="R185" s="1">
        <v>42</v>
      </c>
      <c r="S185" s="45">
        <v>52</v>
      </c>
    </row>
    <row r="186" spans="1:19" ht="15" thickBot="1" x14ac:dyDescent="0.35">
      <c r="A186" s="4">
        <v>795</v>
      </c>
      <c r="B186" s="2">
        <v>40579</v>
      </c>
      <c r="C186" s="1">
        <v>2</v>
      </c>
      <c r="D186" s="1">
        <v>13</v>
      </c>
      <c r="E186" s="16" t="b">
        <v>0</v>
      </c>
      <c r="F186" s="1">
        <v>6</v>
      </c>
      <c r="G186" s="21" t="str">
        <f t="shared" si="10"/>
        <v>Yes</v>
      </c>
      <c r="H186" s="26" t="str">
        <f t="shared" si="14"/>
        <v>Saturday</v>
      </c>
      <c r="I186" s="1">
        <v>3</v>
      </c>
      <c r="J186" s="21" t="str">
        <f t="shared" si="11"/>
        <v>Light Rain</v>
      </c>
      <c r="K186" s="1">
        <v>0.22</v>
      </c>
      <c r="L186" s="21" t="str">
        <f t="shared" si="12"/>
        <v>Safe</v>
      </c>
      <c r="M186" s="1">
        <v>0.2273</v>
      </c>
      <c r="N186" s="1">
        <v>1</v>
      </c>
      <c r="O186" s="21" t="str">
        <f t="shared" si="13"/>
        <v>Risky</v>
      </c>
      <c r="P186" s="1">
        <v>0.16420000000000001</v>
      </c>
      <c r="Q186" s="1">
        <v>10</v>
      </c>
      <c r="R186" s="1">
        <v>62</v>
      </c>
      <c r="S186" s="45">
        <v>72</v>
      </c>
    </row>
    <row r="187" spans="1:19" ht="15" thickBot="1" x14ac:dyDescent="0.35">
      <c r="A187" s="4">
        <v>796</v>
      </c>
      <c r="B187" s="2">
        <v>40579</v>
      </c>
      <c r="C187" s="1">
        <v>2</v>
      </c>
      <c r="D187" s="1">
        <v>14</v>
      </c>
      <c r="E187" s="16" t="b">
        <v>0</v>
      </c>
      <c r="F187" s="1">
        <v>6</v>
      </c>
      <c r="G187" s="21" t="str">
        <f t="shared" si="10"/>
        <v>Yes</v>
      </c>
      <c r="H187" s="26" t="str">
        <f t="shared" si="14"/>
        <v>Saturday</v>
      </c>
      <c r="I187" s="1">
        <v>3</v>
      </c>
      <c r="J187" s="21" t="str">
        <f t="shared" si="11"/>
        <v>Light Rain</v>
      </c>
      <c r="K187" s="1">
        <v>0.22</v>
      </c>
      <c r="L187" s="21" t="str">
        <f t="shared" si="12"/>
        <v>Safe</v>
      </c>
      <c r="M187" s="1">
        <v>0.2727</v>
      </c>
      <c r="N187" s="1">
        <v>1</v>
      </c>
      <c r="O187" s="21" t="str">
        <f t="shared" si="13"/>
        <v>Risky</v>
      </c>
      <c r="P187" s="1">
        <v>0</v>
      </c>
      <c r="Q187" s="1">
        <v>5</v>
      </c>
      <c r="R187" s="1">
        <v>50</v>
      </c>
      <c r="S187" s="45">
        <v>55</v>
      </c>
    </row>
    <row r="188" spans="1:19" ht="15" thickBot="1" x14ac:dyDescent="0.35">
      <c r="A188" s="4">
        <v>797</v>
      </c>
      <c r="B188" s="2">
        <v>40579</v>
      </c>
      <c r="C188" s="1">
        <v>2</v>
      </c>
      <c r="D188" s="1">
        <v>15</v>
      </c>
      <c r="E188" s="16" t="b">
        <v>0</v>
      </c>
      <c r="F188" s="1">
        <v>6</v>
      </c>
      <c r="G188" s="21" t="str">
        <f t="shared" si="10"/>
        <v>Yes</v>
      </c>
      <c r="H188" s="26" t="str">
        <f t="shared" si="14"/>
        <v>Saturday</v>
      </c>
      <c r="I188" s="1">
        <v>3</v>
      </c>
      <c r="J188" s="21" t="str">
        <f t="shared" si="11"/>
        <v>Light Rain</v>
      </c>
      <c r="K188" s="1">
        <v>0.22</v>
      </c>
      <c r="L188" s="21" t="str">
        <f t="shared" si="12"/>
        <v>Safe</v>
      </c>
      <c r="M188" s="1">
        <v>0.2727</v>
      </c>
      <c r="N188" s="1">
        <v>1</v>
      </c>
      <c r="O188" s="21" t="str">
        <f t="shared" si="13"/>
        <v>Risky</v>
      </c>
      <c r="P188" s="1">
        <v>0</v>
      </c>
      <c r="Q188" s="1">
        <v>11</v>
      </c>
      <c r="R188" s="1">
        <v>49</v>
      </c>
      <c r="S188" s="45">
        <v>60</v>
      </c>
    </row>
    <row r="189" spans="1:19" ht="15" thickBot="1" x14ac:dyDescent="0.35">
      <c r="A189" s="4">
        <v>798</v>
      </c>
      <c r="B189" s="2">
        <v>40579</v>
      </c>
      <c r="C189" s="1">
        <v>2</v>
      </c>
      <c r="D189" s="1">
        <v>16</v>
      </c>
      <c r="E189" s="16" t="b">
        <v>0</v>
      </c>
      <c r="F189" s="1">
        <v>6</v>
      </c>
      <c r="G189" s="21" t="str">
        <f t="shared" si="10"/>
        <v>Yes</v>
      </c>
      <c r="H189" s="26" t="str">
        <f t="shared" si="14"/>
        <v>Saturday</v>
      </c>
      <c r="I189" s="1">
        <v>3</v>
      </c>
      <c r="J189" s="21" t="str">
        <f t="shared" si="11"/>
        <v>Light Rain</v>
      </c>
      <c r="K189" s="1">
        <v>0.22</v>
      </c>
      <c r="L189" s="21" t="str">
        <f t="shared" si="12"/>
        <v>Safe</v>
      </c>
      <c r="M189" s="1">
        <v>0.2273</v>
      </c>
      <c r="N189" s="1">
        <v>1</v>
      </c>
      <c r="O189" s="21" t="str">
        <f t="shared" si="13"/>
        <v>Risky</v>
      </c>
      <c r="P189" s="1">
        <v>0.1343</v>
      </c>
      <c r="Q189" s="1">
        <v>8</v>
      </c>
      <c r="R189" s="1">
        <v>63</v>
      </c>
      <c r="S189" s="45">
        <v>71</v>
      </c>
    </row>
    <row r="190" spans="1:19" ht="15" thickBot="1" x14ac:dyDescent="0.35">
      <c r="A190" s="4">
        <v>799</v>
      </c>
      <c r="B190" s="2">
        <v>40579</v>
      </c>
      <c r="C190" s="1">
        <v>2</v>
      </c>
      <c r="D190" s="1">
        <v>17</v>
      </c>
      <c r="E190" s="16" t="b">
        <v>0</v>
      </c>
      <c r="F190" s="1">
        <v>6</v>
      </c>
      <c r="G190" s="21" t="str">
        <f t="shared" si="10"/>
        <v>Yes</v>
      </c>
      <c r="H190" s="26" t="str">
        <f t="shared" si="14"/>
        <v>Saturday</v>
      </c>
      <c r="I190" s="1">
        <v>2</v>
      </c>
      <c r="J190" s="21" t="str">
        <f t="shared" si="11"/>
        <v>Misty</v>
      </c>
      <c r="K190" s="1">
        <v>0.24</v>
      </c>
      <c r="L190" s="21" t="str">
        <f t="shared" si="12"/>
        <v>Safe</v>
      </c>
      <c r="M190" s="1">
        <v>0.21210000000000001</v>
      </c>
      <c r="N190" s="1">
        <v>1</v>
      </c>
      <c r="O190" s="21" t="str">
        <f t="shared" si="13"/>
        <v>Risky</v>
      </c>
      <c r="P190" s="1">
        <v>0.28360000000000002</v>
      </c>
      <c r="Q190" s="1">
        <v>14</v>
      </c>
      <c r="R190" s="1">
        <v>64</v>
      </c>
      <c r="S190" s="45">
        <v>78</v>
      </c>
    </row>
    <row r="191" spans="1:19" ht="15" thickBot="1" x14ac:dyDescent="0.35">
      <c r="A191" s="4">
        <v>800</v>
      </c>
      <c r="B191" s="2">
        <v>40579</v>
      </c>
      <c r="C191" s="1">
        <v>2</v>
      </c>
      <c r="D191" s="1">
        <v>18</v>
      </c>
      <c r="E191" s="16" t="b">
        <v>0</v>
      </c>
      <c r="F191" s="1">
        <v>6</v>
      </c>
      <c r="G191" s="21" t="str">
        <f t="shared" si="10"/>
        <v>Yes</v>
      </c>
      <c r="H191" s="26" t="str">
        <f t="shared" si="14"/>
        <v>Saturday</v>
      </c>
      <c r="I191" s="1">
        <v>2</v>
      </c>
      <c r="J191" s="21" t="str">
        <f t="shared" si="11"/>
        <v>Misty</v>
      </c>
      <c r="K191" s="1">
        <v>0.28000000000000003</v>
      </c>
      <c r="L191" s="21" t="str">
        <f t="shared" si="12"/>
        <v>Safe</v>
      </c>
      <c r="M191" s="1">
        <v>0.2424</v>
      </c>
      <c r="N191" s="1">
        <v>0.93</v>
      </c>
      <c r="O191" s="21" t="str">
        <f t="shared" si="13"/>
        <v>Risky</v>
      </c>
      <c r="P191" s="1">
        <v>0.44779999999999998</v>
      </c>
      <c r="Q191" s="1">
        <v>2</v>
      </c>
      <c r="R191" s="1">
        <v>81</v>
      </c>
      <c r="S191" s="45">
        <v>83</v>
      </c>
    </row>
    <row r="192" spans="1:19" ht="15" thickBot="1" x14ac:dyDescent="0.35">
      <c r="A192" s="4">
        <v>801</v>
      </c>
      <c r="B192" s="2">
        <v>40579</v>
      </c>
      <c r="C192" s="1">
        <v>2</v>
      </c>
      <c r="D192" s="1">
        <v>19</v>
      </c>
      <c r="E192" s="16" t="b">
        <v>0</v>
      </c>
      <c r="F192" s="1">
        <v>6</v>
      </c>
      <c r="G192" s="21" t="str">
        <f t="shared" si="10"/>
        <v>Yes</v>
      </c>
      <c r="H192" s="26" t="str">
        <f t="shared" si="14"/>
        <v>Saturday</v>
      </c>
      <c r="I192" s="1">
        <v>2</v>
      </c>
      <c r="J192" s="21" t="str">
        <f t="shared" si="11"/>
        <v>Misty</v>
      </c>
      <c r="K192" s="1">
        <v>0.28000000000000003</v>
      </c>
      <c r="L192" s="21" t="str">
        <f t="shared" si="12"/>
        <v>Safe</v>
      </c>
      <c r="M192" s="1">
        <v>0.2424</v>
      </c>
      <c r="N192" s="1">
        <v>0.93</v>
      </c>
      <c r="O192" s="21" t="str">
        <f t="shared" si="13"/>
        <v>Risky</v>
      </c>
      <c r="P192" s="1">
        <v>0.44779999999999998</v>
      </c>
      <c r="Q192" s="1">
        <v>6</v>
      </c>
      <c r="R192" s="1">
        <v>78</v>
      </c>
      <c r="S192" s="45">
        <v>84</v>
      </c>
    </row>
    <row r="193" spans="1:19" ht="15" thickBot="1" x14ac:dyDescent="0.35">
      <c r="A193" s="4">
        <v>802</v>
      </c>
      <c r="B193" s="2">
        <v>40579</v>
      </c>
      <c r="C193" s="1">
        <v>2</v>
      </c>
      <c r="D193" s="1">
        <v>20</v>
      </c>
      <c r="E193" s="16" t="b">
        <v>0</v>
      </c>
      <c r="F193" s="1">
        <v>6</v>
      </c>
      <c r="G193" s="21" t="str">
        <f t="shared" si="10"/>
        <v>Yes</v>
      </c>
      <c r="H193" s="26" t="str">
        <f t="shared" si="14"/>
        <v>Saturday</v>
      </c>
      <c r="I193" s="1">
        <v>1</v>
      </c>
      <c r="J193" s="21" t="str">
        <f t="shared" si="11"/>
        <v>Clean</v>
      </c>
      <c r="K193" s="1">
        <v>0.3</v>
      </c>
      <c r="L193" s="21" t="str">
        <f t="shared" si="12"/>
        <v>Safe</v>
      </c>
      <c r="M193" s="1">
        <v>0.28789999999999999</v>
      </c>
      <c r="N193" s="1">
        <v>0.87</v>
      </c>
      <c r="O193" s="21" t="str">
        <f t="shared" si="13"/>
        <v>Risky</v>
      </c>
      <c r="P193" s="1">
        <v>0.25369999999999998</v>
      </c>
      <c r="Q193" s="1">
        <v>5</v>
      </c>
      <c r="R193" s="1">
        <v>64</v>
      </c>
      <c r="S193" s="45">
        <v>69</v>
      </c>
    </row>
    <row r="194" spans="1:19" ht="15" thickBot="1" x14ac:dyDescent="0.35">
      <c r="A194" s="4">
        <v>803</v>
      </c>
      <c r="B194" s="2">
        <v>40579</v>
      </c>
      <c r="C194" s="1">
        <v>2</v>
      </c>
      <c r="D194" s="1">
        <v>21</v>
      </c>
      <c r="E194" s="16" t="b">
        <v>0</v>
      </c>
      <c r="F194" s="1">
        <v>6</v>
      </c>
      <c r="G194" s="21" t="str">
        <f t="shared" ref="G194:G257" si="15">_xlfn.IFS(F194=0,"Yes",F194=6,"Yes",F194&gt;0,"No")</f>
        <v>Yes</v>
      </c>
      <c r="H194" s="26" t="str">
        <f t="shared" si="14"/>
        <v>Saturday</v>
      </c>
      <c r="I194" s="1">
        <v>1</v>
      </c>
      <c r="J194" s="21" t="str">
        <f t="shared" ref="J194:J257" si="16">_xlfn.IFS(I194=1,"Clean",I194=2,"Misty",I194=3,"Light Rain",I194=4,"Heavy Rain")</f>
        <v>Clean</v>
      </c>
      <c r="K194" s="1">
        <v>0.26</v>
      </c>
      <c r="L194" s="21" t="str">
        <f t="shared" ref="L194:L257" si="17">_xlfn.IFS(K194&lt;0.1,"Risky",K194&lt;0.35,"Safe",K194&gt;0.35,"Risky")</f>
        <v>Safe</v>
      </c>
      <c r="M194" s="1">
        <v>0.2576</v>
      </c>
      <c r="N194" s="1">
        <v>1</v>
      </c>
      <c r="O194" s="21" t="str">
        <f t="shared" ref="O194:O257" si="18">IF(N194&lt;0.7,"Acceptable","Risky")</f>
        <v>Risky</v>
      </c>
      <c r="P194" s="1">
        <v>0.19400000000000001</v>
      </c>
      <c r="Q194" s="1">
        <v>3</v>
      </c>
      <c r="R194" s="1">
        <v>53</v>
      </c>
      <c r="S194" s="45">
        <v>56</v>
      </c>
    </row>
    <row r="195" spans="1:19" ht="15" thickBot="1" x14ac:dyDescent="0.35">
      <c r="A195" s="4">
        <v>804</v>
      </c>
      <c r="B195" s="2">
        <v>40579</v>
      </c>
      <c r="C195" s="1">
        <v>2</v>
      </c>
      <c r="D195" s="1">
        <v>22</v>
      </c>
      <c r="E195" s="16" t="b">
        <v>0</v>
      </c>
      <c r="F195" s="1">
        <v>6</v>
      </c>
      <c r="G195" s="21" t="str">
        <f t="shared" si="15"/>
        <v>Yes</v>
      </c>
      <c r="H195" s="26" t="str">
        <f t="shared" ref="H195:H258" si="19">TEXT(B195:B584,"dddd")</f>
        <v>Saturday</v>
      </c>
      <c r="I195" s="1">
        <v>1</v>
      </c>
      <c r="J195" s="21" t="str">
        <f t="shared" si="16"/>
        <v>Clean</v>
      </c>
      <c r="K195" s="1">
        <v>0.26</v>
      </c>
      <c r="L195" s="21" t="str">
        <f t="shared" si="17"/>
        <v>Safe</v>
      </c>
      <c r="M195" s="1">
        <v>0.2727</v>
      </c>
      <c r="N195" s="1">
        <v>0.93</v>
      </c>
      <c r="O195" s="21" t="str">
        <f t="shared" si="18"/>
        <v>Risky</v>
      </c>
      <c r="P195" s="1">
        <v>0.1343</v>
      </c>
      <c r="Q195" s="1">
        <v>2</v>
      </c>
      <c r="R195" s="1">
        <v>43</v>
      </c>
      <c r="S195" s="45">
        <v>45</v>
      </c>
    </row>
    <row r="196" spans="1:19" ht="15" thickBot="1" x14ac:dyDescent="0.35">
      <c r="A196" s="4">
        <v>805</v>
      </c>
      <c r="B196" s="2">
        <v>40579</v>
      </c>
      <c r="C196" s="1">
        <v>2</v>
      </c>
      <c r="D196" s="1">
        <v>23</v>
      </c>
      <c r="E196" s="16" t="b">
        <v>0</v>
      </c>
      <c r="F196" s="1">
        <v>6</v>
      </c>
      <c r="G196" s="21" t="str">
        <f t="shared" si="15"/>
        <v>Yes</v>
      </c>
      <c r="H196" s="26" t="str">
        <f t="shared" si="19"/>
        <v>Saturday</v>
      </c>
      <c r="I196" s="1">
        <v>1</v>
      </c>
      <c r="J196" s="21" t="str">
        <f t="shared" si="16"/>
        <v>Clean</v>
      </c>
      <c r="K196" s="1">
        <v>0.26</v>
      </c>
      <c r="L196" s="21" t="str">
        <f t="shared" si="17"/>
        <v>Safe</v>
      </c>
      <c r="M196" s="1">
        <v>0.2576</v>
      </c>
      <c r="N196" s="1">
        <v>0.93</v>
      </c>
      <c r="O196" s="21" t="str">
        <f t="shared" si="18"/>
        <v>Risky</v>
      </c>
      <c r="P196" s="1">
        <v>0.22389999999999999</v>
      </c>
      <c r="Q196" s="1">
        <v>7</v>
      </c>
      <c r="R196" s="1">
        <v>52</v>
      </c>
      <c r="S196" s="45">
        <v>59</v>
      </c>
    </row>
    <row r="197" spans="1:19" ht="15" thickBot="1" x14ac:dyDescent="0.35">
      <c r="A197" s="4">
        <v>806</v>
      </c>
      <c r="B197" s="2">
        <v>40580</v>
      </c>
      <c r="C197" s="1">
        <v>2</v>
      </c>
      <c r="D197" s="1">
        <v>0</v>
      </c>
      <c r="E197" s="16" t="b">
        <v>0</v>
      </c>
      <c r="F197" s="1">
        <v>0</v>
      </c>
      <c r="G197" s="21" t="str">
        <f t="shared" si="15"/>
        <v>Yes</v>
      </c>
      <c r="H197" s="26" t="str">
        <f t="shared" si="19"/>
        <v>Sunday</v>
      </c>
      <c r="I197" s="1">
        <v>1</v>
      </c>
      <c r="J197" s="21" t="str">
        <f t="shared" si="16"/>
        <v>Clean</v>
      </c>
      <c r="K197" s="1">
        <v>0.26</v>
      </c>
      <c r="L197" s="21" t="str">
        <f t="shared" si="17"/>
        <v>Safe</v>
      </c>
      <c r="M197" s="1">
        <v>0.2576</v>
      </c>
      <c r="N197" s="1">
        <v>0.7</v>
      </c>
      <c r="O197" s="21" t="str">
        <f t="shared" si="18"/>
        <v>Risky</v>
      </c>
      <c r="P197" s="1">
        <v>0.19400000000000001</v>
      </c>
      <c r="Q197" s="1">
        <v>2</v>
      </c>
      <c r="R197" s="1">
        <v>37</v>
      </c>
      <c r="S197" s="45">
        <v>39</v>
      </c>
    </row>
    <row r="198" spans="1:19" ht="15" thickBot="1" x14ac:dyDescent="0.35">
      <c r="A198" s="4">
        <v>807</v>
      </c>
      <c r="B198" s="2">
        <v>40580</v>
      </c>
      <c r="C198" s="1">
        <v>2</v>
      </c>
      <c r="D198" s="1">
        <v>1</v>
      </c>
      <c r="E198" s="16" t="b">
        <v>0</v>
      </c>
      <c r="F198" s="1">
        <v>0</v>
      </c>
      <c r="G198" s="21" t="str">
        <f t="shared" si="15"/>
        <v>Yes</v>
      </c>
      <c r="H198" s="26" t="str">
        <f t="shared" si="19"/>
        <v>Sunday</v>
      </c>
      <c r="I198" s="1">
        <v>1</v>
      </c>
      <c r="J198" s="21" t="str">
        <f t="shared" si="16"/>
        <v>Clean</v>
      </c>
      <c r="K198" s="1">
        <v>0.26</v>
      </c>
      <c r="L198" s="21" t="str">
        <f t="shared" si="17"/>
        <v>Safe</v>
      </c>
      <c r="M198" s="1">
        <v>0.2273</v>
      </c>
      <c r="N198" s="1">
        <v>0.65</v>
      </c>
      <c r="O198" s="21" t="str">
        <f t="shared" si="18"/>
        <v>Acceptable</v>
      </c>
      <c r="P198" s="1">
        <v>0.41789999999999999</v>
      </c>
      <c r="Q198" s="1">
        <v>4</v>
      </c>
      <c r="R198" s="1">
        <v>40</v>
      </c>
      <c r="S198" s="45">
        <v>44</v>
      </c>
    </row>
    <row r="199" spans="1:19" ht="15" thickBot="1" x14ac:dyDescent="0.35">
      <c r="A199" s="4">
        <v>808</v>
      </c>
      <c r="B199" s="2">
        <v>40580</v>
      </c>
      <c r="C199" s="1">
        <v>2</v>
      </c>
      <c r="D199" s="1">
        <v>2</v>
      </c>
      <c r="E199" s="16" t="b">
        <v>0</v>
      </c>
      <c r="F199" s="1">
        <v>0</v>
      </c>
      <c r="G199" s="21" t="str">
        <f t="shared" si="15"/>
        <v>Yes</v>
      </c>
      <c r="H199" s="26" t="str">
        <f t="shared" si="19"/>
        <v>Sunday</v>
      </c>
      <c r="I199" s="1">
        <v>1</v>
      </c>
      <c r="J199" s="21" t="str">
        <f t="shared" si="16"/>
        <v>Clean</v>
      </c>
      <c r="K199" s="1">
        <v>0.26</v>
      </c>
      <c r="L199" s="21" t="str">
        <f t="shared" si="17"/>
        <v>Safe</v>
      </c>
      <c r="M199" s="1">
        <v>0.2273</v>
      </c>
      <c r="N199" s="1">
        <v>0.6</v>
      </c>
      <c r="O199" s="21" t="str">
        <f t="shared" si="18"/>
        <v>Acceptable</v>
      </c>
      <c r="P199" s="1">
        <v>0.32840000000000003</v>
      </c>
      <c r="Q199" s="1">
        <v>0</v>
      </c>
      <c r="R199" s="1">
        <v>20</v>
      </c>
      <c r="S199" s="45">
        <v>20</v>
      </c>
    </row>
    <row r="200" spans="1:19" ht="15" thickBot="1" x14ac:dyDescent="0.35">
      <c r="A200" s="4">
        <v>809</v>
      </c>
      <c r="B200" s="2">
        <v>40580</v>
      </c>
      <c r="C200" s="1">
        <v>2</v>
      </c>
      <c r="D200" s="1">
        <v>3</v>
      </c>
      <c r="E200" s="16" t="b">
        <v>0</v>
      </c>
      <c r="F200" s="1">
        <v>0</v>
      </c>
      <c r="G200" s="21" t="str">
        <f t="shared" si="15"/>
        <v>Yes</v>
      </c>
      <c r="H200" s="26" t="str">
        <f t="shared" si="19"/>
        <v>Sunday</v>
      </c>
      <c r="I200" s="1">
        <v>1</v>
      </c>
      <c r="J200" s="21" t="str">
        <f t="shared" si="16"/>
        <v>Clean</v>
      </c>
      <c r="K200" s="1">
        <v>0.26</v>
      </c>
      <c r="L200" s="21" t="str">
        <f t="shared" si="17"/>
        <v>Safe</v>
      </c>
      <c r="M200" s="1">
        <v>0.28789999999999999</v>
      </c>
      <c r="N200" s="1">
        <v>0.6</v>
      </c>
      <c r="O200" s="21" t="str">
        <f t="shared" si="18"/>
        <v>Acceptable</v>
      </c>
      <c r="P200" s="1">
        <v>8.9599999999999999E-2</v>
      </c>
      <c r="Q200" s="1">
        <v>3</v>
      </c>
      <c r="R200" s="1">
        <v>10</v>
      </c>
      <c r="S200" s="45">
        <v>13</v>
      </c>
    </row>
    <row r="201" spans="1:19" ht="15" thickBot="1" x14ac:dyDescent="0.35">
      <c r="A201" s="4">
        <v>810</v>
      </c>
      <c r="B201" s="2">
        <v>40580</v>
      </c>
      <c r="C201" s="1">
        <v>2</v>
      </c>
      <c r="D201" s="1">
        <v>4</v>
      </c>
      <c r="E201" s="16" t="b">
        <v>0</v>
      </c>
      <c r="F201" s="1">
        <v>0</v>
      </c>
      <c r="G201" s="21" t="str">
        <f t="shared" si="15"/>
        <v>Yes</v>
      </c>
      <c r="H201" s="26" t="str">
        <f t="shared" si="19"/>
        <v>Sunday</v>
      </c>
      <c r="I201" s="1">
        <v>1</v>
      </c>
      <c r="J201" s="21" t="str">
        <f t="shared" si="16"/>
        <v>Clean</v>
      </c>
      <c r="K201" s="1">
        <v>0.26</v>
      </c>
      <c r="L201" s="21" t="str">
        <f t="shared" si="17"/>
        <v>Safe</v>
      </c>
      <c r="M201" s="1">
        <v>0.2273</v>
      </c>
      <c r="N201" s="1">
        <v>0.6</v>
      </c>
      <c r="O201" s="21" t="str">
        <f t="shared" si="18"/>
        <v>Acceptable</v>
      </c>
      <c r="P201" s="1">
        <v>0.35820000000000002</v>
      </c>
      <c r="Q201" s="1">
        <v>0</v>
      </c>
      <c r="R201" s="1">
        <v>2</v>
      </c>
      <c r="S201" s="45">
        <v>2</v>
      </c>
    </row>
    <row r="202" spans="1:19" ht="15" thickBot="1" x14ac:dyDescent="0.35">
      <c r="A202" s="4">
        <v>811</v>
      </c>
      <c r="B202" s="2">
        <v>40580</v>
      </c>
      <c r="C202" s="1">
        <v>2</v>
      </c>
      <c r="D202" s="1">
        <v>5</v>
      </c>
      <c r="E202" s="16" t="b">
        <v>0</v>
      </c>
      <c r="F202" s="1">
        <v>0</v>
      </c>
      <c r="G202" s="21" t="str">
        <f t="shared" si="15"/>
        <v>Yes</v>
      </c>
      <c r="H202" s="26" t="str">
        <f t="shared" si="19"/>
        <v>Sunday</v>
      </c>
      <c r="I202" s="1">
        <v>1</v>
      </c>
      <c r="J202" s="21" t="str">
        <f t="shared" si="16"/>
        <v>Clean</v>
      </c>
      <c r="K202" s="1">
        <v>0.26</v>
      </c>
      <c r="L202" s="21" t="str">
        <f t="shared" si="17"/>
        <v>Safe</v>
      </c>
      <c r="M202" s="1">
        <v>0.2576</v>
      </c>
      <c r="N202" s="1">
        <v>0.6</v>
      </c>
      <c r="O202" s="21" t="str">
        <f t="shared" si="18"/>
        <v>Acceptable</v>
      </c>
      <c r="P202" s="1">
        <v>0.22389999999999999</v>
      </c>
      <c r="Q202" s="1">
        <v>0</v>
      </c>
      <c r="R202" s="1">
        <v>1</v>
      </c>
      <c r="S202" s="45">
        <v>1</v>
      </c>
    </row>
    <row r="203" spans="1:19" ht="15" thickBot="1" x14ac:dyDescent="0.35">
      <c r="A203" s="4">
        <v>812</v>
      </c>
      <c r="B203" s="2">
        <v>40580</v>
      </c>
      <c r="C203" s="1">
        <v>2</v>
      </c>
      <c r="D203" s="1">
        <v>6</v>
      </c>
      <c r="E203" s="16" t="b">
        <v>0</v>
      </c>
      <c r="F203" s="1">
        <v>0</v>
      </c>
      <c r="G203" s="21" t="str">
        <f t="shared" si="15"/>
        <v>Yes</v>
      </c>
      <c r="H203" s="26" t="str">
        <f t="shared" si="19"/>
        <v>Sunday</v>
      </c>
      <c r="I203" s="1">
        <v>1</v>
      </c>
      <c r="J203" s="21" t="str">
        <f t="shared" si="16"/>
        <v>Clean</v>
      </c>
      <c r="K203" s="1">
        <v>0.26</v>
      </c>
      <c r="L203" s="21" t="str">
        <f t="shared" si="17"/>
        <v>Safe</v>
      </c>
      <c r="M203" s="1">
        <v>0.2576</v>
      </c>
      <c r="N203" s="1">
        <v>0.6</v>
      </c>
      <c r="O203" s="21" t="str">
        <f t="shared" si="18"/>
        <v>Acceptable</v>
      </c>
      <c r="P203" s="1">
        <v>0.22389999999999999</v>
      </c>
      <c r="Q203" s="1">
        <v>0</v>
      </c>
      <c r="R203" s="1">
        <v>1</v>
      </c>
      <c r="S203" s="45">
        <v>1</v>
      </c>
    </row>
    <row r="204" spans="1:19" ht="15" thickBot="1" x14ac:dyDescent="0.35">
      <c r="A204" s="4">
        <v>813</v>
      </c>
      <c r="B204" s="2">
        <v>40580</v>
      </c>
      <c r="C204" s="1">
        <v>2</v>
      </c>
      <c r="D204" s="1">
        <v>7</v>
      </c>
      <c r="E204" s="16" t="b">
        <v>0</v>
      </c>
      <c r="F204" s="1">
        <v>0</v>
      </c>
      <c r="G204" s="21" t="str">
        <f t="shared" si="15"/>
        <v>Yes</v>
      </c>
      <c r="H204" s="26" t="str">
        <f t="shared" si="19"/>
        <v>Sunday</v>
      </c>
      <c r="I204" s="1">
        <v>1</v>
      </c>
      <c r="J204" s="21" t="str">
        <f t="shared" si="16"/>
        <v>Clean</v>
      </c>
      <c r="K204" s="1">
        <v>0.24</v>
      </c>
      <c r="L204" s="21" t="str">
        <f t="shared" si="17"/>
        <v>Safe</v>
      </c>
      <c r="M204" s="1">
        <v>0.2424</v>
      </c>
      <c r="N204" s="1">
        <v>0.65</v>
      </c>
      <c r="O204" s="21" t="str">
        <f t="shared" si="18"/>
        <v>Acceptable</v>
      </c>
      <c r="P204" s="1">
        <v>0.16420000000000001</v>
      </c>
      <c r="Q204" s="1">
        <v>0</v>
      </c>
      <c r="R204" s="1">
        <v>8</v>
      </c>
      <c r="S204" s="45">
        <v>8</v>
      </c>
    </row>
    <row r="205" spans="1:19" ht="15" thickBot="1" x14ac:dyDescent="0.35">
      <c r="A205" s="4">
        <v>814</v>
      </c>
      <c r="B205" s="2">
        <v>40580</v>
      </c>
      <c r="C205" s="1">
        <v>2</v>
      </c>
      <c r="D205" s="1">
        <v>8</v>
      </c>
      <c r="E205" s="16" t="b">
        <v>0</v>
      </c>
      <c r="F205" s="1">
        <v>0</v>
      </c>
      <c r="G205" s="21" t="str">
        <f t="shared" si="15"/>
        <v>Yes</v>
      </c>
      <c r="H205" s="26" t="str">
        <f t="shared" si="19"/>
        <v>Sunday</v>
      </c>
      <c r="I205" s="1">
        <v>1</v>
      </c>
      <c r="J205" s="21" t="str">
        <f t="shared" si="16"/>
        <v>Clean</v>
      </c>
      <c r="K205" s="1">
        <v>0.24</v>
      </c>
      <c r="L205" s="21" t="str">
        <f t="shared" si="17"/>
        <v>Safe</v>
      </c>
      <c r="M205" s="1">
        <v>0.2576</v>
      </c>
      <c r="N205" s="1">
        <v>0.65</v>
      </c>
      <c r="O205" s="21" t="str">
        <f t="shared" si="18"/>
        <v>Acceptable</v>
      </c>
      <c r="P205" s="1">
        <v>0.1045</v>
      </c>
      <c r="Q205" s="1">
        <v>2</v>
      </c>
      <c r="R205" s="1">
        <v>21</v>
      </c>
      <c r="S205" s="45">
        <v>23</v>
      </c>
    </row>
    <row r="206" spans="1:19" ht="15" thickBot="1" x14ac:dyDescent="0.35">
      <c r="A206" s="4">
        <v>815</v>
      </c>
      <c r="B206" s="2">
        <v>40580</v>
      </c>
      <c r="C206" s="1">
        <v>2</v>
      </c>
      <c r="D206" s="1">
        <v>9</v>
      </c>
      <c r="E206" s="16" t="b">
        <v>0</v>
      </c>
      <c r="F206" s="1">
        <v>0</v>
      </c>
      <c r="G206" s="21" t="str">
        <f t="shared" si="15"/>
        <v>Yes</v>
      </c>
      <c r="H206" s="26" t="str">
        <f t="shared" si="19"/>
        <v>Sunday</v>
      </c>
      <c r="I206" s="1">
        <v>1</v>
      </c>
      <c r="J206" s="21" t="str">
        <f t="shared" si="16"/>
        <v>Clean</v>
      </c>
      <c r="K206" s="1">
        <v>0.28000000000000003</v>
      </c>
      <c r="L206" s="21" t="str">
        <f t="shared" si="17"/>
        <v>Safe</v>
      </c>
      <c r="M206" s="1">
        <v>0.28789999999999999</v>
      </c>
      <c r="N206" s="1">
        <v>0.56000000000000005</v>
      </c>
      <c r="O206" s="21" t="str">
        <f t="shared" si="18"/>
        <v>Acceptable</v>
      </c>
      <c r="P206" s="1">
        <v>0.1045</v>
      </c>
      <c r="Q206" s="1">
        <v>7</v>
      </c>
      <c r="R206" s="1">
        <v>38</v>
      </c>
      <c r="S206" s="45">
        <v>45</v>
      </c>
    </row>
    <row r="207" spans="1:19" ht="15" thickBot="1" x14ac:dyDescent="0.35">
      <c r="A207" s="4">
        <v>816</v>
      </c>
      <c r="B207" s="2">
        <v>40580</v>
      </c>
      <c r="C207" s="1">
        <v>2</v>
      </c>
      <c r="D207" s="1">
        <v>10</v>
      </c>
      <c r="E207" s="16" t="b">
        <v>0</v>
      </c>
      <c r="F207" s="1">
        <v>0</v>
      </c>
      <c r="G207" s="21" t="str">
        <f t="shared" si="15"/>
        <v>Yes</v>
      </c>
      <c r="H207" s="26" t="str">
        <f t="shared" si="19"/>
        <v>Sunday</v>
      </c>
      <c r="I207" s="1">
        <v>1</v>
      </c>
      <c r="J207" s="21" t="str">
        <f t="shared" si="16"/>
        <v>Clean</v>
      </c>
      <c r="K207" s="1">
        <v>0.3</v>
      </c>
      <c r="L207" s="21" t="str">
        <f t="shared" si="17"/>
        <v>Safe</v>
      </c>
      <c r="M207" s="1">
        <v>0.28789999999999999</v>
      </c>
      <c r="N207" s="1">
        <v>0.52</v>
      </c>
      <c r="O207" s="21" t="str">
        <f t="shared" si="18"/>
        <v>Acceptable</v>
      </c>
      <c r="P207" s="1">
        <v>0.25369999999999998</v>
      </c>
      <c r="Q207" s="1">
        <v>15</v>
      </c>
      <c r="R207" s="1">
        <v>74</v>
      </c>
      <c r="S207" s="45">
        <v>89</v>
      </c>
    </row>
    <row r="208" spans="1:19" ht="15" thickBot="1" x14ac:dyDescent="0.35">
      <c r="A208" s="4">
        <v>817</v>
      </c>
      <c r="B208" s="2">
        <v>40580</v>
      </c>
      <c r="C208" s="1">
        <v>2</v>
      </c>
      <c r="D208" s="1">
        <v>11</v>
      </c>
      <c r="E208" s="16" t="b">
        <v>0</v>
      </c>
      <c r="F208" s="1">
        <v>0</v>
      </c>
      <c r="G208" s="21" t="str">
        <f t="shared" si="15"/>
        <v>Yes</v>
      </c>
      <c r="H208" s="26" t="str">
        <f t="shared" si="19"/>
        <v>Sunday</v>
      </c>
      <c r="I208" s="1">
        <v>1</v>
      </c>
      <c r="J208" s="21" t="str">
        <f t="shared" si="16"/>
        <v>Clean</v>
      </c>
      <c r="K208" s="1">
        <v>0.32</v>
      </c>
      <c r="L208" s="21" t="str">
        <f t="shared" si="17"/>
        <v>Safe</v>
      </c>
      <c r="M208" s="1">
        <v>0.30299999999999999</v>
      </c>
      <c r="N208" s="1">
        <v>0.49</v>
      </c>
      <c r="O208" s="21" t="str">
        <f t="shared" si="18"/>
        <v>Acceptable</v>
      </c>
      <c r="P208" s="1">
        <v>0.25369999999999998</v>
      </c>
      <c r="Q208" s="1">
        <v>28</v>
      </c>
      <c r="R208" s="1">
        <v>89</v>
      </c>
      <c r="S208" s="45">
        <v>117</v>
      </c>
    </row>
    <row r="209" spans="1:19" ht="15" thickBot="1" x14ac:dyDescent="0.35">
      <c r="A209" s="4">
        <v>818</v>
      </c>
      <c r="B209" s="2">
        <v>40580</v>
      </c>
      <c r="C209" s="1">
        <v>2</v>
      </c>
      <c r="D209" s="1">
        <v>12</v>
      </c>
      <c r="E209" s="16" t="b">
        <v>0</v>
      </c>
      <c r="F209" s="1">
        <v>0</v>
      </c>
      <c r="G209" s="21" t="str">
        <f t="shared" si="15"/>
        <v>Yes</v>
      </c>
      <c r="H209" s="26" t="str">
        <f t="shared" si="19"/>
        <v>Sunday</v>
      </c>
      <c r="I209" s="1">
        <v>1</v>
      </c>
      <c r="J209" s="21" t="str">
        <f t="shared" si="16"/>
        <v>Clean</v>
      </c>
      <c r="K209" s="1">
        <v>0.34</v>
      </c>
      <c r="L209" s="21" t="str">
        <f t="shared" si="17"/>
        <v>Safe</v>
      </c>
      <c r="M209" s="1">
        <v>0.33329999999999999</v>
      </c>
      <c r="N209" s="1">
        <v>0.46</v>
      </c>
      <c r="O209" s="21" t="str">
        <f t="shared" si="18"/>
        <v>Acceptable</v>
      </c>
      <c r="P209" s="1">
        <v>0</v>
      </c>
      <c r="Q209" s="1">
        <v>48</v>
      </c>
      <c r="R209" s="1">
        <v>126</v>
      </c>
      <c r="S209" s="45">
        <v>174</v>
      </c>
    </row>
    <row r="210" spans="1:19" ht="15" thickBot="1" x14ac:dyDescent="0.35">
      <c r="A210" s="4">
        <v>819</v>
      </c>
      <c r="B210" s="2">
        <v>40580</v>
      </c>
      <c r="C210" s="1">
        <v>2</v>
      </c>
      <c r="D210" s="1">
        <v>13</v>
      </c>
      <c r="E210" s="16" t="b">
        <v>0</v>
      </c>
      <c r="F210" s="1">
        <v>0</v>
      </c>
      <c r="G210" s="21" t="str">
        <f t="shared" si="15"/>
        <v>Yes</v>
      </c>
      <c r="H210" s="26" t="str">
        <f t="shared" si="19"/>
        <v>Sunday</v>
      </c>
      <c r="I210" s="1">
        <v>1</v>
      </c>
      <c r="J210" s="21" t="str">
        <f t="shared" si="16"/>
        <v>Clean</v>
      </c>
      <c r="K210" s="1">
        <v>0.34</v>
      </c>
      <c r="L210" s="21" t="str">
        <f t="shared" si="17"/>
        <v>Safe</v>
      </c>
      <c r="M210" s="1">
        <v>0.36359999999999998</v>
      </c>
      <c r="N210" s="1">
        <v>0.46</v>
      </c>
      <c r="O210" s="21" t="str">
        <f t="shared" si="18"/>
        <v>Acceptable</v>
      </c>
      <c r="P210" s="1">
        <v>0</v>
      </c>
      <c r="Q210" s="1">
        <v>47</v>
      </c>
      <c r="R210" s="1">
        <v>135</v>
      </c>
      <c r="S210" s="45">
        <v>182</v>
      </c>
    </row>
    <row r="211" spans="1:19" ht="15" thickBot="1" x14ac:dyDescent="0.35">
      <c r="A211" s="4">
        <v>820</v>
      </c>
      <c r="B211" s="2">
        <v>40580</v>
      </c>
      <c r="C211" s="1">
        <v>2</v>
      </c>
      <c r="D211" s="1">
        <v>14</v>
      </c>
      <c r="E211" s="16" t="b">
        <v>0</v>
      </c>
      <c r="F211" s="1">
        <v>0</v>
      </c>
      <c r="G211" s="21" t="str">
        <f t="shared" si="15"/>
        <v>Yes</v>
      </c>
      <c r="H211" s="26" t="str">
        <f t="shared" si="19"/>
        <v>Sunday</v>
      </c>
      <c r="I211" s="1">
        <v>1</v>
      </c>
      <c r="J211" s="21" t="str">
        <f t="shared" si="16"/>
        <v>Clean</v>
      </c>
      <c r="K211" s="1">
        <v>0.34</v>
      </c>
      <c r="L211" s="21" t="str">
        <f t="shared" si="17"/>
        <v>Safe</v>
      </c>
      <c r="M211" s="1">
        <v>0.34849999999999998</v>
      </c>
      <c r="N211" s="1">
        <v>0.46</v>
      </c>
      <c r="O211" s="21" t="str">
        <f t="shared" si="18"/>
        <v>Acceptable</v>
      </c>
      <c r="P211" s="1">
        <v>8.9599999999999999E-2</v>
      </c>
      <c r="Q211" s="1">
        <v>47</v>
      </c>
      <c r="R211" s="1">
        <v>114</v>
      </c>
      <c r="S211" s="45">
        <v>161</v>
      </c>
    </row>
    <row r="212" spans="1:19" ht="15" thickBot="1" x14ac:dyDescent="0.35">
      <c r="A212" s="4">
        <v>821</v>
      </c>
      <c r="B212" s="2">
        <v>40580</v>
      </c>
      <c r="C212" s="1">
        <v>2</v>
      </c>
      <c r="D212" s="1">
        <v>15</v>
      </c>
      <c r="E212" s="16" t="b">
        <v>0</v>
      </c>
      <c r="F212" s="1">
        <v>0</v>
      </c>
      <c r="G212" s="21" t="str">
        <f t="shared" si="15"/>
        <v>Yes</v>
      </c>
      <c r="H212" s="26" t="str">
        <f t="shared" si="19"/>
        <v>Sunday</v>
      </c>
      <c r="I212" s="1">
        <v>1</v>
      </c>
      <c r="J212" s="21" t="str">
        <f t="shared" si="16"/>
        <v>Clean</v>
      </c>
      <c r="K212" s="1">
        <v>0.34</v>
      </c>
      <c r="L212" s="21" t="str">
        <f t="shared" si="17"/>
        <v>Safe</v>
      </c>
      <c r="M212" s="1">
        <v>0.34849999999999998</v>
      </c>
      <c r="N212" s="1">
        <v>0.46</v>
      </c>
      <c r="O212" s="21" t="str">
        <f t="shared" si="18"/>
        <v>Acceptable</v>
      </c>
      <c r="P212" s="1">
        <v>8.9599999999999999E-2</v>
      </c>
      <c r="Q212" s="1">
        <v>52</v>
      </c>
      <c r="R212" s="1">
        <v>130</v>
      </c>
      <c r="S212" s="45">
        <v>182</v>
      </c>
    </row>
    <row r="213" spans="1:19" ht="15" thickBot="1" x14ac:dyDescent="0.35">
      <c r="A213" s="4">
        <v>822</v>
      </c>
      <c r="B213" s="2">
        <v>40580</v>
      </c>
      <c r="C213" s="1">
        <v>2</v>
      </c>
      <c r="D213" s="1">
        <v>16</v>
      </c>
      <c r="E213" s="16" t="b">
        <v>0</v>
      </c>
      <c r="F213" s="1">
        <v>0</v>
      </c>
      <c r="G213" s="21" t="str">
        <f t="shared" si="15"/>
        <v>Yes</v>
      </c>
      <c r="H213" s="26" t="str">
        <f t="shared" si="19"/>
        <v>Sunday</v>
      </c>
      <c r="I213" s="1">
        <v>1</v>
      </c>
      <c r="J213" s="21" t="str">
        <f t="shared" si="16"/>
        <v>Clean</v>
      </c>
      <c r="K213" s="1">
        <v>0.34</v>
      </c>
      <c r="L213" s="21" t="str">
        <f t="shared" si="17"/>
        <v>Safe</v>
      </c>
      <c r="M213" s="1">
        <v>0.34849999999999998</v>
      </c>
      <c r="N213" s="1">
        <v>0.49</v>
      </c>
      <c r="O213" s="21" t="str">
        <f t="shared" si="18"/>
        <v>Acceptable</v>
      </c>
      <c r="P213" s="1">
        <v>0.1045</v>
      </c>
      <c r="Q213" s="1">
        <v>42</v>
      </c>
      <c r="R213" s="1">
        <v>115</v>
      </c>
      <c r="S213" s="45">
        <v>157</v>
      </c>
    </row>
    <row r="214" spans="1:19" ht="15" thickBot="1" x14ac:dyDescent="0.35">
      <c r="A214" s="4">
        <v>823</v>
      </c>
      <c r="B214" s="2">
        <v>40580</v>
      </c>
      <c r="C214" s="1">
        <v>2</v>
      </c>
      <c r="D214" s="1">
        <v>17</v>
      </c>
      <c r="E214" s="16" t="b">
        <v>0</v>
      </c>
      <c r="F214" s="1">
        <v>0</v>
      </c>
      <c r="G214" s="21" t="str">
        <f t="shared" si="15"/>
        <v>Yes</v>
      </c>
      <c r="H214" s="26" t="str">
        <f t="shared" si="19"/>
        <v>Sunday</v>
      </c>
      <c r="I214" s="1">
        <v>1</v>
      </c>
      <c r="J214" s="21" t="str">
        <f t="shared" si="16"/>
        <v>Clean</v>
      </c>
      <c r="K214" s="1">
        <v>0.34</v>
      </c>
      <c r="L214" s="21" t="str">
        <f t="shared" si="17"/>
        <v>Safe</v>
      </c>
      <c r="M214" s="1">
        <v>0.36359999999999998</v>
      </c>
      <c r="N214" s="1">
        <v>0.46</v>
      </c>
      <c r="O214" s="21" t="str">
        <f t="shared" si="18"/>
        <v>Acceptable</v>
      </c>
      <c r="P214" s="1">
        <v>0</v>
      </c>
      <c r="Q214" s="1">
        <v>24</v>
      </c>
      <c r="R214" s="1">
        <v>97</v>
      </c>
      <c r="S214" s="45">
        <v>121</v>
      </c>
    </row>
    <row r="215" spans="1:19" ht="15" thickBot="1" x14ac:dyDescent="0.35">
      <c r="A215" s="4">
        <v>824</v>
      </c>
      <c r="B215" s="2">
        <v>40580</v>
      </c>
      <c r="C215" s="1">
        <v>2</v>
      </c>
      <c r="D215" s="1">
        <v>18</v>
      </c>
      <c r="E215" s="16" t="b">
        <v>0</v>
      </c>
      <c r="F215" s="1">
        <v>0</v>
      </c>
      <c r="G215" s="21" t="str">
        <f t="shared" si="15"/>
        <v>Yes</v>
      </c>
      <c r="H215" s="26" t="str">
        <f t="shared" si="19"/>
        <v>Sunday</v>
      </c>
      <c r="I215" s="1">
        <v>1</v>
      </c>
      <c r="J215" s="21" t="str">
        <f t="shared" si="16"/>
        <v>Clean</v>
      </c>
      <c r="K215" s="1">
        <v>0.3</v>
      </c>
      <c r="L215" s="21" t="str">
        <f t="shared" si="17"/>
        <v>Safe</v>
      </c>
      <c r="M215" s="1">
        <v>0.30299999999999999</v>
      </c>
      <c r="N215" s="1">
        <v>0.56000000000000005</v>
      </c>
      <c r="O215" s="21" t="str">
        <f t="shared" si="18"/>
        <v>Acceptable</v>
      </c>
      <c r="P215" s="1">
        <v>0.16420000000000001</v>
      </c>
      <c r="Q215" s="1">
        <v>13</v>
      </c>
      <c r="R215" s="1">
        <v>65</v>
      </c>
      <c r="S215" s="45">
        <v>78</v>
      </c>
    </row>
    <row r="216" spans="1:19" ht="15" thickBot="1" x14ac:dyDescent="0.35">
      <c r="A216" s="4">
        <v>825</v>
      </c>
      <c r="B216" s="2">
        <v>40580</v>
      </c>
      <c r="C216" s="1">
        <v>2</v>
      </c>
      <c r="D216" s="1">
        <v>19</v>
      </c>
      <c r="E216" s="16" t="b">
        <v>0</v>
      </c>
      <c r="F216" s="1">
        <v>0</v>
      </c>
      <c r="G216" s="21" t="str">
        <f t="shared" si="15"/>
        <v>Yes</v>
      </c>
      <c r="H216" s="26" t="str">
        <f t="shared" si="19"/>
        <v>Sunday</v>
      </c>
      <c r="I216" s="1">
        <v>1</v>
      </c>
      <c r="J216" s="21" t="str">
        <f t="shared" si="16"/>
        <v>Clean</v>
      </c>
      <c r="K216" s="1">
        <v>0.28000000000000003</v>
      </c>
      <c r="L216" s="21" t="str">
        <f t="shared" si="17"/>
        <v>Safe</v>
      </c>
      <c r="M216" s="1">
        <v>0.28789999999999999</v>
      </c>
      <c r="N216" s="1">
        <v>0.61</v>
      </c>
      <c r="O216" s="21" t="str">
        <f t="shared" si="18"/>
        <v>Acceptable</v>
      </c>
      <c r="P216" s="1">
        <v>0.1343</v>
      </c>
      <c r="Q216" s="1">
        <v>1</v>
      </c>
      <c r="R216" s="1">
        <v>20</v>
      </c>
      <c r="S216" s="45">
        <v>21</v>
      </c>
    </row>
    <row r="217" spans="1:19" ht="15" thickBot="1" x14ac:dyDescent="0.35">
      <c r="A217" s="4">
        <v>826</v>
      </c>
      <c r="B217" s="2">
        <v>40580</v>
      </c>
      <c r="C217" s="1">
        <v>2</v>
      </c>
      <c r="D217" s="1">
        <v>20</v>
      </c>
      <c r="E217" s="16" t="b">
        <v>0</v>
      </c>
      <c r="F217" s="1">
        <v>0</v>
      </c>
      <c r="G217" s="21" t="str">
        <f t="shared" si="15"/>
        <v>Yes</v>
      </c>
      <c r="H217" s="26" t="str">
        <f t="shared" si="19"/>
        <v>Sunday</v>
      </c>
      <c r="I217" s="1">
        <v>1</v>
      </c>
      <c r="J217" s="21" t="str">
        <f t="shared" si="16"/>
        <v>Clean</v>
      </c>
      <c r="K217" s="1">
        <v>0.28000000000000003</v>
      </c>
      <c r="L217" s="21" t="str">
        <f t="shared" si="17"/>
        <v>Safe</v>
      </c>
      <c r="M217" s="1">
        <v>0.28789999999999999</v>
      </c>
      <c r="N217" s="1">
        <v>0.61</v>
      </c>
      <c r="O217" s="21" t="str">
        <f t="shared" si="18"/>
        <v>Acceptable</v>
      </c>
      <c r="P217" s="1">
        <v>0.1045</v>
      </c>
      <c r="Q217" s="1">
        <v>5</v>
      </c>
      <c r="R217" s="1">
        <v>21</v>
      </c>
      <c r="S217" s="45">
        <v>26</v>
      </c>
    </row>
    <row r="218" spans="1:19" ht="15" thickBot="1" x14ac:dyDescent="0.35">
      <c r="A218" s="4">
        <v>827</v>
      </c>
      <c r="B218" s="2">
        <v>40580</v>
      </c>
      <c r="C218" s="1">
        <v>2</v>
      </c>
      <c r="D218" s="1">
        <v>21</v>
      </c>
      <c r="E218" s="16" t="b">
        <v>0</v>
      </c>
      <c r="F218" s="1">
        <v>0</v>
      </c>
      <c r="G218" s="21" t="str">
        <f t="shared" si="15"/>
        <v>Yes</v>
      </c>
      <c r="H218" s="26" t="str">
        <f t="shared" si="19"/>
        <v>Sunday</v>
      </c>
      <c r="I218" s="1">
        <v>1</v>
      </c>
      <c r="J218" s="21" t="str">
        <f t="shared" si="16"/>
        <v>Clean</v>
      </c>
      <c r="K218" s="1">
        <v>0.26</v>
      </c>
      <c r="L218" s="21" t="str">
        <f t="shared" si="17"/>
        <v>Safe</v>
      </c>
      <c r="M218" s="1">
        <v>0.30299999999999999</v>
      </c>
      <c r="N218" s="1">
        <v>0.6</v>
      </c>
      <c r="O218" s="21" t="str">
        <f t="shared" si="18"/>
        <v>Acceptable</v>
      </c>
      <c r="P218" s="1">
        <v>0</v>
      </c>
      <c r="Q218" s="1">
        <v>5</v>
      </c>
      <c r="R218" s="1">
        <v>22</v>
      </c>
      <c r="S218" s="45">
        <v>27</v>
      </c>
    </row>
    <row r="219" spans="1:19" ht="15" thickBot="1" x14ac:dyDescent="0.35">
      <c r="A219" s="4">
        <v>828</v>
      </c>
      <c r="B219" s="2">
        <v>40580</v>
      </c>
      <c r="C219" s="1">
        <v>2</v>
      </c>
      <c r="D219" s="1">
        <v>22</v>
      </c>
      <c r="E219" s="16" t="b">
        <v>0</v>
      </c>
      <c r="F219" s="1">
        <v>0</v>
      </c>
      <c r="G219" s="21" t="str">
        <f t="shared" si="15"/>
        <v>Yes</v>
      </c>
      <c r="H219" s="26" t="str">
        <f t="shared" si="19"/>
        <v>Sunday</v>
      </c>
      <c r="I219" s="1">
        <v>1</v>
      </c>
      <c r="J219" s="21" t="str">
        <f t="shared" si="16"/>
        <v>Clean</v>
      </c>
      <c r="K219" s="1">
        <v>0.26</v>
      </c>
      <c r="L219" s="21" t="str">
        <f t="shared" si="17"/>
        <v>Safe</v>
      </c>
      <c r="M219" s="1">
        <v>0.30299999999999999</v>
      </c>
      <c r="N219" s="1">
        <v>0.6</v>
      </c>
      <c r="O219" s="21" t="str">
        <f t="shared" si="18"/>
        <v>Acceptable</v>
      </c>
      <c r="P219" s="1">
        <v>0</v>
      </c>
      <c r="Q219" s="1">
        <v>5</v>
      </c>
      <c r="R219" s="1">
        <v>57</v>
      </c>
      <c r="S219" s="45">
        <v>62</v>
      </c>
    </row>
    <row r="220" spans="1:19" ht="15" thickBot="1" x14ac:dyDescent="0.35">
      <c r="A220" s="4">
        <v>829</v>
      </c>
      <c r="B220" s="2">
        <v>40580</v>
      </c>
      <c r="C220" s="1">
        <v>2</v>
      </c>
      <c r="D220" s="1">
        <v>23</v>
      </c>
      <c r="E220" s="16" t="b">
        <v>0</v>
      </c>
      <c r="F220" s="1">
        <v>0</v>
      </c>
      <c r="G220" s="21" t="str">
        <f t="shared" si="15"/>
        <v>Yes</v>
      </c>
      <c r="H220" s="26" t="str">
        <f t="shared" si="19"/>
        <v>Sunday</v>
      </c>
      <c r="I220" s="1">
        <v>1</v>
      </c>
      <c r="J220" s="21" t="str">
        <f t="shared" si="16"/>
        <v>Clean</v>
      </c>
      <c r="K220" s="1">
        <v>0.24</v>
      </c>
      <c r="L220" s="21" t="str">
        <f t="shared" si="17"/>
        <v>Safe</v>
      </c>
      <c r="M220" s="1">
        <v>0.28789999999999999</v>
      </c>
      <c r="N220" s="1">
        <v>0.65</v>
      </c>
      <c r="O220" s="21" t="str">
        <f t="shared" si="18"/>
        <v>Acceptable</v>
      </c>
      <c r="P220" s="1">
        <v>0</v>
      </c>
      <c r="Q220" s="1">
        <v>4</v>
      </c>
      <c r="R220" s="1">
        <v>26</v>
      </c>
      <c r="S220" s="45">
        <v>30</v>
      </c>
    </row>
    <row r="221" spans="1:19" ht="15" thickBot="1" x14ac:dyDescent="0.35">
      <c r="A221" s="4">
        <v>830</v>
      </c>
      <c r="B221" s="2">
        <v>40581</v>
      </c>
      <c r="C221" s="1">
        <v>2</v>
      </c>
      <c r="D221" s="1">
        <v>0</v>
      </c>
      <c r="E221" s="16" t="b">
        <v>0</v>
      </c>
      <c r="F221" s="1">
        <v>1</v>
      </c>
      <c r="G221" s="21" t="str">
        <f t="shared" si="15"/>
        <v>No</v>
      </c>
      <c r="H221" s="26" t="str">
        <f t="shared" si="19"/>
        <v>Monday</v>
      </c>
      <c r="I221" s="1">
        <v>1</v>
      </c>
      <c r="J221" s="21" t="str">
        <f t="shared" si="16"/>
        <v>Clean</v>
      </c>
      <c r="K221" s="1">
        <v>0.24</v>
      </c>
      <c r="L221" s="21" t="str">
        <f t="shared" si="17"/>
        <v>Safe</v>
      </c>
      <c r="M221" s="1">
        <v>0.28789999999999999</v>
      </c>
      <c r="N221" s="1">
        <v>0.65</v>
      </c>
      <c r="O221" s="21" t="str">
        <f t="shared" si="18"/>
        <v>Acceptable</v>
      </c>
      <c r="P221" s="1">
        <v>0</v>
      </c>
      <c r="Q221" s="1">
        <v>1</v>
      </c>
      <c r="R221" s="1">
        <v>14</v>
      </c>
      <c r="S221" s="45">
        <v>15</v>
      </c>
    </row>
    <row r="222" spans="1:19" ht="15" thickBot="1" x14ac:dyDescent="0.35">
      <c r="A222" s="4">
        <v>831</v>
      </c>
      <c r="B222" s="2">
        <v>40581</v>
      </c>
      <c r="C222" s="1">
        <v>2</v>
      </c>
      <c r="D222" s="1">
        <v>1</v>
      </c>
      <c r="E222" s="16" t="b">
        <v>0</v>
      </c>
      <c r="F222" s="1">
        <v>1</v>
      </c>
      <c r="G222" s="21" t="str">
        <f t="shared" si="15"/>
        <v>No</v>
      </c>
      <c r="H222" s="26" t="str">
        <f t="shared" si="19"/>
        <v>Monday</v>
      </c>
      <c r="I222" s="1">
        <v>1</v>
      </c>
      <c r="J222" s="21" t="str">
        <f t="shared" si="16"/>
        <v>Clean</v>
      </c>
      <c r="K222" s="1">
        <v>0.22</v>
      </c>
      <c r="L222" s="21" t="str">
        <f t="shared" si="17"/>
        <v>Safe</v>
      </c>
      <c r="M222" s="1">
        <v>0.2727</v>
      </c>
      <c r="N222" s="1">
        <v>0.75</v>
      </c>
      <c r="O222" s="21" t="str">
        <f t="shared" si="18"/>
        <v>Risky</v>
      </c>
      <c r="P222" s="1">
        <v>0</v>
      </c>
      <c r="Q222" s="1">
        <v>1</v>
      </c>
      <c r="R222" s="1">
        <v>4</v>
      </c>
      <c r="S222" s="45">
        <v>5</v>
      </c>
    </row>
    <row r="223" spans="1:19" ht="15" thickBot="1" x14ac:dyDescent="0.35">
      <c r="A223" s="4">
        <v>832</v>
      </c>
      <c r="B223" s="2">
        <v>40581</v>
      </c>
      <c r="C223" s="1">
        <v>2</v>
      </c>
      <c r="D223" s="1">
        <v>2</v>
      </c>
      <c r="E223" s="16" t="b">
        <v>0</v>
      </c>
      <c r="F223" s="1">
        <v>1</v>
      </c>
      <c r="G223" s="21" t="str">
        <f t="shared" si="15"/>
        <v>No</v>
      </c>
      <c r="H223" s="26" t="str">
        <f t="shared" si="19"/>
        <v>Monday</v>
      </c>
      <c r="I223" s="1">
        <v>1</v>
      </c>
      <c r="J223" s="21" t="str">
        <f t="shared" si="16"/>
        <v>Clean</v>
      </c>
      <c r="K223" s="1">
        <v>0.2</v>
      </c>
      <c r="L223" s="21" t="str">
        <f t="shared" si="17"/>
        <v>Safe</v>
      </c>
      <c r="M223" s="1">
        <v>0.2576</v>
      </c>
      <c r="N223" s="1">
        <v>0.8</v>
      </c>
      <c r="O223" s="21" t="str">
        <f t="shared" si="18"/>
        <v>Risky</v>
      </c>
      <c r="P223" s="1">
        <v>0</v>
      </c>
      <c r="Q223" s="1">
        <v>0</v>
      </c>
      <c r="R223" s="1">
        <v>3</v>
      </c>
      <c r="S223" s="45">
        <v>3</v>
      </c>
    </row>
    <row r="224" spans="1:19" ht="15" thickBot="1" x14ac:dyDescent="0.35">
      <c r="A224" s="4">
        <v>833</v>
      </c>
      <c r="B224" s="2">
        <v>40581</v>
      </c>
      <c r="C224" s="1">
        <v>2</v>
      </c>
      <c r="D224" s="1">
        <v>3</v>
      </c>
      <c r="E224" s="16" t="b">
        <v>0</v>
      </c>
      <c r="F224" s="1">
        <v>1</v>
      </c>
      <c r="G224" s="21" t="str">
        <f t="shared" si="15"/>
        <v>No</v>
      </c>
      <c r="H224" s="26" t="str">
        <f t="shared" si="19"/>
        <v>Monday</v>
      </c>
      <c r="I224" s="1">
        <v>1</v>
      </c>
      <c r="J224" s="21" t="str">
        <f t="shared" si="16"/>
        <v>Clean</v>
      </c>
      <c r="K224" s="1">
        <v>0.2</v>
      </c>
      <c r="L224" s="21" t="str">
        <f t="shared" si="17"/>
        <v>Safe</v>
      </c>
      <c r="M224" s="1">
        <v>0.2576</v>
      </c>
      <c r="N224" s="1">
        <v>0.86</v>
      </c>
      <c r="O224" s="21" t="str">
        <f t="shared" si="18"/>
        <v>Risky</v>
      </c>
      <c r="P224" s="1">
        <v>0</v>
      </c>
      <c r="Q224" s="1">
        <v>0</v>
      </c>
      <c r="R224" s="1">
        <v>1</v>
      </c>
      <c r="S224" s="45">
        <v>1</v>
      </c>
    </row>
    <row r="225" spans="1:19" ht="15" thickBot="1" x14ac:dyDescent="0.35">
      <c r="A225" s="4">
        <v>834</v>
      </c>
      <c r="B225" s="2">
        <v>40581</v>
      </c>
      <c r="C225" s="1">
        <v>2</v>
      </c>
      <c r="D225" s="1">
        <v>4</v>
      </c>
      <c r="E225" s="16" t="b">
        <v>0</v>
      </c>
      <c r="F225" s="1">
        <v>1</v>
      </c>
      <c r="G225" s="21" t="str">
        <f t="shared" si="15"/>
        <v>No</v>
      </c>
      <c r="H225" s="26" t="str">
        <f t="shared" si="19"/>
        <v>Monday</v>
      </c>
      <c r="I225" s="1">
        <v>1</v>
      </c>
      <c r="J225" s="21" t="str">
        <f t="shared" si="16"/>
        <v>Clean</v>
      </c>
      <c r="K225" s="1">
        <v>0.2</v>
      </c>
      <c r="L225" s="21" t="str">
        <f t="shared" si="17"/>
        <v>Safe</v>
      </c>
      <c r="M225" s="1">
        <v>0.2576</v>
      </c>
      <c r="N225" s="1">
        <v>0.86</v>
      </c>
      <c r="O225" s="21" t="str">
        <f t="shared" si="18"/>
        <v>Risky</v>
      </c>
      <c r="P225" s="1">
        <v>0</v>
      </c>
      <c r="Q225" s="1">
        <v>1</v>
      </c>
      <c r="R225" s="1">
        <v>1</v>
      </c>
      <c r="S225" s="45">
        <v>2</v>
      </c>
    </row>
    <row r="226" spans="1:19" ht="15" thickBot="1" x14ac:dyDescent="0.35">
      <c r="A226" s="4">
        <v>835</v>
      </c>
      <c r="B226" s="2">
        <v>40581</v>
      </c>
      <c r="C226" s="1">
        <v>2</v>
      </c>
      <c r="D226" s="1">
        <v>5</v>
      </c>
      <c r="E226" s="16" t="b">
        <v>0</v>
      </c>
      <c r="F226" s="1">
        <v>1</v>
      </c>
      <c r="G226" s="21" t="str">
        <f t="shared" si="15"/>
        <v>No</v>
      </c>
      <c r="H226" s="26" t="str">
        <f t="shared" si="19"/>
        <v>Monday</v>
      </c>
      <c r="I226" s="1">
        <v>1</v>
      </c>
      <c r="J226" s="21" t="str">
        <f t="shared" si="16"/>
        <v>Clean</v>
      </c>
      <c r="K226" s="1">
        <v>0.2</v>
      </c>
      <c r="L226" s="21" t="str">
        <f t="shared" si="17"/>
        <v>Safe</v>
      </c>
      <c r="M226" s="1">
        <v>0.2576</v>
      </c>
      <c r="N226" s="1">
        <v>0.86</v>
      </c>
      <c r="O226" s="21" t="str">
        <f t="shared" si="18"/>
        <v>Risky</v>
      </c>
      <c r="P226" s="1">
        <v>0</v>
      </c>
      <c r="Q226" s="1">
        <v>1</v>
      </c>
      <c r="R226" s="1">
        <v>9</v>
      </c>
      <c r="S226" s="45">
        <v>10</v>
      </c>
    </row>
    <row r="227" spans="1:19" ht="15" thickBot="1" x14ac:dyDescent="0.35">
      <c r="A227" s="4">
        <v>836</v>
      </c>
      <c r="B227" s="2">
        <v>40581</v>
      </c>
      <c r="C227" s="1">
        <v>2</v>
      </c>
      <c r="D227" s="1">
        <v>6</v>
      </c>
      <c r="E227" s="16" t="b">
        <v>0</v>
      </c>
      <c r="F227" s="1">
        <v>1</v>
      </c>
      <c r="G227" s="21" t="str">
        <f t="shared" si="15"/>
        <v>No</v>
      </c>
      <c r="H227" s="26" t="str">
        <f t="shared" si="19"/>
        <v>Monday</v>
      </c>
      <c r="I227" s="1">
        <v>1</v>
      </c>
      <c r="J227" s="21" t="str">
        <f t="shared" si="16"/>
        <v>Clean</v>
      </c>
      <c r="K227" s="1">
        <v>0.18</v>
      </c>
      <c r="L227" s="21" t="str">
        <f t="shared" si="17"/>
        <v>Safe</v>
      </c>
      <c r="M227" s="1">
        <v>0.2424</v>
      </c>
      <c r="N227" s="1">
        <v>0.93</v>
      </c>
      <c r="O227" s="21" t="str">
        <f t="shared" si="18"/>
        <v>Risky</v>
      </c>
      <c r="P227" s="1">
        <v>0</v>
      </c>
      <c r="Q227" s="1">
        <v>1</v>
      </c>
      <c r="R227" s="1">
        <v>29</v>
      </c>
      <c r="S227" s="45">
        <v>30</v>
      </c>
    </row>
    <row r="228" spans="1:19" ht="15" thickBot="1" x14ac:dyDescent="0.35">
      <c r="A228" s="4">
        <v>837</v>
      </c>
      <c r="B228" s="2">
        <v>40581</v>
      </c>
      <c r="C228" s="1">
        <v>2</v>
      </c>
      <c r="D228" s="1">
        <v>7</v>
      </c>
      <c r="E228" s="16" t="b">
        <v>0</v>
      </c>
      <c r="F228" s="1">
        <v>1</v>
      </c>
      <c r="G228" s="21" t="str">
        <f t="shared" si="15"/>
        <v>No</v>
      </c>
      <c r="H228" s="26" t="str">
        <f t="shared" si="19"/>
        <v>Monday</v>
      </c>
      <c r="I228" s="1">
        <v>1</v>
      </c>
      <c r="J228" s="21" t="str">
        <f t="shared" si="16"/>
        <v>Clean</v>
      </c>
      <c r="K228" s="1">
        <v>0.18</v>
      </c>
      <c r="L228" s="21" t="str">
        <f t="shared" si="17"/>
        <v>Safe</v>
      </c>
      <c r="M228" s="1">
        <v>0.2424</v>
      </c>
      <c r="N228" s="1">
        <v>0.86</v>
      </c>
      <c r="O228" s="21" t="str">
        <f t="shared" si="18"/>
        <v>Risky</v>
      </c>
      <c r="P228" s="1">
        <v>0</v>
      </c>
      <c r="Q228" s="1">
        <v>6</v>
      </c>
      <c r="R228" s="1">
        <v>89</v>
      </c>
      <c r="S228" s="45">
        <v>95</v>
      </c>
    </row>
    <row r="229" spans="1:19" ht="15" thickBot="1" x14ac:dyDescent="0.35">
      <c r="A229" s="4">
        <v>838</v>
      </c>
      <c r="B229" s="2">
        <v>40581</v>
      </c>
      <c r="C229" s="1">
        <v>2</v>
      </c>
      <c r="D229" s="1">
        <v>8</v>
      </c>
      <c r="E229" s="16" t="b">
        <v>0</v>
      </c>
      <c r="F229" s="1">
        <v>1</v>
      </c>
      <c r="G229" s="21" t="str">
        <f t="shared" si="15"/>
        <v>No</v>
      </c>
      <c r="H229" s="26" t="str">
        <f t="shared" si="19"/>
        <v>Monday</v>
      </c>
      <c r="I229" s="1">
        <v>2</v>
      </c>
      <c r="J229" s="21" t="str">
        <f t="shared" si="16"/>
        <v>Misty</v>
      </c>
      <c r="K229" s="1">
        <v>0.16</v>
      </c>
      <c r="L229" s="21" t="str">
        <f t="shared" si="17"/>
        <v>Safe</v>
      </c>
      <c r="M229" s="1">
        <v>0.2273</v>
      </c>
      <c r="N229" s="1">
        <v>1</v>
      </c>
      <c r="O229" s="21" t="str">
        <f t="shared" si="18"/>
        <v>Risky</v>
      </c>
      <c r="P229" s="1">
        <v>0</v>
      </c>
      <c r="Q229" s="1">
        <v>7</v>
      </c>
      <c r="R229" s="1">
        <v>223</v>
      </c>
      <c r="S229" s="45">
        <v>230</v>
      </c>
    </row>
    <row r="230" spans="1:19" ht="15" thickBot="1" x14ac:dyDescent="0.35">
      <c r="A230" s="4">
        <v>839</v>
      </c>
      <c r="B230" s="2">
        <v>40581</v>
      </c>
      <c r="C230" s="1">
        <v>2</v>
      </c>
      <c r="D230" s="1">
        <v>9</v>
      </c>
      <c r="E230" s="16" t="b">
        <v>0</v>
      </c>
      <c r="F230" s="1">
        <v>1</v>
      </c>
      <c r="G230" s="21" t="str">
        <f t="shared" si="15"/>
        <v>No</v>
      </c>
      <c r="H230" s="26" t="str">
        <f t="shared" si="19"/>
        <v>Monday</v>
      </c>
      <c r="I230" s="1">
        <v>1</v>
      </c>
      <c r="J230" s="21" t="str">
        <f t="shared" si="16"/>
        <v>Clean</v>
      </c>
      <c r="K230" s="1">
        <v>0.22</v>
      </c>
      <c r="L230" s="21" t="str">
        <f t="shared" si="17"/>
        <v>Safe</v>
      </c>
      <c r="M230" s="1">
        <v>0.2727</v>
      </c>
      <c r="N230" s="1">
        <v>0.8</v>
      </c>
      <c r="O230" s="21" t="str">
        <f t="shared" si="18"/>
        <v>Risky</v>
      </c>
      <c r="P230" s="1">
        <v>0</v>
      </c>
      <c r="Q230" s="1">
        <v>3</v>
      </c>
      <c r="R230" s="1">
        <v>115</v>
      </c>
      <c r="S230" s="45">
        <v>118</v>
      </c>
    </row>
    <row r="231" spans="1:19" ht="15" thickBot="1" x14ac:dyDescent="0.35">
      <c r="A231" s="4">
        <v>840</v>
      </c>
      <c r="B231" s="2">
        <v>40581</v>
      </c>
      <c r="C231" s="1">
        <v>2</v>
      </c>
      <c r="D231" s="1">
        <v>10</v>
      </c>
      <c r="E231" s="16" t="b">
        <v>0</v>
      </c>
      <c r="F231" s="1">
        <v>1</v>
      </c>
      <c r="G231" s="21" t="str">
        <f t="shared" si="15"/>
        <v>No</v>
      </c>
      <c r="H231" s="26" t="str">
        <f t="shared" si="19"/>
        <v>Monday</v>
      </c>
      <c r="I231" s="1">
        <v>1</v>
      </c>
      <c r="J231" s="21" t="str">
        <f t="shared" si="16"/>
        <v>Clean</v>
      </c>
      <c r="K231" s="1">
        <v>0.24</v>
      </c>
      <c r="L231" s="21" t="str">
        <f t="shared" si="17"/>
        <v>Safe</v>
      </c>
      <c r="M231" s="1">
        <v>0.2576</v>
      </c>
      <c r="N231" s="1">
        <v>0.75</v>
      </c>
      <c r="O231" s="21" t="str">
        <f t="shared" si="18"/>
        <v>Risky</v>
      </c>
      <c r="P231" s="1">
        <v>0.1045</v>
      </c>
      <c r="Q231" s="1">
        <v>6</v>
      </c>
      <c r="R231" s="1">
        <v>49</v>
      </c>
      <c r="S231" s="45">
        <v>55</v>
      </c>
    </row>
    <row r="232" spans="1:19" ht="15" thickBot="1" x14ac:dyDescent="0.35">
      <c r="A232" s="4">
        <v>841</v>
      </c>
      <c r="B232" s="2">
        <v>40581</v>
      </c>
      <c r="C232" s="1">
        <v>2</v>
      </c>
      <c r="D232" s="1">
        <v>11</v>
      </c>
      <c r="E232" s="16" t="b">
        <v>0</v>
      </c>
      <c r="F232" s="1">
        <v>1</v>
      </c>
      <c r="G232" s="21" t="str">
        <f t="shared" si="15"/>
        <v>No</v>
      </c>
      <c r="H232" s="26" t="str">
        <f t="shared" si="19"/>
        <v>Monday</v>
      </c>
      <c r="I232" s="1">
        <v>1</v>
      </c>
      <c r="J232" s="21" t="str">
        <f t="shared" si="16"/>
        <v>Clean</v>
      </c>
      <c r="K232" s="1">
        <v>0.3</v>
      </c>
      <c r="L232" s="21" t="str">
        <f t="shared" si="17"/>
        <v>Safe</v>
      </c>
      <c r="M232" s="1">
        <v>0.31819999999999998</v>
      </c>
      <c r="N232" s="1">
        <v>0.65</v>
      </c>
      <c r="O232" s="21" t="str">
        <f t="shared" si="18"/>
        <v>Acceptable</v>
      </c>
      <c r="P232" s="1">
        <v>8.9599999999999999E-2</v>
      </c>
      <c r="Q232" s="1">
        <v>11</v>
      </c>
      <c r="R232" s="1">
        <v>36</v>
      </c>
      <c r="S232" s="45">
        <v>47</v>
      </c>
    </row>
    <row r="233" spans="1:19" ht="15" thickBot="1" x14ac:dyDescent="0.35">
      <c r="A233" s="4">
        <v>842</v>
      </c>
      <c r="B233" s="2">
        <v>40581</v>
      </c>
      <c r="C233" s="1">
        <v>2</v>
      </c>
      <c r="D233" s="1">
        <v>12</v>
      </c>
      <c r="E233" s="16" t="b">
        <v>0</v>
      </c>
      <c r="F233" s="1">
        <v>1</v>
      </c>
      <c r="G233" s="21" t="str">
        <f t="shared" si="15"/>
        <v>No</v>
      </c>
      <c r="H233" s="26" t="str">
        <f t="shared" si="19"/>
        <v>Monday</v>
      </c>
      <c r="I233" s="1">
        <v>2</v>
      </c>
      <c r="J233" s="21" t="str">
        <f t="shared" si="16"/>
        <v>Misty</v>
      </c>
      <c r="K233" s="1">
        <v>0.32</v>
      </c>
      <c r="L233" s="21" t="str">
        <f t="shared" si="17"/>
        <v>Safe</v>
      </c>
      <c r="M233" s="1">
        <v>0.34849999999999998</v>
      </c>
      <c r="N233" s="1">
        <v>0.62</v>
      </c>
      <c r="O233" s="21" t="str">
        <f t="shared" si="18"/>
        <v>Acceptable</v>
      </c>
      <c r="P233" s="1">
        <v>0</v>
      </c>
      <c r="Q233" s="1">
        <v>7</v>
      </c>
      <c r="R233" s="1">
        <v>59</v>
      </c>
      <c r="S233" s="45">
        <v>66</v>
      </c>
    </row>
    <row r="234" spans="1:19" ht="15" thickBot="1" x14ac:dyDescent="0.35">
      <c r="A234" s="4">
        <v>843</v>
      </c>
      <c r="B234" s="2">
        <v>40581</v>
      </c>
      <c r="C234" s="1">
        <v>2</v>
      </c>
      <c r="D234" s="1">
        <v>13</v>
      </c>
      <c r="E234" s="16" t="b">
        <v>0</v>
      </c>
      <c r="F234" s="1">
        <v>1</v>
      </c>
      <c r="G234" s="21" t="str">
        <f t="shared" si="15"/>
        <v>No</v>
      </c>
      <c r="H234" s="26" t="str">
        <f t="shared" si="19"/>
        <v>Monday</v>
      </c>
      <c r="I234" s="1">
        <v>2</v>
      </c>
      <c r="J234" s="21" t="str">
        <f t="shared" si="16"/>
        <v>Misty</v>
      </c>
      <c r="K234" s="1">
        <v>0.36</v>
      </c>
      <c r="L234" s="21" t="str">
        <f t="shared" si="17"/>
        <v>Risky</v>
      </c>
      <c r="M234" s="1">
        <v>0.36359999999999998</v>
      </c>
      <c r="N234" s="1">
        <v>0.56999999999999995</v>
      </c>
      <c r="O234" s="21" t="str">
        <f t="shared" si="18"/>
        <v>Acceptable</v>
      </c>
      <c r="P234" s="1">
        <v>8.9599999999999999E-2</v>
      </c>
      <c r="Q234" s="1">
        <v>10</v>
      </c>
      <c r="R234" s="1">
        <v>54</v>
      </c>
      <c r="S234" s="45">
        <v>64</v>
      </c>
    </row>
    <row r="235" spans="1:19" ht="15" thickBot="1" x14ac:dyDescent="0.35">
      <c r="A235" s="4">
        <v>844</v>
      </c>
      <c r="B235" s="2">
        <v>40581</v>
      </c>
      <c r="C235" s="1">
        <v>2</v>
      </c>
      <c r="D235" s="1">
        <v>14</v>
      </c>
      <c r="E235" s="16" t="b">
        <v>0</v>
      </c>
      <c r="F235" s="1">
        <v>1</v>
      </c>
      <c r="G235" s="21" t="str">
        <f t="shared" si="15"/>
        <v>No</v>
      </c>
      <c r="H235" s="26" t="str">
        <f t="shared" si="19"/>
        <v>Monday</v>
      </c>
      <c r="I235" s="1">
        <v>2</v>
      </c>
      <c r="J235" s="21" t="str">
        <f t="shared" si="16"/>
        <v>Misty</v>
      </c>
      <c r="K235" s="1">
        <v>0.36</v>
      </c>
      <c r="L235" s="21" t="str">
        <f t="shared" si="17"/>
        <v>Risky</v>
      </c>
      <c r="M235" s="1">
        <v>0.36359999999999998</v>
      </c>
      <c r="N235" s="1">
        <v>0.56999999999999995</v>
      </c>
      <c r="O235" s="21" t="str">
        <f t="shared" si="18"/>
        <v>Acceptable</v>
      </c>
      <c r="P235" s="1">
        <v>8.9599999999999999E-2</v>
      </c>
      <c r="Q235" s="1">
        <v>8</v>
      </c>
      <c r="R235" s="1">
        <v>52</v>
      </c>
      <c r="S235" s="45">
        <v>60</v>
      </c>
    </row>
    <row r="236" spans="1:19" ht="15" thickBot="1" x14ac:dyDescent="0.35">
      <c r="A236" s="4">
        <v>845</v>
      </c>
      <c r="B236" s="2">
        <v>40581</v>
      </c>
      <c r="C236" s="1">
        <v>2</v>
      </c>
      <c r="D236" s="1">
        <v>15</v>
      </c>
      <c r="E236" s="16" t="b">
        <v>0</v>
      </c>
      <c r="F236" s="1">
        <v>1</v>
      </c>
      <c r="G236" s="21" t="str">
        <f t="shared" si="15"/>
        <v>No</v>
      </c>
      <c r="H236" s="26" t="str">
        <f t="shared" si="19"/>
        <v>Monday</v>
      </c>
      <c r="I236" s="1">
        <v>2</v>
      </c>
      <c r="J236" s="21" t="str">
        <f t="shared" si="16"/>
        <v>Misty</v>
      </c>
      <c r="K236" s="1">
        <v>0.38</v>
      </c>
      <c r="L236" s="21" t="str">
        <f t="shared" si="17"/>
        <v>Risky</v>
      </c>
      <c r="M236" s="1">
        <v>0.39389999999999997</v>
      </c>
      <c r="N236" s="1">
        <v>0.54</v>
      </c>
      <c r="O236" s="21" t="str">
        <f t="shared" si="18"/>
        <v>Acceptable</v>
      </c>
      <c r="P236" s="1">
        <v>8.9599999999999999E-2</v>
      </c>
      <c r="Q236" s="1">
        <v>4</v>
      </c>
      <c r="R236" s="1">
        <v>46</v>
      </c>
      <c r="S236" s="45">
        <v>50</v>
      </c>
    </row>
    <row r="237" spans="1:19" ht="15" thickBot="1" x14ac:dyDescent="0.35">
      <c r="A237" s="4">
        <v>846</v>
      </c>
      <c r="B237" s="2">
        <v>40581</v>
      </c>
      <c r="C237" s="1">
        <v>2</v>
      </c>
      <c r="D237" s="1">
        <v>16</v>
      </c>
      <c r="E237" s="16" t="b">
        <v>0</v>
      </c>
      <c r="F237" s="1">
        <v>1</v>
      </c>
      <c r="G237" s="21" t="str">
        <f t="shared" si="15"/>
        <v>No</v>
      </c>
      <c r="H237" s="26" t="str">
        <f t="shared" si="19"/>
        <v>Monday</v>
      </c>
      <c r="I237" s="1">
        <v>2</v>
      </c>
      <c r="J237" s="21" t="str">
        <f t="shared" si="16"/>
        <v>Misty</v>
      </c>
      <c r="K237" s="1">
        <v>0.36</v>
      </c>
      <c r="L237" s="21" t="str">
        <f t="shared" si="17"/>
        <v>Risky</v>
      </c>
      <c r="M237" s="1">
        <v>0.34849999999999998</v>
      </c>
      <c r="N237" s="1">
        <v>0.56999999999999995</v>
      </c>
      <c r="O237" s="21" t="str">
        <f t="shared" si="18"/>
        <v>Acceptable</v>
      </c>
      <c r="P237" s="1">
        <v>0.1343</v>
      </c>
      <c r="Q237" s="1">
        <v>16</v>
      </c>
      <c r="R237" s="1">
        <v>98</v>
      </c>
      <c r="S237" s="45">
        <v>114</v>
      </c>
    </row>
    <row r="238" spans="1:19" ht="15" thickBot="1" x14ac:dyDescent="0.35">
      <c r="A238" s="4">
        <v>847</v>
      </c>
      <c r="B238" s="2">
        <v>40581</v>
      </c>
      <c r="C238" s="1">
        <v>2</v>
      </c>
      <c r="D238" s="1">
        <v>17</v>
      </c>
      <c r="E238" s="16" t="b">
        <v>0</v>
      </c>
      <c r="F238" s="1">
        <v>1</v>
      </c>
      <c r="G238" s="21" t="str">
        <f t="shared" si="15"/>
        <v>No</v>
      </c>
      <c r="H238" s="26" t="str">
        <f t="shared" si="19"/>
        <v>Monday</v>
      </c>
      <c r="I238" s="1">
        <v>2</v>
      </c>
      <c r="J238" s="21" t="str">
        <f t="shared" si="16"/>
        <v>Misty</v>
      </c>
      <c r="K238" s="1">
        <v>0.32</v>
      </c>
      <c r="L238" s="21" t="str">
        <f t="shared" si="17"/>
        <v>Safe</v>
      </c>
      <c r="M238" s="1">
        <v>0.31819999999999998</v>
      </c>
      <c r="N238" s="1">
        <v>0.7</v>
      </c>
      <c r="O238" s="21" t="str">
        <f t="shared" si="18"/>
        <v>Risky</v>
      </c>
      <c r="P238" s="1">
        <v>0.16420000000000001</v>
      </c>
      <c r="Q238" s="1">
        <v>9</v>
      </c>
      <c r="R238" s="1">
        <v>207</v>
      </c>
      <c r="S238" s="45">
        <v>216</v>
      </c>
    </row>
    <row r="239" spans="1:19" ht="15" thickBot="1" x14ac:dyDescent="0.35">
      <c r="A239" s="4">
        <v>848</v>
      </c>
      <c r="B239" s="2">
        <v>40581</v>
      </c>
      <c r="C239" s="1">
        <v>2</v>
      </c>
      <c r="D239" s="1">
        <v>18</v>
      </c>
      <c r="E239" s="16" t="b">
        <v>0</v>
      </c>
      <c r="F239" s="1">
        <v>1</v>
      </c>
      <c r="G239" s="21" t="str">
        <f t="shared" si="15"/>
        <v>No</v>
      </c>
      <c r="H239" s="26" t="str">
        <f t="shared" si="19"/>
        <v>Monday</v>
      </c>
      <c r="I239" s="1">
        <v>2</v>
      </c>
      <c r="J239" s="21" t="str">
        <f t="shared" si="16"/>
        <v>Misty</v>
      </c>
      <c r="K239" s="1">
        <v>0.34</v>
      </c>
      <c r="L239" s="21" t="str">
        <f t="shared" si="17"/>
        <v>Safe</v>
      </c>
      <c r="M239" s="1">
        <v>0.33329999999999999</v>
      </c>
      <c r="N239" s="1">
        <v>0.66</v>
      </c>
      <c r="O239" s="21" t="str">
        <f t="shared" si="18"/>
        <v>Acceptable</v>
      </c>
      <c r="P239" s="1">
        <v>0.1343</v>
      </c>
      <c r="Q239" s="1">
        <v>5</v>
      </c>
      <c r="R239" s="1">
        <v>170</v>
      </c>
      <c r="S239" s="45">
        <v>175</v>
      </c>
    </row>
    <row r="240" spans="1:19" ht="15" thickBot="1" x14ac:dyDescent="0.35">
      <c r="A240" s="4">
        <v>849</v>
      </c>
      <c r="B240" s="2">
        <v>40581</v>
      </c>
      <c r="C240" s="1">
        <v>2</v>
      </c>
      <c r="D240" s="1">
        <v>19</v>
      </c>
      <c r="E240" s="16" t="b">
        <v>0</v>
      </c>
      <c r="F240" s="1">
        <v>1</v>
      </c>
      <c r="G240" s="21" t="str">
        <f t="shared" si="15"/>
        <v>No</v>
      </c>
      <c r="H240" s="26" t="str">
        <f t="shared" si="19"/>
        <v>Monday</v>
      </c>
      <c r="I240" s="1">
        <v>2</v>
      </c>
      <c r="J240" s="21" t="str">
        <f t="shared" si="16"/>
        <v>Misty</v>
      </c>
      <c r="K240" s="1">
        <v>0.32</v>
      </c>
      <c r="L240" s="21" t="str">
        <f t="shared" si="17"/>
        <v>Safe</v>
      </c>
      <c r="M240" s="1">
        <v>0.34849999999999998</v>
      </c>
      <c r="N240" s="1">
        <v>0.7</v>
      </c>
      <c r="O240" s="21" t="str">
        <f t="shared" si="18"/>
        <v>Risky</v>
      </c>
      <c r="P240" s="1">
        <v>0</v>
      </c>
      <c r="Q240" s="1">
        <v>5</v>
      </c>
      <c r="R240" s="1">
        <v>123</v>
      </c>
      <c r="S240" s="45">
        <v>128</v>
      </c>
    </row>
    <row r="241" spans="1:19" ht="15" thickBot="1" x14ac:dyDescent="0.35">
      <c r="A241" s="4">
        <v>850</v>
      </c>
      <c r="B241" s="2">
        <v>40581</v>
      </c>
      <c r="C241" s="1">
        <v>2</v>
      </c>
      <c r="D241" s="1">
        <v>20</v>
      </c>
      <c r="E241" s="16" t="b">
        <v>0</v>
      </c>
      <c r="F241" s="1">
        <v>1</v>
      </c>
      <c r="G241" s="21" t="str">
        <f t="shared" si="15"/>
        <v>No</v>
      </c>
      <c r="H241" s="26" t="str">
        <f t="shared" si="19"/>
        <v>Monday</v>
      </c>
      <c r="I241" s="1">
        <v>2</v>
      </c>
      <c r="J241" s="21" t="str">
        <f t="shared" si="16"/>
        <v>Misty</v>
      </c>
      <c r="K241" s="1">
        <v>0.32</v>
      </c>
      <c r="L241" s="21" t="str">
        <f t="shared" si="17"/>
        <v>Safe</v>
      </c>
      <c r="M241" s="1">
        <v>0.33329999999999999</v>
      </c>
      <c r="N241" s="1">
        <v>0.7</v>
      </c>
      <c r="O241" s="21" t="str">
        <f t="shared" si="18"/>
        <v>Risky</v>
      </c>
      <c r="P241" s="1">
        <v>0.1045</v>
      </c>
      <c r="Q241" s="1">
        <v>6</v>
      </c>
      <c r="R241" s="1">
        <v>82</v>
      </c>
      <c r="S241" s="45">
        <v>88</v>
      </c>
    </row>
    <row r="242" spans="1:19" ht="15" thickBot="1" x14ac:dyDescent="0.35">
      <c r="A242" s="4">
        <v>851</v>
      </c>
      <c r="B242" s="2">
        <v>40581</v>
      </c>
      <c r="C242" s="1">
        <v>2</v>
      </c>
      <c r="D242" s="1">
        <v>21</v>
      </c>
      <c r="E242" s="16" t="b">
        <v>0</v>
      </c>
      <c r="F242" s="1">
        <v>1</v>
      </c>
      <c r="G242" s="21" t="str">
        <f t="shared" si="15"/>
        <v>No</v>
      </c>
      <c r="H242" s="26" t="str">
        <f t="shared" si="19"/>
        <v>Monday</v>
      </c>
      <c r="I242" s="1">
        <v>1</v>
      </c>
      <c r="J242" s="21" t="str">
        <f t="shared" si="16"/>
        <v>Clean</v>
      </c>
      <c r="K242" s="1">
        <v>0.32</v>
      </c>
      <c r="L242" s="21" t="str">
        <f t="shared" si="17"/>
        <v>Safe</v>
      </c>
      <c r="M242" s="1">
        <v>0.34849999999999998</v>
      </c>
      <c r="N242" s="1">
        <v>0.7</v>
      </c>
      <c r="O242" s="21" t="str">
        <f t="shared" si="18"/>
        <v>Risky</v>
      </c>
      <c r="P242" s="1">
        <v>0</v>
      </c>
      <c r="Q242" s="1">
        <v>3</v>
      </c>
      <c r="R242" s="1">
        <v>75</v>
      </c>
      <c r="S242" s="45">
        <v>78</v>
      </c>
    </row>
    <row r="243" spans="1:19" ht="15" thickBot="1" x14ac:dyDescent="0.35">
      <c r="A243" s="4">
        <v>852</v>
      </c>
      <c r="B243" s="2">
        <v>40581</v>
      </c>
      <c r="C243" s="1">
        <v>2</v>
      </c>
      <c r="D243" s="1">
        <v>22</v>
      </c>
      <c r="E243" s="16" t="b">
        <v>0</v>
      </c>
      <c r="F243" s="1">
        <v>1</v>
      </c>
      <c r="G243" s="21" t="str">
        <f t="shared" si="15"/>
        <v>No</v>
      </c>
      <c r="H243" s="26" t="str">
        <f t="shared" si="19"/>
        <v>Monday</v>
      </c>
      <c r="I243" s="1">
        <v>1</v>
      </c>
      <c r="J243" s="21" t="str">
        <f t="shared" si="16"/>
        <v>Clean</v>
      </c>
      <c r="K243" s="1">
        <v>0.28000000000000003</v>
      </c>
      <c r="L243" s="21" t="str">
        <f t="shared" si="17"/>
        <v>Safe</v>
      </c>
      <c r="M243" s="1">
        <v>0.30299999999999999</v>
      </c>
      <c r="N243" s="1">
        <v>0.81</v>
      </c>
      <c r="O243" s="21" t="str">
        <f t="shared" si="18"/>
        <v>Risky</v>
      </c>
      <c r="P243" s="1">
        <v>8.9599999999999999E-2</v>
      </c>
      <c r="Q243" s="1">
        <v>3</v>
      </c>
      <c r="R243" s="1">
        <v>34</v>
      </c>
      <c r="S243" s="45">
        <v>37</v>
      </c>
    </row>
    <row r="244" spans="1:19" ht="15" thickBot="1" x14ac:dyDescent="0.35">
      <c r="A244" s="4">
        <v>853</v>
      </c>
      <c r="B244" s="2">
        <v>40581</v>
      </c>
      <c r="C244" s="1">
        <v>2</v>
      </c>
      <c r="D244" s="1">
        <v>23</v>
      </c>
      <c r="E244" s="16" t="b">
        <v>0</v>
      </c>
      <c r="F244" s="1">
        <v>1</v>
      </c>
      <c r="G244" s="21" t="str">
        <f t="shared" si="15"/>
        <v>No</v>
      </c>
      <c r="H244" s="26" t="str">
        <f t="shared" si="19"/>
        <v>Monday</v>
      </c>
      <c r="I244" s="1">
        <v>2</v>
      </c>
      <c r="J244" s="21" t="str">
        <f t="shared" si="16"/>
        <v>Misty</v>
      </c>
      <c r="K244" s="1">
        <v>0.3</v>
      </c>
      <c r="L244" s="21" t="str">
        <f t="shared" si="17"/>
        <v>Safe</v>
      </c>
      <c r="M244" s="1">
        <v>0.33329999999999999</v>
      </c>
      <c r="N244" s="1">
        <v>0.81</v>
      </c>
      <c r="O244" s="21" t="str">
        <f t="shared" si="18"/>
        <v>Risky</v>
      </c>
      <c r="P244" s="1">
        <v>0</v>
      </c>
      <c r="Q244" s="1">
        <v>6</v>
      </c>
      <c r="R244" s="1">
        <v>19</v>
      </c>
      <c r="S244" s="45">
        <v>25</v>
      </c>
    </row>
    <row r="245" spans="1:19" ht="15" thickBot="1" x14ac:dyDescent="0.35">
      <c r="A245" s="4">
        <v>854</v>
      </c>
      <c r="B245" s="2">
        <v>40582</v>
      </c>
      <c r="C245" s="1">
        <v>2</v>
      </c>
      <c r="D245" s="1">
        <v>0</v>
      </c>
      <c r="E245" s="16" t="b">
        <v>0</v>
      </c>
      <c r="F245" s="1">
        <v>2</v>
      </c>
      <c r="G245" s="21" t="str">
        <f t="shared" si="15"/>
        <v>No</v>
      </c>
      <c r="H245" s="26" t="str">
        <f t="shared" si="19"/>
        <v>Tuesday</v>
      </c>
      <c r="I245" s="1">
        <v>2</v>
      </c>
      <c r="J245" s="21" t="str">
        <f t="shared" si="16"/>
        <v>Misty</v>
      </c>
      <c r="K245" s="1">
        <v>0.28000000000000003</v>
      </c>
      <c r="L245" s="21" t="str">
        <f t="shared" si="17"/>
        <v>Safe</v>
      </c>
      <c r="M245" s="1">
        <v>0.31819999999999998</v>
      </c>
      <c r="N245" s="1">
        <v>0.87</v>
      </c>
      <c r="O245" s="21" t="str">
        <f t="shared" si="18"/>
        <v>Risky</v>
      </c>
      <c r="P245" s="1">
        <v>0</v>
      </c>
      <c r="Q245" s="1">
        <v>4</v>
      </c>
      <c r="R245" s="1">
        <v>6</v>
      </c>
      <c r="S245" s="45">
        <v>10</v>
      </c>
    </row>
    <row r="246" spans="1:19" ht="15" thickBot="1" x14ac:dyDescent="0.35">
      <c r="A246" s="4">
        <v>855</v>
      </c>
      <c r="B246" s="2">
        <v>40582</v>
      </c>
      <c r="C246" s="1">
        <v>2</v>
      </c>
      <c r="D246" s="1">
        <v>1</v>
      </c>
      <c r="E246" s="16" t="b">
        <v>0</v>
      </c>
      <c r="F246" s="1">
        <v>2</v>
      </c>
      <c r="G246" s="21" t="str">
        <f t="shared" si="15"/>
        <v>No</v>
      </c>
      <c r="H246" s="26" t="str">
        <f t="shared" si="19"/>
        <v>Tuesday</v>
      </c>
      <c r="I246" s="1">
        <v>2</v>
      </c>
      <c r="J246" s="21" t="str">
        <f t="shared" si="16"/>
        <v>Misty</v>
      </c>
      <c r="K246" s="1">
        <v>0.28000000000000003</v>
      </c>
      <c r="L246" s="21" t="str">
        <f t="shared" si="17"/>
        <v>Safe</v>
      </c>
      <c r="M246" s="1">
        <v>0.31819999999999998</v>
      </c>
      <c r="N246" s="1">
        <v>0.87</v>
      </c>
      <c r="O246" s="21" t="str">
        <f t="shared" si="18"/>
        <v>Risky</v>
      </c>
      <c r="P246" s="1">
        <v>0</v>
      </c>
      <c r="Q246" s="1">
        <v>0</v>
      </c>
      <c r="R246" s="1">
        <v>4</v>
      </c>
      <c r="S246" s="45">
        <v>4</v>
      </c>
    </row>
    <row r="247" spans="1:19" ht="15" thickBot="1" x14ac:dyDescent="0.35">
      <c r="A247" s="4">
        <v>856</v>
      </c>
      <c r="B247" s="2">
        <v>40582</v>
      </c>
      <c r="C247" s="1">
        <v>2</v>
      </c>
      <c r="D247" s="1">
        <v>2</v>
      </c>
      <c r="E247" s="16" t="b">
        <v>0</v>
      </c>
      <c r="F247" s="1">
        <v>2</v>
      </c>
      <c r="G247" s="21" t="str">
        <f t="shared" si="15"/>
        <v>No</v>
      </c>
      <c r="H247" s="26" t="str">
        <f t="shared" si="19"/>
        <v>Tuesday</v>
      </c>
      <c r="I247" s="1">
        <v>2</v>
      </c>
      <c r="J247" s="21" t="str">
        <f t="shared" si="16"/>
        <v>Misty</v>
      </c>
      <c r="K247" s="1">
        <v>0.26</v>
      </c>
      <c r="L247" s="21" t="str">
        <f t="shared" si="17"/>
        <v>Safe</v>
      </c>
      <c r="M247" s="1">
        <v>0.2727</v>
      </c>
      <c r="N247" s="1">
        <v>0.93</v>
      </c>
      <c r="O247" s="21" t="str">
        <f t="shared" si="18"/>
        <v>Risky</v>
      </c>
      <c r="P247" s="1">
        <v>0.1045</v>
      </c>
      <c r="Q247" s="1">
        <v>1</v>
      </c>
      <c r="R247" s="1">
        <v>1</v>
      </c>
      <c r="S247" s="45">
        <v>2</v>
      </c>
    </row>
    <row r="248" spans="1:19" ht="15" thickBot="1" x14ac:dyDescent="0.35">
      <c r="A248" s="4">
        <v>857</v>
      </c>
      <c r="B248" s="2">
        <v>40582</v>
      </c>
      <c r="C248" s="1">
        <v>2</v>
      </c>
      <c r="D248" s="1">
        <v>3</v>
      </c>
      <c r="E248" s="16" t="b">
        <v>0</v>
      </c>
      <c r="F248" s="1">
        <v>2</v>
      </c>
      <c r="G248" s="21" t="str">
        <f t="shared" si="15"/>
        <v>No</v>
      </c>
      <c r="H248" s="26" t="str">
        <f t="shared" si="19"/>
        <v>Tuesday</v>
      </c>
      <c r="I248" s="1">
        <v>3</v>
      </c>
      <c r="J248" s="21" t="str">
        <f t="shared" si="16"/>
        <v>Light Rain</v>
      </c>
      <c r="K248" s="1">
        <v>0.28000000000000003</v>
      </c>
      <c r="L248" s="21" t="str">
        <f t="shared" si="17"/>
        <v>Safe</v>
      </c>
      <c r="M248" s="1">
        <v>0.2727</v>
      </c>
      <c r="N248" s="1">
        <v>0.93</v>
      </c>
      <c r="O248" s="21" t="str">
        <f t="shared" si="18"/>
        <v>Risky</v>
      </c>
      <c r="P248" s="1">
        <v>0.16420000000000001</v>
      </c>
      <c r="Q248" s="1">
        <v>0</v>
      </c>
      <c r="R248" s="1">
        <v>1</v>
      </c>
      <c r="S248" s="45">
        <v>1</v>
      </c>
    </row>
    <row r="249" spans="1:19" ht="15" thickBot="1" x14ac:dyDescent="0.35">
      <c r="A249" s="4">
        <v>858</v>
      </c>
      <c r="B249" s="2">
        <v>40582</v>
      </c>
      <c r="C249" s="1">
        <v>2</v>
      </c>
      <c r="D249" s="1">
        <v>4</v>
      </c>
      <c r="E249" s="16" t="b">
        <v>0</v>
      </c>
      <c r="F249" s="1">
        <v>2</v>
      </c>
      <c r="G249" s="21" t="str">
        <f t="shared" si="15"/>
        <v>No</v>
      </c>
      <c r="H249" s="26" t="str">
        <f t="shared" si="19"/>
        <v>Tuesday</v>
      </c>
      <c r="I249" s="1">
        <v>1</v>
      </c>
      <c r="J249" s="21" t="str">
        <f t="shared" si="16"/>
        <v>Clean</v>
      </c>
      <c r="K249" s="1">
        <v>0.26</v>
      </c>
      <c r="L249" s="21" t="str">
        <f t="shared" si="17"/>
        <v>Safe</v>
      </c>
      <c r="M249" s="1">
        <v>0.2576</v>
      </c>
      <c r="N249" s="1">
        <v>0.93</v>
      </c>
      <c r="O249" s="21" t="str">
        <f t="shared" si="18"/>
        <v>Risky</v>
      </c>
      <c r="P249" s="1">
        <v>0.16420000000000001</v>
      </c>
      <c r="Q249" s="1">
        <v>0</v>
      </c>
      <c r="R249" s="1">
        <v>3</v>
      </c>
      <c r="S249" s="45">
        <v>3</v>
      </c>
    </row>
    <row r="250" spans="1:19" ht="15" thickBot="1" x14ac:dyDescent="0.35">
      <c r="A250" s="4">
        <v>859</v>
      </c>
      <c r="B250" s="2">
        <v>40582</v>
      </c>
      <c r="C250" s="1">
        <v>2</v>
      </c>
      <c r="D250" s="1">
        <v>5</v>
      </c>
      <c r="E250" s="16" t="b">
        <v>0</v>
      </c>
      <c r="F250" s="1">
        <v>2</v>
      </c>
      <c r="G250" s="21" t="str">
        <f t="shared" si="15"/>
        <v>No</v>
      </c>
      <c r="H250" s="26" t="str">
        <f t="shared" si="19"/>
        <v>Tuesday</v>
      </c>
      <c r="I250" s="1">
        <v>1</v>
      </c>
      <c r="J250" s="21" t="str">
        <f t="shared" si="16"/>
        <v>Clean</v>
      </c>
      <c r="K250" s="1">
        <v>0.26</v>
      </c>
      <c r="L250" s="21" t="str">
        <f t="shared" si="17"/>
        <v>Safe</v>
      </c>
      <c r="M250" s="1">
        <v>0.2273</v>
      </c>
      <c r="N250" s="1">
        <v>0.81</v>
      </c>
      <c r="O250" s="21" t="str">
        <f t="shared" si="18"/>
        <v>Risky</v>
      </c>
      <c r="P250" s="1">
        <v>0.32840000000000003</v>
      </c>
      <c r="Q250" s="1">
        <v>0</v>
      </c>
      <c r="R250" s="1">
        <v>2</v>
      </c>
      <c r="S250" s="45">
        <v>2</v>
      </c>
    </row>
    <row r="251" spans="1:19" ht="15" thickBot="1" x14ac:dyDescent="0.35">
      <c r="A251" s="4">
        <v>860</v>
      </c>
      <c r="B251" s="2">
        <v>40582</v>
      </c>
      <c r="C251" s="1">
        <v>2</v>
      </c>
      <c r="D251" s="1">
        <v>6</v>
      </c>
      <c r="E251" s="16" t="b">
        <v>0</v>
      </c>
      <c r="F251" s="1">
        <v>2</v>
      </c>
      <c r="G251" s="21" t="str">
        <f t="shared" si="15"/>
        <v>No</v>
      </c>
      <c r="H251" s="26" t="str">
        <f t="shared" si="19"/>
        <v>Tuesday</v>
      </c>
      <c r="I251" s="1">
        <v>1</v>
      </c>
      <c r="J251" s="21" t="str">
        <f t="shared" si="16"/>
        <v>Clean</v>
      </c>
      <c r="K251" s="1">
        <v>0.26</v>
      </c>
      <c r="L251" s="21" t="str">
        <f t="shared" si="17"/>
        <v>Safe</v>
      </c>
      <c r="M251" s="1">
        <v>0.2273</v>
      </c>
      <c r="N251" s="1">
        <v>0.7</v>
      </c>
      <c r="O251" s="21" t="str">
        <f t="shared" si="18"/>
        <v>Risky</v>
      </c>
      <c r="P251" s="1">
        <v>0.32840000000000003</v>
      </c>
      <c r="Q251" s="1">
        <v>0</v>
      </c>
      <c r="R251" s="1">
        <v>39</v>
      </c>
      <c r="S251" s="45">
        <v>39</v>
      </c>
    </row>
    <row r="252" spans="1:19" ht="15" thickBot="1" x14ac:dyDescent="0.35">
      <c r="A252" s="4">
        <v>861</v>
      </c>
      <c r="B252" s="2">
        <v>40582</v>
      </c>
      <c r="C252" s="1">
        <v>2</v>
      </c>
      <c r="D252" s="1">
        <v>7</v>
      </c>
      <c r="E252" s="16" t="b">
        <v>0</v>
      </c>
      <c r="F252" s="1">
        <v>2</v>
      </c>
      <c r="G252" s="21" t="str">
        <f t="shared" si="15"/>
        <v>No</v>
      </c>
      <c r="H252" s="26" t="str">
        <f t="shared" si="19"/>
        <v>Tuesday</v>
      </c>
      <c r="I252" s="1">
        <v>1</v>
      </c>
      <c r="J252" s="21" t="str">
        <f t="shared" si="16"/>
        <v>Clean</v>
      </c>
      <c r="K252" s="1">
        <v>0.24</v>
      </c>
      <c r="L252" s="21" t="str">
        <f t="shared" si="17"/>
        <v>Safe</v>
      </c>
      <c r="M252" s="1">
        <v>0.19700000000000001</v>
      </c>
      <c r="N252" s="1">
        <v>0.65</v>
      </c>
      <c r="O252" s="21" t="str">
        <f t="shared" si="18"/>
        <v>Acceptable</v>
      </c>
      <c r="P252" s="1">
        <v>0.41789999999999999</v>
      </c>
      <c r="Q252" s="1">
        <v>3</v>
      </c>
      <c r="R252" s="1">
        <v>97</v>
      </c>
      <c r="S252" s="45">
        <v>100</v>
      </c>
    </row>
    <row r="253" spans="1:19" ht="15" thickBot="1" x14ac:dyDescent="0.35">
      <c r="A253" s="4">
        <v>862</v>
      </c>
      <c r="B253" s="2">
        <v>40582</v>
      </c>
      <c r="C253" s="1">
        <v>2</v>
      </c>
      <c r="D253" s="1">
        <v>8</v>
      </c>
      <c r="E253" s="16" t="b">
        <v>0</v>
      </c>
      <c r="F253" s="1">
        <v>2</v>
      </c>
      <c r="G253" s="21" t="str">
        <f t="shared" si="15"/>
        <v>No</v>
      </c>
      <c r="H253" s="26" t="str">
        <f t="shared" si="19"/>
        <v>Tuesday</v>
      </c>
      <c r="I253" s="1">
        <v>1</v>
      </c>
      <c r="J253" s="21" t="str">
        <f t="shared" si="16"/>
        <v>Clean</v>
      </c>
      <c r="K253" s="1">
        <v>0.24</v>
      </c>
      <c r="L253" s="21" t="str">
        <f t="shared" si="17"/>
        <v>Safe</v>
      </c>
      <c r="M253" s="1">
        <v>0.19700000000000001</v>
      </c>
      <c r="N253" s="1">
        <v>0.56000000000000005</v>
      </c>
      <c r="O253" s="21" t="str">
        <f t="shared" si="18"/>
        <v>Acceptable</v>
      </c>
      <c r="P253" s="1">
        <v>0.49249999999999999</v>
      </c>
      <c r="Q253" s="1">
        <v>7</v>
      </c>
      <c r="R253" s="1">
        <v>236</v>
      </c>
      <c r="S253" s="45">
        <v>243</v>
      </c>
    </row>
    <row r="254" spans="1:19" ht="15" thickBot="1" x14ac:dyDescent="0.35">
      <c r="A254" s="4">
        <v>863</v>
      </c>
      <c r="B254" s="2">
        <v>40582</v>
      </c>
      <c r="C254" s="1">
        <v>2</v>
      </c>
      <c r="D254" s="1">
        <v>9</v>
      </c>
      <c r="E254" s="16" t="b">
        <v>0</v>
      </c>
      <c r="F254" s="1">
        <v>2</v>
      </c>
      <c r="G254" s="21" t="str">
        <f t="shared" si="15"/>
        <v>No</v>
      </c>
      <c r="H254" s="26" t="str">
        <f t="shared" si="19"/>
        <v>Tuesday</v>
      </c>
      <c r="I254" s="1">
        <v>1</v>
      </c>
      <c r="J254" s="21" t="str">
        <f t="shared" si="16"/>
        <v>Clean</v>
      </c>
      <c r="K254" s="1">
        <v>0.24</v>
      </c>
      <c r="L254" s="21" t="str">
        <f t="shared" si="17"/>
        <v>Safe</v>
      </c>
      <c r="M254" s="1">
        <v>0.19700000000000001</v>
      </c>
      <c r="N254" s="1">
        <v>0.52</v>
      </c>
      <c r="O254" s="21" t="str">
        <f t="shared" si="18"/>
        <v>Acceptable</v>
      </c>
      <c r="P254" s="1">
        <v>0.49249999999999999</v>
      </c>
      <c r="Q254" s="1">
        <v>7</v>
      </c>
      <c r="R254" s="1">
        <v>128</v>
      </c>
      <c r="S254" s="45">
        <v>135</v>
      </c>
    </row>
    <row r="255" spans="1:19" ht="15" thickBot="1" x14ac:dyDescent="0.35">
      <c r="A255" s="4">
        <v>864</v>
      </c>
      <c r="B255" s="2">
        <v>40582</v>
      </c>
      <c r="C255" s="1">
        <v>2</v>
      </c>
      <c r="D255" s="1">
        <v>10</v>
      </c>
      <c r="E255" s="16" t="b">
        <v>0</v>
      </c>
      <c r="F255" s="1">
        <v>2</v>
      </c>
      <c r="G255" s="21" t="str">
        <f t="shared" si="15"/>
        <v>No</v>
      </c>
      <c r="H255" s="26" t="str">
        <f t="shared" si="19"/>
        <v>Tuesday</v>
      </c>
      <c r="I255" s="1">
        <v>1</v>
      </c>
      <c r="J255" s="21" t="str">
        <f t="shared" si="16"/>
        <v>Clean</v>
      </c>
      <c r="K255" s="1">
        <v>0.22</v>
      </c>
      <c r="L255" s="21" t="str">
        <f t="shared" si="17"/>
        <v>Safe</v>
      </c>
      <c r="M255" s="1">
        <v>0.18179999999999999</v>
      </c>
      <c r="N255" s="1">
        <v>0.47</v>
      </c>
      <c r="O255" s="21" t="str">
        <f t="shared" si="18"/>
        <v>Acceptable</v>
      </c>
      <c r="P255" s="1">
        <v>0.55220000000000002</v>
      </c>
      <c r="Q255" s="1">
        <v>4</v>
      </c>
      <c r="R255" s="1">
        <v>44</v>
      </c>
      <c r="S255" s="45">
        <v>48</v>
      </c>
    </row>
    <row r="256" spans="1:19" ht="15" thickBot="1" x14ac:dyDescent="0.35">
      <c r="A256" s="4">
        <v>865</v>
      </c>
      <c r="B256" s="2">
        <v>40582</v>
      </c>
      <c r="C256" s="1">
        <v>2</v>
      </c>
      <c r="D256" s="1">
        <v>11</v>
      </c>
      <c r="E256" s="16" t="b">
        <v>0</v>
      </c>
      <c r="F256" s="1">
        <v>2</v>
      </c>
      <c r="G256" s="21" t="str">
        <f t="shared" si="15"/>
        <v>No</v>
      </c>
      <c r="H256" s="26" t="str">
        <f t="shared" si="19"/>
        <v>Tuesday</v>
      </c>
      <c r="I256" s="1">
        <v>1</v>
      </c>
      <c r="J256" s="21" t="str">
        <f t="shared" si="16"/>
        <v>Clean</v>
      </c>
      <c r="K256" s="1">
        <v>0.22</v>
      </c>
      <c r="L256" s="21" t="str">
        <f t="shared" si="17"/>
        <v>Safe</v>
      </c>
      <c r="M256" s="1">
        <v>0.18179999999999999</v>
      </c>
      <c r="N256" s="1">
        <v>0.47</v>
      </c>
      <c r="O256" s="21" t="str">
        <f t="shared" si="18"/>
        <v>Acceptable</v>
      </c>
      <c r="P256" s="1">
        <v>0.4627</v>
      </c>
      <c r="Q256" s="1">
        <v>1</v>
      </c>
      <c r="R256" s="1">
        <v>49</v>
      </c>
      <c r="S256" s="45">
        <v>50</v>
      </c>
    </row>
    <row r="257" spans="1:19" ht="15" thickBot="1" x14ac:dyDescent="0.35">
      <c r="A257" s="4">
        <v>866</v>
      </c>
      <c r="B257" s="2">
        <v>40582</v>
      </c>
      <c r="C257" s="1">
        <v>2</v>
      </c>
      <c r="D257" s="1">
        <v>12</v>
      </c>
      <c r="E257" s="16" t="b">
        <v>0</v>
      </c>
      <c r="F257" s="1">
        <v>2</v>
      </c>
      <c r="G257" s="21" t="str">
        <f t="shared" si="15"/>
        <v>No</v>
      </c>
      <c r="H257" s="26" t="str">
        <f t="shared" si="19"/>
        <v>Tuesday</v>
      </c>
      <c r="I257" s="1">
        <v>1</v>
      </c>
      <c r="J257" s="21" t="str">
        <f t="shared" si="16"/>
        <v>Clean</v>
      </c>
      <c r="K257" s="1">
        <v>0.24</v>
      </c>
      <c r="L257" s="21" t="str">
        <f t="shared" si="17"/>
        <v>Safe</v>
      </c>
      <c r="M257" s="1">
        <v>0.19700000000000001</v>
      </c>
      <c r="N257" s="1">
        <v>0.38</v>
      </c>
      <c r="O257" s="21" t="str">
        <f t="shared" si="18"/>
        <v>Acceptable</v>
      </c>
      <c r="P257" s="1">
        <v>0.49249999999999999</v>
      </c>
      <c r="Q257" s="1">
        <v>2</v>
      </c>
      <c r="R257" s="1">
        <v>63</v>
      </c>
      <c r="S257" s="45">
        <v>65</v>
      </c>
    </row>
    <row r="258" spans="1:19" ht="15" thickBot="1" x14ac:dyDescent="0.35">
      <c r="A258" s="4">
        <v>867</v>
      </c>
      <c r="B258" s="2">
        <v>40582</v>
      </c>
      <c r="C258" s="1">
        <v>2</v>
      </c>
      <c r="D258" s="1">
        <v>13</v>
      </c>
      <c r="E258" s="16" t="b">
        <v>0</v>
      </c>
      <c r="F258" s="1">
        <v>2</v>
      </c>
      <c r="G258" s="21" t="str">
        <f t="shared" ref="G258:G321" si="20">_xlfn.IFS(F258=0,"Yes",F258=6,"Yes",F258&gt;0,"No")</f>
        <v>No</v>
      </c>
      <c r="H258" s="26" t="str">
        <f t="shared" si="19"/>
        <v>Tuesday</v>
      </c>
      <c r="I258" s="1">
        <v>2</v>
      </c>
      <c r="J258" s="21" t="str">
        <f t="shared" ref="J258:J321" si="21">_xlfn.IFS(I258=1,"Clean",I258=2,"Misty",I258=3,"Light Rain",I258=4,"Heavy Rain")</f>
        <v>Misty</v>
      </c>
      <c r="K258" s="1">
        <v>0.24</v>
      </c>
      <c r="L258" s="21" t="str">
        <f t="shared" ref="L258:L321" si="22">_xlfn.IFS(K258&lt;0.1,"Risky",K258&lt;0.35,"Safe",K258&gt;0.35,"Risky")</f>
        <v>Safe</v>
      </c>
      <c r="M258" s="1">
        <v>0.19700000000000001</v>
      </c>
      <c r="N258" s="1">
        <v>0.32</v>
      </c>
      <c r="O258" s="21" t="str">
        <f t="shared" ref="O258:O321" si="23">IF(N258&lt;0.7,"Acceptable","Risky")</f>
        <v>Acceptable</v>
      </c>
      <c r="P258" s="1">
        <v>0.44779999999999998</v>
      </c>
      <c r="Q258" s="1">
        <v>2</v>
      </c>
      <c r="R258" s="1">
        <v>48</v>
      </c>
      <c r="S258" s="45">
        <v>50</v>
      </c>
    </row>
    <row r="259" spans="1:19" ht="15" thickBot="1" x14ac:dyDescent="0.35">
      <c r="A259" s="4">
        <v>868</v>
      </c>
      <c r="B259" s="2">
        <v>40582</v>
      </c>
      <c r="C259" s="1">
        <v>2</v>
      </c>
      <c r="D259" s="1">
        <v>14</v>
      </c>
      <c r="E259" s="16" t="b">
        <v>0</v>
      </c>
      <c r="F259" s="1">
        <v>2</v>
      </c>
      <c r="G259" s="21" t="str">
        <f t="shared" si="20"/>
        <v>No</v>
      </c>
      <c r="H259" s="26" t="str">
        <f t="shared" ref="H259:H322" si="24">TEXT(B259:B648,"dddd")</f>
        <v>Tuesday</v>
      </c>
      <c r="I259" s="1">
        <v>1</v>
      </c>
      <c r="J259" s="21" t="str">
        <f t="shared" si="21"/>
        <v>Clean</v>
      </c>
      <c r="K259" s="1">
        <v>0.22</v>
      </c>
      <c r="L259" s="21" t="str">
        <f t="shared" si="22"/>
        <v>Safe</v>
      </c>
      <c r="M259" s="1">
        <v>0.19700000000000001</v>
      </c>
      <c r="N259" s="1">
        <v>0.37</v>
      </c>
      <c r="O259" s="21" t="str">
        <f t="shared" si="23"/>
        <v>Acceptable</v>
      </c>
      <c r="P259" s="1">
        <v>0.41789999999999999</v>
      </c>
      <c r="Q259" s="1">
        <v>3</v>
      </c>
      <c r="R259" s="1">
        <v>61</v>
      </c>
      <c r="S259" s="45">
        <v>64</v>
      </c>
    </row>
    <row r="260" spans="1:19" ht="15" thickBot="1" x14ac:dyDescent="0.35">
      <c r="A260" s="4">
        <v>869</v>
      </c>
      <c r="B260" s="2">
        <v>40582</v>
      </c>
      <c r="C260" s="1">
        <v>2</v>
      </c>
      <c r="D260" s="1">
        <v>15</v>
      </c>
      <c r="E260" s="16" t="b">
        <v>0</v>
      </c>
      <c r="F260" s="1">
        <v>2</v>
      </c>
      <c r="G260" s="21" t="str">
        <f t="shared" si="20"/>
        <v>No</v>
      </c>
      <c r="H260" s="26" t="str">
        <f t="shared" si="24"/>
        <v>Tuesday</v>
      </c>
      <c r="I260" s="1">
        <v>1</v>
      </c>
      <c r="J260" s="21" t="str">
        <f t="shared" si="21"/>
        <v>Clean</v>
      </c>
      <c r="K260" s="1">
        <v>0.22</v>
      </c>
      <c r="L260" s="21" t="str">
        <f t="shared" si="22"/>
        <v>Safe</v>
      </c>
      <c r="M260" s="1">
        <v>0.19700000000000001</v>
      </c>
      <c r="N260" s="1">
        <v>0.35</v>
      </c>
      <c r="O260" s="21" t="str">
        <f t="shared" si="23"/>
        <v>Acceptable</v>
      </c>
      <c r="P260" s="1">
        <v>0.3881</v>
      </c>
      <c r="Q260" s="1">
        <v>6</v>
      </c>
      <c r="R260" s="1">
        <v>45</v>
      </c>
      <c r="S260" s="45">
        <v>51</v>
      </c>
    </row>
    <row r="261" spans="1:19" ht="15" thickBot="1" x14ac:dyDescent="0.35">
      <c r="A261" s="4">
        <v>870</v>
      </c>
      <c r="B261" s="2">
        <v>40582</v>
      </c>
      <c r="C261" s="1">
        <v>2</v>
      </c>
      <c r="D261" s="1">
        <v>16</v>
      </c>
      <c r="E261" s="16" t="b">
        <v>0</v>
      </c>
      <c r="F261" s="1">
        <v>2</v>
      </c>
      <c r="G261" s="21" t="str">
        <f t="shared" si="20"/>
        <v>No</v>
      </c>
      <c r="H261" s="26" t="str">
        <f t="shared" si="24"/>
        <v>Tuesday</v>
      </c>
      <c r="I261" s="1">
        <v>1</v>
      </c>
      <c r="J261" s="21" t="str">
        <f t="shared" si="21"/>
        <v>Clean</v>
      </c>
      <c r="K261" s="1">
        <v>0.22</v>
      </c>
      <c r="L261" s="21" t="str">
        <f t="shared" si="22"/>
        <v>Safe</v>
      </c>
      <c r="M261" s="1">
        <v>0.18179999999999999</v>
      </c>
      <c r="N261" s="1">
        <v>0.35</v>
      </c>
      <c r="O261" s="21" t="str">
        <f t="shared" si="23"/>
        <v>Acceptable</v>
      </c>
      <c r="P261" s="1">
        <v>0.52239999999999998</v>
      </c>
      <c r="Q261" s="1">
        <v>4</v>
      </c>
      <c r="R261" s="1">
        <v>79</v>
      </c>
      <c r="S261" s="45">
        <v>83</v>
      </c>
    </row>
    <row r="262" spans="1:19" ht="15" thickBot="1" x14ac:dyDescent="0.35">
      <c r="A262" s="4">
        <v>871</v>
      </c>
      <c r="B262" s="2">
        <v>40582</v>
      </c>
      <c r="C262" s="1">
        <v>2</v>
      </c>
      <c r="D262" s="1">
        <v>17</v>
      </c>
      <c r="E262" s="16" t="b">
        <v>0</v>
      </c>
      <c r="F262" s="1">
        <v>2</v>
      </c>
      <c r="G262" s="21" t="str">
        <f t="shared" si="20"/>
        <v>No</v>
      </c>
      <c r="H262" s="26" t="str">
        <f t="shared" si="24"/>
        <v>Tuesday</v>
      </c>
      <c r="I262" s="1">
        <v>1</v>
      </c>
      <c r="J262" s="21" t="str">
        <f t="shared" si="21"/>
        <v>Clean</v>
      </c>
      <c r="K262" s="1">
        <v>0.22</v>
      </c>
      <c r="L262" s="21" t="str">
        <f t="shared" si="22"/>
        <v>Safe</v>
      </c>
      <c r="M262" s="1">
        <v>0.18179999999999999</v>
      </c>
      <c r="N262" s="1">
        <v>0.32</v>
      </c>
      <c r="O262" s="21" t="str">
        <f t="shared" si="23"/>
        <v>Acceptable</v>
      </c>
      <c r="P262" s="1">
        <v>0.58209999999999995</v>
      </c>
      <c r="Q262" s="1">
        <v>4</v>
      </c>
      <c r="R262" s="1">
        <v>172</v>
      </c>
      <c r="S262" s="45">
        <v>176</v>
      </c>
    </row>
    <row r="263" spans="1:19" ht="15" thickBot="1" x14ac:dyDescent="0.35">
      <c r="A263" s="4">
        <v>872</v>
      </c>
      <c r="B263" s="2">
        <v>40582</v>
      </c>
      <c r="C263" s="1">
        <v>2</v>
      </c>
      <c r="D263" s="1">
        <v>18</v>
      </c>
      <c r="E263" s="16" t="b">
        <v>0</v>
      </c>
      <c r="F263" s="1">
        <v>2</v>
      </c>
      <c r="G263" s="21" t="str">
        <f t="shared" si="20"/>
        <v>No</v>
      </c>
      <c r="H263" s="26" t="str">
        <f t="shared" si="24"/>
        <v>Tuesday</v>
      </c>
      <c r="I263" s="1">
        <v>1</v>
      </c>
      <c r="J263" s="21" t="str">
        <f t="shared" si="21"/>
        <v>Clean</v>
      </c>
      <c r="K263" s="1">
        <v>0.2</v>
      </c>
      <c r="L263" s="21" t="str">
        <f t="shared" si="22"/>
        <v>Safe</v>
      </c>
      <c r="M263" s="1">
        <v>0.18179999999999999</v>
      </c>
      <c r="N263" s="1">
        <v>0.32</v>
      </c>
      <c r="O263" s="21" t="str">
        <f t="shared" si="23"/>
        <v>Acceptable</v>
      </c>
      <c r="P263" s="1">
        <v>0.3881</v>
      </c>
      <c r="Q263" s="1">
        <v>1</v>
      </c>
      <c r="R263" s="1">
        <v>151</v>
      </c>
      <c r="S263" s="45">
        <v>152</v>
      </c>
    </row>
    <row r="264" spans="1:19" ht="15" thickBot="1" x14ac:dyDescent="0.35">
      <c r="A264" s="4">
        <v>873</v>
      </c>
      <c r="B264" s="2">
        <v>40582</v>
      </c>
      <c r="C264" s="1">
        <v>2</v>
      </c>
      <c r="D264" s="1">
        <v>19</v>
      </c>
      <c r="E264" s="16" t="b">
        <v>0</v>
      </c>
      <c r="F264" s="1">
        <v>2</v>
      </c>
      <c r="G264" s="21" t="str">
        <f t="shared" si="20"/>
        <v>No</v>
      </c>
      <c r="H264" s="26" t="str">
        <f t="shared" si="24"/>
        <v>Tuesday</v>
      </c>
      <c r="I264" s="1">
        <v>1</v>
      </c>
      <c r="J264" s="21" t="str">
        <f t="shared" si="21"/>
        <v>Clean</v>
      </c>
      <c r="K264" s="1">
        <v>0.16</v>
      </c>
      <c r="L264" s="21" t="str">
        <f t="shared" si="22"/>
        <v>Safe</v>
      </c>
      <c r="M264" s="1">
        <v>0.1212</v>
      </c>
      <c r="N264" s="1">
        <v>0.4</v>
      </c>
      <c r="O264" s="21" t="str">
        <f t="shared" si="23"/>
        <v>Acceptable</v>
      </c>
      <c r="P264" s="1">
        <v>0.4627</v>
      </c>
      <c r="Q264" s="1">
        <v>1</v>
      </c>
      <c r="R264" s="1">
        <v>100</v>
      </c>
      <c r="S264" s="45">
        <v>101</v>
      </c>
    </row>
    <row r="265" spans="1:19" ht="15" thickBot="1" x14ac:dyDescent="0.35">
      <c r="A265" s="4">
        <v>874</v>
      </c>
      <c r="B265" s="2">
        <v>40582</v>
      </c>
      <c r="C265" s="1">
        <v>2</v>
      </c>
      <c r="D265" s="1">
        <v>20</v>
      </c>
      <c r="E265" s="16" t="b">
        <v>0</v>
      </c>
      <c r="F265" s="1">
        <v>2</v>
      </c>
      <c r="G265" s="21" t="str">
        <f t="shared" si="20"/>
        <v>No</v>
      </c>
      <c r="H265" s="26" t="str">
        <f t="shared" si="24"/>
        <v>Tuesday</v>
      </c>
      <c r="I265" s="1">
        <v>1</v>
      </c>
      <c r="J265" s="21" t="str">
        <f t="shared" si="21"/>
        <v>Clean</v>
      </c>
      <c r="K265" s="1">
        <v>0.16</v>
      </c>
      <c r="L265" s="21" t="str">
        <f t="shared" si="22"/>
        <v>Safe</v>
      </c>
      <c r="M265" s="1">
        <v>0.13639999999999999</v>
      </c>
      <c r="N265" s="1">
        <v>0.4</v>
      </c>
      <c r="O265" s="21" t="str">
        <f t="shared" si="23"/>
        <v>Acceptable</v>
      </c>
      <c r="P265" s="1">
        <v>0.32840000000000003</v>
      </c>
      <c r="Q265" s="1">
        <v>3</v>
      </c>
      <c r="R265" s="1">
        <v>53</v>
      </c>
      <c r="S265" s="45">
        <v>56</v>
      </c>
    </row>
    <row r="266" spans="1:19" ht="15" thickBot="1" x14ac:dyDescent="0.35">
      <c r="A266" s="4">
        <v>875</v>
      </c>
      <c r="B266" s="2">
        <v>40582</v>
      </c>
      <c r="C266" s="1">
        <v>2</v>
      </c>
      <c r="D266" s="1">
        <v>21</v>
      </c>
      <c r="E266" s="16" t="b">
        <v>0</v>
      </c>
      <c r="F266" s="1">
        <v>2</v>
      </c>
      <c r="G266" s="21" t="str">
        <f t="shared" si="20"/>
        <v>No</v>
      </c>
      <c r="H266" s="26" t="str">
        <f t="shared" si="24"/>
        <v>Tuesday</v>
      </c>
      <c r="I266" s="1">
        <v>1</v>
      </c>
      <c r="J266" s="21" t="str">
        <f t="shared" si="21"/>
        <v>Clean</v>
      </c>
      <c r="K266" s="1">
        <v>0.14000000000000001</v>
      </c>
      <c r="L266" s="21" t="str">
        <f t="shared" si="22"/>
        <v>Safe</v>
      </c>
      <c r="M266" s="1">
        <v>0.1061</v>
      </c>
      <c r="N266" s="1">
        <v>0.33</v>
      </c>
      <c r="O266" s="21" t="str">
        <f t="shared" si="23"/>
        <v>Acceptable</v>
      </c>
      <c r="P266" s="1">
        <v>0.4627</v>
      </c>
      <c r="Q266" s="1">
        <v>8</v>
      </c>
      <c r="R266" s="1">
        <v>46</v>
      </c>
      <c r="S266" s="45">
        <v>54</v>
      </c>
    </row>
    <row r="267" spans="1:19" ht="15" thickBot="1" x14ac:dyDescent="0.35">
      <c r="A267" s="4">
        <v>876</v>
      </c>
      <c r="B267" s="2">
        <v>40582</v>
      </c>
      <c r="C267" s="1">
        <v>2</v>
      </c>
      <c r="D267" s="1">
        <v>22</v>
      </c>
      <c r="E267" s="16" t="b">
        <v>0</v>
      </c>
      <c r="F267" s="1">
        <v>2</v>
      </c>
      <c r="G267" s="21" t="str">
        <f t="shared" si="20"/>
        <v>No</v>
      </c>
      <c r="H267" s="26" t="str">
        <f t="shared" si="24"/>
        <v>Tuesday</v>
      </c>
      <c r="I267" s="1">
        <v>1</v>
      </c>
      <c r="J267" s="21" t="str">
        <f t="shared" si="21"/>
        <v>Clean</v>
      </c>
      <c r="K267" s="1">
        <v>0.12</v>
      </c>
      <c r="L267" s="21" t="str">
        <f t="shared" si="22"/>
        <v>Safe</v>
      </c>
      <c r="M267" s="1">
        <v>0.1061</v>
      </c>
      <c r="N267" s="1">
        <v>0.33</v>
      </c>
      <c r="O267" s="21" t="str">
        <f t="shared" si="23"/>
        <v>Acceptable</v>
      </c>
      <c r="P267" s="1">
        <v>0.35820000000000002</v>
      </c>
      <c r="Q267" s="1">
        <v>0</v>
      </c>
      <c r="R267" s="1">
        <v>29</v>
      </c>
      <c r="S267" s="45">
        <v>29</v>
      </c>
    </row>
    <row r="268" spans="1:19" ht="15" thickBot="1" x14ac:dyDescent="0.35">
      <c r="A268" s="4">
        <v>877</v>
      </c>
      <c r="B268" s="2">
        <v>40582</v>
      </c>
      <c r="C268" s="1">
        <v>2</v>
      </c>
      <c r="D268" s="1">
        <v>23</v>
      </c>
      <c r="E268" s="16" t="b">
        <v>0</v>
      </c>
      <c r="F268" s="1">
        <v>2</v>
      </c>
      <c r="G268" s="21" t="str">
        <f t="shared" si="20"/>
        <v>No</v>
      </c>
      <c r="H268" s="26" t="str">
        <f t="shared" si="24"/>
        <v>Tuesday</v>
      </c>
      <c r="I268" s="1">
        <v>1</v>
      </c>
      <c r="J268" s="21" t="str">
        <f t="shared" si="21"/>
        <v>Clean</v>
      </c>
      <c r="K268" s="1">
        <v>0.12</v>
      </c>
      <c r="L268" s="21" t="str">
        <f t="shared" si="22"/>
        <v>Safe</v>
      </c>
      <c r="M268" s="1">
        <v>0.1061</v>
      </c>
      <c r="N268" s="1">
        <v>0.33</v>
      </c>
      <c r="O268" s="21" t="str">
        <f t="shared" si="23"/>
        <v>Acceptable</v>
      </c>
      <c r="P268" s="1">
        <v>0.32840000000000003</v>
      </c>
      <c r="Q268" s="1">
        <v>3</v>
      </c>
      <c r="R268" s="1">
        <v>9</v>
      </c>
      <c r="S268" s="45">
        <v>12</v>
      </c>
    </row>
    <row r="269" spans="1:19" ht="15" thickBot="1" x14ac:dyDescent="0.35">
      <c r="A269" s="4">
        <v>878</v>
      </c>
      <c r="B269" s="2">
        <v>40583</v>
      </c>
      <c r="C269" s="1">
        <v>2</v>
      </c>
      <c r="D269" s="1">
        <v>0</v>
      </c>
      <c r="E269" s="16" t="b">
        <v>0</v>
      </c>
      <c r="F269" s="1">
        <v>3</v>
      </c>
      <c r="G269" s="21" t="str">
        <f t="shared" si="20"/>
        <v>No</v>
      </c>
      <c r="H269" s="26" t="str">
        <f t="shared" si="24"/>
        <v>Wednesday</v>
      </c>
      <c r="I269" s="1">
        <v>1</v>
      </c>
      <c r="J269" s="21" t="str">
        <f t="shared" si="21"/>
        <v>Clean</v>
      </c>
      <c r="K269" s="1">
        <v>0.1</v>
      </c>
      <c r="L269" s="21" t="str">
        <f t="shared" si="22"/>
        <v>Safe</v>
      </c>
      <c r="M269" s="1">
        <v>7.5800000000000006E-2</v>
      </c>
      <c r="N269" s="1">
        <v>0.36</v>
      </c>
      <c r="O269" s="21" t="str">
        <f t="shared" si="23"/>
        <v>Acceptable</v>
      </c>
      <c r="P269" s="1">
        <v>0.35820000000000002</v>
      </c>
      <c r="Q269" s="1">
        <v>0</v>
      </c>
      <c r="R269" s="1">
        <v>17</v>
      </c>
      <c r="S269" s="45">
        <v>17</v>
      </c>
    </row>
    <row r="270" spans="1:19" ht="15" thickBot="1" x14ac:dyDescent="0.35">
      <c r="A270" s="4">
        <v>879</v>
      </c>
      <c r="B270" s="2">
        <v>40583</v>
      </c>
      <c r="C270" s="1">
        <v>2</v>
      </c>
      <c r="D270" s="1">
        <v>1</v>
      </c>
      <c r="E270" s="16" t="b">
        <v>0</v>
      </c>
      <c r="F270" s="1">
        <v>3</v>
      </c>
      <c r="G270" s="21" t="str">
        <f t="shared" si="20"/>
        <v>No</v>
      </c>
      <c r="H270" s="26" t="str">
        <f t="shared" si="24"/>
        <v>Wednesday</v>
      </c>
      <c r="I270" s="1">
        <v>1</v>
      </c>
      <c r="J270" s="21" t="str">
        <f t="shared" si="21"/>
        <v>Clean</v>
      </c>
      <c r="K270" s="1">
        <v>0.1</v>
      </c>
      <c r="L270" s="21" t="str">
        <f t="shared" si="22"/>
        <v>Safe</v>
      </c>
      <c r="M270" s="1">
        <v>0.1061</v>
      </c>
      <c r="N270" s="1">
        <v>0.36</v>
      </c>
      <c r="O270" s="21" t="str">
        <f t="shared" si="23"/>
        <v>Acceptable</v>
      </c>
      <c r="P270" s="1">
        <v>0.22389999999999999</v>
      </c>
      <c r="Q270" s="1">
        <v>0</v>
      </c>
      <c r="R270" s="1">
        <v>7</v>
      </c>
      <c r="S270" s="45">
        <v>7</v>
      </c>
    </row>
    <row r="271" spans="1:19" ht="15" thickBot="1" x14ac:dyDescent="0.35">
      <c r="A271" s="4">
        <v>880</v>
      </c>
      <c r="B271" s="2">
        <v>40583</v>
      </c>
      <c r="C271" s="1">
        <v>2</v>
      </c>
      <c r="D271" s="1">
        <v>2</v>
      </c>
      <c r="E271" s="16" t="b">
        <v>0</v>
      </c>
      <c r="F271" s="1">
        <v>3</v>
      </c>
      <c r="G271" s="21" t="str">
        <f t="shared" si="20"/>
        <v>No</v>
      </c>
      <c r="H271" s="26" t="str">
        <f t="shared" si="24"/>
        <v>Wednesday</v>
      </c>
      <c r="I271" s="1">
        <v>1</v>
      </c>
      <c r="J271" s="21" t="str">
        <f t="shared" si="21"/>
        <v>Clean</v>
      </c>
      <c r="K271" s="1">
        <v>0.08</v>
      </c>
      <c r="L271" s="21" t="str">
        <f t="shared" si="22"/>
        <v>Risky</v>
      </c>
      <c r="M271" s="1">
        <v>7.5800000000000006E-2</v>
      </c>
      <c r="N271" s="1">
        <v>0.38</v>
      </c>
      <c r="O271" s="21" t="str">
        <f t="shared" si="23"/>
        <v>Acceptable</v>
      </c>
      <c r="P271" s="1">
        <v>0.28360000000000002</v>
      </c>
      <c r="Q271" s="1">
        <v>1</v>
      </c>
      <c r="R271" s="1">
        <v>2</v>
      </c>
      <c r="S271" s="45">
        <v>3</v>
      </c>
    </row>
    <row r="272" spans="1:19" ht="15" thickBot="1" x14ac:dyDescent="0.35">
      <c r="A272" s="4">
        <v>881</v>
      </c>
      <c r="B272" s="2">
        <v>40583</v>
      </c>
      <c r="C272" s="1">
        <v>2</v>
      </c>
      <c r="D272" s="1">
        <v>3</v>
      </c>
      <c r="E272" s="16" t="b">
        <v>0</v>
      </c>
      <c r="F272" s="1">
        <v>3</v>
      </c>
      <c r="G272" s="21" t="str">
        <f t="shared" si="20"/>
        <v>No</v>
      </c>
      <c r="H272" s="26" t="str">
        <f t="shared" si="24"/>
        <v>Wednesday</v>
      </c>
      <c r="I272" s="1">
        <v>1</v>
      </c>
      <c r="J272" s="21" t="str">
        <f t="shared" si="21"/>
        <v>Clean</v>
      </c>
      <c r="K272" s="1">
        <v>0.06</v>
      </c>
      <c r="L272" s="21" t="str">
        <f t="shared" si="22"/>
        <v>Risky</v>
      </c>
      <c r="M272" s="1">
        <v>7.5800000000000006E-2</v>
      </c>
      <c r="N272" s="1">
        <v>0.45</v>
      </c>
      <c r="O272" s="21" t="str">
        <f t="shared" si="23"/>
        <v>Acceptable</v>
      </c>
      <c r="P272" s="1">
        <v>0.1343</v>
      </c>
      <c r="Q272" s="1">
        <v>0</v>
      </c>
      <c r="R272" s="1">
        <v>2</v>
      </c>
      <c r="S272" s="45">
        <v>2</v>
      </c>
    </row>
    <row r="273" spans="1:19" ht="15" thickBot="1" x14ac:dyDescent="0.35">
      <c r="A273" s="4">
        <v>882</v>
      </c>
      <c r="B273" s="2">
        <v>40583</v>
      </c>
      <c r="C273" s="1">
        <v>2</v>
      </c>
      <c r="D273" s="1">
        <v>5</v>
      </c>
      <c r="E273" s="16" t="b">
        <v>0</v>
      </c>
      <c r="F273" s="1">
        <v>3</v>
      </c>
      <c r="G273" s="21" t="str">
        <f t="shared" si="20"/>
        <v>No</v>
      </c>
      <c r="H273" s="26" t="str">
        <f t="shared" si="24"/>
        <v>Wednesday</v>
      </c>
      <c r="I273" s="1">
        <v>1</v>
      </c>
      <c r="J273" s="21" t="str">
        <f t="shared" si="21"/>
        <v>Clean</v>
      </c>
      <c r="K273" s="1">
        <v>0.06</v>
      </c>
      <c r="L273" s="21" t="str">
        <f t="shared" si="22"/>
        <v>Risky</v>
      </c>
      <c r="M273" s="1">
        <v>0.1061</v>
      </c>
      <c r="N273" s="1">
        <v>0.45</v>
      </c>
      <c r="O273" s="21" t="str">
        <f t="shared" si="23"/>
        <v>Acceptable</v>
      </c>
      <c r="P273" s="1">
        <v>0.1045</v>
      </c>
      <c r="Q273" s="1">
        <v>0</v>
      </c>
      <c r="R273" s="1">
        <v>7</v>
      </c>
      <c r="S273" s="45">
        <v>7</v>
      </c>
    </row>
    <row r="274" spans="1:19" ht="15" thickBot="1" x14ac:dyDescent="0.35">
      <c r="A274" s="4">
        <v>883</v>
      </c>
      <c r="B274" s="2">
        <v>40583</v>
      </c>
      <c r="C274" s="1">
        <v>2</v>
      </c>
      <c r="D274" s="1">
        <v>6</v>
      </c>
      <c r="E274" s="16" t="b">
        <v>0</v>
      </c>
      <c r="F274" s="1">
        <v>3</v>
      </c>
      <c r="G274" s="21" t="str">
        <f t="shared" si="20"/>
        <v>No</v>
      </c>
      <c r="H274" s="26" t="str">
        <f t="shared" si="24"/>
        <v>Wednesday</v>
      </c>
      <c r="I274" s="1">
        <v>1</v>
      </c>
      <c r="J274" s="21" t="str">
        <f t="shared" si="21"/>
        <v>Clean</v>
      </c>
      <c r="K274" s="1">
        <v>0.06</v>
      </c>
      <c r="L274" s="21" t="str">
        <f t="shared" si="22"/>
        <v>Risky</v>
      </c>
      <c r="M274" s="1">
        <v>0.1515</v>
      </c>
      <c r="N274" s="1">
        <v>0.45</v>
      </c>
      <c r="O274" s="21" t="str">
        <f t="shared" si="23"/>
        <v>Acceptable</v>
      </c>
      <c r="P274" s="1">
        <v>0</v>
      </c>
      <c r="Q274" s="1">
        <v>0</v>
      </c>
      <c r="R274" s="1">
        <v>43</v>
      </c>
      <c r="S274" s="45">
        <v>43</v>
      </c>
    </row>
    <row r="275" spans="1:19" ht="15" thickBot="1" x14ac:dyDescent="0.35">
      <c r="A275" s="4">
        <v>884</v>
      </c>
      <c r="B275" s="2">
        <v>40583</v>
      </c>
      <c r="C275" s="1">
        <v>2</v>
      </c>
      <c r="D275" s="1">
        <v>7</v>
      </c>
      <c r="E275" s="16" t="b">
        <v>0</v>
      </c>
      <c r="F275" s="1">
        <v>3</v>
      </c>
      <c r="G275" s="21" t="str">
        <f t="shared" si="20"/>
        <v>No</v>
      </c>
      <c r="H275" s="26" t="str">
        <f t="shared" si="24"/>
        <v>Wednesday</v>
      </c>
      <c r="I275" s="1">
        <v>1</v>
      </c>
      <c r="J275" s="21" t="str">
        <f t="shared" si="21"/>
        <v>Clean</v>
      </c>
      <c r="K275" s="1">
        <v>0.06</v>
      </c>
      <c r="L275" s="21" t="str">
        <f t="shared" si="22"/>
        <v>Risky</v>
      </c>
      <c r="M275" s="1">
        <v>0.1061</v>
      </c>
      <c r="N275" s="1">
        <v>0.49</v>
      </c>
      <c r="O275" s="21" t="str">
        <f t="shared" si="23"/>
        <v>Acceptable</v>
      </c>
      <c r="P275" s="1">
        <v>0.1045</v>
      </c>
      <c r="Q275" s="1">
        <v>4</v>
      </c>
      <c r="R275" s="1">
        <v>95</v>
      </c>
      <c r="S275" s="45">
        <v>99</v>
      </c>
    </row>
    <row r="276" spans="1:19" ht="15" thickBot="1" x14ac:dyDescent="0.35">
      <c r="A276" s="4">
        <v>885</v>
      </c>
      <c r="B276" s="2">
        <v>40583</v>
      </c>
      <c r="C276" s="1">
        <v>2</v>
      </c>
      <c r="D276" s="1">
        <v>8</v>
      </c>
      <c r="E276" s="16" t="b">
        <v>0</v>
      </c>
      <c r="F276" s="1">
        <v>3</v>
      </c>
      <c r="G276" s="21" t="str">
        <f t="shared" si="20"/>
        <v>No</v>
      </c>
      <c r="H276" s="26" t="str">
        <f t="shared" si="24"/>
        <v>Wednesday</v>
      </c>
      <c r="I276" s="1">
        <v>1</v>
      </c>
      <c r="J276" s="21" t="str">
        <f t="shared" si="21"/>
        <v>Clean</v>
      </c>
      <c r="K276" s="1">
        <v>0.1</v>
      </c>
      <c r="L276" s="21" t="str">
        <f t="shared" si="22"/>
        <v>Safe</v>
      </c>
      <c r="M276" s="1">
        <v>0.13639999999999999</v>
      </c>
      <c r="N276" s="1">
        <v>0.42</v>
      </c>
      <c r="O276" s="21" t="str">
        <f t="shared" si="23"/>
        <v>Acceptable</v>
      </c>
      <c r="P276" s="1">
        <v>0</v>
      </c>
      <c r="Q276" s="1">
        <v>1</v>
      </c>
      <c r="R276" s="1">
        <v>198</v>
      </c>
      <c r="S276" s="45">
        <v>199</v>
      </c>
    </row>
    <row r="277" spans="1:19" ht="15" thickBot="1" x14ac:dyDescent="0.35">
      <c r="A277" s="4">
        <v>886</v>
      </c>
      <c r="B277" s="2">
        <v>40583</v>
      </c>
      <c r="C277" s="1">
        <v>2</v>
      </c>
      <c r="D277" s="1">
        <v>9</v>
      </c>
      <c r="E277" s="16" t="b">
        <v>0</v>
      </c>
      <c r="F277" s="1">
        <v>3</v>
      </c>
      <c r="G277" s="21" t="str">
        <f t="shared" si="20"/>
        <v>No</v>
      </c>
      <c r="H277" s="26" t="str">
        <f t="shared" si="24"/>
        <v>Wednesday</v>
      </c>
      <c r="I277" s="1">
        <v>1</v>
      </c>
      <c r="J277" s="21" t="str">
        <f t="shared" si="21"/>
        <v>Clean</v>
      </c>
      <c r="K277" s="1">
        <v>0.12</v>
      </c>
      <c r="L277" s="21" t="str">
        <f t="shared" si="22"/>
        <v>Safe</v>
      </c>
      <c r="M277" s="1">
        <v>0.13639999999999999</v>
      </c>
      <c r="N277" s="1">
        <v>0.39</v>
      </c>
      <c r="O277" s="21" t="str">
        <f t="shared" si="23"/>
        <v>Acceptable</v>
      </c>
      <c r="P277" s="1">
        <v>0.16420000000000001</v>
      </c>
      <c r="Q277" s="1">
        <v>4</v>
      </c>
      <c r="R277" s="1">
        <v>119</v>
      </c>
      <c r="S277" s="45">
        <v>123</v>
      </c>
    </row>
    <row r="278" spans="1:19" ht="15" thickBot="1" x14ac:dyDescent="0.35">
      <c r="A278" s="4">
        <v>887</v>
      </c>
      <c r="B278" s="2">
        <v>40583</v>
      </c>
      <c r="C278" s="1">
        <v>2</v>
      </c>
      <c r="D278" s="1">
        <v>10</v>
      </c>
      <c r="E278" s="16" t="b">
        <v>0</v>
      </c>
      <c r="F278" s="1">
        <v>3</v>
      </c>
      <c r="G278" s="21" t="str">
        <f t="shared" si="20"/>
        <v>No</v>
      </c>
      <c r="H278" s="26" t="str">
        <f t="shared" si="24"/>
        <v>Wednesday</v>
      </c>
      <c r="I278" s="1">
        <v>1</v>
      </c>
      <c r="J278" s="21" t="str">
        <f t="shared" si="21"/>
        <v>Clean</v>
      </c>
      <c r="K278" s="1">
        <v>0.14000000000000001</v>
      </c>
      <c r="L278" s="21" t="str">
        <f t="shared" si="22"/>
        <v>Safe</v>
      </c>
      <c r="M278" s="1">
        <v>0.18179999999999999</v>
      </c>
      <c r="N278" s="1">
        <v>0.36</v>
      </c>
      <c r="O278" s="21" t="str">
        <f t="shared" si="23"/>
        <v>Acceptable</v>
      </c>
      <c r="P278" s="1">
        <v>0</v>
      </c>
      <c r="Q278" s="1">
        <v>8</v>
      </c>
      <c r="R278" s="1">
        <v>51</v>
      </c>
      <c r="S278" s="45">
        <v>59</v>
      </c>
    </row>
    <row r="279" spans="1:19" ht="15" thickBot="1" x14ac:dyDescent="0.35">
      <c r="A279" s="4">
        <v>888</v>
      </c>
      <c r="B279" s="2">
        <v>40583</v>
      </c>
      <c r="C279" s="1">
        <v>2</v>
      </c>
      <c r="D279" s="1">
        <v>11</v>
      </c>
      <c r="E279" s="16" t="b">
        <v>0</v>
      </c>
      <c r="F279" s="1">
        <v>3</v>
      </c>
      <c r="G279" s="21" t="str">
        <f t="shared" si="20"/>
        <v>No</v>
      </c>
      <c r="H279" s="26" t="str">
        <f t="shared" si="24"/>
        <v>Wednesday</v>
      </c>
      <c r="I279" s="1">
        <v>2</v>
      </c>
      <c r="J279" s="21" t="str">
        <f t="shared" si="21"/>
        <v>Misty</v>
      </c>
      <c r="K279" s="1">
        <v>0.14000000000000001</v>
      </c>
      <c r="L279" s="21" t="str">
        <f t="shared" si="22"/>
        <v>Safe</v>
      </c>
      <c r="M279" s="1">
        <v>0.1515</v>
      </c>
      <c r="N279" s="1">
        <v>0.43</v>
      </c>
      <c r="O279" s="21" t="str">
        <f t="shared" si="23"/>
        <v>Acceptable</v>
      </c>
      <c r="P279" s="1">
        <v>0.16420000000000001</v>
      </c>
      <c r="Q279" s="1">
        <v>1</v>
      </c>
      <c r="R279" s="1">
        <v>40</v>
      </c>
      <c r="S279" s="45">
        <v>41</v>
      </c>
    </row>
    <row r="280" spans="1:19" ht="15" thickBot="1" x14ac:dyDescent="0.35">
      <c r="A280" s="4">
        <v>889</v>
      </c>
      <c r="B280" s="2">
        <v>40583</v>
      </c>
      <c r="C280" s="1">
        <v>2</v>
      </c>
      <c r="D280" s="1">
        <v>12</v>
      </c>
      <c r="E280" s="16" t="b">
        <v>0</v>
      </c>
      <c r="F280" s="1">
        <v>3</v>
      </c>
      <c r="G280" s="21" t="str">
        <f t="shared" si="20"/>
        <v>No</v>
      </c>
      <c r="H280" s="26" t="str">
        <f t="shared" si="24"/>
        <v>Wednesday</v>
      </c>
      <c r="I280" s="1">
        <v>2</v>
      </c>
      <c r="J280" s="21" t="str">
        <f t="shared" si="21"/>
        <v>Misty</v>
      </c>
      <c r="K280" s="1">
        <v>0.18</v>
      </c>
      <c r="L280" s="21" t="str">
        <f t="shared" si="22"/>
        <v>Safe</v>
      </c>
      <c r="M280" s="1">
        <v>0.18179999999999999</v>
      </c>
      <c r="N280" s="1">
        <v>0.4</v>
      </c>
      <c r="O280" s="21" t="str">
        <f t="shared" si="23"/>
        <v>Acceptable</v>
      </c>
      <c r="P280" s="1">
        <v>0.22389999999999999</v>
      </c>
      <c r="Q280" s="1">
        <v>4</v>
      </c>
      <c r="R280" s="1">
        <v>57</v>
      </c>
      <c r="S280" s="45">
        <v>61</v>
      </c>
    </row>
    <row r="281" spans="1:19" ht="15" thickBot="1" x14ac:dyDescent="0.35">
      <c r="A281" s="4">
        <v>890</v>
      </c>
      <c r="B281" s="2">
        <v>40583</v>
      </c>
      <c r="C281" s="1">
        <v>2</v>
      </c>
      <c r="D281" s="1">
        <v>13</v>
      </c>
      <c r="E281" s="16" t="b">
        <v>0</v>
      </c>
      <c r="F281" s="1">
        <v>3</v>
      </c>
      <c r="G281" s="21" t="str">
        <f t="shared" si="20"/>
        <v>No</v>
      </c>
      <c r="H281" s="26" t="str">
        <f t="shared" si="24"/>
        <v>Wednesday</v>
      </c>
      <c r="I281" s="1">
        <v>1</v>
      </c>
      <c r="J281" s="21" t="str">
        <f t="shared" si="21"/>
        <v>Clean</v>
      </c>
      <c r="K281" s="1">
        <v>0.18</v>
      </c>
      <c r="L281" s="21" t="str">
        <f t="shared" si="22"/>
        <v>Safe</v>
      </c>
      <c r="M281" s="1">
        <v>0.16669999999999999</v>
      </c>
      <c r="N281" s="1">
        <v>0.4</v>
      </c>
      <c r="O281" s="21" t="str">
        <f t="shared" si="23"/>
        <v>Acceptable</v>
      </c>
      <c r="P281" s="1">
        <v>0.25369999999999998</v>
      </c>
      <c r="Q281" s="1">
        <v>2</v>
      </c>
      <c r="R281" s="1">
        <v>67</v>
      </c>
      <c r="S281" s="45">
        <v>69</v>
      </c>
    </row>
    <row r="282" spans="1:19" ht="15" thickBot="1" x14ac:dyDescent="0.35">
      <c r="A282" s="4">
        <v>891</v>
      </c>
      <c r="B282" s="2">
        <v>40583</v>
      </c>
      <c r="C282" s="1">
        <v>2</v>
      </c>
      <c r="D282" s="1">
        <v>14</v>
      </c>
      <c r="E282" s="16" t="b">
        <v>0</v>
      </c>
      <c r="F282" s="1">
        <v>3</v>
      </c>
      <c r="G282" s="21" t="str">
        <f t="shared" si="20"/>
        <v>No</v>
      </c>
      <c r="H282" s="26" t="str">
        <f t="shared" si="24"/>
        <v>Wednesday</v>
      </c>
      <c r="I282" s="1">
        <v>1</v>
      </c>
      <c r="J282" s="21" t="str">
        <f t="shared" si="21"/>
        <v>Clean</v>
      </c>
      <c r="K282" s="1">
        <v>0.2</v>
      </c>
      <c r="L282" s="21" t="str">
        <f t="shared" si="22"/>
        <v>Safe</v>
      </c>
      <c r="M282" s="1">
        <v>0.18179999999999999</v>
      </c>
      <c r="N282" s="1">
        <v>0.34</v>
      </c>
      <c r="O282" s="21" t="str">
        <f t="shared" si="23"/>
        <v>Acceptable</v>
      </c>
      <c r="P282" s="1">
        <v>0.29849999999999999</v>
      </c>
      <c r="Q282" s="1">
        <v>2</v>
      </c>
      <c r="R282" s="1">
        <v>56</v>
      </c>
      <c r="S282" s="45">
        <v>58</v>
      </c>
    </row>
    <row r="283" spans="1:19" ht="15" thickBot="1" x14ac:dyDescent="0.35">
      <c r="A283" s="4">
        <v>892</v>
      </c>
      <c r="B283" s="2">
        <v>40583</v>
      </c>
      <c r="C283" s="1">
        <v>2</v>
      </c>
      <c r="D283" s="1">
        <v>15</v>
      </c>
      <c r="E283" s="16" t="b">
        <v>0</v>
      </c>
      <c r="F283" s="1">
        <v>3</v>
      </c>
      <c r="G283" s="21" t="str">
        <f t="shared" si="20"/>
        <v>No</v>
      </c>
      <c r="H283" s="26" t="str">
        <f t="shared" si="24"/>
        <v>Wednesday</v>
      </c>
      <c r="I283" s="1">
        <v>2</v>
      </c>
      <c r="J283" s="21" t="str">
        <f t="shared" si="21"/>
        <v>Misty</v>
      </c>
      <c r="K283" s="1">
        <v>0.2</v>
      </c>
      <c r="L283" s="21" t="str">
        <f t="shared" si="22"/>
        <v>Safe</v>
      </c>
      <c r="M283" s="1">
        <v>0.18179999999999999</v>
      </c>
      <c r="N283" s="1">
        <v>0.34</v>
      </c>
      <c r="O283" s="21" t="str">
        <f t="shared" si="23"/>
        <v>Acceptable</v>
      </c>
      <c r="P283" s="1">
        <v>0.28360000000000002</v>
      </c>
      <c r="Q283" s="1">
        <v>3</v>
      </c>
      <c r="R283" s="1">
        <v>61</v>
      </c>
      <c r="S283" s="45">
        <v>64</v>
      </c>
    </row>
    <row r="284" spans="1:19" ht="15" thickBot="1" x14ac:dyDescent="0.35">
      <c r="A284" s="4">
        <v>893</v>
      </c>
      <c r="B284" s="2">
        <v>40583</v>
      </c>
      <c r="C284" s="1">
        <v>2</v>
      </c>
      <c r="D284" s="1">
        <v>16</v>
      </c>
      <c r="E284" s="16" t="b">
        <v>0</v>
      </c>
      <c r="F284" s="1">
        <v>3</v>
      </c>
      <c r="G284" s="21" t="str">
        <f t="shared" si="20"/>
        <v>No</v>
      </c>
      <c r="H284" s="26" t="str">
        <f t="shared" si="24"/>
        <v>Wednesday</v>
      </c>
      <c r="I284" s="1">
        <v>2</v>
      </c>
      <c r="J284" s="21" t="str">
        <f t="shared" si="21"/>
        <v>Misty</v>
      </c>
      <c r="K284" s="1">
        <v>0.2</v>
      </c>
      <c r="L284" s="21" t="str">
        <f t="shared" si="22"/>
        <v>Safe</v>
      </c>
      <c r="M284" s="1">
        <v>0.19700000000000001</v>
      </c>
      <c r="N284" s="1">
        <v>0.37</v>
      </c>
      <c r="O284" s="21" t="str">
        <f t="shared" si="23"/>
        <v>Acceptable</v>
      </c>
      <c r="P284" s="1">
        <v>0.25369999999999998</v>
      </c>
      <c r="Q284" s="1">
        <v>7</v>
      </c>
      <c r="R284" s="1">
        <v>72</v>
      </c>
      <c r="S284" s="45">
        <v>79</v>
      </c>
    </row>
    <row r="285" spans="1:19" ht="15" thickBot="1" x14ac:dyDescent="0.35">
      <c r="A285" s="4">
        <v>894</v>
      </c>
      <c r="B285" s="2">
        <v>40583</v>
      </c>
      <c r="C285" s="1">
        <v>2</v>
      </c>
      <c r="D285" s="1">
        <v>17</v>
      </c>
      <c r="E285" s="16" t="b">
        <v>0</v>
      </c>
      <c r="F285" s="1">
        <v>3</v>
      </c>
      <c r="G285" s="21" t="str">
        <f t="shared" si="20"/>
        <v>No</v>
      </c>
      <c r="H285" s="26" t="str">
        <f t="shared" si="24"/>
        <v>Wednesday</v>
      </c>
      <c r="I285" s="1">
        <v>2</v>
      </c>
      <c r="J285" s="21" t="str">
        <f t="shared" si="21"/>
        <v>Misty</v>
      </c>
      <c r="K285" s="1">
        <v>0.2</v>
      </c>
      <c r="L285" s="21" t="str">
        <f t="shared" si="22"/>
        <v>Safe</v>
      </c>
      <c r="M285" s="1">
        <v>0.19700000000000001</v>
      </c>
      <c r="N285" s="1">
        <v>0.34</v>
      </c>
      <c r="O285" s="21" t="str">
        <f t="shared" si="23"/>
        <v>Acceptable</v>
      </c>
      <c r="P285" s="1">
        <v>0.25369999999999998</v>
      </c>
      <c r="Q285" s="1">
        <v>9</v>
      </c>
      <c r="R285" s="1">
        <v>157</v>
      </c>
      <c r="S285" s="45">
        <v>166</v>
      </c>
    </row>
    <row r="286" spans="1:19" ht="15" thickBot="1" x14ac:dyDescent="0.35">
      <c r="A286" s="4">
        <v>895</v>
      </c>
      <c r="B286" s="2">
        <v>40583</v>
      </c>
      <c r="C286" s="1">
        <v>2</v>
      </c>
      <c r="D286" s="1">
        <v>18</v>
      </c>
      <c r="E286" s="16" t="b">
        <v>0</v>
      </c>
      <c r="F286" s="1">
        <v>3</v>
      </c>
      <c r="G286" s="21" t="str">
        <f t="shared" si="20"/>
        <v>No</v>
      </c>
      <c r="H286" s="26" t="str">
        <f t="shared" si="24"/>
        <v>Wednesday</v>
      </c>
      <c r="I286" s="1">
        <v>2</v>
      </c>
      <c r="J286" s="21" t="str">
        <f t="shared" si="21"/>
        <v>Misty</v>
      </c>
      <c r="K286" s="1">
        <v>0.18</v>
      </c>
      <c r="L286" s="21" t="str">
        <f t="shared" si="22"/>
        <v>Safe</v>
      </c>
      <c r="M286" s="1">
        <v>0.16669999999999999</v>
      </c>
      <c r="N286" s="1">
        <v>0.47</v>
      </c>
      <c r="O286" s="21" t="str">
        <f t="shared" si="23"/>
        <v>Acceptable</v>
      </c>
      <c r="P286" s="1">
        <v>0.29849999999999999</v>
      </c>
      <c r="Q286" s="1">
        <v>2</v>
      </c>
      <c r="R286" s="1">
        <v>168</v>
      </c>
      <c r="S286" s="45">
        <v>170</v>
      </c>
    </row>
    <row r="287" spans="1:19" ht="15" thickBot="1" x14ac:dyDescent="0.35">
      <c r="A287" s="4">
        <v>896</v>
      </c>
      <c r="B287" s="2">
        <v>40583</v>
      </c>
      <c r="C287" s="1">
        <v>2</v>
      </c>
      <c r="D287" s="1">
        <v>19</v>
      </c>
      <c r="E287" s="16" t="b">
        <v>0</v>
      </c>
      <c r="F287" s="1">
        <v>3</v>
      </c>
      <c r="G287" s="21" t="str">
        <f t="shared" si="20"/>
        <v>No</v>
      </c>
      <c r="H287" s="26" t="str">
        <f t="shared" si="24"/>
        <v>Wednesday</v>
      </c>
      <c r="I287" s="1">
        <v>3</v>
      </c>
      <c r="J287" s="21" t="str">
        <f t="shared" si="21"/>
        <v>Light Rain</v>
      </c>
      <c r="K287" s="1">
        <v>0.14000000000000001</v>
      </c>
      <c r="L287" s="21" t="str">
        <f t="shared" si="22"/>
        <v>Safe</v>
      </c>
      <c r="M287" s="1">
        <v>0.1212</v>
      </c>
      <c r="N287" s="1">
        <v>0.86</v>
      </c>
      <c r="O287" s="21" t="str">
        <f t="shared" si="23"/>
        <v>Risky</v>
      </c>
      <c r="P287" s="1">
        <v>0.25369999999999998</v>
      </c>
      <c r="Q287" s="1">
        <v>1</v>
      </c>
      <c r="R287" s="1">
        <v>87</v>
      </c>
      <c r="S287" s="45">
        <v>88</v>
      </c>
    </row>
    <row r="288" spans="1:19" ht="15" thickBot="1" x14ac:dyDescent="0.35">
      <c r="A288" s="4">
        <v>897</v>
      </c>
      <c r="B288" s="2">
        <v>40583</v>
      </c>
      <c r="C288" s="1">
        <v>2</v>
      </c>
      <c r="D288" s="1">
        <v>20</v>
      </c>
      <c r="E288" s="16" t="b">
        <v>0</v>
      </c>
      <c r="F288" s="1">
        <v>3</v>
      </c>
      <c r="G288" s="21" t="str">
        <f t="shared" si="20"/>
        <v>No</v>
      </c>
      <c r="H288" s="26" t="str">
        <f t="shared" si="24"/>
        <v>Wednesday</v>
      </c>
      <c r="I288" s="1">
        <v>3</v>
      </c>
      <c r="J288" s="21" t="str">
        <f t="shared" si="21"/>
        <v>Light Rain</v>
      </c>
      <c r="K288" s="1">
        <v>0.14000000000000001</v>
      </c>
      <c r="L288" s="21" t="str">
        <f t="shared" si="22"/>
        <v>Safe</v>
      </c>
      <c r="M288" s="1">
        <v>0.1515</v>
      </c>
      <c r="N288" s="1">
        <v>0.86</v>
      </c>
      <c r="O288" s="21" t="str">
        <f t="shared" si="23"/>
        <v>Risky</v>
      </c>
      <c r="P288" s="1">
        <v>0.16420000000000001</v>
      </c>
      <c r="Q288" s="1">
        <v>0</v>
      </c>
      <c r="R288" s="1">
        <v>84</v>
      </c>
      <c r="S288" s="45">
        <v>84</v>
      </c>
    </row>
    <row r="289" spans="1:19" ht="15" thickBot="1" x14ac:dyDescent="0.35">
      <c r="A289" s="4">
        <v>898</v>
      </c>
      <c r="B289" s="2">
        <v>40583</v>
      </c>
      <c r="C289" s="1">
        <v>2</v>
      </c>
      <c r="D289" s="1">
        <v>21</v>
      </c>
      <c r="E289" s="16" t="b">
        <v>0</v>
      </c>
      <c r="F289" s="1">
        <v>3</v>
      </c>
      <c r="G289" s="21" t="str">
        <f t="shared" si="20"/>
        <v>No</v>
      </c>
      <c r="H289" s="26" t="str">
        <f t="shared" si="24"/>
        <v>Wednesday</v>
      </c>
      <c r="I289" s="1">
        <v>2</v>
      </c>
      <c r="J289" s="21" t="str">
        <f t="shared" si="21"/>
        <v>Misty</v>
      </c>
      <c r="K289" s="1">
        <v>0.14000000000000001</v>
      </c>
      <c r="L289" s="21" t="str">
        <f t="shared" si="22"/>
        <v>Safe</v>
      </c>
      <c r="M289" s="1">
        <v>0.1515</v>
      </c>
      <c r="N289" s="1">
        <v>0.86</v>
      </c>
      <c r="O289" s="21" t="str">
        <f t="shared" si="23"/>
        <v>Risky</v>
      </c>
      <c r="P289" s="1">
        <v>0.16420000000000001</v>
      </c>
      <c r="Q289" s="1">
        <v>0</v>
      </c>
      <c r="R289" s="1">
        <v>83</v>
      </c>
      <c r="S289" s="45">
        <v>83</v>
      </c>
    </row>
    <row r="290" spans="1:19" ht="15" thickBot="1" x14ac:dyDescent="0.35">
      <c r="A290" s="4">
        <v>899</v>
      </c>
      <c r="B290" s="2">
        <v>40583</v>
      </c>
      <c r="C290" s="1">
        <v>2</v>
      </c>
      <c r="D290" s="1">
        <v>22</v>
      </c>
      <c r="E290" s="16" t="b">
        <v>0</v>
      </c>
      <c r="F290" s="1">
        <v>3</v>
      </c>
      <c r="G290" s="21" t="str">
        <f t="shared" si="20"/>
        <v>No</v>
      </c>
      <c r="H290" s="26" t="str">
        <f t="shared" si="24"/>
        <v>Wednesday</v>
      </c>
      <c r="I290" s="1">
        <v>3</v>
      </c>
      <c r="J290" s="21" t="str">
        <f t="shared" si="21"/>
        <v>Light Rain</v>
      </c>
      <c r="K290" s="1">
        <v>0.16</v>
      </c>
      <c r="L290" s="21" t="str">
        <f t="shared" si="22"/>
        <v>Safe</v>
      </c>
      <c r="M290" s="1">
        <v>0.16669999999999999</v>
      </c>
      <c r="N290" s="1">
        <v>0.8</v>
      </c>
      <c r="O290" s="21" t="str">
        <f t="shared" si="23"/>
        <v>Risky</v>
      </c>
      <c r="P290" s="1">
        <v>0.16420000000000001</v>
      </c>
      <c r="Q290" s="1">
        <v>4</v>
      </c>
      <c r="R290" s="1">
        <v>42</v>
      </c>
      <c r="S290" s="45">
        <v>46</v>
      </c>
    </row>
    <row r="291" spans="1:19" ht="15" thickBot="1" x14ac:dyDescent="0.35">
      <c r="A291" s="4">
        <v>900</v>
      </c>
      <c r="B291" s="2">
        <v>40583</v>
      </c>
      <c r="C291" s="1">
        <v>2</v>
      </c>
      <c r="D291" s="1">
        <v>23</v>
      </c>
      <c r="E291" s="16" t="b">
        <v>0</v>
      </c>
      <c r="F291" s="1">
        <v>3</v>
      </c>
      <c r="G291" s="21" t="str">
        <f t="shared" si="20"/>
        <v>No</v>
      </c>
      <c r="H291" s="26" t="str">
        <f t="shared" si="24"/>
        <v>Wednesday</v>
      </c>
      <c r="I291" s="1">
        <v>3</v>
      </c>
      <c r="J291" s="21" t="str">
        <f t="shared" si="21"/>
        <v>Light Rain</v>
      </c>
      <c r="K291" s="1">
        <v>0.16</v>
      </c>
      <c r="L291" s="21" t="str">
        <f t="shared" si="22"/>
        <v>Safe</v>
      </c>
      <c r="M291" s="1">
        <v>0.1515</v>
      </c>
      <c r="N291" s="1">
        <v>0.8</v>
      </c>
      <c r="O291" s="21" t="str">
        <f t="shared" si="23"/>
        <v>Risky</v>
      </c>
      <c r="P291" s="1">
        <v>0.19400000000000001</v>
      </c>
      <c r="Q291" s="1">
        <v>0</v>
      </c>
      <c r="R291" s="1">
        <v>37</v>
      </c>
      <c r="S291" s="45">
        <v>37</v>
      </c>
    </row>
    <row r="292" spans="1:19" ht="15" thickBot="1" x14ac:dyDescent="0.35">
      <c r="A292" s="4">
        <v>901</v>
      </c>
      <c r="B292" s="2">
        <v>40584</v>
      </c>
      <c r="C292" s="1">
        <v>2</v>
      </c>
      <c r="D292" s="1">
        <v>0</v>
      </c>
      <c r="E292" s="16" t="b">
        <v>0</v>
      </c>
      <c r="F292" s="1">
        <v>4</v>
      </c>
      <c r="G292" s="21" t="str">
        <f t="shared" si="20"/>
        <v>No</v>
      </c>
      <c r="H292" s="26" t="str">
        <f t="shared" si="24"/>
        <v>Thursday</v>
      </c>
      <c r="I292" s="1">
        <v>3</v>
      </c>
      <c r="J292" s="21" t="str">
        <f t="shared" si="21"/>
        <v>Light Rain</v>
      </c>
      <c r="K292" s="1">
        <v>0.14000000000000001</v>
      </c>
      <c r="L292" s="21" t="str">
        <f t="shared" si="22"/>
        <v>Safe</v>
      </c>
      <c r="M292" s="1">
        <v>0.13639999999999999</v>
      </c>
      <c r="N292" s="1">
        <v>0.86</v>
      </c>
      <c r="O292" s="21" t="str">
        <f t="shared" si="23"/>
        <v>Risky</v>
      </c>
      <c r="P292" s="1">
        <v>0.19400000000000001</v>
      </c>
      <c r="Q292" s="1">
        <v>0</v>
      </c>
      <c r="R292" s="1">
        <v>16</v>
      </c>
      <c r="S292" s="45">
        <v>16</v>
      </c>
    </row>
    <row r="293" spans="1:19" ht="15" thickBot="1" x14ac:dyDescent="0.35">
      <c r="A293" s="4">
        <v>902</v>
      </c>
      <c r="B293" s="2">
        <v>40584</v>
      </c>
      <c r="C293" s="1">
        <v>2</v>
      </c>
      <c r="D293" s="1">
        <v>1</v>
      </c>
      <c r="E293" s="16" t="b">
        <v>0</v>
      </c>
      <c r="F293" s="1">
        <v>4</v>
      </c>
      <c r="G293" s="21" t="str">
        <f t="shared" si="20"/>
        <v>No</v>
      </c>
      <c r="H293" s="26" t="str">
        <f t="shared" si="24"/>
        <v>Thursday</v>
      </c>
      <c r="I293" s="1">
        <v>3</v>
      </c>
      <c r="J293" s="21" t="str">
        <f t="shared" si="21"/>
        <v>Light Rain</v>
      </c>
      <c r="K293" s="1">
        <v>0.14000000000000001</v>
      </c>
      <c r="L293" s="21" t="str">
        <f t="shared" si="22"/>
        <v>Safe</v>
      </c>
      <c r="M293" s="1">
        <v>0.1515</v>
      </c>
      <c r="N293" s="1">
        <v>0.8</v>
      </c>
      <c r="O293" s="21" t="str">
        <f t="shared" si="23"/>
        <v>Risky</v>
      </c>
      <c r="P293" s="1">
        <v>0.1343</v>
      </c>
      <c r="Q293" s="1">
        <v>0</v>
      </c>
      <c r="R293" s="1">
        <v>7</v>
      </c>
      <c r="S293" s="45">
        <v>7</v>
      </c>
    </row>
    <row r="294" spans="1:19" ht="15" thickBot="1" x14ac:dyDescent="0.35">
      <c r="A294" s="4">
        <v>903</v>
      </c>
      <c r="B294" s="2">
        <v>40584</v>
      </c>
      <c r="C294" s="1">
        <v>2</v>
      </c>
      <c r="D294" s="1">
        <v>2</v>
      </c>
      <c r="E294" s="16" t="b">
        <v>0</v>
      </c>
      <c r="F294" s="1">
        <v>4</v>
      </c>
      <c r="G294" s="21" t="str">
        <f t="shared" si="20"/>
        <v>No</v>
      </c>
      <c r="H294" s="26" t="str">
        <f t="shared" si="24"/>
        <v>Thursday</v>
      </c>
      <c r="I294" s="1">
        <v>3</v>
      </c>
      <c r="J294" s="21" t="str">
        <f t="shared" si="21"/>
        <v>Light Rain</v>
      </c>
      <c r="K294" s="1">
        <v>0.14000000000000001</v>
      </c>
      <c r="L294" s="21" t="str">
        <f t="shared" si="22"/>
        <v>Safe</v>
      </c>
      <c r="M294" s="1">
        <v>0.1515</v>
      </c>
      <c r="N294" s="1">
        <v>0.8</v>
      </c>
      <c r="O294" s="21" t="str">
        <f t="shared" si="23"/>
        <v>Risky</v>
      </c>
      <c r="P294" s="1">
        <v>0.1343</v>
      </c>
      <c r="Q294" s="1">
        <v>0</v>
      </c>
      <c r="R294" s="1">
        <v>3</v>
      </c>
      <c r="S294" s="45">
        <v>3</v>
      </c>
    </row>
    <row r="295" spans="1:19" ht="15" thickBot="1" x14ac:dyDescent="0.35">
      <c r="A295" s="4">
        <v>904</v>
      </c>
      <c r="B295" s="2">
        <v>40584</v>
      </c>
      <c r="C295" s="1">
        <v>2</v>
      </c>
      <c r="D295" s="1">
        <v>4</v>
      </c>
      <c r="E295" s="16" t="b">
        <v>0</v>
      </c>
      <c r="F295" s="1">
        <v>4</v>
      </c>
      <c r="G295" s="21" t="str">
        <f t="shared" si="20"/>
        <v>No</v>
      </c>
      <c r="H295" s="26" t="str">
        <f t="shared" si="24"/>
        <v>Thursday</v>
      </c>
      <c r="I295" s="1">
        <v>2</v>
      </c>
      <c r="J295" s="21" t="str">
        <f t="shared" si="21"/>
        <v>Misty</v>
      </c>
      <c r="K295" s="1">
        <v>0.14000000000000001</v>
      </c>
      <c r="L295" s="21" t="str">
        <f t="shared" si="22"/>
        <v>Safe</v>
      </c>
      <c r="M295" s="1">
        <v>0.13639999999999999</v>
      </c>
      <c r="N295" s="1">
        <v>0.59</v>
      </c>
      <c r="O295" s="21" t="str">
        <f t="shared" si="23"/>
        <v>Acceptable</v>
      </c>
      <c r="P295" s="1">
        <v>0.22389999999999999</v>
      </c>
      <c r="Q295" s="1">
        <v>0</v>
      </c>
      <c r="R295" s="1">
        <v>1</v>
      </c>
      <c r="S295" s="45">
        <v>1</v>
      </c>
    </row>
    <row r="296" spans="1:19" ht="15" thickBot="1" x14ac:dyDescent="0.35">
      <c r="A296" s="4">
        <v>905</v>
      </c>
      <c r="B296" s="2">
        <v>40584</v>
      </c>
      <c r="C296" s="1">
        <v>2</v>
      </c>
      <c r="D296" s="1">
        <v>5</v>
      </c>
      <c r="E296" s="16" t="b">
        <v>0</v>
      </c>
      <c r="F296" s="1">
        <v>4</v>
      </c>
      <c r="G296" s="21" t="str">
        <f t="shared" si="20"/>
        <v>No</v>
      </c>
      <c r="H296" s="26" t="str">
        <f t="shared" si="24"/>
        <v>Thursday</v>
      </c>
      <c r="I296" s="1">
        <v>2</v>
      </c>
      <c r="J296" s="21" t="str">
        <f t="shared" si="21"/>
        <v>Misty</v>
      </c>
      <c r="K296" s="1">
        <v>0.12</v>
      </c>
      <c r="L296" s="21" t="str">
        <f t="shared" si="22"/>
        <v>Safe</v>
      </c>
      <c r="M296" s="1">
        <v>0.1212</v>
      </c>
      <c r="N296" s="1">
        <v>0.5</v>
      </c>
      <c r="O296" s="21" t="str">
        <f t="shared" si="23"/>
        <v>Acceptable</v>
      </c>
      <c r="P296" s="1">
        <v>0.22389999999999999</v>
      </c>
      <c r="Q296" s="1">
        <v>0</v>
      </c>
      <c r="R296" s="1">
        <v>6</v>
      </c>
      <c r="S296" s="45">
        <v>6</v>
      </c>
    </row>
    <row r="297" spans="1:19" ht="15" thickBot="1" x14ac:dyDescent="0.35">
      <c r="A297" s="4">
        <v>906</v>
      </c>
      <c r="B297" s="2">
        <v>40584</v>
      </c>
      <c r="C297" s="1">
        <v>2</v>
      </c>
      <c r="D297" s="1">
        <v>6</v>
      </c>
      <c r="E297" s="16" t="b">
        <v>0</v>
      </c>
      <c r="F297" s="1">
        <v>4</v>
      </c>
      <c r="G297" s="21" t="str">
        <f t="shared" si="20"/>
        <v>No</v>
      </c>
      <c r="H297" s="26" t="str">
        <f t="shared" si="24"/>
        <v>Thursday</v>
      </c>
      <c r="I297" s="1">
        <v>2</v>
      </c>
      <c r="J297" s="21" t="str">
        <f t="shared" si="21"/>
        <v>Misty</v>
      </c>
      <c r="K297" s="1">
        <v>0.12</v>
      </c>
      <c r="L297" s="21" t="str">
        <f t="shared" si="22"/>
        <v>Safe</v>
      </c>
      <c r="M297" s="1">
        <v>0.1212</v>
      </c>
      <c r="N297" s="1">
        <v>0.54</v>
      </c>
      <c r="O297" s="21" t="str">
        <f t="shared" si="23"/>
        <v>Acceptable</v>
      </c>
      <c r="P297" s="1">
        <v>0.28360000000000002</v>
      </c>
      <c r="Q297" s="1">
        <v>0</v>
      </c>
      <c r="R297" s="1">
        <v>26</v>
      </c>
      <c r="S297" s="45">
        <v>26</v>
      </c>
    </row>
    <row r="298" spans="1:19" ht="15" thickBot="1" x14ac:dyDescent="0.35">
      <c r="A298" s="4">
        <v>907</v>
      </c>
      <c r="B298" s="2">
        <v>40584</v>
      </c>
      <c r="C298" s="1">
        <v>2</v>
      </c>
      <c r="D298" s="1">
        <v>7</v>
      </c>
      <c r="E298" s="16" t="b">
        <v>0</v>
      </c>
      <c r="F298" s="1">
        <v>4</v>
      </c>
      <c r="G298" s="21" t="str">
        <f t="shared" si="20"/>
        <v>No</v>
      </c>
      <c r="H298" s="26" t="str">
        <f t="shared" si="24"/>
        <v>Thursday</v>
      </c>
      <c r="I298" s="1">
        <v>1</v>
      </c>
      <c r="J298" s="21" t="str">
        <f t="shared" si="21"/>
        <v>Clean</v>
      </c>
      <c r="K298" s="1">
        <v>0.1</v>
      </c>
      <c r="L298" s="21" t="str">
        <f t="shared" si="22"/>
        <v>Safe</v>
      </c>
      <c r="M298" s="1">
        <v>7.5800000000000006E-2</v>
      </c>
      <c r="N298" s="1">
        <v>0.5</v>
      </c>
      <c r="O298" s="21" t="str">
        <f t="shared" si="23"/>
        <v>Acceptable</v>
      </c>
      <c r="P298" s="1">
        <v>0.41789999999999999</v>
      </c>
      <c r="Q298" s="1">
        <v>0</v>
      </c>
      <c r="R298" s="1">
        <v>99</v>
      </c>
      <c r="S298" s="45">
        <v>99</v>
      </c>
    </row>
    <row r="299" spans="1:19" ht="15" thickBot="1" x14ac:dyDescent="0.35">
      <c r="A299" s="4">
        <v>908</v>
      </c>
      <c r="B299" s="2">
        <v>40584</v>
      </c>
      <c r="C299" s="1">
        <v>2</v>
      </c>
      <c r="D299" s="1">
        <v>8</v>
      </c>
      <c r="E299" s="16" t="b">
        <v>0</v>
      </c>
      <c r="F299" s="1">
        <v>4</v>
      </c>
      <c r="G299" s="21" t="str">
        <f t="shared" si="20"/>
        <v>No</v>
      </c>
      <c r="H299" s="26" t="str">
        <f t="shared" si="24"/>
        <v>Thursday</v>
      </c>
      <c r="I299" s="1">
        <v>1</v>
      </c>
      <c r="J299" s="21" t="str">
        <f t="shared" si="21"/>
        <v>Clean</v>
      </c>
      <c r="K299" s="1">
        <v>0.1</v>
      </c>
      <c r="L299" s="21" t="str">
        <f t="shared" si="22"/>
        <v>Safe</v>
      </c>
      <c r="M299" s="1">
        <v>7.5800000000000006E-2</v>
      </c>
      <c r="N299" s="1">
        <v>0.49</v>
      </c>
      <c r="O299" s="21" t="str">
        <f t="shared" si="23"/>
        <v>Acceptable</v>
      </c>
      <c r="P299" s="1">
        <v>0.32840000000000003</v>
      </c>
      <c r="Q299" s="1">
        <v>5</v>
      </c>
      <c r="R299" s="1">
        <v>173</v>
      </c>
      <c r="S299" s="45">
        <v>178</v>
      </c>
    </row>
    <row r="300" spans="1:19" ht="15" thickBot="1" x14ac:dyDescent="0.35">
      <c r="A300" s="4">
        <v>909</v>
      </c>
      <c r="B300" s="2">
        <v>40584</v>
      </c>
      <c r="C300" s="1">
        <v>2</v>
      </c>
      <c r="D300" s="1">
        <v>9</v>
      </c>
      <c r="E300" s="16" t="b">
        <v>0</v>
      </c>
      <c r="F300" s="1">
        <v>4</v>
      </c>
      <c r="G300" s="21" t="str">
        <f t="shared" si="20"/>
        <v>No</v>
      </c>
      <c r="H300" s="26" t="str">
        <f t="shared" si="24"/>
        <v>Thursday</v>
      </c>
      <c r="I300" s="1">
        <v>1</v>
      </c>
      <c r="J300" s="21" t="str">
        <f t="shared" si="21"/>
        <v>Clean</v>
      </c>
      <c r="K300" s="1">
        <v>0.12</v>
      </c>
      <c r="L300" s="21" t="str">
        <f t="shared" si="22"/>
        <v>Safe</v>
      </c>
      <c r="M300" s="1">
        <v>0.1061</v>
      </c>
      <c r="N300" s="1">
        <v>0.42</v>
      </c>
      <c r="O300" s="21" t="str">
        <f t="shared" si="23"/>
        <v>Acceptable</v>
      </c>
      <c r="P300" s="1">
        <v>0.35820000000000002</v>
      </c>
      <c r="Q300" s="1">
        <v>1</v>
      </c>
      <c r="R300" s="1">
        <v>121</v>
      </c>
      <c r="S300" s="45">
        <v>122</v>
      </c>
    </row>
    <row r="301" spans="1:19" ht="15" thickBot="1" x14ac:dyDescent="0.35">
      <c r="A301" s="4">
        <v>910</v>
      </c>
      <c r="B301" s="2">
        <v>40584</v>
      </c>
      <c r="C301" s="1">
        <v>2</v>
      </c>
      <c r="D301" s="1">
        <v>10</v>
      </c>
      <c r="E301" s="16" t="b">
        <v>0</v>
      </c>
      <c r="F301" s="1">
        <v>4</v>
      </c>
      <c r="G301" s="21" t="str">
        <f t="shared" si="20"/>
        <v>No</v>
      </c>
      <c r="H301" s="26" t="str">
        <f t="shared" si="24"/>
        <v>Thursday</v>
      </c>
      <c r="I301" s="1">
        <v>1</v>
      </c>
      <c r="J301" s="21" t="str">
        <f t="shared" si="21"/>
        <v>Clean</v>
      </c>
      <c r="K301" s="1">
        <v>0.12</v>
      </c>
      <c r="L301" s="21" t="str">
        <f t="shared" si="22"/>
        <v>Safe</v>
      </c>
      <c r="M301" s="1">
        <v>0.1061</v>
      </c>
      <c r="N301" s="1">
        <v>0.42</v>
      </c>
      <c r="O301" s="21" t="str">
        <f t="shared" si="23"/>
        <v>Acceptable</v>
      </c>
      <c r="P301" s="1">
        <v>0.29849999999999999</v>
      </c>
      <c r="Q301" s="1">
        <v>1</v>
      </c>
      <c r="R301" s="1">
        <v>34</v>
      </c>
      <c r="S301" s="45">
        <v>35</v>
      </c>
    </row>
    <row r="302" spans="1:19" ht="15" thickBot="1" x14ac:dyDescent="0.35">
      <c r="A302" s="4">
        <v>911</v>
      </c>
      <c r="B302" s="2">
        <v>40584</v>
      </c>
      <c r="C302" s="1">
        <v>2</v>
      </c>
      <c r="D302" s="1">
        <v>11</v>
      </c>
      <c r="E302" s="16" t="b">
        <v>0</v>
      </c>
      <c r="F302" s="1">
        <v>4</v>
      </c>
      <c r="G302" s="21" t="str">
        <f t="shared" si="20"/>
        <v>No</v>
      </c>
      <c r="H302" s="26" t="str">
        <f t="shared" si="24"/>
        <v>Thursday</v>
      </c>
      <c r="I302" s="1">
        <v>1</v>
      </c>
      <c r="J302" s="21" t="str">
        <f t="shared" si="21"/>
        <v>Clean</v>
      </c>
      <c r="K302" s="1">
        <v>0.14000000000000001</v>
      </c>
      <c r="L302" s="21" t="str">
        <f t="shared" si="22"/>
        <v>Safe</v>
      </c>
      <c r="M302" s="1">
        <v>0.1212</v>
      </c>
      <c r="N302" s="1">
        <v>0.39</v>
      </c>
      <c r="O302" s="21" t="str">
        <f t="shared" si="23"/>
        <v>Acceptable</v>
      </c>
      <c r="P302" s="1">
        <v>0.35820000000000002</v>
      </c>
      <c r="Q302" s="1">
        <v>1</v>
      </c>
      <c r="R302" s="1">
        <v>44</v>
      </c>
      <c r="S302" s="45">
        <v>45</v>
      </c>
    </row>
    <row r="303" spans="1:19" ht="15" thickBot="1" x14ac:dyDescent="0.35">
      <c r="A303" s="4">
        <v>912</v>
      </c>
      <c r="B303" s="2">
        <v>40584</v>
      </c>
      <c r="C303" s="1">
        <v>2</v>
      </c>
      <c r="D303" s="1">
        <v>12</v>
      </c>
      <c r="E303" s="16" t="b">
        <v>0</v>
      </c>
      <c r="F303" s="1">
        <v>4</v>
      </c>
      <c r="G303" s="21" t="str">
        <f t="shared" si="20"/>
        <v>No</v>
      </c>
      <c r="H303" s="26" t="str">
        <f t="shared" si="24"/>
        <v>Thursday</v>
      </c>
      <c r="I303" s="1">
        <v>1</v>
      </c>
      <c r="J303" s="21" t="str">
        <f t="shared" si="21"/>
        <v>Clean</v>
      </c>
      <c r="K303" s="1">
        <v>0.16</v>
      </c>
      <c r="L303" s="21" t="str">
        <f t="shared" si="22"/>
        <v>Safe</v>
      </c>
      <c r="M303" s="1">
        <v>0.13639999999999999</v>
      </c>
      <c r="N303" s="1">
        <v>0.34</v>
      </c>
      <c r="O303" s="21" t="str">
        <f t="shared" si="23"/>
        <v>Acceptable</v>
      </c>
      <c r="P303" s="1">
        <v>0.3881</v>
      </c>
      <c r="Q303" s="1">
        <v>4</v>
      </c>
      <c r="R303" s="1">
        <v>65</v>
      </c>
      <c r="S303" s="45">
        <v>69</v>
      </c>
    </row>
    <row r="304" spans="1:19" ht="15" thickBot="1" x14ac:dyDescent="0.35">
      <c r="A304" s="4">
        <v>913</v>
      </c>
      <c r="B304" s="2">
        <v>40584</v>
      </c>
      <c r="C304" s="1">
        <v>2</v>
      </c>
      <c r="D304" s="1">
        <v>13</v>
      </c>
      <c r="E304" s="16" t="b">
        <v>0</v>
      </c>
      <c r="F304" s="1">
        <v>4</v>
      </c>
      <c r="G304" s="21" t="str">
        <f t="shared" si="20"/>
        <v>No</v>
      </c>
      <c r="H304" s="26" t="str">
        <f t="shared" si="24"/>
        <v>Thursday</v>
      </c>
      <c r="I304" s="1">
        <v>1</v>
      </c>
      <c r="J304" s="21" t="str">
        <f t="shared" si="21"/>
        <v>Clean</v>
      </c>
      <c r="K304" s="1">
        <v>0.18</v>
      </c>
      <c r="L304" s="21" t="str">
        <f t="shared" si="22"/>
        <v>Safe</v>
      </c>
      <c r="M304" s="1">
        <v>0.16669999999999999</v>
      </c>
      <c r="N304" s="1">
        <v>0.28999999999999998</v>
      </c>
      <c r="O304" s="21" t="str">
        <f t="shared" si="23"/>
        <v>Acceptable</v>
      </c>
      <c r="P304" s="1">
        <v>0.29849999999999999</v>
      </c>
      <c r="Q304" s="1">
        <v>3</v>
      </c>
      <c r="R304" s="1">
        <v>59</v>
      </c>
      <c r="S304" s="45">
        <v>62</v>
      </c>
    </row>
    <row r="305" spans="1:19" ht="15" thickBot="1" x14ac:dyDescent="0.35">
      <c r="A305" s="4">
        <v>914</v>
      </c>
      <c r="B305" s="2">
        <v>40584</v>
      </c>
      <c r="C305" s="1">
        <v>2</v>
      </c>
      <c r="D305" s="1">
        <v>14</v>
      </c>
      <c r="E305" s="16" t="b">
        <v>0</v>
      </c>
      <c r="F305" s="1">
        <v>4</v>
      </c>
      <c r="G305" s="21" t="str">
        <f t="shared" si="20"/>
        <v>No</v>
      </c>
      <c r="H305" s="26" t="str">
        <f t="shared" si="24"/>
        <v>Thursday</v>
      </c>
      <c r="I305" s="1">
        <v>1</v>
      </c>
      <c r="J305" s="21" t="str">
        <f t="shared" si="21"/>
        <v>Clean</v>
      </c>
      <c r="K305" s="1">
        <v>0.2</v>
      </c>
      <c r="L305" s="21" t="str">
        <f t="shared" si="22"/>
        <v>Safe</v>
      </c>
      <c r="M305" s="1">
        <v>0.18179999999999999</v>
      </c>
      <c r="N305" s="1">
        <v>0.27</v>
      </c>
      <c r="O305" s="21" t="str">
        <f t="shared" si="23"/>
        <v>Acceptable</v>
      </c>
      <c r="P305" s="1">
        <v>0.28360000000000002</v>
      </c>
      <c r="Q305" s="1">
        <v>6</v>
      </c>
      <c r="R305" s="1">
        <v>42</v>
      </c>
      <c r="S305" s="45">
        <v>48</v>
      </c>
    </row>
    <row r="306" spans="1:19" ht="15" thickBot="1" x14ac:dyDescent="0.35">
      <c r="A306" s="4">
        <v>915</v>
      </c>
      <c r="B306" s="2">
        <v>40584</v>
      </c>
      <c r="C306" s="1">
        <v>2</v>
      </c>
      <c r="D306" s="1">
        <v>15</v>
      </c>
      <c r="E306" s="16" t="b">
        <v>0</v>
      </c>
      <c r="F306" s="1">
        <v>4</v>
      </c>
      <c r="G306" s="21" t="str">
        <f t="shared" si="20"/>
        <v>No</v>
      </c>
      <c r="H306" s="26" t="str">
        <f t="shared" si="24"/>
        <v>Thursday</v>
      </c>
      <c r="I306" s="1">
        <v>1</v>
      </c>
      <c r="J306" s="21" t="str">
        <f t="shared" si="21"/>
        <v>Clean</v>
      </c>
      <c r="K306" s="1">
        <v>0.2</v>
      </c>
      <c r="L306" s="21" t="str">
        <f t="shared" si="22"/>
        <v>Safe</v>
      </c>
      <c r="M306" s="1">
        <v>0.19700000000000001</v>
      </c>
      <c r="N306" s="1">
        <v>0.25</v>
      </c>
      <c r="O306" s="21" t="str">
        <f t="shared" si="23"/>
        <v>Acceptable</v>
      </c>
      <c r="P306" s="1">
        <v>0.25369999999999998</v>
      </c>
      <c r="Q306" s="1">
        <v>0</v>
      </c>
      <c r="R306" s="1">
        <v>50</v>
      </c>
      <c r="S306" s="45">
        <v>50</v>
      </c>
    </row>
    <row r="307" spans="1:19" ht="15" thickBot="1" x14ac:dyDescent="0.35">
      <c r="A307" s="4">
        <v>916</v>
      </c>
      <c r="B307" s="2">
        <v>40584</v>
      </c>
      <c r="C307" s="1">
        <v>2</v>
      </c>
      <c r="D307" s="1">
        <v>16</v>
      </c>
      <c r="E307" s="16" t="b">
        <v>0</v>
      </c>
      <c r="F307" s="1">
        <v>4</v>
      </c>
      <c r="G307" s="21" t="str">
        <f t="shared" si="20"/>
        <v>No</v>
      </c>
      <c r="H307" s="26" t="str">
        <f t="shared" si="24"/>
        <v>Thursday</v>
      </c>
      <c r="I307" s="1">
        <v>1</v>
      </c>
      <c r="J307" s="21" t="str">
        <f t="shared" si="21"/>
        <v>Clean</v>
      </c>
      <c r="K307" s="1">
        <v>0.2</v>
      </c>
      <c r="L307" s="21" t="str">
        <f t="shared" si="22"/>
        <v>Safe</v>
      </c>
      <c r="M307" s="1">
        <v>0.18179999999999999</v>
      </c>
      <c r="N307" s="1">
        <v>0.27</v>
      </c>
      <c r="O307" s="21" t="str">
        <f t="shared" si="23"/>
        <v>Acceptable</v>
      </c>
      <c r="P307" s="1">
        <v>0.29849999999999999</v>
      </c>
      <c r="Q307" s="1">
        <v>4</v>
      </c>
      <c r="R307" s="1">
        <v>76</v>
      </c>
      <c r="S307" s="45">
        <v>80</v>
      </c>
    </row>
    <row r="308" spans="1:19" ht="15" thickBot="1" x14ac:dyDescent="0.35">
      <c r="A308" s="4">
        <v>917</v>
      </c>
      <c r="B308" s="2">
        <v>40584</v>
      </c>
      <c r="C308" s="1">
        <v>2</v>
      </c>
      <c r="D308" s="1">
        <v>17</v>
      </c>
      <c r="E308" s="16" t="b">
        <v>0</v>
      </c>
      <c r="F308" s="1">
        <v>4</v>
      </c>
      <c r="G308" s="21" t="str">
        <f t="shared" si="20"/>
        <v>No</v>
      </c>
      <c r="H308" s="26" t="str">
        <f t="shared" si="24"/>
        <v>Thursday</v>
      </c>
      <c r="I308" s="1">
        <v>1</v>
      </c>
      <c r="J308" s="21" t="str">
        <f t="shared" si="21"/>
        <v>Clean</v>
      </c>
      <c r="K308" s="1">
        <v>0.18</v>
      </c>
      <c r="L308" s="21" t="str">
        <f t="shared" si="22"/>
        <v>Safe</v>
      </c>
      <c r="M308" s="1">
        <v>0.18179999999999999</v>
      </c>
      <c r="N308" s="1">
        <v>0.26</v>
      </c>
      <c r="O308" s="21" t="str">
        <f t="shared" si="23"/>
        <v>Acceptable</v>
      </c>
      <c r="P308" s="1">
        <v>0.19400000000000001</v>
      </c>
      <c r="Q308" s="1">
        <v>6</v>
      </c>
      <c r="R308" s="1">
        <v>159</v>
      </c>
      <c r="S308" s="45">
        <v>165</v>
      </c>
    </row>
    <row r="309" spans="1:19" ht="15" thickBot="1" x14ac:dyDescent="0.35">
      <c r="A309" s="4">
        <v>918</v>
      </c>
      <c r="B309" s="2">
        <v>40584</v>
      </c>
      <c r="C309" s="1">
        <v>2</v>
      </c>
      <c r="D309" s="1">
        <v>18</v>
      </c>
      <c r="E309" s="16" t="b">
        <v>0</v>
      </c>
      <c r="F309" s="1">
        <v>4</v>
      </c>
      <c r="G309" s="21" t="str">
        <f t="shared" si="20"/>
        <v>No</v>
      </c>
      <c r="H309" s="26" t="str">
        <f t="shared" si="24"/>
        <v>Thursday</v>
      </c>
      <c r="I309" s="1">
        <v>1</v>
      </c>
      <c r="J309" s="21" t="str">
        <f t="shared" si="21"/>
        <v>Clean</v>
      </c>
      <c r="K309" s="1">
        <v>0.16</v>
      </c>
      <c r="L309" s="21" t="str">
        <f t="shared" si="22"/>
        <v>Safe</v>
      </c>
      <c r="M309" s="1">
        <v>0.18179999999999999</v>
      </c>
      <c r="N309" s="1">
        <v>0.28000000000000003</v>
      </c>
      <c r="O309" s="21" t="str">
        <f t="shared" si="23"/>
        <v>Acceptable</v>
      </c>
      <c r="P309" s="1">
        <v>0.1343</v>
      </c>
      <c r="Q309" s="1">
        <v>3</v>
      </c>
      <c r="R309" s="1">
        <v>157</v>
      </c>
      <c r="S309" s="45">
        <v>160</v>
      </c>
    </row>
    <row r="310" spans="1:19" ht="15" thickBot="1" x14ac:dyDescent="0.35">
      <c r="A310" s="4">
        <v>919</v>
      </c>
      <c r="B310" s="2">
        <v>40584</v>
      </c>
      <c r="C310" s="1">
        <v>2</v>
      </c>
      <c r="D310" s="1">
        <v>19</v>
      </c>
      <c r="E310" s="16" t="b">
        <v>0</v>
      </c>
      <c r="F310" s="1">
        <v>4</v>
      </c>
      <c r="G310" s="21" t="str">
        <f t="shared" si="20"/>
        <v>No</v>
      </c>
      <c r="H310" s="26" t="str">
        <f t="shared" si="24"/>
        <v>Thursday</v>
      </c>
      <c r="I310" s="1">
        <v>1</v>
      </c>
      <c r="J310" s="21" t="str">
        <f t="shared" si="21"/>
        <v>Clean</v>
      </c>
      <c r="K310" s="1">
        <v>0.14000000000000001</v>
      </c>
      <c r="L310" s="21" t="str">
        <f t="shared" si="22"/>
        <v>Safe</v>
      </c>
      <c r="M310" s="1">
        <v>0.16669999999999999</v>
      </c>
      <c r="N310" s="1">
        <v>0.28000000000000003</v>
      </c>
      <c r="O310" s="21" t="str">
        <f t="shared" si="23"/>
        <v>Acceptable</v>
      </c>
      <c r="P310" s="1">
        <v>0.1045</v>
      </c>
      <c r="Q310" s="1">
        <v>2</v>
      </c>
      <c r="R310" s="1">
        <v>110</v>
      </c>
      <c r="S310" s="45">
        <v>112</v>
      </c>
    </row>
    <row r="311" spans="1:19" ht="15" thickBot="1" x14ac:dyDescent="0.35">
      <c r="A311" s="4">
        <v>920</v>
      </c>
      <c r="B311" s="2">
        <v>40584</v>
      </c>
      <c r="C311" s="1">
        <v>2</v>
      </c>
      <c r="D311" s="1">
        <v>20</v>
      </c>
      <c r="E311" s="16" t="b">
        <v>0</v>
      </c>
      <c r="F311" s="1">
        <v>4</v>
      </c>
      <c r="G311" s="21" t="str">
        <f t="shared" si="20"/>
        <v>No</v>
      </c>
      <c r="H311" s="26" t="str">
        <f t="shared" si="24"/>
        <v>Thursday</v>
      </c>
      <c r="I311" s="1">
        <v>1</v>
      </c>
      <c r="J311" s="21" t="str">
        <f t="shared" si="21"/>
        <v>Clean</v>
      </c>
      <c r="K311" s="1">
        <v>0.14000000000000001</v>
      </c>
      <c r="L311" s="21" t="str">
        <f t="shared" si="22"/>
        <v>Safe</v>
      </c>
      <c r="M311" s="1">
        <v>0.18179999999999999</v>
      </c>
      <c r="N311" s="1">
        <v>0.31</v>
      </c>
      <c r="O311" s="21" t="str">
        <f t="shared" si="23"/>
        <v>Acceptable</v>
      </c>
      <c r="P311" s="1">
        <v>8.9599999999999999E-2</v>
      </c>
      <c r="Q311" s="1">
        <v>4</v>
      </c>
      <c r="R311" s="1">
        <v>93</v>
      </c>
      <c r="S311" s="45">
        <v>97</v>
      </c>
    </row>
    <row r="312" spans="1:19" ht="15" thickBot="1" x14ac:dyDescent="0.35">
      <c r="A312" s="4">
        <v>921</v>
      </c>
      <c r="B312" s="2">
        <v>40584</v>
      </c>
      <c r="C312" s="1">
        <v>2</v>
      </c>
      <c r="D312" s="1">
        <v>21</v>
      </c>
      <c r="E312" s="16" t="b">
        <v>0</v>
      </c>
      <c r="F312" s="1">
        <v>4</v>
      </c>
      <c r="G312" s="21" t="str">
        <f t="shared" si="20"/>
        <v>No</v>
      </c>
      <c r="H312" s="26" t="str">
        <f t="shared" si="24"/>
        <v>Thursday</v>
      </c>
      <c r="I312" s="1">
        <v>1</v>
      </c>
      <c r="J312" s="21" t="str">
        <f t="shared" si="21"/>
        <v>Clean</v>
      </c>
      <c r="K312" s="1">
        <v>0.14000000000000001</v>
      </c>
      <c r="L312" s="21" t="str">
        <f t="shared" si="22"/>
        <v>Safe</v>
      </c>
      <c r="M312" s="1">
        <v>0.21210000000000001</v>
      </c>
      <c r="N312" s="1">
        <v>0.39</v>
      </c>
      <c r="O312" s="21" t="str">
        <f t="shared" si="23"/>
        <v>Acceptable</v>
      </c>
      <c r="P312" s="1">
        <v>0</v>
      </c>
      <c r="Q312" s="1">
        <v>2</v>
      </c>
      <c r="R312" s="1">
        <v>70</v>
      </c>
      <c r="S312" s="45">
        <v>72</v>
      </c>
    </row>
    <row r="313" spans="1:19" ht="15" thickBot="1" x14ac:dyDescent="0.35">
      <c r="A313" s="4">
        <v>922</v>
      </c>
      <c r="B313" s="2">
        <v>40584</v>
      </c>
      <c r="C313" s="1">
        <v>2</v>
      </c>
      <c r="D313" s="1">
        <v>22</v>
      </c>
      <c r="E313" s="16" t="b">
        <v>0</v>
      </c>
      <c r="F313" s="1">
        <v>4</v>
      </c>
      <c r="G313" s="21" t="str">
        <f t="shared" si="20"/>
        <v>No</v>
      </c>
      <c r="H313" s="26" t="str">
        <f t="shared" si="24"/>
        <v>Thursday</v>
      </c>
      <c r="I313" s="1">
        <v>1</v>
      </c>
      <c r="J313" s="21" t="str">
        <f t="shared" si="21"/>
        <v>Clean</v>
      </c>
      <c r="K313" s="1">
        <v>0.12</v>
      </c>
      <c r="L313" s="21" t="str">
        <f t="shared" si="22"/>
        <v>Safe</v>
      </c>
      <c r="M313" s="1">
        <v>0.19700000000000001</v>
      </c>
      <c r="N313" s="1">
        <v>0.39</v>
      </c>
      <c r="O313" s="21" t="str">
        <f t="shared" si="23"/>
        <v>Acceptable</v>
      </c>
      <c r="P313" s="1">
        <v>0</v>
      </c>
      <c r="Q313" s="1">
        <v>4</v>
      </c>
      <c r="R313" s="1">
        <v>47</v>
      </c>
      <c r="S313" s="45">
        <v>51</v>
      </c>
    </row>
    <row r="314" spans="1:19" ht="15" thickBot="1" x14ac:dyDescent="0.35">
      <c r="A314" s="4">
        <v>923</v>
      </c>
      <c r="B314" s="2">
        <v>40584</v>
      </c>
      <c r="C314" s="1">
        <v>2</v>
      </c>
      <c r="D314" s="1">
        <v>23</v>
      </c>
      <c r="E314" s="16" t="b">
        <v>0</v>
      </c>
      <c r="F314" s="1">
        <v>4</v>
      </c>
      <c r="G314" s="21" t="str">
        <f t="shared" si="20"/>
        <v>No</v>
      </c>
      <c r="H314" s="26" t="str">
        <f t="shared" si="24"/>
        <v>Thursday</v>
      </c>
      <c r="I314" s="1">
        <v>1</v>
      </c>
      <c r="J314" s="21" t="str">
        <f t="shared" si="21"/>
        <v>Clean</v>
      </c>
      <c r="K314" s="1">
        <v>0.12</v>
      </c>
      <c r="L314" s="21" t="str">
        <f t="shared" si="22"/>
        <v>Safe</v>
      </c>
      <c r="M314" s="1">
        <v>0.1515</v>
      </c>
      <c r="N314" s="1">
        <v>0.42</v>
      </c>
      <c r="O314" s="21" t="str">
        <f t="shared" si="23"/>
        <v>Acceptable</v>
      </c>
      <c r="P314" s="1">
        <v>0.1045</v>
      </c>
      <c r="Q314" s="1">
        <v>1</v>
      </c>
      <c r="R314" s="1">
        <v>33</v>
      </c>
      <c r="S314" s="45">
        <v>34</v>
      </c>
    </row>
    <row r="315" spans="1:19" ht="15" thickBot="1" x14ac:dyDescent="0.35">
      <c r="A315" s="4">
        <v>924</v>
      </c>
      <c r="B315" s="2">
        <v>40585</v>
      </c>
      <c r="C315" s="1">
        <v>2</v>
      </c>
      <c r="D315" s="1">
        <v>0</v>
      </c>
      <c r="E315" s="16" t="b">
        <v>0</v>
      </c>
      <c r="F315" s="1">
        <v>5</v>
      </c>
      <c r="G315" s="21" t="str">
        <f t="shared" si="20"/>
        <v>No</v>
      </c>
      <c r="H315" s="26" t="str">
        <f t="shared" si="24"/>
        <v>Friday</v>
      </c>
      <c r="I315" s="1">
        <v>1</v>
      </c>
      <c r="J315" s="21" t="str">
        <f t="shared" si="21"/>
        <v>Clean</v>
      </c>
      <c r="K315" s="1">
        <v>0.1</v>
      </c>
      <c r="L315" s="21" t="str">
        <f t="shared" si="22"/>
        <v>Safe</v>
      </c>
      <c r="M315" s="1">
        <v>0.13639999999999999</v>
      </c>
      <c r="N315" s="1">
        <v>0.49</v>
      </c>
      <c r="O315" s="21" t="str">
        <f t="shared" si="23"/>
        <v>Acceptable</v>
      </c>
      <c r="P315" s="1">
        <v>0.1045</v>
      </c>
      <c r="Q315" s="1">
        <v>2</v>
      </c>
      <c r="R315" s="1">
        <v>12</v>
      </c>
      <c r="S315" s="45">
        <v>14</v>
      </c>
    </row>
    <row r="316" spans="1:19" ht="15" thickBot="1" x14ac:dyDescent="0.35">
      <c r="A316" s="4">
        <v>925</v>
      </c>
      <c r="B316" s="2">
        <v>40585</v>
      </c>
      <c r="C316" s="1">
        <v>2</v>
      </c>
      <c r="D316" s="1">
        <v>1</v>
      </c>
      <c r="E316" s="16" t="b">
        <v>0</v>
      </c>
      <c r="F316" s="1">
        <v>5</v>
      </c>
      <c r="G316" s="21" t="str">
        <f t="shared" si="20"/>
        <v>No</v>
      </c>
      <c r="H316" s="26" t="str">
        <f t="shared" si="24"/>
        <v>Friday</v>
      </c>
      <c r="I316" s="1">
        <v>1</v>
      </c>
      <c r="J316" s="21" t="str">
        <f t="shared" si="21"/>
        <v>Clean</v>
      </c>
      <c r="K316" s="1">
        <v>0.1</v>
      </c>
      <c r="L316" s="21" t="str">
        <f t="shared" si="22"/>
        <v>Safe</v>
      </c>
      <c r="M316" s="1">
        <v>0.13639999999999999</v>
      </c>
      <c r="N316" s="1">
        <v>0.54</v>
      </c>
      <c r="O316" s="21" t="str">
        <f t="shared" si="23"/>
        <v>Acceptable</v>
      </c>
      <c r="P316" s="1">
        <v>8.9599999999999999E-2</v>
      </c>
      <c r="Q316" s="1">
        <v>1</v>
      </c>
      <c r="R316" s="1">
        <v>6</v>
      </c>
      <c r="S316" s="45">
        <v>7</v>
      </c>
    </row>
    <row r="317" spans="1:19" ht="15" thickBot="1" x14ac:dyDescent="0.35">
      <c r="A317" s="4">
        <v>926</v>
      </c>
      <c r="B317" s="2">
        <v>40585</v>
      </c>
      <c r="C317" s="1">
        <v>2</v>
      </c>
      <c r="D317" s="1">
        <v>2</v>
      </c>
      <c r="E317" s="16" t="b">
        <v>0</v>
      </c>
      <c r="F317" s="1">
        <v>5</v>
      </c>
      <c r="G317" s="21" t="str">
        <f t="shared" si="20"/>
        <v>No</v>
      </c>
      <c r="H317" s="26" t="str">
        <f t="shared" si="24"/>
        <v>Friday</v>
      </c>
      <c r="I317" s="1">
        <v>1</v>
      </c>
      <c r="J317" s="21" t="str">
        <f t="shared" si="21"/>
        <v>Clean</v>
      </c>
      <c r="K317" s="1">
        <v>0.1</v>
      </c>
      <c r="L317" s="21" t="str">
        <f t="shared" si="22"/>
        <v>Safe</v>
      </c>
      <c r="M317" s="1">
        <v>0.13639999999999999</v>
      </c>
      <c r="N317" s="1">
        <v>0.54</v>
      </c>
      <c r="O317" s="21" t="str">
        <f t="shared" si="23"/>
        <v>Acceptable</v>
      </c>
      <c r="P317" s="1">
        <v>8.9599999999999999E-2</v>
      </c>
      <c r="Q317" s="1">
        <v>0</v>
      </c>
      <c r="R317" s="1">
        <v>3</v>
      </c>
      <c r="S317" s="45">
        <v>3</v>
      </c>
    </row>
    <row r="318" spans="1:19" ht="15" thickBot="1" x14ac:dyDescent="0.35">
      <c r="A318" s="4">
        <v>927</v>
      </c>
      <c r="B318" s="2">
        <v>40585</v>
      </c>
      <c r="C318" s="1">
        <v>2</v>
      </c>
      <c r="D318" s="1">
        <v>5</v>
      </c>
      <c r="E318" s="16" t="b">
        <v>0</v>
      </c>
      <c r="F318" s="1">
        <v>5</v>
      </c>
      <c r="G318" s="21" t="str">
        <f t="shared" si="20"/>
        <v>No</v>
      </c>
      <c r="H318" s="26" t="str">
        <f t="shared" si="24"/>
        <v>Friday</v>
      </c>
      <c r="I318" s="1">
        <v>1</v>
      </c>
      <c r="J318" s="21" t="str">
        <f t="shared" si="21"/>
        <v>Clean</v>
      </c>
      <c r="K318" s="1">
        <v>0.08</v>
      </c>
      <c r="L318" s="21" t="str">
        <f t="shared" si="22"/>
        <v>Risky</v>
      </c>
      <c r="M318" s="1">
        <v>0.1212</v>
      </c>
      <c r="N318" s="1">
        <v>0.63</v>
      </c>
      <c r="O318" s="21" t="str">
        <f t="shared" si="23"/>
        <v>Acceptable</v>
      </c>
      <c r="P318" s="1">
        <v>8.9599999999999999E-2</v>
      </c>
      <c r="Q318" s="1">
        <v>0</v>
      </c>
      <c r="R318" s="1">
        <v>4</v>
      </c>
      <c r="S318" s="45">
        <v>4</v>
      </c>
    </row>
    <row r="319" spans="1:19" ht="15" thickBot="1" x14ac:dyDescent="0.35">
      <c r="A319" s="4">
        <v>928</v>
      </c>
      <c r="B319" s="2">
        <v>40585</v>
      </c>
      <c r="C319" s="1">
        <v>2</v>
      </c>
      <c r="D319" s="1">
        <v>6</v>
      </c>
      <c r="E319" s="16" t="b">
        <v>0</v>
      </c>
      <c r="F319" s="1">
        <v>5</v>
      </c>
      <c r="G319" s="21" t="str">
        <f t="shared" si="20"/>
        <v>No</v>
      </c>
      <c r="H319" s="26" t="str">
        <f t="shared" si="24"/>
        <v>Friday</v>
      </c>
      <c r="I319" s="1">
        <v>1</v>
      </c>
      <c r="J319" s="21" t="str">
        <f t="shared" si="21"/>
        <v>Clean</v>
      </c>
      <c r="K319" s="1">
        <v>0.1</v>
      </c>
      <c r="L319" s="21" t="str">
        <f t="shared" si="22"/>
        <v>Safe</v>
      </c>
      <c r="M319" s="1">
        <v>0.18179999999999999</v>
      </c>
      <c r="N319" s="1">
        <v>0.68</v>
      </c>
      <c r="O319" s="21" t="str">
        <f t="shared" si="23"/>
        <v>Acceptable</v>
      </c>
      <c r="P319" s="1">
        <v>0</v>
      </c>
      <c r="Q319" s="1">
        <v>1</v>
      </c>
      <c r="R319" s="1">
        <v>23</v>
      </c>
      <c r="S319" s="45">
        <v>24</v>
      </c>
    </row>
    <row r="320" spans="1:19" ht="15" thickBot="1" x14ac:dyDescent="0.35">
      <c r="A320" s="4">
        <v>929</v>
      </c>
      <c r="B320" s="2">
        <v>40585</v>
      </c>
      <c r="C320" s="1">
        <v>2</v>
      </c>
      <c r="D320" s="1">
        <v>7</v>
      </c>
      <c r="E320" s="16" t="b">
        <v>0</v>
      </c>
      <c r="F320" s="1">
        <v>5</v>
      </c>
      <c r="G320" s="21" t="str">
        <f t="shared" si="20"/>
        <v>No</v>
      </c>
      <c r="H320" s="26" t="str">
        <f t="shared" si="24"/>
        <v>Friday</v>
      </c>
      <c r="I320" s="1">
        <v>1</v>
      </c>
      <c r="J320" s="21" t="str">
        <f t="shared" si="21"/>
        <v>Clean</v>
      </c>
      <c r="K320" s="1">
        <v>0.08</v>
      </c>
      <c r="L320" s="21" t="str">
        <f t="shared" si="22"/>
        <v>Risky</v>
      </c>
      <c r="M320" s="1">
        <v>0.16669999999999999</v>
      </c>
      <c r="N320" s="1">
        <v>0.73</v>
      </c>
      <c r="O320" s="21" t="str">
        <f t="shared" si="23"/>
        <v>Risky</v>
      </c>
      <c r="P320" s="1">
        <v>0</v>
      </c>
      <c r="Q320" s="1">
        <v>1</v>
      </c>
      <c r="R320" s="1">
        <v>73</v>
      </c>
      <c r="S320" s="45">
        <v>74</v>
      </c>
    </row>
    <row r="321" spans="1:19" ht="15" thickBot="1" x14ac:dyDescent="0.35">
      <c r="A321" s="4">
        <v>930</v>
      </c>
      <c r="B321" s="2">
        <v>40585</v>
      </c>
      <c r="C321" s="1">
        <v>2</v>
      </c>
      <c r="D321" s="1">
        <v>8</v>
      </c>
      <c r="E321" s="16" t="b">
        <v>0</v>
      </c>
      <c r="F321" s="1">
        <v>5</v>
      </c>
      <c r="G321" s="21" t="str">
        <f t="shared" si="20"/>
        <v>No</v>
      </c>
      <c r="H321" s="26" t="str">
        <f t="shared" si="24"/>
        <v>Friday</v>
      </c>
      <c r="I321" s="1">
        <v>1</v>
      </c>
      <c r="J321" s="21" t="str">
        <f t="shared" si="21"/>
        <v>Clean</v>
      </c>
      <c r="K321" s="1">
        <v>0.1</v>
      </c>
      <c r="L321" s="21" t="str">
        <f t="shared" si="22"/>
        <v>Safe</v>
      </c>
      <c r="M321" s="1">
        <v>0.1212</v>
      </c>
      <c r="N321" s="1">
        <v>0.74</v>
      </c>
      <c r="O321" s="21" t="str">
        <f t="shared" si="23"/>
        <v>Risky</v>
      </c>
      <c r="P321" s="1">
        <v>0.16420000000000001</v>
      </c>
      <c r="Q321" s="1">
        <v>4</v>
      </c>
      <c r="R321" s="1">
        <v>212</v>
      </c>
      <c r="S321" s="45">
        <v>216</v>
      </c>
    </row>
    <row r="322" spans="1:19" ht="15" thickBot="1" x14ac:dyDescent="0.35">
      <c r="A322" s="4">
        <v>931</v>
      </c>
      <c r="B322" s="2">
        <v>40585</v>
      </c>
      <c r="C322" s="1">
        <v>2</v>
      </c>
      <c r="D322" s="1">
        <v>9</v>
      </c>
      <c r="E322" s="16" t="b">
        <v>0</v>
      </c>
      <c r="F322" s="1">
        <v>5</v>
      </c>
      <c r="G322" s="21" t="str">
        <f t="shared" ref="G322:G385" si="25">_xlfn.IFS(F322=0,"Yes",F322=6,"Yes",F322&gt;0,"No")</f>
        <v>No</v>
      </c>
      <c r="H322" s="26" t="str">
        <f t="shared" si="24"/>
        <v>Friday</v>
      </c>
      <c r="I322" s="1">
        <v>1</v>
      </c>
      <c r="J322" s="21" t="str">
        <f t="shared" ref="J322:J385" si="26">_xlfn.IFS(I322=1,"Clean",I322=2,"Misty",I322=3,"Light Rain",I322=4,"Heavy Rain")</f>
        <v>Clean</v>
      </c>
      <c r="K322" s="1">
        <v>0.12</v>
      </c>
      <c r="L322" s="21" t="str">
        <f t="shared" ref="L322:L385" si="27">_xlfn.IFS(K322&lt;0.1,"Risky",K322&lt;0.35,"Safe",K322&gt;0.35,"Risky")</f>
        <v>Safe</v>
      </c>
      <c r="M322" s="1">
        <v>0.1212</v>
      </c>
      <c r="N322" s="1">
        <v>0.74</v>
      </c>
      <c r="O322" s="21" t="str">
        <f t="shared" ref="O322:O385" si="28">IF(N322&lt;0.7,"Acceptable","Risky")</f>
        <v>Risky</v>
      </c>
      <c r="P322" s="1">
        <v>0.22389999999999999</v>
      </c>
      <c r="Q322" s="1">
        <v>8</v>
      </c>
      <c r="R322" s="1">
        <v>132</v>
      </c>
      <c r="S322" s="45">
        <v>140</v>
      </c>
    </row>
    <row r="323" spans="1:19" ht="15" thickBot="1" x14ac:dyDescent="0.35">
      <c r="A323" s="4">
        <v>932</v>
      </c>
      <c r="B323" s="2">
        <v>40585</v>
      </c>
      <c r="C323" s="1">
        <v>2</v>
      </c>
      <c r="D323" s="1">
        <v>10</v>
      </c>
      <c r="E323" s="16" t="b">
        <v>0</v>
      </c>
      <c r="F323" s="1">
        <v>5</v>
      </c>
      <c r="G323" s="21" t="str">
        <f t="shared" si="25"/>
        <v>No</v>
      </c>
      <c r="H323" s="26" t="str">
        <f t="shared" ref="H323:H386" si="29">TEXT(B323:B712,"dddd")</f>
        <v>Friday</v>
      </c>
      <c r="I323" s="1">
        <v>1</v>
      </c>
      <c r="J323" s="21" t="str">
        <f t="shared" si="26"/>
        <v>Clean</v>
      </c>
      <c r="K323" s="1">
        <v>0.14000000000000001</v>
      </c>
      <c r="L323" s="21" t="str">
        <f t="shared" si="27"/>
        <v>Safe</v>
      </c>
      <c r="M323" s="1">
        <v>0.13639999999999999</v>
      </c>
      <c r="N323" s="1">
        <v>0.69</v>
      </c>
      <c r="O323" s="21" t="str">
        <f t="shared" si="28"/>
        <v>Acceptable</v>
      </c>
      <c r="P323" s="1">
        <v>0.19400000000000001</v>
      </c>
      <c r="Q323" s="1">
        <v>5</v>
      </c>
      <c r="R323" s="1">
        <v>39</v>
      </c>
      <c r="S323" s="45">
        <v>44</v>
      </c>
    </row>
    <row r="324" spans="1:19" ht="15" thickBot="1" x14ac:dyDescent="0.35">
      <c r="A324" s="4">
        <v>933</v>
      </c>
      <c r="B324" s="2">
        <v>40585</v>
      </c>
      <c r="C324" s="1">
        <v>2</v>
      </c>
      <c r="D324" s="1">
        <v>11</v>
      </c>
      <c r="E324" s="16" t="b">
        <v>0</v>
      </c>
      <c r="F324" s="1">
        <v>5</v>
      </c>
      <c r="G324" s="21" t="str">
        <f t="shared" si="25"/>
        <v>No</v>
      </c>
      <c r="H324" s="26" t="str">
        <f t="shared" si="29"/>
        <v>Friday</v>
      </c>
      <c r="I324" s="1">
        <v>1</v>
      </c>
      <c r="J324" s="21" t="str">
        <f t="shared" si="26"/>
        <v>Clean</v>
      </c>
      <c r="K324" s="1">
        <v>0.22</v>
      </c>
      <c r="L324" s="21" t="str">
        <f t="shared" si="27"/>
        <v>Safe</v>
      </c>
      <c r="M324" s="1">
        <v>0.2273</v>
      </c>
      <c r="N324" s="1">
        <v>0.47</v>
      </c>
      <c r="O324" s="21" t="str">
        <f t="shared" si="28"/>
        <v>Acceptable</v>
      </c>
      <c r="P324" s="1">
        <v>0.1343</v>
      </c>
      <c r="Q324" s="1">
        <v>12</v>
      </c>
      <c r="R324" s="1">
        <v>52</v>
      </c>
      <c r="S324" s="45">
        <v>64</v>
      </c>
    </row>
    <row r="325" spans="1:19" ht="15" thickBot="1" x14ac:dyDescent="0.35">
      <c r="A325" s="4">
        <v>934</v>
      </c>
      <c r="B325" s="2">
        <v>40585</v>
      </c>
      <c r="C325" s="1">
        <v>2</v>
      </c>
      <c r="D325" s="1">
        <v>12</v>
      </c>
      <c r="E325" s="16" t="b">
        <v>0</v>
      </c>
      <c r="F325" s="1">
        <v>5</v>
      </c>
      <c r="G325" s="21" t="str">
        <f t="shared" si="25"/>
        <v>No</v>
      </c>
      <c r="H325" s="26" t="str">
        <f t="shared" si="29"/>
        <v>Friday</v>
      </c>
      <c r="I325" s="1">
        <v>1</v>
      </c>
      <c r="J325" s="21" t="str">
        <f t="shared" si="26"/>
        <v>Clean</v>
      </c>
      <c r="K325" s="1">
        <v>0.22</v>
      </c>
      <c r="L325" s="21" t="str">
        <f t="shared" si="27"/>
        <v>Safe</v>
      </c>
      <c r="M325" s="1">
        <v>0.2273</v>
      </c>
      <c r="N325" s="1">
        <v>0.47</v>
      </c>
      <c r="O325" s="21" t="str">
        <f t="shared" si="28"/>
        <v>Acceptable</v>
      </c>
      <c r="P325" s="1">
        <v>0.1343</v>
      </c>
      <c r="Q325" s="1">
        <v>7</v>
      </c>
      <c r="R325" s="1">
        <v>64</v>
      </c>
      <c r="S325" s="45">
        <v>71</v>
      </c>
    </row>
    <row r="326" spans="1:19" ht="15" thickBot="1" x14ac:dyDescent="0.35">
      <c r="A326" s="4">
        <v>935</v>
      </c>
      <c r="B326" s="2">
        <v>40585</v>
      </c>
      <c r="C326" s="1">
        <v>2</v>
      </c>
      <c r="D326" s="1">
        <v>13</v>
      </c>
      <c r="E326" s="16" t="b">
        <v>0</v>
      </c>
      <c r="F326" s="1">
        <v>5</v>
      </c>
      <c r="G326" s="21" t="str">
        <f t="shared" si="25"/>
        <v>No</v>
      </c>
      <c r="H326" s="26" t="str">
        <f t="shared" si="29"/>
        <v>Friday</v>
      </c>
      <c r="I326" s="1">
        <v>1</v>
      </c>
      <c r="J326" s="21" t="str">
        <f t="shared" si="26"/>
        <v>Clean</v>
      </c>
      <c r="K326" s="1">
        <v>0.24</v>
      </c>
      <c r="L326" s="21" t="str">
        <f t="shared" si="27"/>
        <v>Safe</v>
      </c>
      <c r="M326" s="1">
        <v>0.2273</v>
      </c>
      <c r="N326" s="1">
        <v>0.35</v>
      </c>
      <c r="O326" s="21" t="str">
        <f t="shared" si="28"/>
        <v>Acceptable</v>
      </c>
      <c r="P326" s="1">
        <v>0.19400000000000001</v>
      </c>
      <c r="Q326" s="1">
        <v>21</v>
      </c>
      <c r="R326" s="1">
        <v>89</v>
      </c>
      <c r="S326" s="45">
        <v>110</v>
      </c>
    </row>
    <row r="327" spans="1:19" ht="15" thickBot="1" x14ac:dyDescent="0.35">
      <c r="A327" s="4">
        <v>936</v>
      </c>
      <c r="B327" s="2">
        <v>40585</v>
      </c>
      <c r="C327" s="1">
        <v>2</v>
      </c>
      <c r="D327" s="1">
        <v>14</v>
      </c>
      <c r="E327" s="16" t="b">
        <v>0</v>
      </c>
      <c r="F327" s="1">
        <v>5</v>
      </c>
      <c r="G327" s="21" t="str">
        <f t="shared" si="25"/>
        <v>No</v>
      </c>
      <c r="H327" s="26" t="str">
        <f t="shared" si="29"/>
        <v>Friday</v>
      </c>
      <c r="I327" s="1">
        <v>1</v>
      </c>
      <c r="J327" s="21" t="str">
        <f t="shared" si="26"/>
        <v>Clean</v>
      </c>
      <c r="K327" s="1">
        <v>0.3</v>
      </c>
      <c r="L327" s="21" t="str">
        <f t="shared" si="27"/>
        <v>Safe</v>
      </c>
      <c r="M327" s="1">
        <v>0.28789999999999999</v>
      </c>
      <c r="N327" s="1">
        <v>0.26</v>
      </c>
      <c r="O327" s="21" t="str">
        <f t="shared" si="28"/>
        <v>Acceptable</v>
      </c>
      <c r="P327" s="1">
        <v>0.25369999999999998</v>
      </c>
      <c r="Q327" s="1">
        <v>17</v>
      </c>
      <c r="R327" s="1">
        <v>67</v>
      </c>
      <c r="S327" s="45">
        <v>84</v>
      </c>
    </row>
    <row r="328" spans="1:19" ht="15" thickBot="1" x14ac:dyDescent="0.35">
      <c r="A328" s="4">
        <v>937</v>
      </c>
      <c r="B328" s="2">
        <v>40585</v>
      </c>
      <c r="C328" s="1">
        <v>2</v>
      </c>
      <c r="D328" s="1">
        <v>15</v>
      </c>
      <c r="E328" s="16" t="b">
        <v>0</v>
      </c>
      <c r="F328" s="1">
        <v>5</v>
      </c>
      <c r="G328" s="21" t="str">
        <f t="shared" si="25"/>
        <v>No</v>
      </c>
      <c r="H328" s="26" t="str">
        <f t="shared" si="29"/>
        <v>Friday</v>
      </c>
      <c r="I328" s="1">
        <v>1</v>
      </c>
      <c r="J328" s="21" t="str">
        <f t="shared" si="26"/>
        <v>Clean</v>
      </c>
      <c r="K328" s="1">
        <v>0.32</v>
      </c>
      <c r="L328" s="21" t="str">
        <f t="shared" si="27"/>
        <v>Safe</v>
      </c>
      <c r="M328" s="1">
        <v>0.31819999999999998</v>
      </c>
      <c r="N328" s="1">
        <v>0.21</v>
      </c>
      <c r="O328" s="21" t="str">
        <f t="shared" si="28"/>
        <v>Acceptable</v>
      </c>
      <c r="P328" s="1">
        <v>0.16420000000000001</v>
      </c>
      <c r="Q328" s="1">
        <v>12</v>
      </c>
      <c r="R328" s="1">
        <v>62</v>
      </c>
      <c r="S328" s="45">
        <v>74</v>
      </c>
    </row>
    <row r="329" spans="1:19" ht="15" thickBot="1" x14ac:dyDescent="0.35">
      <c r="A329" s="4">
        <v>938</v>
      </c>
      <c r="B329" s="2">
        <v>40585</v>
      </c>
      <c r="C329" s="1">
        <v>2</v>
      </c>
      <c r="D329" s="1">
        <v>16</v>
      </c>
      <c r="E329" s="16" t="b">
        <v>0</v>
      </c>
      <c r="F329" s="1">
        <v>5</v>
      </c>
      <c r="G329" s="21" t="str">
        <f t="shared" si="25"/>
        <v>No</v>
      </c>
      <c r="H329" s="26" t="str">
        <f t="shared" si="29"/>
        <v>Friday</v>
      </c>
      <c r="I329" s="1">
        <v>1</v>
      </c>
      <c r="J329" s="21" t="str">
        <f t="shared" si="26"/>
        <v>Clean</v>
      </c>
      <c r="K329" s="1">
        <v>0.3</v>
      </c>
      <c r="L329" s="21" t="str">
        <f t="shared" si="27"/>
        <v>Safe</v>
      </c>
      <c r="M329" s="1">
        <v>0.28789999999999999</v>
      </c>
      <c r="N329" s="1">
        <v>0.28000000000000003</v>
      </c>
      <c r="O329" s="21" t="str">
        <f t="shared" si="28"/>
        <v>Acceptable</v>
      </c>
      <c r="P329" s="1">
        <v>0.19400000000000001</v>
      </c>
      <c r="Q329" s="1">
        <v>14</v>
      </c>
      <c r="R329" s="1">
        <v>111</v>
      </c>
      <c r="S329" s="45">
        <v>125</v>
      </c>
    </row>
    <row r="330" spans="1:19" ht="15" thickBot="1" x14ac:dyDescent="0.35">
      <c r="A330" s="4">
        <v>939</v>
      </c>
      <c r="B330" s="2">
        <v>40585</v>
      </c>
      <c r="C330" s="1">
        <v>2</v>
      </c>
      <c r="D330" s="1">
        <v>17</v>
      </c>
      <c r="E330" s="16" t="b">
        <v>0</v>
      </c>
      <c r="F330" s="1">
        <v>5</v>
      </c>
      <c r="G330" s="21" t="str">
        <f t="shared" si="25"/>
        <v>No</v>
      </c>
      <c r="H330" s="26" t="str">
        <f t="shared" si="29"/>
        <v>Friday</v>
      </c>
      <c r="I330" s="1">
        <v>1</v>
      </c>
      <c r="J330" s="21" t="str">
        <f t="shared" si="26"/>
        <v>Clean</v>
      </c>
      <c r="K330" s="1">
        <v>0.3</v>
      </c>
      <c r="L330" s="21" t="str">
        <f t="shared" si="27"/>
        <v>Safe</v>
      </c>
      <c r="M330" s="1">
        <v>0.33329999999999999</v>
      </c>
      <c r="N330" s="1">
        <v>0.24</v>
      </c>
      <c r="O330" s="21" t="str">
        <f t="shared" si="28"/>
        <v>Acceptable</v>
      </c>
      <c r="P330" s="1">
        <v>0</v>
      </c>
      <c r="Q330" s="1">
        <v>18</v>
      </c>
      <c r="R330" s="1">
        <v>193</v>
      </c>
      <c r="S330" s="45">
        <v>211</v>
      </c>
    </row>
    <row r="331" spans="1:19" ht="15" thickBot="1" x14ac:dyDescent="0.35">
      <c r="A331" s="4">
        <v>940</v>
      </c>
      <c r="B331" s="2">
        <v>40585</v>
      </c>
      <c r="C331" s="1">
        <v>2</v>
      </c>
      <c r="D331" s="1">
        <v>18</v>
      </c>
      <c r="E331" s="16" t="b">
        <v>0</v>
      </c>
      <c r="F331" s="1">
        <v>5</v>
      </c>
      <c r="G331" s="21" t="str">
        <f t="shared" si="25"/>
        <v>No</v>
      </c>
      <c r="H331" s="26" t="str">
        <f t="shared" si="29"/>
        <v>Friday</v>
      </c>
      <c r="I331" s="1">
        <v>1</v>
      </c>
      <c r="J331" s="21" t="str">
        <f t="shared" si="26"/>
        <v>Clean</v>
      </c>
      <c r="K331" s="1">
        <v>0.28000000000000003</v>
      </c>
      <c r="L331" s="21" t="str">
        <f t="shared" si="27"/>
        <v>Safe</v>
      </c>
      <c r="M331" s="1">
        <v>0.31819999999999998</v>
      </c>
      <c r="N331" s="1">
        <v>0.28000000000000003</v>
      </c>
      <c r="O331" s="21" t="str">
        <f t="shared" si="28"/>
        <v>Acceptable</v>
      </c>
      <c r="P331" s="1">
        <v>0</v>
      </c>
      <c r="Q331" s="1">
        <v>9</v>
      </c>
      <c r="R331" s="1">
        <v>165</v>
      </c>
      <c r="S331" s="45">
        <v>174</v>
      </c>
    </row>
    <row r="332" spans="1:19" ht="15" thickBot="1" x14ac:dyDescent="0.35">
      <c r="A332" s="4">
        <v>941</v>
      </c>
      <c r="B332" s="2">
        <v>40585</v>
      </c>
      <c r="C332" s="1">
        <v>2</v>
      </c>
      <c r="D332" s="1">
        <v>19</v>
      </c>
      <c r="E332" s="16" t="b">
        <v>0</v>
      </c>
      <c r="F332" s="1">
        <v>5</v>
      </c>
      <c r="G332" s="21" t="str">
        <f t="shared" si="25"/>
        <v>No</v>
      </c>
      <c r="H332" s="26" t="str">
        <f t="shared" si="29"/>
        <v>Friday</v>
      </c>
      <c r="I332" s="1">
        <v>1</v>
      </c>
      <c r="J332" s="21" t="str">
        <f t="shared" si="26"/>
        <v>Clean</v>
      </c>
      <c r="K332" s="1">
        <v>0.26</v>
      </c>
      <c r="L332" s="21" t="str">
        <f t="shared" si="27"/>
        <v>Safe</v>
      </c>
      <c r="M332" s="1">
        <v>0.30299999999999999</v>
      </c>
      <c r="N332" s="1">
        <v>0.33</v>
      </c>
      <c r="O332" s="21" t="str">
        <f t="shared" si="28"/>
        <v>Acceptable</v>
      </c>
      <c r="P332" s="1">
        <v>0</v>
      </c>
      <c r="Q332" s="1">
        <v>7</v>
      </c>
      <c r="R332" s="1">
        <v>94</v>
      </c>
      <c r="S332" s="45">
        <v>101</v>
      </c>
    </row>
    <row r="333" spans="1:19" ht="15" thickBot="1" x14ac:dyDescent="0.35">
      <c r="A333" s="4">
        <v>942</v>
      </c>
      <c r="B333" s="2">
        <v>40585</v>
      </c>
      <c r="C333" s="1">
        <v>2</v>
      </c>
      <c r="D333" s="1">
        <v>20</v>
      </c>
      <c r="E333" s="16" t="b">
        <v>0</v>
      </c>
      <c r="F333" s="1">
        <v>5</v>
      </c>
      <c r="G333" s="21" t="str">
        <f t="shared" si="25"/>
        <v>No</v>
      </c>
      <c r="H333" s="26" t="str">
        <f t="shared" si="29"/>
        <v>Friday</v>
      </c>
      <c r="I333" s="1">
        <v>1</v>
      </c>
      <c r="J333" s="21" t="str">
        <f t="shared" si="26"/>
        <v>Clean</v>
      </c>
      <c r="K333" s="1">
        <v>0.22</v>
      </c>
      <c r="L333" s="21" t="str">
        <f t="shared" si="27"/>
        <v>Safe</v>
      </c>
      <c r="M333" s="1">
        <v>0.2273</v>
      </c>
      <c r="N333" s="1">
        <v>0.55000000000000004</v>
      </c>
      <c r="O333" s="21" t="str">
        <f t="shared" si="28"/>
        <v>Acceptable</v>
      </c>
      <c r="P333" s="1">
        <v>0.1343</v>
      </c>
      <c r="Q333" s="1">
        <v>2</v>
      </c>
      <c r="R333" s="1">
        <v>61</v>
      </c>
      <c r="S333" s="45">
        <v>63</v>
      </c>
    </row>
    <row r="334" spans="1:19" ht="15" thickBot="1" x14ac:dyDescent="0.35">
      <c r="A334" s="4">
        <v>943</v>
      </c>
      <c r="B334" s="2">
        <v>40585</v>
      </c>
      <c r="C334" s="1">
        <v>2</v>
      </c>
      <c r="D334" s="1">
        <v>21</v>
      </c>
      <c r="E334" s="16" t="b">
        <v>0</v>
      </c>
      <c r="F334" s="1">
        <v>5</v>
      </c>
      <c r="G334" s="21" t="str">
        <f t="shared" si="25"/>
        <v>No</v>
      </c>
      <c r="H334" s="26" t="str">
        <f t="shared" si="29"/>
        <v>Friday</v>
      </c>
      <c r="I334" s="1">
        <v>1</v>
      </c>
      <c r="J334" s="21" t="str">
        <f t="shared" si="26"/>
        <v>Clean</v>
      </c>
      <c r="K334" s="1">
        <v>0.2</v>
      </c>
      <c r="L334" s="21" t="str">
        <f t="shared" si="27"/>
        <v>Safe</v>
      </c>
      <c r="M334" s="1">
        <v>0.21210000000000001</v>
      </c>
      <c r="N334" s="1">
        <v>0.59</v>
      </c>
      <c r="O334" s="21" t="str">
        <f t="shared" si="28"/>
        <v>Acceptable</v>
      </c>
      <c r="P334" s="1">
        <v>0.1343</v>
      </c>
      <c r="Q334" s="1">
        <v>1</v>
      </c>
      <c r="R334" s="1">
        <v>46</v>
      </c>
      <c r="S334" s="45">
        <v>47</v>
      </c>
    </row>
    <row r="335" spans="1:19" ht="15" thickBot="1" x14ac:dyDescent="0.35">
      <c r="A335" s="4">
        <v>944</v>
      </c>
      <c r="B335" s="2">
        <v>40585</v>
      </c>
      <c r="C335" s="1">
        <v>2</v>
      </c>
      <c r="D335" s="1">
        <v>22</v>
      </c>
      <c r="E335" s="16" t="b">
        <v>0</v>
      </c>
      <c r="F335" s="1">
        <v>5</v>
      </c>
      <c r="G335" s="21" t="str">
        <f t="shared" si="25"/>
        <v>No</v>
      </c>
      <c r="H335" s="26" t="str">
        <f t="shared" si="29"/>
        <v>Friday</v>
      </c>
      <c r="I335" s="1">
        <v>1</v>
      </c>
      <c r="J335" s="21" t="str">
        <f t="shared" si="26"/>
        <v>Clean</v>
      </c>
      <c r="K335" s="1">
        <v>0.2</v>
      </c>
      <c r="L335" s="21" t="str">
        <f t="shared" si="27"/>
        <v>Safe</v>
      </c>
      <c r="M335" s="1">
        <v>0.2273</v>
      </c>
      <c r="N335" s="1">
        <v>0.64</v>
      </c>
      <c r="O335" s="21" t="str">
        <f t="shared" si="28"/>
        <v>Acceptable</v>
      </c>
      <c r="P335" s="1">
        <v>8.9599999999999999E-2</v>
      </c>
      <c r="Q335" s="1">
        <v>2</v>
      </c>
      <c r="R335" s="1">
        <v>41</v>
      </c>
      <c r="S335" s="45">
        <v>43</v>
      </c>
    </row>
    <row r="336" spans="1:19" ht="15" thickBot="1" x14ac:dyDescent="0.35">
      <c r="A336" s="4">
        <v>945</v>
      </c>
      <c r="B336" s="2">
        <v>40585</v>
      </c>
      <c r="C336" s="1">
        <v>2</v>
      </c>
      <c r="D336" s="1">
        <v>23</v>
      </c>
      <c r="E336" s="16" t="b">
        <v>0</v>
      </c>
      <c r="F336" s="1">
        <v>5</v>
      </c>
      <c r="G336" s="21" t="str">
        <f t="shared" si="25"/>
        <v>No</v>
      </c>
      <c r="H336" s="26" t="str">
        <f t="shared" si="29"/>
        <v>Friday</v>
      </c>
      <c r="I336" s="1">
        <v>1</v>
      </c>
      <c r="J336" s="21" t="str">
        <f t="shared" si="26"/>
        <v>Clean</v>
      </c>
      <c r="K336" s="1">
        <v>0.18</v>
      </c>
      <c r="L336" s="21" t="str">
        <f t="shared" si="27"/>
        <v>Safe</v>
      </c>
      <c r="M336" s="1">
        <v>0.2424</v>
      </c>
      <c r="N336" s="1">
        <v>0.69</v>
      </c>
      <c r="O336" s="21" t="str">
        <f t="shared" si="28"/>
        <v>Acceptable</v>
      </c>
      <c r="P336" s="1">
        <v>0</v>
      </c>
      <c r="Q336" s="1">
        <v>5</v>
      </c>
      <c r="R336" s="1">
        <v>48</v>
      </c>
      <c r="S336" s="45">
        <v>53</v>
      </c>
    </row>
    <row r="337" spans="1:19" ht="15" thickBot="1" x14ac:dyDescent="0.35">
      <c r="A337" s="4">
        <v>946</v>
      </c>
      <c r="B337" s="2">
        <v>40586</v>
      </c>
      <c r="C337" s="1">
        <v>2</v>
      </c>
      <c r="D337" s="1">
        <v>0</v>
      </c>
      <c r="E337" s="16" t="b">
        <v>0</v>
      </c>
      <c r="F337" s="1">
        <v>6</v>
      </c>
      <c r="G337" s="21" t="str">
        <f t="shared" si="25"/>
        <v>Yes</v>
      </c>
      <c r="H337" s="26" t="str">
        <f t="shared" si="29"/>
        <v>Saturday</v>
      </c>
      <c r="I337" s="1">
        <v>1</v>
      </c>
      <c r="J337" s="21" t="str">
        <f t="shared" si="26"/>
        <v>Clean</v>
      </c>
      <c r="K337" s="1">
        <v>0.16</v>
      </c>
      <c r="L337" s="21" t="str">
        <f t="shared" si="27"/>
        <v>Safe</v>
      </c>
      <c r="M337" s="1">
        <v>0.19700000000000001</v>
      </c>
      <c r="N337" s="1">
        <v>0.69</v>
      </c>
      <c r="O337" s="21" t="str">
        <f t="shared" si="28"/>
        <v>Acceptable</v>
      </c>
      <c r="P337" s="1">
        <v>8.9599999999999999E-2</v>
      </c>
      <c r="Q337" s="1">
        <v>3</v>
      </c>
      <c r="R337" s="1">
        <v>27</v>
      </c>
      <c r="S337" s="45">
        <v>30</v>
      </c>
    </row>
    <row r="338" spans="1:19" ht="15" thickBot="1" x14ac:dyDescent="0.35">
      <c r="A338" s="4">
        <v>947</v>
      </c>
      <c r="B338" s="2">
        <v>40586</v>
      </c>
      <c r="C338" s="1">
        <v>2</v>
      </c>
      <c r="D338" s="1">
        <v>1</v>
      </c>
      <c r="E338" s="16" t="b">
        <v>0</v>
      </c>
      <c r="F338" s="1">
        <v>6</v>
      </c>
      <c r="G338" s="21" t="str">
        <f t="shared" si="25"/>
        <v>Yes</v>
      </c>
      <c r="H338" s="26" t="str">
        <f t="shared" si="29"/>
        <v>Saturday</v>
      </c>
      <c r="I338" s="1">
        <v>1</v>
      </c>
      <c r="J338" s="21" t="str">
        <f t="shared" si="26"/>
        <v>Clean</v>
      </c>
      <c r="K338" s="1">
        <v>0.14000000000000001</v>
      </c>
      <c r="L338" s="21" t="str">
        <f t="shared" si="27"/>
        <v>Safe</v>
      </c>
      <c r="M338" s="1">
        <v>0.21210000000000001</v>
      </c>
      <c r="N338" s="1">
        <v>0.86</v>
      </c>
      <c r="O338" s="21" t="str">
        <f t="shared" si="28"/>
        <v>Risky</v>
      </c>
      <c r="P338" s="1">
        <v>0</v>
      </c>
      <c r="Q338" s="1">
        <v>2</v>
      </c>
      <c r="R338" s="1">
        <v>22</v>
      </c>
      <c r="S338" s="45">
        <v>24</v>
      </c>
    </row>
    <row r="339" spans="1:19" ht="15" thickBot="1" x14ac:dyDescent="0.35">
      <c r="A339" s="4">
        <v>948</v>
      </c>
      <c r="B339" s="2">
        <v>40586</v>
      </c>
      <c r="C339" s="1">
        <v>2</v>
      </c>
      <c r="D339" s="1">
        <v>2</v>
      </c>
      <c r="E339" s="16" t="b">
        <v>0</v>
      </c>
      <c r="F339" s="1">
        <v>6</v>
      </c>
      <c r="G339" s="21" t="str">
        <f t="shared" si="25"/>
        <v>Yes</v>
      </c>
      <c r="H339" s="26" t="str">
        <f t="shared" si="29"/>
        <v>Saturday</v>
      </c>
      <c r="I339" s="1">
        <v>1</v>
      </c>
      <c r="J339" s="21" t="str">
        <f t="shared" si="26"/>
        <v>Clean</v>
      </c>
      <c r="K339" s="1">
        <v>0.14000000000000001</v>
      </c>
      <c r="L339" s="21" t="str">
        <f t="shared" si="27"/>
        <v>Safe</v>
      </c>
      <c r="M339" s="1">
        <v>0.21210000000000001</v>
      </c>
      <c r="N339" s="1">
        <v>0.8</v>
      </c>
      <c r="O339" s="21" t="str">
        <f t="shared" si="28"/>
        <v>Risky</v>
      </c>
      <c r="P339" s="1">
        <v>0</v>
      </c>
      <c r="Q339" s="1">
        <v>2</v>
      </c>
      <c r="R339" s="1">
        <v>13</v>
      </c>
      <c r="S339" s="45">
        <v>15</v>
      </c>
    </row>
    <row r="340" spans="1:19" ht="15" thickBot="1" x14ac:dyDescent="0.35">
      <c r="A340" s="4">
        <v>949</v>
      </c>
      <c r="B340" s="2">
        <v>40586</v>
      </c>
      <c r="C340" s="1">
        <v>2</v>
      </c>
      <c r="D340" s="1">
        <v>3</v>
      </c>
      <c r="E340" s="16" t="b">
        <v>0</v>
      </c>
      <c r="F340" s="1">
        <v>6</v>
      </c>
      <c r="G340" s="21" t="str">
        <f t="shared" si="25"/>
        <v>Yes</v>
      </c>
      <c r="H340" s="26" t="str">
        <f t="shared" si="29"/>
        <v>Saturday</v>
      </c>
      <c r="I340" s="1">
        <v>1</v>
      </c>
      <c r="J340" s="21" t="str">
        <f t="shared" si="26"/>
        <v>Clean</v>
      </c>
      <c r="K340" s="1">
        <v>0.12</v>
      </c>
      <c r="L340" s="21" t="str">
        <f t="shared" si="27"/>
        <v>Safe</v>
      </c>
      <c r="M340" s="1">
        <v>0.19700000000000001</v>
      </c>
      <c r="N340" s="1">
        <v>0.8</v>
      </c>
      <c r="O340" s="21" t="str">
        <f t="shared" si="28"/>
        <v>Risky</v>
      </c>
      <c r="P340" s="1">
        <v>0</v>
      </c>
      <c r="Q340" s="1">
        <v>3</v>
      </c>
      <c r="R340" s="1">
        <v>7</v>
      </c>
      <c r="S340" s="45">
        <v>10</v>
      </c>
    </row>
    <row r="341" spans="1:19" ht="15" thickBot="1" x14ac:dyDescent="0.35">
      <c r="A341" s="4">
        <v>950</v>
      </c>
      <c r="B341" s="2">
        <v>40586</v>
      </c>
      <c r="C341" s="1">
        <v>2</v>
      </c>
      <c r="D341" s="1">
        <v>4</v>
      </c>
      <c r="E341" s="16" t="b">
        <v>0</v>
      </c>
      <c r="F341" s="1">
        <v>6</v>
      </c>
      <c r="G341" s="21" t="str">
        <f t="shared" si="25"/>
        <v>Yes</v>
      </c>
      <c r="H341" s="26" t="str">
        <f t="shared" si="29"/>
        <v>Saturday</v>
      </c>
      <c r="I341" s="1">
        <v>1</v>
      </c>
      <c r="J341" s="21" t="str">
        <f t="shared" si="26"/>
        <v>Clean</v>
      </c>
      <c r="K341" s="1">
        <v>0.12</v>
      </c>
      <c r="L341" s="21" t="str">
        <f t="shared" si="27"/>
        <v>Safe</v>
      </c>
      <c r="M341" s="1">
        <v>0.16669999999999999</v>
      </c>
      <c r="N341" s="1">
        <v>0.74</v>
      </c>
      <c r="O341" s="21" t="str">
        <f t="shared" si="28"/>
        <v>Risky</v>
      </c>
      <c r="P341" s="1">
        <v>8.9599999999999999E-2</v>
      </c>
      <c r="Q341" s="1">
        <v>0</v>
      </c>
      <c r="R341" s="1">
        <v>4</v>
      </c>
      <c r="S341" s="45">
        <v>4</v>
      </c>
    </row>
    <row r="342" spans="1:19" ht="15" thickBot="1" x14ac:dyDescent="0.35">
      <c r="A342" s="4">
        <v>951</v>
      </c>
      <c r="B342" s="2">
        <v>40586</v>
      </c>
      <c r="C342" s="1">
        <v>2</v>
      </c>
      <c r="D342" s="1">
        <v>5</v>
      </c>
      <c r="E342" s="16" t="b">
        <v>0</v>
      </c>
      <c r="F342" s="1">
        <v>6</v>
      </c>
      <c r="G342" s="21" t="str">
        <f t="shared" si="25"/>
        <v>Yes</v>
      </c>
      <c r="H342" s="26" t="str">
        <f t="shared" si="29"/>
        <v>Saturday</v>
      </c>
      <c r="I342" s="1">
        <v>1</v>
      </c>
      <c r="J342" s="21" t="str">
        <f t="shared" si="26"/>
        <v>Clean</v>
      </c>
      <c r="K342" s="1">
        <v>0.12</v>
      </c>
      <c r="L342" s="21" t="str">
        <f t="shared" si="27"/>
        <v>Safe</v>
      </c>
      <c r="M342" s="1">
        <v>0.16669999999999999</v>
      </c>
      <c r="N342" s="1">
        <v>0.74</v>
      </c>
      <c r="O342" s="21" t="str">
        <f t="shared" si="28"/>
        <v>Risky</v>
      </c>
      <c r="P342" s="1">
        <v>8.9599999999999999E-2</v>
      </c>
      <c r="Q342" s="1">
        <v>0</v>
      </c>
      <c r="R342" s="1">
        <v>1</v>
      </c>
      <c r="S342" s="45">
        <v>1</v>
      </c>
    </row>
    <row r="343" spans="1:19" ht="15" thickBot="1" x14ac:dyDescent="0.35">
      <c r="A343" s="4">
        <v>952</v>
      </c>
      <c r="B343" s="2">
        <v>40586</v>
      </c>
      <c r="C343" s="1">
        <v>2</v>
      </c>
      <c r="D343" s="1">
        <v>6</v>
      </c>
      <c r="E343" s="16" t="b">
        <v>0</v>
      </c>
      <c r="F343" s="1">
        <v>6</v>
      </c>
      <c r="G343" s="21" t="str">
        <f t="shared" si="25"/>
        <v>Yes</v>
      </c>
      <c r="H343" s="26" t="str">
        <f t="shared" si="29"/>
        <v>Saturday</v>
      </c>
      <c r="I343" s="1">
        <v>1</v>
      </c>
      <c r="J343" s="21" t="str">
        <f t="shared" si="26"/>
        <v>Clean</v>
      </c>
      <c r="K343" s="1">
        <v>0.12</v>
      </c>
      <c r="L343" s="21" t="str">
        <f t="shared" si="27"/>
        <v>Safe</v>
      </c>
      <c r="M343" s="1">
        <v>0.13639999999999999</v>
      </c>
      <c r="N343" s="1">
        <v>0.93</v>
      </c>
      <c r="O343" s="21" t="str">
        <f t="shared" si="28"/>
        <v>Risky</v>
      </c>
      <c r="P343" s="1">
        <v>0.19400000000000001</v>
      </c>
      <c r="Q343" s="1">
        <v>1</v>
      </c>
      <c r="R343" s="1">
        <v>1</v>
      </c>
      <c r="S343" s="45">
        <v>2</v>
      </c>
    </row>
    <row r="344" spans="1:19" ht="15" thickBot="1" x14ac:dyDescent="0.35">
      <c r="A344" s="4">
        <v>953</v>
      </c>
      <c r="B344" s="2">
        <v>40586</v>
      </c>
      <c r="C344" s="1">
        <v>2</v>
      </c>
      <c r="D344" s="1">
        <v>7</v>
      </c>
      <c r="E344" s="16" t="b">
        <v>0</v>
      </c>
      <c r="F344" s="1">
        <v>6</v>
      </c>
      <c r="G344" s="21" t="str">
        <f t="shared" si="25"/>
        <v>Yes</v>
      </c>
      <c r="H344" s="26" t="str">
        <f t="shared" si="29"/>
        <v>Saturday</v>
      </c>
      <c r="I344" s="1">
        <v>1</v>
      </c>
      <c r="J344" s="21" t="str">
        <f t="shared" si="26"/>
        <v>Clean</v>
      </c>
      <c r="K344" s="1">
        <v>0.12</v>
      </c>
      <c r="L344" s="21" t="str">
        <f t="shared" si="27"/>
        <v>Safe</v>
      </c>
      <c r="M344" s="1">
        <v>0.1515</v>
      </c>
      <c r="N344" s="1">
        <v>0.8</v>
      </c>
      <c r="O344" s="21" t="str">
        <f t="shared" si="28"/>
        <v>Risky</v>
      </c>
      <c r="P344" s="1">
        <v>0.1045</v>
      </c>
      <c r="Q344" s="1">
        <v>2</v>
      </c>
      <c r="R344" s="1">
        <v>9</v>
      </c>
      <c r="S344" s="45">
        <v>11</v>
      </c>
    </row>
    <row r="345" spans="1:19" ht="15" thickBot="1" x14ac:dyDescent="0.35">
      <c r="A345" s="4">
        <v>954</v>
      </c>
      <c r="B345" s="2">
        <v>40586</v>
      </c>
      <c r="C345" s="1">
        <v>2</v>
      </c>
      <c r="D345" s="1">
        <v>8</v>
      </c>
      <c r="E345" s="16" t="b">
        <v>0</v>
      </c>
      <c r="F345" s="1">
        <v>6</v>
      </c>
      <c r="G345" s="21" t="str">
        <f t="shared" si="25"/>
        <v>Yes</v>
      </c>
      <c r="H345" s="26" t="str">
        <f t="shared" si="29"/>
        <v>Saturday</v>
      </c>
      <c r="I345" s="1">
        <v>1</v>
      </c>
      <c r="J345" s="21" t="str">
        <f t="shared" si="26"/>
        <v>Clean</v>
      </c>
      <c r="K345" s="1">
        <v>0.14000000000000001</v>
      </c>
      <c r="L345" s="21" t="str">
        <f t="shared" si="27"/>
        <v>Safe</v>
      </c>
      <c r="M345" s="1">
        <v>0.1515</v>
      </c>
      <c r="N345" s="1">
        <v>0.86</v>
      </c>
      <c r="O345" s="21" t="str">
        <f t="shared" si="28"/>
        <v>Risky</v>
      </c>
      <c r="P345" s="1">
        <v>0.1343</v>
      </c>
      <c r="Q345" s="1">
        <v>2</v>
      </c>
      <c r="R345" s="1">
        <v>28</v>
      </c>
      <c r="S345" s="45">
        <v>30</v>
      </c>
    </row>
    <row r="346" spans="1:19" ht="15" thickBot="1" x14ac:dyDescent="0.35">
      <c r="A346" s="4">
        <v>955</v>
      </c>
      <c r="B346" s="2">
        <v>40586</v>
      </c>
      <c r="C346" s="1">
        <v>2</v>
      </c>
      <c r="D346" s="1">
        <v>9</v>
      </c>
      <c r="E346" s="16" t="b">
        <v>0</v>
      </c>
      <c r="F346" s="1">
        <v>6</v>
      </c>
      <c r="G346" s="21" t="str">
        <f t="shared" si="25"/>
        <v>Yes</v>
      </c>
      <c r="H346" s="26" t="str">
        <f t="shared" si="29"/>
        <v>Saturday</v>
      </c>
      <c r="I346" s="1">
        <v>1</v>
      </c>
      <c r="J346" s="21" t="str">
        <f t="shared" si="26"/>
        <v>Clean</v>
      </c>
      <c r="K346" s="1">
        <v>0.16</v>
      </c>
      <c r="L346" s="21" t="str">
        <f t="shared" si="27"/>
        <v>Safe</v>
      </c>
      <c r="M346" s="1">
        <v>0.18179999999999999</v>
      </c>
      <c r="N346" s="1">
        <v>0.64</v>
      </c>
      <c r="O346" s="21" t="str">
        <f t="shared" si="28"/>
        <v>Acceptable</v>
      </c>
      <c r="P346" s="1">
        <v>0.1343</v>
      </c>
      <c r="Q346" s="1">
        <v>5</v>
      </c>
      <c r="R346" s="1">
        <v>38</v>
      </c>
      <c r="S346" s="45">
        <v>43</v>
      </c>
    </row>
    <row r="347" spans="1:19" ht="15" thickBot="1" x14ac:dyDescent="0.35">
      <c r="A347" s="4">
        <v>956</v>
      </c>
      <c r="B347" s="2">
        <v>40586</v>
      </c>
      <c r="C347" s="1">
        <v>2</v>
      </c>
      <c r="D347" s="1">
        <v>10</v>
      </c>
      <c r="E347" s="16" t="b">
        <v>0</v>
      </c>
      <c r="F347" s="1">
        <v>6</v>
      </c>
      <c r="G347" s="21" t="str">
        <f t="shared" si="25"/>
        <v>Yes</v>
      </c>
      <c r="H347" s="26" t="str">
        <f t="shared" si="29"/>
        <v>Saturday</v>
      </c>
      <c r="I347" s="1">
        <v>1</v>
      </c>
      <c r="J347" s="21" t="str">
        <f t="shared" si="26"/>
        <v>Clean</v>
      </c>
      <c r="K347" s="1">
        <v>0.22</v>
      </c>
      <c r="L347" s="21" t="str">
        <f t="shared" si="27"/>
        <v>Safe</v>
      </c>
      <c r="M347" s="1">
        <v>0.21210000000000001</v>
      </c>
      <c r="N347" s="1">
        <v>0.41</v>
      </c>
      <c r="O347" s="21" t="str">
        <f t="shared" si="28"/>
        <v>Acceptable</v>
      </c>
      <c r="P347" s="1">
        <v>0.25369999999999998</v>
      </c>
      <c r="Q347" s="1">
        <v>13</v>
      </c>
      <c r="R347" s="1">
        <v>71</v>
      </c>
      <c r="S347" s="45">
        <v>84</v>
      </c>
    </row>
    <row r="348" spans="1:19" ht="15" thickBot="1" x14ac:dyDescent="0.35">
      <c r="A348" s="4">
        <v>957</v>
      </c>
      <c r="B348" s="2">
        <v>40586</v>
      </c>
      <c r="C348" s="1">
        <v>2</v>
      </c>
      <c r="D348" s="1">
        <v>11</v>
      </c>
      <c r="E348" s="16" t="b">
        <v>0</v>
      </c>
      <c r="F348" s="1">
        <v>6</v>
      </c>
      <c r="G348" s="21" t="str">
        <f t="shared" si="25"/>
        <v>Yes</v>
      </c>
      <c r="H348" s="26" t="str">
        <f t="shared" si="29"/>
        <v>Saturday</v>
      </c>
      <c r="I348" s="1">
        <v>1</v>
      </c>
      <c r="J348" s="21" t="str">
        <f t="shared" si="26"/>
        <v>Clean</v>
      </c>
      <c r="K348" s="1">
        <v>0.3</v>
      </c>
      <c r="L348" s="21" t="str">
        <f t="shared" si="27"/>
        <v>Safe</v>
      </c>
      <c r="M348" s="1">
        <v>0.2727</v>
      </c>
      <c r="N348" s="1">
        <v>0.28000000000000003</v>
      </c>
      <c r="O348" s="21" t="str">
        <f t="shared" si="28"/>
        <v>Acceptable</v>
      </c>
      <c r="P348" s="1">
        <v>0.32840000000000003</v>
      </c>
      <c r="Q348" s="1">
        <v>30</v>
      </c>
      <c r="R348" s="1">
        <v>84</v>
      </c>
      <c r="S348" s="45">
        <v>114</v>
      </c>
    </row>
    <row r="349" spans="1:19" ht="15" thickBot="1" x14ac:dyDescent="0.35">
      <c r="A349" s="4">
        <v>958</v>
      </c>
      <c r="B349" s="2">
        <v>40586</v>
      </c>
      <c r="C349" s="1">
        <v>2</v>
      </c>
      <c r="D349" s="1">
        <v>12</v>
      </c>
      <c r="E349" s="16" t="b">
        <v>0</v>
      </c>
      <c r="F349" s="1">
        <v>6</v>
      </c>
      <c r="G349" s="21" t="str">
        <f t="shared" si="25"/>
        <v>Yes</v>
      </c>
      <c r="H349" s="26" t="str">
        <f t="shared" si="29"/>
        <v>Saturday</v>
      </c>
      <c r="I349" s="1">
        <v>1</v>
      </c>
      <c r="J349" s="21" t="str">
        <f t="shared" si="26"/>
        <v>Clean</v>
      </c>
      <c r="K349" s="1">
        <v>0.3</v>
      </c>
      <c r="L349" s="21" t="str">
        <f t="shared" si="27"/>
        <v>Safe</v>
      </c>
      <c r="M349" s="1">
        <v>0.2727</v>
      </c>
      <c r="N349" s="1">
        <v>0.39</v>
      </c>
      <c r="O349" s="21" t="str">
        <f t="shared" si="28"/>
        <v>Acceptable</v>
      </c>
      <c r="P349" s="1">
        <v>0.4627</v>
      </c>
      <c r="Q349" s="1">
        <v>27</v>
      </c>
      <c r="R349" s="1">
        <v>93</v>
      </c>
      <c r="S349" s="45">
        <v>120</v>
      </c>
    </row>
    <row r="350" spans="1:19" ht="15" thickBot="1" x14ac:dyDescent="0.35">
      <c r="A350" s="4">
        <v>959</v>
      </c>
      <c r="B350" s="2">
        <v>40586</v>
      </c>
      <c r="C350" s="1">
        <v>2</v>
      </c>
      <c r="D350" s="1">
        <v>13</v>
      </c>
      <c r="E350" s="16" t="b">
        <v>0</v>
      </c>
      <c r="F350" s="1">
        <v>6</v>
      </c>
      <c r="G350" s="21" t="str">
        <f t="shared" si="25"/>
        <v>Yes</v>
      </c>
      <c r="H350" s="26" t="str">
        <f t="shared" si="29"/>
        <v>Saturday</v>
      </c>
      <c r="I350" s="1">
        <v>1</v>
      </c>
      <c r="J350" s="21" t="str">
        <f t="shared" si="26"/>
        <v>Clean</v>
      </c>
      <c r="K350" s="1">
        <v>0.3</v>
      </c>
      <c r="L350" s="21" t="str">
        <f t="shared" si="27"/>
        <v>Safe</v>
      </c>
      <c r="M350" s="1">
        <v>0.2727</v>
      </c>
      <c r="N350" s="1">
        <v>0.39</v>
      </c>
      <c r="O350" s="21" t="str">
        <f t="shared" si="28"/>
        <v>Acceptable</v>
      </c>
      <c r="P350" s="1">
        <v>0.41789999999999999</v>
      </c>
      <c r="Q350" s="1">
        <v>32</v>
      </c>
      <c r="R350" s="1">
        <v>103</v>
      </c>
      <c r="S350" s="45">
        <v>135</v>
      </c>
    </row>
    <row r="351" spans="1:19" ht="15" thickBot="1" x14ac:dyDescent="0.35">
      <c r="A351" s="4">
        <v>960</v>
      </c>
      <c r="B351" s="2">
        <v>40586</v>
      </c>
      <c r="C351" s="1">
        <v>2</v>
      </c>
      <c r="D351" s="1">
        <v>14</v>
      </c>
      <c r="E351" s="16" t="b">
        <v>0</v>
      </c>
      <c r="F351" s="1">
        <v>6</v>
      </c>
      <c r="G351" s="21" t="str">
        <f t="shared" si="25"/>
        <v>Yes</v>
      </c>
      <c r="H351" s="26" t="str">
        <f t="shared" si="29"/>
        <v>Saturday</v>
      </c>
      <c r="I351" s="1">
        <v>1</v>
      </c>
      <c r="J351" s="21" t="str">
        <f t="shared" si="26"/>
        <v>Clean</v>
      </c>
      <c r="K351" s="1">
        <v>0.34</v>
      </c>
      <c r="L351" s="21" t="str">
        <f t="shared" si="27"/>
        <v>Safe</v>
      </c>
      <c r="M351" s="1">
        <v>0.31819999999999998</v>
      </c>
      <c r="N351" s="1">
        <v>0.31</v>
      </c>
      <c r="O351" s="21" t="str">
        <f t="shared" si="28"/>
        <v>Acceptable</v>
      </c>
      <c r="P351" s="1">
        <v>0.28360000000000002</v>
      </c>
      <c r="Q351" s="1">
        <v>30</v>
      </c>
      <c r="R351" s="1">
        <v>90</v>
      </c>
      <c r="S351" s="45">
        <v>120</v>
      </c>
    </row>
    <row r="352" spans="1:19" ht="15" thickBot="1" x14ac:dyDescent="0.35">
      <c r="A352" s="4">
        <v>961</v>
      </c>
      <c r="B352" s="2">
        <v>40586</v>
      </c>
      <c r="C352" s="1">
        <v>2</v>
      </c>
      <c r="D352" s="1">
        <v>15</v>
      </c>
      <c r="E352" s="16" t="b">
        <v>0</v>
      </c>
      <c r="F352" s="1">
        <v>6</v>
      </c>
      <c r="G352" s="21" t="str">
        <f t="shared" si="25"/>
        <v>Yes</v>
      </c>
      <c r="H352" s="26" t="str">
        <f t="shared" si="29"/>
        <v>Saturday</v>
      </c>
      <c r="I352" s="1">
        <v>1</v>
      </c>
      <c r="J352" s="21" t="str">
        <f t="shared" si="26"/>
        <v>Clean</v>
      </c>
      <c r="K352" s="1">
        <v>0.34</v>
      </c>
      <c r="L352" s="21" t="str">
        <f t="shared" si="27"/>
        <v>Safe</v>
      </c>
      <c r="M352" s="1">
        <v>0.30299999999999999</v>
      </c>
      <c r="N352" s="1">
        <v>0.28999999999999998</v>
      </c>
      <c r="O352" s="21" t="str">
        <f t="shared" si="28"/>
        <v>Acceptable</v>
      </c>
      <c r="P352" s="1">
        <v>0.41789999999999999</v>
      </c>
      <c r="Q352" s="1">
        <v>47</v>
      </c>
      <c r="R352" s="1">
        <v>127</v>
      </c>
      <c r="S352" s="45">
        <v>174</v>
      </c>
    </row>
    <row r="353" spans="1:19" ht="15" thickBot="1" x14ac:dyDescent="0.35">
      <c r="A353" s="4">
        <v>962</v>
      </c>
      <c r="B353" s="2">
        <v>40586</v>
      </c>
      <c r="C353" s="1">
        <v>2</v>
      </c>
      <c r="D353" s="1">
        <v>16</v>
      </c>
      <c r="E353" s="16" t="b">
        <v>0</v>
      </c>
      <c r="F353" s="1">
        <v>6</v>
      </c>
      <c r="G353" s="21" t="str">
        <f t="shared" si="25"/>
        <v>Yes</v>
      </c>
      <c r="H353" s="26" t="str">
        <f t="shared" si="29"/>
        <v>Saturday</v>
      </c>
      <c r="I353" s="1">
        <v>1</v>
      </c>
      <c r="J353" s="21" t="str">
        <f t="shared" si="26"/>
        <v>Clean</v>
      </c>
      <c r="K353" s="1">
        <v>0.34</v>
      </c>
      <c r="L353" s="21" t="str">
        <f t="shared" si="27"/>
        <v>Safe</v>
      </c>
      <c r="M353" s="1">
        <v>0.30299999999999999</v>
      </c>
      <c r="N353" s="1">
        <v>0.28999999999999998</v>
      </c>
      <c r="O353" s="21" t="str">
        <f t="shared" si="28"/>
        <v>Acceptable</v>
      </c>
      <c r="P353" s="1">
        <v>0.41789999999999999</v>
      </c>
      <c r="Q353" s="1">
        <v>42</v>
      </c>
      <c r="R353" s="1">
        <v>103</v>
      </c>
      <c r="S353" s="45">
        <v>145</v>
      </c>
    </row>
    <row r="354" spans="1:19" ht="15" thickBot="1" x14ac:dyDescent="0.35">
      <c r="A354" s="4">
        <v>963</v>
      </c>
      <c r="B354" s="2">
        <v>40586</v>
      </c>
      <c r="C354" s="1">
        <v>2</v>
      </c>
      <c r="D354" s="1">
        <v>17</v>
      </c>
      <c r="E354" s="16" t="b">
        <v>0</v>
      </c>
      <c r="F354" s="1">
        <v>6</v>
      </c>
      <c r="G354" s="21" t="str">
        <f t="shared" si="25"/>
        <v>Yes</v>
      </c>
      <c r="H354" s="26" t="str">
        <f t="shared" si="29"/>
        <v>Saturday</v>
      </c>
      <c r="I354" s="1">
        <v>1</v>
      </c>
      <c r="J354" s="21" t="str">
        <f t="shared" si="26"/>
        <v>Clean</v>
      </c>
      <c r="K354" s="1">
        <v>0.32</v>
      </c>
      <c r="L354" s="21" t="str">
        <f t="shared" si="27"/>
        <v>Safe</v>
      </c>
      <c r="M354" s="1">
        <v>0.28789999999999999</v>
      </c>
      <c r="N354" s="1">
        <v>0.31</v>
      </c>
      <c r="O354" s="21" t="str">
        <f t="shared" si="28"/>
        <v>Acceptable</v>
      </c>
      <c r="P354" s="1">
        <v>0.52239999999999998</v>
      </c>
      <c r="Q354" s="1">
        <v>24</v>
      </c>
      <c r="R354" s="1">
        <v>113</v>
      </c>
      <c r="S354" s="45">
        <v>137</v>
      </c>
    </row>
    <row r="355" spans="1:19" ht="15" thickBot="1" x14ac:dyDescent="0.35">
      <c r="A355" s="4">
        <v>964</v>
      </c>
      <c r="B355" s="2">
        <v>40586</v>
      </c>
      <c r="C355" s="1">
        <v>2</v>
      </c>
      <c r="D355" s="1">
        <v>18</v>
      </c>
      <c r="E355" s="16" t="b">
        <v>0</v>
      </c>
      <c r="F355" s="1">
        <v>6</v>
      </c>
      <c r="G355" s="21" t="str">
        <f t="shared" si="25"/>
        <v>Yes</v>
      </c>
      <c r="H355" s="26" t="str">
        <f t="shared" si="29"/>
        <v>Saturday</v>
      </c>
      <c r="I355" s="1">
        <v>1</v>
      </c>
      <c r="J355" s="21" t="str">
        <f t="shared" si="26"/>
        <v>Clean</v>
      </c>
      <c r="K355" s="1">
        <v>0.28000000000000003</v>
      </c>
      <c r="L355" s="21" t="str">
        <f t="shared" si="27"/>
        <v>Safe</v>
      </c>
      <c r="M355" s="1">
        <v>0.2576</v>
      </c>
      <c r="N355" s="1">
        <v>0.38</v>
      </c>
      <c r="O355" s="21" t="str">
        <f t="shared" si="28"/>
        <v>Acceptable</v>
      </c>
      <c r="P355" s="1">
        <v>0.32840000000000003</v>
      </c>
      <c r="Q355" s="1">
        <v>4</v>
      </c>
      <c r="R355" s="1">
        <v>60</v>
      </c>
      <c r="S355" s="45">
        <v>64</v>
      </c>
    </row>
    <row r="356" spans="1:19" ht="15" thickBot="1" x14ac:dyDescent="0.35">
      <c r="A356" s="4">
        <v>965</v>
      </c>
      <c r="B356" s="2">
        <v>40586</v>
      </c>
      <c r="C356" s="1">
        <v>2</v>
      </c>
      <c r="D356" s="1">
        <v>19</v>
      </c>
      <c r="E356" s="16" t="b">
        <v>0</v>
      </c>
      <c r="F356" s="1">
        <v>6</v>
      </c>
      <c r="G356" s="21" t="str">
        <f t="shared" si="25"/>
        <v>Yes</v>
      </c>
      <c r="H356" s="26" t="str">
        <f t="shared" si="29"/>
        <v>Saturday</v>
      </c>
      <c r="I356" s="1">
        <v>1</v>
      </c>
      <c r="J356" s="21" t="str">
        <f t="shared" si="26"/>
        <v>Clean</v>
      </c>
      <c r="K356" s="1">
        <v>0.28000000000000003</v>
      </c>
      <c r="L356" s="21" t="str">
        <f t="shared" si="27"/>
        <v>Safe</v>
      </c>
      <c r="M356" s="1">
        <v>0.2727</v>
      </c>
      <c r="N356" s="1">
        <v>0.38</v>
      </c>
      <c r="O356" s="21" t="str">
        <f t="shared" si="28"/>
        <v>Acceptable</v>
      </c>
      <c r="P356" s="1">
        <v>0.16420000000000001</v>
      </c>
      <c r="Q356" s="1">
        <v>2</v>
      </c>
      <c r="R356" s="1">
        <v>39</v>
      </c>
      <c r="S356" s="45">
        <v>41</v>
      </c>
    </row>
    <row r="357" spans="1:19" ht="15" thickBot="1" x14ac:dyDescent="0.35">
      <c r="A357" s="4">
        <v>966</v>
      </c>
      <c r="B357" s="2">
        <v>40586</v>
      </c>
      <c r="C357" s="1">
        <v>2</v>
      </c>
      <c r="D357" s="1">
        <v>20</v>
      </c>
      <c r="E357" s="16" t="b">
        <v>0</v>
      </c>
      <c r="F357" s="1">
        <v>6</v>
      </c>
      <c r="G357" s="21" t="str">
        <f t="shared" si="25"/>
        <v>Yes</v>
      </c>
      <c r="H357" s="26" t="str">
        <f t="shared" si="29"/>
        <v>Saturday</v>
      </c>
      <c r="I357" s="1">
        <v>1</v>
      </c>
      <c r="J357" s="21" t="str">
        <f t="shared" si="26"/>
        <v>Clean</v>
      </c>
      <c r="K357" s="1">
        <v>0.26</v>
      </c>
      <c r="L357" s="21" t="str">
        <f t="shared" si="27"/>
        <v>Safe</v>
      </c>
      <c r="M357" s="1">
        <v>0.2576</v>
      </c>
      <c r="N357" s="1">
        <v>0.41</v>
      </c>
      <c r="O357" s="21" t="str">
        <f t="shared" si="28"/>
        <v>Acceptable</v>
      </c>
      <c r="P357" s="1">
        <v>0.22389999999999999</v>
      </c>
      <c r="Q357" s="1">
        <v>1</v>
      </c>
      <c r="R357" s="1">
        <v>39</v>
      </c>
      <c r="S357" s="45">
        <v>40</v>
      </c>
    </row>
    <row r="358" spans="1:19" ht="15" thickBot="1" x14ac:dyDescent="0.35">
      <c r="A358" s="4">
        <v>967</v>
      </c>
      <c r="B358" s="2">
        <v>40586</v>
      </c>
      <c r="C358" s="1">
        <v>2</v>
      </c>
      <c r="D358" s="1">
        <v>21</v>
      </c>
      <c r="E358" s="16" t="b">
        <v>0</v>
      </c>
      <c r="F358" s="1">
        <v>6</v>
      </c>
      <c r="G358" s="21" t="str">
        <f t="shared" si="25"/>
        <v>Yes</v>
      </c>
      <c r="H358" s="26" t="str">
        <f t="shared" si="29"/>
        <v>Saturday</v>
      </c>
      <c r="I358" s="1">
        <v>1</v>
      </c>
      <c r="J358" s="21" t="str">
        <f t="shared" si="26"/>
        <v>Clean</v>
      </c>
      <c r="K358" s="1">
        <v>0.26</v>
      </c>
      <c r="L358" s="21" t="str">
        <f t="shared" si="27"/>
        <v>Safe</v>
      </c>
      <c r="M358" s="1">
        <v>0.30299999999999999</v>
      </c>
      <c r="N358" s="1">
        <v>0.41</v>
      </c>
      <c r="O358" s="21" t="str">
        <f t="shared" si="28"/>
        <v>Acceptable</v>
      </c>
      <c r="P358" s="1">
        <v>0</v>
      </c>
      <c r="Q358" s="1">
        <v>9</v>
      </c>
      <c r="R358" s="1">
        <v>42</v>
      </c>
      <c r="S358" s="45">
        <v>51</v>
      </c>
    </row>
    <row r="359" spans="1:19" ht="15" thickBot="1" x14ac:dyDescent="0.35">
      <c r="A359" s="4">
        <v>968</v>
      </c>
      <c r="B359" s="2">
        <v>40586</v>
      </c>
      <c r="C359" s="1">
        <v>2</v>
      </c>
      <c r="D359" s="1">
        <v>22</v>
      </c>
      <c r="E359" s="16" t="b">
        <v>0</v>
      </c>
      <c r="F359" s="1">
        <v>6</v>
      </c>
      <c r="G359" s="21" t="str">
        <f t="shared" si="25"/>
        <v>Yes</v>
      </c>
      <c r="H359" s="26" t="str">
        <f t="shared" si="29"/>
        <v>Saturday</v>
      </c>
      <c r="I359" s="1">
        <v>1</v>
      </c>
      <c r="J359" s="21" t="str">
        <f t="shared" si="26"/>
        <v>Clean</v>
      </c>
      <c r="K359" s="1">
        <v>0.24</v>
      </c>
      <c r="L359" s="21" t="str">
        <f t="shared" si="27"/>
        <v>Safe</v>
      </c>
      <c r="M359" s="1">
        <v>0.2576</v>
      </c>
      <c r="N359" s="1">
        <v>0.44</v>
      </c>
      <c r="O359" s="21" t="str">
        <f t="shared" si="28"/>
        <v>Acceptable</v>
      </c>
      <c r="P359" s="1">
        <v>8.9599999999999999E-2</v>
      </c>
      <c r="Q359" s="1">
        <v>6</v>
      </c>
      <c r="R359" s="1">
        <v>39</v>
      </c>
      <c r="S359" s="45">
        <v>45</v>
      </c>
    </row>
    <row r="360" spans="1:19" ht="15" thickBot="1" x14ac:dyDescent="0.35">
      <c r="A360" s="4">
        <v>969</v>
      </c>
      <c r="B360" s="2">
        <v>40586</v>
      </c>
      <c r="C360" s="1">
        <v>2</v>
      </c>
      <c r="D360" s="1">
        <v>23</v>
      </c>
      <c r="E360" s="16" t="b">
        <v>0</v>
      </c>
      <c r="F360" s="1">
        <v>6</v>
      </c>
      <c r="G360" s="21" t="str">
        <f t="shared" si="25"/>
        <v>Yes</v>
      </c>
      <c r="H360" s="26" t="str">
        <f t="shared" si="29"/>
        <v>Saturday</v>
      </c>
      <c r="I360" s="1">
        <v>1</v>
      </c>
      <c r="J360" s="21" t="str">
        <f t="shared" si="26"/>
        <v>Clean</v>
      </c>
      <c r="K360" s="1">
        <v>0.22</v>
      </c>
      <c r="L360" s="21" t="str">
        <f t="shared" si="27"/>
        <v>Safe</v>
      </c>
      <c r="M360" s="1">
        <v>0.2273</v>
      </c>
      <c r="N360" s="1">
        <v>0.51</v>
      </c>
      <c r="O360" s="21" t="str">
        <f t="shared" si="28"/>
        <v>Acceptable</v>
      </c>
      <c r="P360" s="1">
        <v>0.1343</v>
      </c>
      <c r="Q360" s="1">
        <v>1</v>
      </c>
      <c r="R360" s="1">
        <v>31</v>
      </c>
      <c r="S360" s="45">
        <v>32</v>
      </c>
    </row>
    <row r="361" spans="1:19" ht="15" thickBot="1" x14ac:dyDescent="0.35">
      <c r="A361" s="4">
        <v>970</v>
      </c>
      <c r="B361" s="2">
        <v>40587</v>
      </c>
      <c r="C361" s="1">
        <v>2</v>
      </c>
      <c r="D361" s="1">
        <v>0</v>
      </c>
      <c r="E361" s="16" t="b">
        <v>0</v>
      </c>
      <c r="F361" s="1">
        <v>0</v>
      </c>
      <c r="G361" s="21" t="str">
        <f t="shared" si="25"/>
        <v>Yes</v>
      </c>
      <c r="H361" s="26" t="str">
        <f t="shared" si="29"/>
        <v>Sunday</v>
      </c>
      <c r="I361" s="1">
        <v>1</v>
      </c>
      <c r="J361" s="21" t="str">
        <f t="shared" si="26"/>
        <v>Clean</v>
      </c>
      <c r="K361" s="1">
        <v>0.2</v>
      </c>
      <c r="L361" s="21" t="str">
        <f t="shared" si="27"/>
        <v>Safe</v>
      </c>
      <c r="M361" s="1">
        <v>0.2273</v>
      </c>
      <c r="N361" s="1">
        <v>0.64</v>
      </c>
      <c r="O361" s="21" t="str">
        <f t="shared" si="28"/>
        <v>Acceptable</v>
      </c>
      <c r="P361" s="1">
        <v>0.1045</v>
      </c>
      <c r="Q361" s="1">
        <v>5</v>
      </c>
      <c r="R361" s="1">
        <v>34</v>
      </c>
      <c r="S361" s="45">
        <v>39</v>
      </c>
    </row>
    <row r="362" spans="1:19" ht="15" thickBot="1" x14ac:dyDescent="0.35">
      <c r="A362" s="4">
        <v>971</v>
      </c>
      <c r="B362" s="2">
        <v>40587</v>
      </c>
      <c r="C362" s="1">
        <v>2</v>
      </c>
      <c r="D362" s="1">
        <v>1</v>
      </c>
      <c r="E362" s="16" t="b">
        <v>0</v>
      </c>
      <c r="F362" s="1">
        <v>0</v>
      </c>
      <c r="G362" s="21" t="str">
        <f t="shared" si="25"/>
        <v>Yes</v>
      </c>
      <c r="H362" s="26" t="str">
        <f t="shared" si="29"/>
        <v>Sunday</v>
      </c>
      <c r="I362" s="1">
        <v>1</v>
      </c>
      <c r="J362" s="21" t="str">
        <f t="shared" si="26"/>
        <v>Clean</v>
      </c>
      <c r="K362" s="1">
        <v>0.2</v>
      </c>
      <c r="L362" s="21" t="str">
        <f t="shared" si="27"/>
        <v>Safe</v>
      </c>
      <c r="M362" s="1">
        <v>0.2273</v>
      </c>
      <c r="N362" s="1">
        <v>0.59</v>
      </c>
      <c r="O362" s="21" t="str">
        <f t="shared" si="28"/>
        <v>Acceptable</v>
      </c>
      <c r="P362" s="1">
        <v>8.9599999999999999E-2</v>
      </c>
      <c r="Q362" s="1">
        <v>1</v>
      </c>
      <c r="R362" s="1">
        <v>23</v>
      </c>
      <c r="S362" s="45">
        <v>24</v>
      </c>
    </row>
    <row r="363" spans="1:19" ht="15" thickBot="1" x14ac:dyDescent="0.35">
      <c r="A363" s="4">
        <v>972</v>
      </c>
      <c r="B363" s="2">
        <v>40587</v>
      </c>
      <c r="C363" s="1">
        <v>2</v>
      </c>
      <c r="D363" s="1">
        <v>2</v>
      </c>
      <c r="E363" s="16" t="b">
        <v>0</v>
      </c>
      <c r="F363" s="1">
        <v>0</v>
      </c>
      <c r="G363" s="21" t="str">
        <f t="shared" si="25"/>
        <v>Yes</v>
      </c>
      <c r="H363" s="26" t="str">
        <f t="shared" si="29"/>
        <v>Sunday</v>
      </c>
      <c r="I363" s="1">
        <v>2</v>
      </c>
      <c r="J363" s="21" t="str">
        <f t="shared" si="26"/>
        <v>Misty</v>
      </c>
      <c r="K363" s="1">
        <v>0.2</v>
      </c>
      <c r="L363" s="21" t="str">
        <f t="shared" si="27"/>
        <v>Safe</v>
      </c>
      <c r="M363" s="1">
        <v>0.2273</v>
      </c>
      <c r="N363" s="1">
        <v>0.75</v>
      </c>
      <c r="O363" s="21" t="str">
        <f t="shared" si="28"/>
        <v>Risky</v>
      </c>
      <c r="P363" s="1">
        <v>8.9599999999999999E-2</v>
      </c>
      <c r="Q363" s="1">
        <v>1</v>
      </c>
      <c r="R363" s="1">
        <v>19</v>
      </c>
      <c r="S363" s="45">
        <v>20</v>
      </c>
    </row>
    <row r="364" spans="1:19" ht="15" thickBot="1" x14ac:dyDescent="0.35">
      <c r="A364" s="4">
        <v>973</v>
      </c>
      <c r="B364" s="2">
        <v>40587</v>
      </c>
      <c r="C364" s="1">
        <v>2</v>
      </c>
      <c r="D364" s="1">
        <v>3</v>
      </c>
      <c r="E364" s="16" t="b">
        <v>0</v>
      </c>
      <c r="F364" s="1">
        <v>0</v>
      </c>
      <c r="G364" s="21" t="str">
        <f t="shared" si="25"/>
        <v>Yes</v>
      </c>
      <c r="H364" s="26" t="str">
        <f t="shared" si="29"/>
        <v>Sunday</v>
      </c>
      <c r="I364" s="1">
        <v>2</v>
      </c>
      <c r="J364" s="21" t="str">
        <f t="shared" si="26"/>
        <v>Misty</v>
      </c>
      <c r="K364" s="1">
        <v>0.2</v>
      </c>
      <c r="L364" s="21" t="str">
        <f t="shared" si="27"/>
        <v>Safe</v>
      </c>
      <c r="M364" s="1">
        <v>0.2273</v>
      </c>
      <c r="N364" s="1">
        <v>0.69</v>
      </c>
      <c r="O364" s="21" t="str">
        <f t="shared" si="28"/>
        <v>Acceptable</v>
      </c>
      <c r="P364" s="1">
        <v>0.1045</v>
      </c>
      <c r="Q364" s="1">
        <v>4</v>
      </c>
      <c r="R364" s="1">
        <v>8</v>
      </c>
      <c r="S364" s="45">
        <v>12</v>
      </c>
    </row>
    <row r="365" spans="1:19" ht="15" thickBot="1" x14ac:dyDescent="0.35">
      <c r="A365" s="4">
        <v>974</v>
      </c>
      <c r="B365" s="2">
        <v>40587</v>
      </c>
      <c r="C365" s="1">
        <v>2</v>
      </c>
      <c r="D365" s="1">
        <v>4</v>
      </c>
      <c r="E365" s="16" t="b">
        <v>0</v>
      </c>
      <c r="F365" s="1">
        <v>0</v>
      </c>
      <c r="G365" s="21" t="str">
        <f t="shared" si="25"/>
        <v>Yes</v>
      </c>
      <c r="H365" s="26" t="str">
        <f t="shared" si="29"/>
        <v>Sunday</v>
      </c>
      <c r="I365" s="1">
        <v>2</v>
      </c>
      <c r="J365" s="21" t="str">
        <f t="shared" si="26"/>
        <v>Misty</v>
      </c>
      <c r="K365" s="1">
        <v>0.2</v>
      </c>
      <c r="L365" s="21" t="str">
        <f t="shared" si="27"/>
        <v>Safe</v>
      </c>
      <c r="M365" s="1">
        <v>0.21210000000000001</v>
      </c>
      <c r="N365" s="1">
        <v>0.69</v>
      </c>
      <c r="O365" s="21" t="str">
        <f t="shared" si="28"/>
        <v>Acceptable</v>
      </c>
      <c r="P365" s="1">
        <v>0.16420000000000001</v>
      </c>
      <c r="Q365" s="1">
        <v>0</v>
      </c>
      <c r="R365" s="1">
        <v>2</v>
      </c>
      <c r="S365" s="45">
        <v>2</v>
      </c>
    </row>
    <row r="366" spans="1:19" ht="15" thickBot="1" x14ac:dyDescent="0.35">
      <c r="A366" s="4">
        <v>975</v>
      </c>
      <c r="B366" s="2">
        <v>40587</v>
      </c>
      <c r="C366" s="1">
        <v>2</v>
      </c>
      <c r="D366" s="1">
        <v>6</v>
      </c>
      <c r="E366" s="16" t="b">
        <v>0</v>
      </c>
      <c r="F366" s="1">
        <v>0</v>
      </c>
      <c r="G366" s="21" t="str">
        <f t="shared" si="25"/>
        <v>Yes</v>
      </c>
      <c r="H366" s="26" t="str">
        <f t="shared" si="29"/>
        <v>Sunday</v>
      </c>
      <c r="I366" s="1">
        <v>2</v>
      </c>
      <c r="J366" s="21" t="str">
        <f t="shared" si="26"/>
        <v>Misty</v>
      </c>
      <c r="K366" s="1">
        <v>0.2</v>
      </c>
      <c r="L366" s="21" t="str">
        <f t="shared" si="27"/>
        <v>Safe</v>
      </c>
      <c r="M366" s="1">
        <v>0.21210000000000001</v>
      </c>
      <c r="N366" s="1">
        <v>0.69</v>
      </c>
      <c r="O366" s="21" t="str">
        <f t="shared" si="28"/>
        <v>Acceptable</v>
      </c>
      <c r="P366" s="1">
        <v>0.1343</v>
      </c>
      <c r="Q366" s="1">
        <v>2</v>
      </c>
      <c r="R366" s="1">
        <v>3</v>
      </c>
      <c r="S366" s="45">
        <v>5</v>
      </c>
    </row>
    <row r="367" spans="1:19" ht="15" thickBot="1" x14ac:dyDescent="0.35">
      <c r="A367" s="4">
        <v>976</v>
      </c>
      <c r="B367" s="2">
        <v>40587</v>
      </c>
      <c r="C367" s="1">
        <v>2</v>
      </c>
      <c r="D367" s="1">
        <v>7</v>
      </c>
      <c r="E367" s="16" t="b">
        <v>0</v>
      </c>
      <c r="F367" s="1">
        <v>0</v>
      </c>
      <c r="G367" s="21" t="str">
        <f t="shared" si="25"/>
        <v>Yes</v>
      </c>
      <c r="H367" s="26" t="str">
        <f t="shared" si="29"/>
        <v>Sunday</v>
      </c>
      <c r="I367" s="1">
        <v>2</v>
      </c>
      <c r="J367" s="21" t="str">
        <f t="shared" si="26"/>
        <v>Misty</v>
      </c>
      <c r="K367" s="1">
        <v>0.22</v>
      </c>
      <c r="L367" s="21" t="str">
        <f t="shared" si="27"/>
        <v>Safe</v>
      </c>
      <c r="M367" s="1">
        <v>0.2727</v>
      </c>
      <c r="N367" s="1">
        <v>0.55000000000000004</v>
      </c>
      <c r="O367" s="21" t="str">
        <f t="shared" si="28"/>
        <v>Acceptable</v>
      </c>
      <c r="P367" s="1">
        <v>0</v>
      </c>
      <c r="Q367" s="1">
        <v>0</v>
      </c>
      <c r="R367" s="1">
        <v>3</v>
      </c>
      <c r="S367" s="45">
        <v>3</v>
      </c>
    </row>
    <row r="368" spans="1:19" ht="15" thickBot="1" x14ac:dyDescent="0.35">
      <c r="A368" s="4">
        <v>977</v>
      </c>
      <c r="B368" s="2">
        <v>40587</v>
      </c>
      <c r="C368" s="1">
        <v>2</v>
      </c>
      <c r="D368" s="1">
        <v>8</v>
      </c>
      <c r="E368" s="16" t="b">
        <v>0</v>
      </c>
      <c r="F368" s="1">
        <v>0</v>
      </c>
      <c r="G368" s="21" t="str">
        <f t="shared" si="25"/>
        <v>Yes</v>
      </c>
      <c r="H368" s="26" t="str">
        <f t="shared" si="29"/>
        <v>Sunday</v>
      </c>
      <c r="I368" s="1">
        <v>2</v>
      </c>
      <c r="J368" s="21" t="str">
        <f t="shared" si="26"/>
        <v>Misty</v>
      </c>
      <c r="K368" s="1">
        <v>0.22</v>
      </c>
      <c r="L368" s="21" t="str">
        <f t="shared" si="27"/>
        <v>Safe</v>
      </c>
      <c r="M368" s="1">
        <v>0.2273</v>
      </c>
      <c r="N368" s="1">
        <v>0.64</v>
      </c>
      <c r="O368" s="21" t="str">
        <f t="shared" si="28"/>
        <v>Acceptable</v>
      </c>
      <c r="P368" s="1">
        <v>0.19400000000000001</v>
      </c>
      <c r="Q368" s="1">
        <v>1</v>
      </c>
      <c r="R368" s="1">
        <v>11</v>
      </c>
      <c r="S368" s="45">
        <v>12</v>
      </c>
    </row>
    <row r="369" spans="1:19" ht="15" thickBot="1" x14ac:dyDescent="0.35">
      <c r="A369" s="4">
        <v>978</v>
      </c>
      <c r="B369" s="2">
        <v>40587</v>
      </c>
      <c r="C369" s="1">
        <v>2</v>
      </c>
      <c r="D369" s="1">
        <v>9</v>
      </c>
      <c r="E369" s="16" t="b">
        <v>0</v>
      </c>
      <c r="F369" s="1">
        <v>0</v>
      </c>
      <c r="G369" s="21" t="str">
        <f t="shared" si="25"/>
        <v>Yes</v>
      </c>
      <c r="H369" s="26" t="str">
        <f t="shared" si="29"/>
        <v>Sunday</v>
      </c>
      <c r="I369" s="1">
        <v>2</v>
      </c>
      <c r="J369" s="21" t="str">
        <f t="shared" si="26"/>
        <v>Misty</v>
      </c>
      <c r="K369" s="1">
        <v>0.24</v>
      </c>
      <c r="L369" s="21" t="str">
        <f t="shared" si="27"/>
        <v>Safe</v>
      </c>
      <c r="M369" s="1">
        <v>0.2273</v>
      </c>
      <c r="N369" s="1">
        <v>0.6</v>
      </c>
      <c r="O369" s="21" t="str">
        <f t="shared" si="28"/>
        <v>Acceptable</v>
      </c>
      <c r="P369" s="1">
        <v>0.22389999999999999</v>
      </c>
      <c r="Q369" s="1">
        <v>12</v>
      </c>
      <c r="R369" s="1">
        <v>35</v>
      </c>
      <c r="S369" s="45">
        <v>47</v>
      </c>
    </row>
    <row r="370" spans="1:19" ht="15" thickBot="1" x14ac:dyDescent="0.35">
      <c r="A370" s="4">
        <v>979</v>
      </c>
      <c r="B370" s="2">
        <v>40587</v>
      </c>
      <c r="C370" s="1">
        <v>2</v>
      </c>
      <c r="D370" s="1">
        <v>10</v>
      </c>
      <c r="E370" s="16" t="b">
        <v>0</v>
      </c>
      <c r="F370" s="1">
        <v>0</v>
      </c>
      <c r="G370" s="21" t="str">
        <f t="shared" si="25"/>
        <v>Yes</v>
      </c>
      <c r="H370" s="26" t="str">
        <f t="shared" si="29"/>
        <v>Sunday</v>
      </c>
      <c r="I370" s="1">
        <v>1</v>
      </c>
      <c r="J370" s="21" t="str">
        <f t="shared" si="26"/>
        <v>Clean</v>
      </c>
      <c r="K370" s="1">
        <v>0.3</v>
      </c>
      <c r="L370" s="21" t="str">
        <f t="shared" si="27"/>
        <v>Safe</v>
      </c>
      <c r="M370" s="1">
        <v>0.2727</v>
      </c>
      <c r="N370" s="1">
        <v>0.45</v>
      </c>
      <c r="O370" s="21" t="str">
        <f t="shared" si="28"/>
        <v>Acceptable</v>
      </c>
      <c r="P370" s="1">
        <v>0.32840000000000003</v>
      </c>
      <c r="Q370" s="1">
        <v>19</v>
      </c>
      <c r="R370" s="1">
        <v>86</v>
      </c>
      <c r="S370" s="45">
        <v>105</v>
      </c>
    </row>
    <row r="371" spans="1:19" ht="15" thickBot="1" x14ac:dyDescent="0.35">
      <c r="A371" s="4">
        <v>980</v>
      </c>
      <c r="B371" s="2">
        <v>40587</v>
      </c>
      <c r="C371" s="1">
        <v>2</v>
      </c>
      <c r="D371" s="1">
        <v>11</v>
      </c>
      <c r="E371" s="16" t="b">
        <v>0</v>
      </c>
      <c r="F371" s="1">
        <v>0</v>
      </c>
      <c r="G371" s="21" t="str">
        <f t="shared" si="25"/>
        <v>Yes</v>
      </c>
      <c r="H371" s="26" t="str">
        <f t="shared" si="29"/>
        <v>Sunday</v>
      </c>
      <c r="I371" s="1">
        <v>1</v>
      </c>
      <c r="J371" s="21" t="str">
        <f t="shared" si="26"/>
        <v>Clean</v>
      </c>
      <c r="K371" s="1">
        <v>0.32</v>
      </c>
      <c r="L371" s="21" t="str">
        <f t="shared" si="27"/>
        <v>Safe</v>
      </c>
      <c r="M371" s="1">
        <v>0.28789999999999999</v>
      </c>
      <c r="N371" s="1">
        <v>0.39</v>
      </c>
      <c r="O371" s="21" t="str">
        <f t="shared" si="28"/>
        <v>Acceptable</v>
      </c>
      <c r="P371" s="1">
        <v>0.44779999999999998</v>
      </c>
      <c r="Q371" s="1">
        <v>26</v>
      </c>
      <c r="R371" s="1">
        <v>86</v>
      </c>
      <c r="S371" s="45">
        <v>112</v>
      </c>
    </row>
    <row r="372" spans="1:19" ht="15" thickBot="1" x14ac:dyDescent="0.35">
      <c r="A372" s="4">
        <v>981</v>
      </c>
      <c r="B372" s="2">
        <v>40587</v>
      </c>
      <c r="C372" s="1">
        <v>2</v>
      </c>
      <c r="D372" s="1">
        <v>12</v>
      </c>
      <c r="E372" s="16" t="b">
        <v>0</v>
      </c>
      <c r="F372" s="1">
        <v>0</v>
      </c>
      <c r="G372" s="21" t="str">
        <f t="shared" si="25"/>
        <v>Yes</v>
      </c>
      <c r="H372" s="26" t="str">
        <f t="shared" si="29"/>
        <v>Sunday</v>
      </c>
      <c r="I372" s="1">
        <v>1</v>
      </c>
      <c r="J372" s="21" t="str">
        <f t="shared" si="26"/>
        <v>Clean</v>
      </c>
      <c r="K372" s="1">
        <v>0.36</v>
      </c>
      <c r="L372" s="21" t="str">
        <f t="shared" si="27"/>
        <v>Risky</v>
      </c>
      <c r="M372" s="1">
        <v>0.31819999999999998</v>
      </c>
      <c r="N372" s="1">
        <v>0.32</v>
      </c>
      <c r="O372" s="21" t="str">
        <f t="shared" si="28"/>
        <v>Acceptable</v>
      </c>
      <c r="P372" s="1">
        <v>0.4627</v>
      </c>
      <c r="Q372" s="1">
        <v>58</v>
      </c>
      <c r="R372" s="1">
        <v>94</v>
      </c>
      <c r="S372" s="45">
        <v>152</v>
      </c>
    </row>
    <row r="373" spans="1:19" ht="15" thickBot="1" x14ac:dyDescent="0.35">
      <c r="A373" s="4">
        <v>982</v>
      </c>
      <c r="B373" s="2">
        <v>40587</v>
      </c>
      <c r="C373" s="1">
        <v>2</v>
      </c>
      <c r="D373" s="1">
        <v>13</v>
      </c>
      <c r="E373" s="16" t="b">
        <v>0</v>
      </c>
      <c r="F373" s="1">
        <v>0</v>
      </c>
      <c r="G373" s="21" t="str">
        <f t="shared" si="25"/>
        <v>Yes</v>
      </c>
      <c r="H373" s="26" t="str">
        <f t="shared" si="29"/>
        <v>Sunday</v>
      </c>
      <c r="I373" s="1">
        <v>1</v>
      </c>
      <c r="J373" s="21" t="str">
        <f t="shared" si="26"/>
        <v>Clean</v>
      </c>
      <c r="K373" s="1">
        <v>0.38</v>
      </c>
      <c r="L373" s="21" t="str">
        <f t="shared" si="27"/>
        <v>Risky</v>
      </c>
      <c r="M373" s="1">
        <v>0.39389999999999997</v>
      </c>
      <c r="N373" s="1">
        <v>0.28999999999999998</v>
      </c>
      <c r="O373" s="21" t="str">
        <f t="shared" si="28"/>
        <v>Acceptable</v>
      </c>
      <c r="P373" s="1">
        <v>0.35820000000000002</v>
      </c>
      <c r="Q373" s="1">
        <v>62</v>
      </c>
      <c r="R373" s="1">
        <v>92</v>
      </c>
      <c r="S373" s="45">
        <v>154</v>
      </c>
    </row>
    <row r="374" spans="1:19" ht="15" thickBot="1" x14ac:dyDescent="0.35">
      <c r="A374" s="4">
        <v>983</v>
      </c>
      <c r="B374" s="2">
        <v>40587</v>
      </c>
      <c r="C374" s="1">
        <v>2</v>
      </c>
      <c r="D374" s="1">
        <v>14</v>
      </c>
      <c r="E374" s="16" t="b">
        <v>0</v>
      </c>
      <c r="F374" s="1">
        <v>0</v>
      </c>
      <c r="G374" s="21" t="str">
        <f t="shared" si="25"/>
        <v>Yes</v>
      </c>
      <c r="H374" s="26" t="str">
        <f t="shared" si="29"/>
        <v>Sunday</v>
      </c>
      <c r="I374" s="1">
        <v>2</v>
      </c>
      <c r="J374" s="21" t="str">
        <f t="shared" si="26"/>
        <v>Misty</v>
      </c>
      <c r="K374" s="1">
        <v>0.4</v>
      </c>
      <c r="L374" s="21" t="str">
        <f t="shared" si="27"/>
        <v>Risky</v>
      </c>
      <c r="M374" s="1">
        <v>0.40910000000000002</v>
      </c>
      <c r="N374" s="1">
        <v>0.3</v>
      </c>
      <c r="O374" s="21" t="str">
        <f t="shared" si="28"/>
        <v>Acceptable</v>
      </c>
      <c r="P374" s="1">
        <v>0.41789999999999999</v>
      </c>
      <c r="Q374" s="1">
        <v>51</v>
      </c>
      <c r="R374" s="1">
        <v>110</v>
      </c>
      <c r="S374" s="45">
        <v>161</v>
      </c>
    </row>
    <row r="375" spans="1:19" ht="15" thickBot="1" x14ac:dyDescent="0.35">
      <c r="A375" s="4">
        <v>984</v>
      </c>
      <c r="B375" s="2">
        <v>40587</v>
      </c>
      <c r="C375" s="1">
        <v>2</v>
      </c>
      <c r="D375" s="1">
        <v>15</v>
      </c>
      <c r="E375" s="16" t="b">
        <v>0</v>
      </c>
      <c r="F375" s="1">
        <v>0</v>
      </c>
      <c r="G375" s="21" t="str">
        <f t="shared" si="25"/>
        <v>Yes</v>
      </c>
      <c r="H375" s="26" t="str">
        <f t="shared" si="29"/>
        <v>Sunday</v>
      </c>
      <c r="I375" s="1">
        <v>2</v>
      </c>
      <c r="J375" s="21" t="str">
        <f t="shared" si="26"/>
        <v>Misty</v>
      </c>
      <c r="K375" s="1">
        <v>0.4</v>
      </c>
      <c r="L375" s="21" t="str">
        <f t="shared" si="27"/>
        <v>Risky</v>
      </c>
      <c r="M375" s="1">
        <v>0.40910000000000002</v>
      </c>
      <c r="N375" s="1">
        <v>0.3</v>
      </c>
      <c r="O375" s="21" t="str">
        <f t="shared" si="28"/>
        <v>Acceptable</v>
      </c>
      <c r="P375" s="1">
        <v>0.29849999999999999</v>
      </c>
      <c r="Q375" s="1">
        <v>40</v>
      </c>
      <c r="R375" s="1">
        <v>122</v>
      </c>
      <c r="S375" s="45">
        <v>162</v>
      </c>
    </row>
    <row r="376" spans="1:19" ht="15" thickBot="1" x14ac:dyDescent="0.35">
      <c r="A376" s="4">
        <v>985</v>
      </c>
      <c r="B376" s="2">
        <v>40587</v>
      </c>
      <c r="C376" s="1">
        <v>2</v>
      </c>
      <c r="D376" s="1">
        <v>16</v>
      </c>
      <c r="E376" s="16" t="b">
        <v>0</v>
      </c>
      <c r="F376" s="1">
        <v>0</v>
      </c>
      <c r="G376" s="21" t="str">
        <f t="shared" si="25"/>
        <v>Yes</v>
      </c>
      <c r="H376" s="26" t="str">
        <f t="shared" si="29"/>
        <v>Sunday</v>
      </c>
      <c r="I376" s="1">
        <v>2</v>
      </c>
      <c r="J376" s="21" t="str">
        <f t="shared" si="26"/>
        <v>Misty</v>
      </c>
      <c r="K376" s="1">
        <v>0.42</v>
      </c>
      <c r="L376" s="21" t="str">
        <f t="shared" si="27"/>
        <v>Risky</v>
      </c>
      <c r="M376" s="1">
        <v>0.42420000000000002</v>
      </c>
      <c r="N376" s="1">
        <v>0.28000000000000003</v>
      </c>
      <c r="O376" s="21" t="str">
        <f t="shared" si="28"/>
        <v>Acceptable</v>
      </c>
      <c r="P376" s="1">
        <v>0.32840000000000003</v>
      </c>
      <c r="Q376" s="1">
        <v>28</v>
      </c>
      <c r="R376" s="1">
        <v>106</v>
      </c>
      <c r="S376" s="45">
        <v>134</v>
      </c>
    </row>
    <row r="377" spans="1:19" ht="15" thickBot="1" x14ac:dyDescent="0.35">
      <c r="A377" s="4">
        <v>986</v>
      </c>
      <c r="B377" s="2">
        <v>40587</v>
      </c>
      <c r="C377" s="1">
        <v>2</v>
      </c>
      <c r="D377" s="1">
        <v>17</v>
      </c>
      <c r="E377" s="16" t="b">
        <v>0</v>
      </c>
      <c r="F377" s="1">
        <v>0</v>
      </c>
      <c r="G377" s="21" t="str">
        <f t="shared" si="25"/>
        <v>Yes</v>
      </c>
      <c r="H377" s="26" t="str">
        <f t="shared" si="29"/>
        <v>Sunday</v>
      </c>
      <c r="I377" s="1">
        <v>1</v>
      </c>
      <c r="J377" s="21" t="str">
        <f t="shared" si="26"/>
        <v>Clean</v>
      </c>
      <c r="K377" s="1">
        <v>0.42</v>
      </c>
      <c r="L377" s="21" t="str">
        <f t="shared" si="27"/>
        <v>Risky</v>
      </c>
      <c r="M377" s="1">
        <v>0.42420000000000002</v>
      </c>
      <c r="N377" s="1">
        <v>0.28000000000000003</v>
      </c>
      <c r="O377" s="21" t="str">
        <f t="shared" si="28"/>
        <v>Acceptable</v>
      </c>
      <c r="P377" s="1">
        <v>0.32840000000000003</v>
      </c>
      <c r="Q377" s="1">
        <v>30</v>
      </c>
      <c r="R377" s="1">
        <v>95</v>
      </c>
      <c r="S377" s="45">
        <v>125</v>
      </c>
    </row>
    <row r="378" spans="1:19" ht="15" thickBot="1" x14ac:dyDescent="0.35">
      <c r="A378" s="4">
        <v>987</v>
      </c>
      <c r="B378" s="2">
        <v>40587</v>
      </c>
      <c r="C378" s="1">
        <v>2</v>
      </c>
      <c r="D378" s="1">
        <v>18</v>
      </c>
      <c r="E378" s="16" t="b">
        <v>0</v>
      </c>
      <c r="F378" s="1">
        <v>0</v>
      </c>
      <c r="G378" s="21" t="str">
        <f t="shared" si="25"/>
        <v>Yes</v>
      </c>
      <c r="H378" s="26" t="str">
        <f t="shared" si="29"/>
        <v>Sunday</v>
      </c>
      <c r="I378" s="1">
        <v>1</v>
      </c>
      <c r="J378" s="21" t="str">
        <f t="shared" si="26"/>
        <v>Clean</v>
      </c>
      <c r="K378" s="1">
        <v>0.4</v>
      </c>
      <c r="L378" s="21" t="str">
        <f t="shared" si="27"/>
        <v>Risky</v>
      </c>
      <c r="M378" s="1">
        <v>0.40910000000000002</v>
      </c>
      <c r="N378" s="1">
        <v>0.32</v>
      </c>
      <c r="O378" s="21" t="str">
        <f t="shared" si="28"/>
        <v>Acceptable</v>
      </c>
      <c r="P378" s="1">
        <v>0.29849999999999999</v>
      </c>
      <c r="Q378" s="1">
        <v>17</v>
      </c>
      <c r="R378" s="1">
        <v>78</v>
      </c>
      <c r="S378" s="45">
        <v>95</v>
      </c>
    </row>
    <row r="379" spans="1:19" ht="15" thickBot="1" x14ac:dyDescent="0.35">
      <c r="A379" s="4">
        <v>988</v>
      </c>
      <c r="B379" s="2">
        <v>40587</v>
      </c>
      <c r="C379" s="1">
        <v>2</v>
      </c>
      <c r="D379" s="1">
        <v>19</v>
      </c>
      <c r="E379" s="16" t="b">
        <v>0</v>
      </c>
      <c r="F379" s="1">
        <v>0</v>
      </c>
      <c r="G379" s="21" t="str">
        <f t="shared" si="25"/>
        <v>Yes</v>
      </c>
      <c r="H379" s="26" t="str">
        <f t="shared" si="29"/>
        <v>Sunday</v>
      </c>
      <c r="I379" s="1">
        <v>1</v>
      </c>
      <c r="J379" s="21" t="str">
        <f t="shared" si="26"/>
        <v>Clean</v>
      </c>
      <c r="K379" s="1">
        <v>0.4</v>
      </c>
      <c r="L379" s="21" t="str">
        <f t="shared" si="27"/>
        <v>Risky</v>
      </c>
      <c r="M379" s="1">
        <v>0.40910000000000002</v>
      </c>
      <c r="N379" s="1">
        <v>0.35</v>
      </c>
      <c r="O379" s="21" t="str">
        <f t="shared" si="28"/>
        <v>Acceptable</v>
      </c>
      <c r="P379" s="1">
        <v>0.28360000000000002</v>
      </c>
      <c r="Q379" s="1">
        <v>11</v>
      </c>
      <c r="R379" s="1">
        <v>50</v>
      </c>
      <c r="S379" s="45">
        <v>61</v>
      </c>
    </row>
    <row r="380" spans="1:19" ht="15" thickBot="1" x14ac:dyDescent="0.35">
      <c r="A380" s="4">
        <v>989</v>
      </c>
      <c r="B380" s="2">
        <v>40587</v>
      </c>
      <c r="C380" s="1">
        <v>2</v>
      </c>
      <c r="D380" s="1">
        <v>20</v>
      </c>
      <c r="E380" s="16" t="b">
        <v>0</v>
      </c>
      <c r="F380" s="1">
        <v>0</v>
      </c>
      <c r="G380" s="21" t="str">
        <f t="shared" si="25"/>
        <v>Yes</v>
      </c>
      <c r="H380" s="26" t="str">
        <f t="shared" si="29"/>
        <v>Sunday</v>
      </c>
      <c r="I380" s="1">
        <v>1</v>
      </c>
      <c r="J380" s="21" t="str">
        <f t="shared" si="26"/>
        <v>Clean</v>
      </c>
      <c r="K380" s="1">
        <v>0.4</v>
      </c>
      <c r="L380" s="21" t="str">
        <f t="shared" si="27"/>
        <v>Risky</v>
      </c>
      <c r="M380" s="1">
        <v>0.40910000000000002</v>
      </c>
      <c r="N380" s="1">
        <v>0.35</v>
      </c>
      <c r="O380" s="21" t="str">
        <f t="shared" si="28"/>
        <v>Acceptable</v>
      </c>
      <c r="P380" s="1">
        <v>0.32840000000000003</v>
      </c>
      <c r="Q380" s="1">
        <v>15</v>
      </c>
      <c r="R380" s="1">
        <v>32</v>
      </c>
      <c r="S380" s="45">
        <v>47</v>
      </c>
    </row>
    <row r="381" spans="1:19" ht="15" thickBot="1" x14ac:dyDescent="0.35">
      <c r="A381" s="4">
        <v>990</v>
      </c>
      <c r="B381" s="2">
        <v>40587</v>
      </c>
      <c r="C381" s="1">
        <v>2</v>
      </c>
      <c r="D381" s="1">
        <v>21</v>
      </c>
      <c r="E381" s="16" t="b">
        <v>0</v>
      </c>
      <c r="F381" s="1">
        <v>0</v>
      </c>
      <c r="G381" s="21" t="str">
        <f t="shared" si="25"/>
        <v>Yes</v>
      </c>
      <c r="H381" s="26" t="str">
        <f t="shared" si="29"/>
        <v>Sunday</v>
      </c>
      <c r="I381" s="1">
        <v>1</v>
      </c>
      <c r="J381" s="21" t="str">
        <f t="shared" si="26"/>
        <v>Clean</v>
      </c>
      <c r="K381" s="1">
        <v>0.4</v>
      </c>
      <c r="L381" s="21" t="str">
        <f t="shared" si="27"/>
        <v>Risky</v>
      </c>
      <c r="M381" s="1">
        <v>0.40910000000000002</v>
      </c>
      <c r="N381" s="1">
        <v>0.35</v>
      </c>
      <c r="O381" s="21" t="str">
        <f t="shared" si="28"/>
        <v>Acceptable</v>
      </c>
      <c r="P381" s="1">
        <v>0.35820000000000002</v>
      </c>
      <c r="Q381" s="1">
        <v>6</v>
      </c>
      <c r="R381" s="1">
        <v>45</v>
      </c>
      <c r="S381" s="45">
        <v>51</v>
      </c>
    </row>
    <row r="382" spans="1:19" ht="15" thickBot="1" x14ac:dyDescent="0.35">
      <c r="A382" s="4">
        <v>991</v>
      </c>
      <c r="B382" s="2">
        <v>40587</v>
      </c>
      <c r="C382" s="1">
        <v>2</v>
      </c>
      <c r="D382" s="1">
        <v>22</v>
      </c>
      <c r="E382" s="16" t="b">
        <v>0</v>
      </c>
      <c r="F382" s="1">
        <v>0</v>
      </c>
      <c r="G382" s="21" t="str">
        <f t="shared" si="25"/>
        <v>Yes</v>
      </c>
      <c r="H382" s="26" t="str">
        <f t="shared" si="29"/>
        <v>Sunday</v>
      </c>
      <c r="I382" s="1">
        <v>1</v>
      </c>
      <c r="J382" s="21" t="str">
        <f t="shared" si="26"/>
        <v>Clean</v>
      </c>
      <c r="K382" s="1">
        <v>0.4</v>
      </c>
      <c r="L382" s="21" t="str">
        <f t="shared" si="27"/>
        <v>Risky</v>
      </c>
      <c r="M382" s="1">
        <v>0.40910000000000002</v>
      </c>
      <c r="N382" s="1">
        <v>0.35</v>
      </c>
      <c r="O382" s="21" t="str">
        <f t="shared" si="28"/>
        <v>Acceptable</v>
      </c>
      <c r="P382" s="1">
        <v>0.29849999999999999</v>
      </c>
      <c r="Q382" s="1">
        <v>5</v>
      </c>
      <c r="R382" s="1">
        <v>31</v>
      </c>
      <c r="S382" s="45">
        <v>36</v>
      </c>
    </row>
    <row r="383" spans="1:19" ht="15" thickBot="1" x14ac:dyDescent="0.35">
      <c r="A383" s="4">
        <v>992</v>
      </c>
      <c r="B383" s="2">
        <v>40587</v>
      </c>
      <c r="C383" s="1">
        <v>2</v>
      </c>
      <c r="D383" s="1">
        <v>23</v>
      </c>
      <c r="E383" s="16" t="b">
        <v>0</v>
      </c>
      <c r="F383" s="1">
        <v>0</v>
      </c>
      <c r="G383" s="21" t="str">
        <f t="shared" si="25"/>
        <v>Yes</v>
      </c>
      <c r="H383" s="26" t="str">
        <f t="shared" si="29"/>
        <v>Sunday</v>
      </c>
      <c r="I383" s="1">
        <v>1</v>
      </c>
      <c r="J383" s="21" t="str">
        <f t="shared" si="26"/>
        <v>Clean</v>
      </c>
      <c r="K383" s="1">
        <v>0.4</v>
      </c>
      <c r="L383" s="21" t="str">
        <f t="shared" si="27"/>
        <v>Risky</v>
      </c>
      <c r="M383" s="1">
        <v>0.40910000000000002</v>
      </c>
      <c r="N383" s="1">
        <v>0.35</v>
      </c>
      <c r="O383" s="21" t="str">
        <f t="shared" si="28"/>
        <v>Acceptable</v>
      </c>
      <c r="P383" s="1">
        <v>0.35820000000000002</v>
      </c>
      <c r="Q383" s="1">
        <v>3</v>
      </c>
      <c r="R383" s="1">
        <v>27</v>
      </c>
      <c r="S383" s="45">
        <v>30</v>
      </c>
    </row>
    <row r="384" spans="1:19" ht="15" thickBot="1" x14ac:dyDescent="0.35">
      <c r="A384" s="4">
        <v>993</v>
      </c>
      <c r="B384" s="2">
        <v>40588</v>
      </c>
      <c r="C384" s="1">
        <v>2</v>
      </c>
      <c r="D384" s="1">
        <v>0</v>
      </c>
      <c r="E384" s="16" t="b">
        <v>0</v>
      </c>
      <c r="F384" s="1">
        <v>1</v>
      </c>
      <c r="G384" s="21" t="str">
        <f t="shared" si="25"/>
        <v>No</v>
      </c>
      <c r="H384" s="26" t="str">
        <f t="shared" si="29"/>
        <v>Monday</v>
      </c>
      <c r="I384" s="1">
        <v>1</v>
      </c>
      <c r="J384" s="21" t="str">
        <f t="shared" si="26"/>
        <v>Clean</v>
      </c>
      <c r="K384" s="1">
        <v>0.38</v>
      </c>
      <c r="L384" s="21" t="str">
        <f t="shared" si="27"/>
        <v>Risky</v>
      </c>
      <c r="M384" s="1">
        <v>0.39389999999999997</v>
      </c>
      <c r="N384" s="1">
        <v>0.37</v>
      </c>
      <c r="O384" s="21" t="str">
        <f t="shared" si="28"/>
        <v>Acceptable</v>
      </c>
      <c r="P384" s="1">
        <v>0.35820000000000002</v>
      </c>
      <c r="Q384" s="1">
        <v>3</v>
      </c>
      <c r="R384" s="1">
        <v>8</v>
      </c>
      <c r="S384" s="45">
        <v>11</v>
      </c>
    </row>
    <row r="385" spans="1:19" ht="15" thickBot="1" x14ac:dyDescent="0.35">
      <c r="A385" s="4">
        <v>994</v>
      </c>
      <c r="B385" s="2">
        <v>40588</v>
      </c>
      <c r="C385" s="1">
        <v>2</v>
      </c>
      <c r="D385" s="1">
        <v>1</v>
      </c>
      <c r="E385" s="16" t="b">
        <v>0</v>
      </c>
      <c r="F385" s="1">
        <v>1</v>
      </c>
      <c r="G385" s="21" t="str">
        <f t="shared" si="25"/>
        <v>No</v>
      </c>
      <c r="H385" s="26" t="str">
        <f t="shared" si="29"/>
        <v>Monday</v>
      </c>
      <c r="I385" s="1">
        <v>1</v>
      </c>
      <c r="J385" s="21" t="str">
        <f t="shared" si="26"/>
        <v>Clean</v>
      </c>
      <c r="K385" s="1">
        <v>0.38</v>
      </c>
      <c r="L385" s="21" t="str">
        <f t="shared" si="27"/>
        <v>Risky</v>
      </c>
      <c r="M385" s="1">
        <v>0.39389999999999997</v>
      </c>
      <c r="N385" s="1">
        <v>0.37</v>
      </c>
      <c r="O385" s="21" t="str">
        <f t="shared" si="28"/>
        <v>Acceptable</v>
      </c>
      <c r="P385" s="1">
        <v>0.35820000000000002</v>
      </c>
      <c r="Q385" s="1">
        <v>1</v>
      </c>
      <c r="R385" s="1">
        <v>6</v>
      </c>
      <c r="S385" s="45">
        <v>7</v>
      </c>
    </row>
    <row r="386" spans="1:19" ht="15" thickBot="1" x14ac:dyDescent="0.35">
      <c r="A386" s="4">
        <v>995</v>
      </c>
      <c r="B386" s="2">
        <v>40588</v>
      </c>
      <c r="C386" s="1">
        <v>2</v>
      </c>
      <c r="D386" s="1">
        <v>2</v>
      </c>
      <c r="E386" s="16" t="b">
        <v>0</v>
      </c>
      <c r="F386" s="1">
        <v>1</v>
      </c>
      <c r="G386" s="21" t="str">
        <f t="shared" ref="G386:G391" si="30">_xlfn.IFS(F386=0,"Yes",F386=6,"Yes",F386&gt;0,"No")</f>
        <v>No</v>
      </c>
      <c r="H386" s="26" t="str">
        <f t="shared" si="29"/>
        <v>Monday</v>
      </c>
      <c r="I386" s="1">
        <v>1</v>
      </c>
      <c r="J386" s="21" t="str">
        <f t="shared" ref="J386:J391" si="31">_xlfn.IFS(I386=1,"Clean",I386=2,"Misty",I386=3,"Light Rain",I386=4,"Heavy Rain")</f>
        <v>Clean</v>
      </c>
      <c r="K386" s="1">
        <v>0.36</v>
      </c>
      <c r="L386" s="21" t="str">
        <f t="shared" ref="L386:L391" si="32">_xlfn.IFS(K386&lt;0.1,"Risky",K386&lt;0.35,"Safe",K386&gt;0.35,"Risky")</f>
        <v>Risky</v>
      </c>
      <c r="M386" s="1">
        <v>0.33329999999999999</v>
      </c>
      <c r="N386" s="1">
        <v>0.4</v>
      </c>
      <c r="O386" s="21" t="str">
        <f t="shared" ref="O386:O391" si="33">IF(N386&lt;0.7,"Acceptable","Risky")</f>
        <v>Acceptable</v>
      </c>
      <c r="P386" s="1">
        <v>0.29849999999999999</v>
      </c>
      <c r="Q386" s="1">
        <v>0</v>
      </c>
      <c r="R386" s="1">
        <v>2</v>
      </c>
      <c r="S386" s="45">
        <v>2</v>
      </c>
    </row>
    <row r="387" spans="1:19" ht="15" thickBot="1" x14ac:dyDescent="0.35">
      <c r="A387" s="4">
        <v>996</v>
      </c>
      <c r="B387" s="2">
        <v>40588</v>
      </c>
      <c r="C387" s="1">
        <v>2</v>
      </c>
      <c r="D387" s="1">
        <v>3</v>
      </c>
      <c r="E387" s="16" t="b">
        <v>0</v>
      </c>
      <c r="F387" s="1">
        <v>1</v>
      </c>
      <c r="G387" s="21" t="str">
        <f t="shared" si="30"/>
        <v>No</v>
      </c>
      <c r="H387" s="26" t="str">
        <f t="shared" ref="H387:H391" si="34">TEXT(B387:B776,"dddd")</f>
        <v>Monday</v>
      </c>
      <c r="I387" s="1">
        <v>1</v>
      </c>
      <c r="J387" s="21" t="str">
        <f t="shared" si="31"/>
        <v>Clean</v>
      </c>
      <c r="K387" s="1">
        <v>0.34</v>
      </c>
      <c r="L387" s="21" t="str">
        <f t="shared" si="32"/>
        <v>Safe</v>
      </c>
      <c r="M387" s="1">
        <v>0.31819999999999998</v>
      </c>
      <c r="N387" s="1">
        <v>0.46</v>
      </c>
      <c r="O387" s="21" t="str">
        <f t="shared" si="33"/>
        <v>Acceptable</v>
      </c>
      <c r="P387" s="1">
        <v>0.22389999999999999</v>
      </c>
      <c r="Q387" s="1">
        <v>1</v>
      </c>
      <c r="R387" s="1">
        <v>1</v>
      </c>
      <c r="S387" s="45">
        <v>2</v>
      </c>
    </row>
    <row r="388" spans="1:19" ht="15" thickBot="1" x14ac:dyDescent="0.35">
      <c r="A388" s="4">
        <v>997</v>
      </c>
      <c r="B388" s="2">
        <v>40588</v>
      </c>
      <c r="C388" s="1">
        <v>2</v>
      </c>
      <c r="D388" s="1">
        <v>4</v>
      </c>
      <c r="E388" s="16" t="b">
        <v>0</v>
      </c>
      <c r="F388" s="1">
        <v>1</v>
      </c>
      <c r="G388" s="21" t="str">
        <f t="shared" si="30"/>
        <v>No</v>
      </c>
      <c r="H388" s="26" t="str">
        <f t="shared" si="34"/>
        <v>Monday</v>
      </c>
      <c r="I388" s="1">
        <v>1</v>
      </c>
      <c r="J388" s="21" t="str">
        <f t="shared" si="31"/>
        <v>Clean</v>
      </c>
      <c r="K388" s="1">
        <v>0.32</v>
      </c>
      <c r="L388" s="21" t="str">
        <f t="shared" si="32"/>
        <v>Safe</v>
      </c>
      <c r="M388" s="1">
        <v>0.30299999999999999</v>
      </c>
      <c r="N388" s="1">
        <v>0.53</v>
      </c>
      <c r="O388" s="21" t="str">
        <f t="shared" si="33"/>
        <v>Acceptable</v>
      </c>
      <c r="P388" s="1">
        <v>0.28360000000000002</v>
      </c>
      <c r="Q388" s="1">
        <v>0</v>
      </c>
      <c r="R388" s="1">
        <v>2</v>
      </c>
      <c r="S388" s="45">
        <v>2</v>
      </c>
    </row>
    <row r="389" spans="1:19" ht="15" thickBot="1" x14ac:dyDescent="0.35">
      <c r="A389" s="4">
        <v>998</v>
      </c>
      <c r="B389" s="2">
        <v>40588</v>
      </c>
      <c r="C389" s="1">
        <v>2</v>
      </c>
      <c r="D389" s="1">
        <v>5</v>
      </c>
      <c r="E389" s="16" t="b">
        <v>0</v>
      </c>
      <c r="F389" s="1">
        <v>1</v>
      </c>
      <c r="G389" s="21" t="str">
        <f t="shared" si="30"/>
        <v>No</v>
      </c>
      <c r="H389" s="26" t="str">
        <f t="shared" si="34"/>
        <v>Monday</v>
      </c>
      <c r="I389" s="1">
        <v>1</v>
      </c>
      <c r="J389" s="21" t="str">
        <f t="shared" si="31"/>
        <v>Clean</v>
      </c>
      <c r="K389" s="1">
        <v>0.32</v>
      </c>
      <c r="L389" s="21" t="str">
        <f t="shared" si="32"/>
        <v>Safe</v>
      </c>
      <c r="M389" s="1">
        <v>0.30299999999999999</v>
      </c>
      <c r="N389" s="1">
        <v>0.53</v>
      </c>
      <c r="O389" s="21" t="str">
        <f t="shared" si="33"/>
        <v>Acceptable</v>
      </c>
      <c r="P389" s="1">
        <v>0.28360000000000002</v>
      </c>
      <c r="Q389" s="1">
        <v>0</v>
      </c>
      <c r="R389" s="1">
        <v>3</v>
      </c>
      <c r="S389" s="45">
        <v>3</v>
      </c>
    </row>
    <row r="390" spans="1:19" ht="15" thickBot="1" x14ac:dyDescent="0.35">
      <c r="A390" s="4">
        <v>999</v>
      </c>
      <c r="B390" s="2">
        <v>40588</v>
      </c>
      <c r="C390" s="1">
        <v>2</v>
      </c>
      <c r="D390" s="1">
        <v>6</v>
      </c>
      <c r="E390" s="16" t="b">
        <v>0</v>
      </c>
      <c r="F390" s="1">
        <v>1</v>
      </c>
      <c r="G390" s="21" t="str">
        <f t="shared" si="30"/>
        <v>No</v>
      </c>
      <c r="H390" s="26" t="str">
        <f t="shared" si="34"/>
        <v>Monday</v>
      </c>
      <c r="I390" s="1">
        <v>1</v>
      </c>
      <c r="J390" s="21" t="str">
        <f t="shared" si="31"/>
        <v>Clean</v>
      </c>
      <c r="K390" s="1">
        <v>0.34</v>
      </c>
      <c r="L390" s="21" t="str">
        <f t="shared" si="32"/>
        <v>Safe</v>
      </c>
      <c r="M390" s="1">
        <v>0.30299999999999999</v>
      </c>
      <c r="N390" s="1">
        <v>0.46</v>
      </c>
      <c r="O390" s="21" t="str">
        <f t="shared" si="33"/>
        <v>Acceptable</v>
      </c>
      <c r="P390" s="1">
        <v>0.29849999999999999</v>
      </c>
      <c r="Q390" s="1">
        <v>1</v>
      </c>
      <c r="R390" s="1">
        <v>25</v>
      </c>
      <c r="S390" s="45">
        <v>26</v>
      </c>
    </row>
    <row r="391" spans="1:19" ht="15" thickBot="1" x14ac:dyDescent="0.35">
      <c r="A391" s="4">
        <v>1000</v>
      </c>
      <c r="B391" s="2">
        <v>40588</v>
      </c>
      <c r="C391" s="1">
        <v>2</v>
      </c>
      <c r="D391" s="1">
        <v>7</v>
      </c>
      <c r="E391" s="16" t="b">
        <v>0</v>
      </c>
      <c r="F391" s="1">
        <v>1</v>
      </c>
      <c r="G391" s="21" t="str">
        <f t="shared" si="30"/>
        <v>No</v>
      </c>
      <c r="H391" s="26" t="str">
        <f t="shared" si="34"/>
        <v>Monday</v>
      </c>
      <c r="I391" s="1">
        <v>1</v>
      </c>
      <c r="J391" s="21" t="str">
        <f t="shared" si="31"/>
        <v>Clean</v>
      </c>
      <c r="K391" s="1">
        <v>0.34</v>
      </c>
      <c r="L391" s="21" t="str">
        <f t="shared" si="32"/>
        <v>Safe</v>
      </c>
      <c r="M391" s="1">
        <v>0.30299999999999999</v>
      </c>
      <c r="N391" s="1">
        <v>0.46</v>
      </c>
      <c r="O391" s="21" t="str">
        <f t="shared" si="33"/>
        <v>Acceptable</v>
      </c>
      <c r="P391" s="1">
        <v>0.29849999999999999</v>
      </c>
      <c r="Q391" s="1">
        <v>2</v>
      </c>
      <c r="R391" s="1">
        <v>96</v>
      </c>
      <c r="S391" s="45">
        <v>98</v>
      </c>
    </row>
  </sheetData>
  <sortState xmlns:xlrd2="http://schemas.microsoft.com/office/spreadsheetml/2017/richdata2" ref="A2:S391">
    <sortCondition ref="A2:A391"/>
  </sortState>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DEBD5-70F7-4ABD-A552-CA1957D59BBC}">
  <dimension ref="A1:E86"/>
  <sheetViews>
    <sheetView workbookViewId="0">
      <selection activeCell="I27" sqref="I27"/>
    </sheetView>
  </sheetViews>
  <sheetFormatPr defaultRowHeight="14.4" x14ac:dyDescent="0.3"/>
  <cols>
    <col min="1" max="1" width="10.33203125" bestFit="1" customWidth="1"/>
    <col min="2" max="2" width="9" bestFit="1" customWidth="1"/>
    <col min="3" max="3" width="17.109375" customWidth="1"/>
    <col min="4" max="4" width="31.21875" customWidth="1"/>
    <col min="5" max="5" width="31.33203125" customWidth="1"/>
  </cols>
  <sheetData>
    <row r="1" spans="1:5" x14ac:dyDescent="0.3">
      <c r="A1" t="s">
        <v>10</v>
      </c>
      <c r="B1" t="s">
        <v>11</v>
      </c>
      <c r="C1" t="s">
        <v>62</v>
      </c>
      <c r="D1" t="s">
        <v>63</v>
      </c>
      <c r="E1" t="s">
        <v>64</v>
      </c>
    </row>
    <row r="2" spans="1:5" x14ac:dyDescent="0.3">
      <c r="A2" s="46">
        <v>40544</v>
      </c>
      <c r="B2">
        <v>12.5</v>
      </c>
    </row>
    <row r="3" spans="1:5" x14ac:dyDescent="0.3">
      <c r="A3" s="46">
        <v>40545</v>
      </c>
      <c r="B3">
        <v>36</v>
      </c>
    </row>
    <row r="4" spans="1:5" x14ac:dyDescent="0.3">
      <c r="A4" s="46">
        <v>40546</v>
      </c>
      <c r="B4">
        <v>58.5</v>
      </c>
    </row>
    <row r="5" spans="1:5" x14ac:dyDescent="0.3">
      <c r="A5" s="46">
        <v>40547</v>
      </c>
      <c r="B5">
        <v>81</v>
      </c>
    </row>
    <row r="6" spans="1:5" x14ac:dyDescent="0.3">
      <c r="A6" s="46">
        <v>40548</v>
      </c>
      <c r="B6">
        <v>104</v>
      </c>
    </row>
    <row r="7" spans="1:5" x14ac:dyDescent="0.3">
      <c r="A7" s="46">
        <v>40549</v>
      </c>
      <c r="B7">
        <v>127</v>
      </c>
    </row>
    <row r="8" spans="1:5" x14ac:dyDescent="0.3">
      <c r="A8" s="46">
        <v>40550</v>
      </c>
      <c r="B8">
        <v>150</v>
      </c>
    </row>
    <row r="9" spans="1:5" x14ac:dyDescent="0.3">
      <c r="A9" s="46">
        <v>40551</v>
      </c>
      <c r="B9">
        <v>173.5</v>
      </c>
    </row>
    <row r="10" spans="1:5" x14ac:dyDescent="0.3">
      <c r="A10" s="46">
        <v>40552</v>
      </c>
      <c r="B10">
        <v>197.5</v>
      </c>
    </row>
    <row r="11" spans="1:5" x14ac:dyDescent="0.3">
      <c r="A11" s="46">
        <v>40553</v>
      </c>
      <c r="B11">
        <v>221.5</v>
      </c>
    </row>
    <row r="12" spans="1:5" x14ac:dyDescent="0.3">
      <c r="A12" s="46">
        <v>40554</v>
      </c>
      <c r="B12">
        <v>244.5</v>
      </c>
    </row>
    <row r="13" spans="1:5" x14ac:dyDescent="0.3">
      <c r="A13" s="46">
        <v>40555</v>
      </c>
      <c r="B13">
        <v>266.5</v>
      </c>
    </row>
    <row r="14" spans="1:5" x14ac:dyDescent="0.3">
      <c r="A14" s="46">
        <v>40556</v>
      </c>
      <c r="B14">
        <v>289.5</v>
      </c>
    </row>
    <row r="15" spans="1:5" x14ac:dyDescent="0.3">
      <c r="A15" s="46">
        <v>40557</v>
      </c>
      <c r="B15">
        <v>313</v>
      </c>
    </row>
    <row r="16" spans="1:5" x14ac:dyDescent="0.3">
      <c r="A16" s="46">
        <v>40558</v>
      </c>
      <c r="B16">
        <v>336.5</v>
      </c>
    </row>
    <row r="17" spans="1:2" x14ac:dyDescent="0.3">
      <c r="A17" s="46">
        <v>40559</v>
      </c>
      <c r="B17">
        <v>360.5</v>
      </c>
    </row>
    <row r="18" spans="1:2" x14ac:dyDescent="0.3">
      <c r="A18" s="46">
        <v>40560</v>
      </c>
      <c r="B18">
        <v>384.5</v>
      </c>
    </row>
    <row r="19" spans="1:2" x14ac:dyDescent="0.3">
      <c r="A19" s="46">
        <v>40561</v>
      </c>
      <c r="B19">
        <v>402.5</v>
      </c>
    </row>
    <row r="20" spans="1:2" x14ac:dyDescent="0.3">
      <c r="A20" s="46">
        <v>40562</v>
      </c>
      <c r="B20">
        <v>420</v>
      </c>
    </row>
    <row r="21" spans="1:2" x14ac:dyDescent="0.3">
      <c r="A21" s="46">
        <v>40563</v>
      </c>
      <c r="B21">
        <v>443.5</v>
      </c>
    </row>
    <row r="22" spans="1:2" x14ac:dyDescent="0.3">
      <c r="A22" s="46">
        <v>40564</v>
      </c>
      <c r="B22">
        <v>467.5</v>
      </c>
    </row>
    <row r="23" spans="1:2" x14ac:dyDescent="0.3">
      <c r="A23" s="46">
        <v>40565</v>
      </c>
      <c r="B23">
        <v>491</v>
      </c>
    </row>
    <row r="24" spans="1:2" x14ac:dyDescent="0.3">
      <c r="A24" s="46">
        <v>40566</v>
      </c>
      <c r="B24">
        <v>514</v>
      </c>
    </row>
    <row r="25" spans="1:2" x14ac:dyDescent="0.3">
      <c r="A25" s="46">
        <v>40567</v>
      </c>
      <c r="B25">
        <v>537</v>
      </c>
    </row>
    <row r="26" spans="1:2" x14ac:dyDescent="0.3">
      <c r="A26" s="46">
        <v>40568</v>
      </c>
      <c r="B26">
        <v>560</v>
      </c>
    </row>
    <row r="27" spans="1:2" x14ac:dyDescent="0.3">
      <c r="A27" s="46">
        <v>40569</v>
      </c>
      <c r="B27">
        <v>579.06666666666672</v>
      </c>
    </row>
    <row r="28" spans="1:2" x14ac:dyDescent="0.3">
      <c r="A28" s="46">
        <v>40570</v>
      </c>
      <c r="B28">
        <v>591.5</v>
      </c>
    </row>
    <row r="29" spans="1:2" x14ac:dyDescent="0.3">
      <c r="A29" s="46">
        <v>40571</v>
      </c>
      <c r="B29">
        <v>607</v>
      </c>
    </row>
    <row r="30" spans="1:2" x14ac:dyDescent="0.3">
      <c r="A30" s="46">
        <v>40572</v>
      </c>
      <c r="B30">
        <v>630</v>
      </c>
    </row>
    <row r="31" spans="1:2" x14ac:dyDescent="0.3">
      <c r="A31" s="46">
        <v>40573</v>
      </c>
      <c r="B31">
        <v>653</v>
      </c>
    </row>
    <row r="32" spans="1:2" x14ac:dyDescent="0.3">
      <c r="A32" s="46">
        <v>40574</v>
      </c>
      <c r="B32">
        <v>676.5</v>
      </c>
    </row>
    <row r="33" spans="1:5" x14ac:dyDescent="0.3">
      <c r="A33" s="46">
        <v>40575</v>
      </c>
      <c r="B33">
        <v>700</v>
      </c>
    </row>
    <row r="34" spans="1:5" x14ac:dyDescent="0.3">
      <c r="A34" s="46">
        <v>40576</v>
      </c>
      <c r="B34">
        <v>723.5</v>
      </c>
    </row>
    <row r="35" spans="1:5" x14ac:dyDescent="0.3">
      <c r="A35" s="46">
        <v>40577</v>
      </c>
      <c r="B35">
        <v>747</v>
      </c>
    </row>
    <row r="36" spans="1:5" x14ac:dyDescent="0.3">
      <c r="A36" s="46">
        <v>40578</v>
      </c>
      <c r="B36">
        <v>770</v>
      </c>
    </row>
    <row r="37" spans="1:5" x14ac:dyDescent="0.3">
      <c r="A37" s="46">
        <v>40579</v>
      </c>
      <c r="B37">
        <v>793.5</v>
      </c>
    </row>
    <row r="38" spans="1:5" x14ac:dyDescent="0.3">
      <c r="A38" s="46">
        <v>40580</v>
      </c>
      <c r="B38">
        <v>817.5</v>
      </c>
    </row>
    <row r="39" spans="1:5" x14ac:dyDescent="0.3">
      <c r="A39" s="46">
        <v>40581</v>
      </c>
      <c r="B39">
        <v>841.5</v>
      </c>
    </row>
    <row r="40" spans="1:5" x14ac:dyDescent="0.3">
      <c r="A40" s="46">
        <v>40582</v>
      </c>
      <c r="B40">
        <v>865.5</v>
      </c>
    </row>
    <row r="41" spans="1:5" x14ac:dyDescent="0.3">
      <c r="A41" s="46">
        <v>40583</v>
      </c>
      <c r="B41">
        <v>889</v>
      </c>
    </row>
    <row r="42" spans="1:5" x14ac:dyDescent="0.3">
      <c r="A42" s="46">
        <v>40584</v>
      </c>
      <c r="B42">
        <v>912</v>
      </c>
    </row>
    <row r="43" spans="1:5" x14ac:dyDescent="0.3">
      <c r="A43" s="46">
        <v>40585</v>
      </c>
      <c r="B43">
        <v>934.5</v>
      </c>
    </row>
    <row r="44" spans="1:5" x14ac:dyDescent="0.3">
      <c r="A44" s="46">
        <v>40586</v>
      </c>
      <c r="B44">
        <v>957.5</v>
      </c>
    </row>
    <row r="45" spans="1:5" x14ac:dyDescent="0.3">
      <c r="A45" s="46">
        <v>40587</v>
      </c>
      <c r="B45">
        <v>981</v>
      </c>
    </row>
    <row r="46" spans="1:5" x14ac:dyDescent="0.3">
      <c r="A46" s="46">
        <v>40588</v>
      </c>
      <c r="B46">
        <v>996.5</v>
      </c>
      <c r="C46">
        <v>996.5</v>
      </c>
      <c r="D46" s="59">
        <v>996.5</v>
      </c>
      <c r="E46" s="59">
        <v>996.5</v>
      </c>
    </row>
    <row r="47" spans="1:5" x14ac:dyDescent="0.3">
      <c r="A47" s="46">
        <v>40589</v>
      </c>
      <c r="C47">
        <f t="shared" ref="C47:C86" si="0">_xlfn.FORECAST.ETS(A47,$B$2:$B$46,$A$2:$A$46,1,1)</f>
        <v>1013.9878274088956</v>
      </c>
      <c r="D47" s="59">
        <f t="shared" ref="D47:D86" si="1">C47-_xlfn.FORECAST.ETS.CONFINT(A47,$B$2:$B$46,$A$2:$A$46,0.95,1,1)</f>
        <v>1009.0521047979985</v>
      </c>
      <c r="E47" s="59">
        <f t="shared" ref="E47:E86" si="2">C47+_xlfn.FORECAST.ETS.CONFINT(A47,$B$2:$B$46,$A$2:$A$46,0.95,1,1)</f>
        <v>1018.9235500197926</v>
      </c>
    </row>
    <row r="48" spans="1:5" x14ac:dyDescent="0.3">
      <c r="A48" s="46">
        <v>40590</v>
      </c>
      <c r="C48">
        <f t="shared" si="0"/>
        <v>1031.4599500331856</v>
      </c>
      <c r="D48" s="59">
        <f t="shared" si="1"/>
        <v>1021.5245365732901</v>
      </c>
      <c r="E48" s="59">
        <f t="shared" si="2"/>
        <v>1041.395363493081</v>
      </c>
    </row>
    <row r="49" spans="1:5" x14ac:dyDescent="0.3">
      <c r="A49" s="46">
        <v>40591</v>
      </c>
      <c r="C49">
        <f t="shared" si="0"/>
        <v>1048.9320726574756</v>
      </c>
      <c r="D49" s="59">
        <f t="shared" si="1"/>
        <v>1033.1053835273949</v>
      </c>
      <c r="E49" s="59">
        <f t="shared" si="2"/>
        <v>1064.7587617875563</v>
      </c>
    </row>
    <row r="50" spans="1:5" x14ac:dyDescent="0.3">
      <c r="A50" s="46">
        <v>40592</v>
      </c>
      <c r="C50">
        <f t="shared" si="0"/>
        <v>1066.4041952817656</v>
      </c>
      <c r="D50" s="59">
        <f t="shared" si="1"/>
        <v>1043.8873172932881</v>
      </c>
      <c r="E50" s="59">
        <f t="shared" si="2"/>
        <v>1088.9210732702431</v>
      </c>
    </row>
    <row r="51" spans="1:5" x14ac:dyDescent="0.3">
      <c r="A51" s="46">
        <v>40593</v>
      </c>
      <c r="C51">
        <f t="shared" si="0"/>
        <v>1083.8763179060556</v>
      </c>
      <c r="D51" s="59">
        <f t="shared" si="1"/>
        <v>1053.9493559945086</v>
      </c>
      <c r="E51" s="59">
        <f t="shared" si="2"/>
        <v>1113.8032798176027</v>
      </c>
    </row>
    <row r="52" spans="1:5" x14ac:dyDescent="0.3">
      <c r="A52" s="46">
        <v>40594</v>
      </c>
      <c r="C52">
        <f t="shared" si="0"/>
        <v>1101.3484405303459</v>
      </c>
      <c r="D52" s="59">
        <f t="shared" si="1"/>
        <v>1063.3529494084421</v>
      </c>
      <c r="E52" s="59">
        <f t="shared" si="2"/>
        <v>1139.3439316522497</v>
      </c>
    </row>
    <row r="53" spans="1:5" x14ac:dyDescent="0.3">
      <c r="A53" s="46">
        <v>40595</v>
      </c>
      <c r="C53">
        <f t="shared" si="0"/>
        <v>1118.8205631546359</v>
      </c>
      <c r="D53" s="59">
        <f t="shared" si="1"/>
        <v>1072.1467356340729</v>
      </c>
      <c r="E53" s="59">
        <f t="shared" si="2"/>
        <v>1165.4943906751989</v>
      </c>
    </row>
    <row r="54" spans="1:5" x14ac:dyDescent="0.3">
      <c r="A54" s="46">
        <v>40596</v>
      </c>
      <c r="C54">
        <f t="shared" si="0"/>
        <v>1136.2926857789259</v>
      </c>
      <c r="D54" s="59">
        <f t="shared" si="1"/>
        <v>1080.3702123824303</v>
      </c>
      <c r="E54" s="59">
        <f t="shared" si="2"/>
        <v>1192.2151591754216</v>
      </c>
    </row>
    <row r="55" spans="1:5" x14ac:dyDescent="0.3">
      <c r="A55" s="46">
        <v>40597</v>
      </c>
      <c r="C55">
        <f t="shared" si="0"/>
        <v>1153.764808403216</v>
      </c>
      <c r="D55" s="59">
        <f t="shared" si="1"/>
        <v>1088.0561985888619</v>
      </c>
      <c r="E55" s="59">
        <f t="shared" si="2"/>
        <v>1219.47341821757</v>
      </c>
    </row>
    <row r="56" spans="1:5" x14ac:dyDescent="0.3">
      <c r="A56" s="46">
        <v>40598</v>
      </c>
      <c r="C56">
        <f t="shared" si="0"/>
        <v>1171.236931027506</v>
      </c>
      <c r="D56" s="59">
        <f t="shared" si="1"/>
        <v>1095.2324917733949</v>
      </c>
      <c r="E56" s="59">
        <f t="shared" si="2"/>
        <v>1247.241370281617</v>
      </c>
    </row>
    <row r="57" spans="1:5" x14ac:dyDescent="0.3">
      <c r="A57" s="46">
        <v>40599</v>
      </c>
      <c r="C57">
        <f t="shared" si="0"/>
        <v>1188.709053651796</v>
      </c>
      <c r="D57" s="59">
        <f t="shared" si="1"/>
        <v>1101.923014045042</v>
      </c>
      <c r="E57" s="59">
        <f t="shared" si="2"/>
        <v>1275.49509325855</v>
      </c>
    </row>
    <row r="58" spans="1:5" x14ac:dyDescent="0.3">
      <c r="A58" s="46">
        <v>40600</v>
      </c>
      <c r="C58">
        <f t="shared" si="0"/>
        <v>1206.181176276086</v>
      </c>
      <c r="D58" s="59">
        <f t="shared" si="1"/>
        <v>1108.148627861452</v>
      </c>
      <c r="E58" s="59">
        <f t="shared" si="2"/>
        <v>1304.21372469072</v>
      </c>
    </row>
    <row r="59" spans="1:5" x14ac:dyDescent="0.3">
      <c r="A59" s="46">
        <v>40601</v>
      </c>
      <c r="C59">
        <f t="shared" si="0"/>
        <v>1223.6532989003761</v>
      </c>
      <c r="D59" s="59">
        <f t="shared" si="1"/>
        <v>1113.9277325427031</v>
      </c>
      <c r="E59" s="59">
        <f t="shared" si="2"/>
        <v>1333.378865258049</v>
      </c>
    </row>
    <row r="60" spans="1:5" x14ac:dyDescent="0.3">
      <c r="A60" s="46">
        <v>40602</v>
      </c>
      <c r="C60">
        <f t="shared" si="0"/>
        <v>1241.1254215246661</v>
      </c>
      <c r="D60" s="59">
        <f t="shared" si="1"/>
        <v>1119.2767110094887</v>
      </c>
      <c r="E60" s="59">
        <f t="shared" si="2"/>
        <v>1362.9741320398434</v>
      </c>
    </row>
    <row r="61" spans="1:5" x14ac:dyDescent="0.3">
      <c r="A61" s="46">
        <v>40603</v>
      </c>
      <c r="C61">
        <f t="shared" si="0"/>
        <v>1258.5975441489563</v>
      </c>
      <c r="D61" s="59">
        <f t="shared" si="1"/>
        <v>1124.2102714412381</v>
      </c>
      <c r="E61" s="59">
        <f t="shared" si="2"/>
        <v>1392.9848168566746</v>
      </c>
    </row>
    <row r="62" spans="1:5" x14ac:dyDescent="0.3">
      <c r="A62" s="46">
        <v>40604</v>
      </c>
      <c r="C62">
        <f t="shared" si="0"/>
        <v>1276.0696667732464</v>
      </c>
      <c r="D62" s="59">
        <f t="shared" si="1"/>
        <v>1128.7417134195591</v>
      </c>
      <c r="E62" s="59">
        <f t="shared" si="2"/>
        <v>1423.3976201269336</v>
      </c>
    </row>
    <row r="63" spans="1:5" x14ac:dyDescent="0.3">
      <c r="A63" s="46">
        <v>40605</v>
      </c>
      <c r="C63">
        <f t="shared" si="0"/>
        <v>1293.5417893975364</v>
      </c>
      <c r="D63" s="59">
        <f t="shared" si="1"/>
        <v>1132.8831386283753</v>
      </c>
      <c r="E63" s="59">
        <f t="shared" si="2"/>
        <v>1454.2004401666975</v>
      </c>
    </row>
    <row r="64" spans="1:5" x14ac:dyDescent="0.3">
      <c r="A64" s="46">
        <v>40606</v>
      </c>
      <c r="C64">
        <f t="shared" si="0"/>
        <v>1311.0139120218264</v>
      </c>
      <c r="D64" s="59">
        <f t="shared" si="1"/>
        <v>1136.6456200630689</v>
      </c>
      <c r="E64" s="59">
        <f t="shared" si="2"/>
        <v>1485.3822039805839</v>
      </c>
    </row>
    <row r="65" spans="1:5" x14ac:dyDescent="0.3">
      <c r="A65" s="46">
        <v>40607</v>
      </c>
      <c r="C65">
        <f t="shared" si="0"/>
        <v>1328.4860346461164</v>
      </c>
      <c r="D65" s="59">
        <f t="shared" si="1"/>
        <v>1140.0393396568418</v>
      </c>
      <c r="E65" s="59">
        <f t="shared" si="2"/>
        <v>1516.9327296353911</v>
      </c>
    </row>
    <row r="66" spans="1:5" x14ac:dyDescent="0.3">
      <c r="A66" s="46">
        <v>40608</v>
      </c>
      <c r="C66">
        <f t="shared" si="0"/>
        <v>1345.9581572704064</v>
      </c>
      <c r="D66" s="59">
        <f t="shared" si="1"/>
        <v>1143.0737014973761</v>
      </c>
      <c r="E66" s="59">
        <f t="shared" si="2"/>
        <v>1548.8426130434368</v>
      </c>
    </row>
    <row r="67" spans="1:5" x14ac:dyDescent="0.3">
      <c r="A67" s="46">
        <v>40609</v>
      </c>
      <c r="C67">
        <f t="shared" si="0"/>
        <v>1363.4302798946965</v>
      </c>
      <c r="D67" s="59">
        <f t="shared" si="1"/>
        <v>1145.7574259177215</v>
      </c>
      <c r="E67" s="59">
        <f t="shared" si="2"/>
        <v>1581.1031338716714</v>
      </c>
    </row>
    <row r="68" spans="1:5" x14ac:dyDescent="0.3">
      <c r="A68" s="46">
        <v>40610</v>
      </c>
      <c r="C68">
        <f t="shared" si="0"/>
        <v>1380.9024025189865</v>
      </c>
      <c r="D68" s="59">
        <f t="shared" si="1"/>
        <v>1148.0986284152971</v>
      </c>
      <c r="E68" s="59">
        <f t="shared" si="2"/>
        <v>1613.7061766226759</v>
      </c>
    </row>
    <row r="69" spans="1:5" x14ac:dyDescent="0.3">
      <c r="A69" s="46">
        <v>40611</v>
      </c>
      <c r="C69">
        <f t="shared" si="0"/>
        <v>1398.3745251432765</v>
      </c>
      <c r="D69" s="59">
        <f t="shared" si="1"/>
        <v>1150.10488640005</v>
      </c>
      <c r="E69" s="59">
        <f t="shared" si="2"/>
        <v>1646.6441638865031</v>
      </c>
    </row>
    <row r="70" spans="1:5" x14ac:dyDescent="0.3">
      <c r="A70" s="46">
        <v>40612</v>
      </c>
      <c r="C70">
        <f t="shared" si="0"/>
        <v>1415.8466477675665</v>
      </c>
      <c r="D70" s="59">
        <f t="shared" si="1"/>
        <v>1151.7832960792909</v>
      </c>
      <c r="E70" s="59">
        <f t="shared" si="2"/>
        <v>1679.9099994558421</v>
      </c>
    </row>
    <row r="71" spans="1:5" x14ac:dyDescent="0.3">
      <c r="A71" s="46">
        <v>40613</v>
      </c>
      <c r="C71">
        <f t="shared" si="0"/>
        <v>1433.3187703918566</v>
      </c>
      <c r="D71" s="59">
        <f t="shared" si="1"/>
        <v>1153.1405212745569</v>
      </c>
      <c r="E71" s="59">
        <f t="shared" si="2"/>
        <v>1713.4970195091562</v>
      </c>
    </row>
    <row r="72" spans="1:5" x14ac:dyDescent="0.3">
      <c r="A72" s="46">
        <v>40614</v>
      </c>
      <c r="C72">
        <f t="shared" si="0"/>
        <v>1450.7908930161466</v>
      </c>
      <c r="D72" s="59">
        <f t="shared" si="1"/>
        <v>1154.1828355825799</v>
      </c>
      <c r="E72" s="59">
        <f t="shared" si="2"/>
        <v>1747.3989504497133</v>
      </c>
    </row>
    <row r="73" spans="1:5" x14ac:dyDescent="0.3">
      <c r="A73" s="46">
        <v>40615</v>
      </c>
      <c r="C73">
        <f t="shared" si="0"/>
        <v>1468.2630156404366</v>
      </c>
      <c r="D73" s="59">
        <f t="shared" si="1"/>
        <v>1154.9161590020876</v>
      </c>
      <c r="E73" s="59">
        <f t="shared" si="2"/>
        <v>1781.6098722787856</v>
      </c>
    </row>
    <row r="74" spans="1:5" x14ac:dyDescent="0.3">
      <c r="A74" s="46">
        <v>40616</v>
      </c>
      <c r="C74">
        <f t="shared" si="0"/>
        <v>1485.7351382647266</v>
      </c>
      <c r="D74" s="59">
        <f t="shared" si="1"/>
        <v>1155.3460899257288</v>
      </c>
      <c r="E74" s="59">
        <f t="shared" si="2"/>
        <v>1816.1241866037244</v>
      </c>
    </row>
    <row r="75" spans="1:5" x14ac:dyDescent="0.3">
      <c r="A75" s="46">
        <v>40617</v>
      </c>
      <c r="C75">
        <f t="shared" si="0"/>
        <v>1503.2072608890169</v>
      </c>
      <c r="D75" s="59">
        <f t="shared" si="1"/>
        <v>1155.4779332242217</v>
      </c>
      <c r="E75" s="59">
        <f t="shared" si="2"/>
        <v>1850.936588553812</v>
      </c>
    </row>
    <row r="76" spans="1:5" x14ac:dyDescent="0.3">
      <c r="A76" s="46">
        <v>40618</v>
      </c>
      <c r="C76">
        <f t="shared" si="0"/>
        <v>1520.6793835133069</v>
      </c>
      <c r="D76" s="59">
        <f t="shared" si="1"/>
        <v>1155.3167250152437</v>
      </c>
      <c r="E76" s="59">
        <f t="shared" si="2"/>
        <v>1886.0420420113701</v>
      </c>
    </row>
    <row r="77" spans="1:5" x14ac:dyDescent="0.3">
      <c r="A77" s="46">
        <v>40619</v>
      </c>
      <c r="C77">
        <f t="shared" si="0"/>
        <v>1538.1515061375969</v>
      </c>
      <c r="D77" s="59">
        <f t="shared" si="1"/>
        <v>1154.8672546034552</v>
      </c>
      <c r="E77" s="59">
        <f t="shared" si="2"/>
        <v>1921.4357576717387</v>
      </c>
    </row>
    <row r="78" spans="1:5" x14ac:dyDescent="0.3">
      <c r="A78" s="46">
        <v>40620</v>
      </c>
      <c r="C78">
        <f t="shared" si="0"/>
        <v>1555.6236287618869</v>
      </c>
      <c r="D78" s="59">
        <f t="shared" si="1"/>
        <v>1154.1340839936479</v>
      </c>
      <c r="E78" s="59">
        <f t="shared" si="2"/>
        <v>1957.113173530126</v>
      </c>
    </row>
    <row r="79" spans="1:5" x14ac:dyDescent="0.3">
      <c r="A79" s="46">
        <v>40621</v>
      </c>
      <c r="C79">
        <f t="shared" si="0"/>
        <v>1573.095751386177</v>
      </c>
      <c r="D79" s="59">
        <f t="shared" si="1"/>
        <v>1153.1215653113813</v>
      </c>
      <c r="E79" s="59">
        <f t="shared" si="2"/>
        <v>1993.0699374609726</v>
      </c>
    </row>
    <row r="80" spans="1:5" x14ac:dyDescent="0.3">
      <c r="A80" s="46">
        <v>40622</v>
      </c>
      <c r="C80">
        <f t="shared" si="0"/>
        <v>1590.567874010467</v>
      </c>
      <c r="D80" s="59">
        <f t="shared" si="1"/>
        <v>1151.8338564108767</v>
      </c>
      <c r="E80" s="59">
        <f t="shared" si="2"/>
        <v>2029.3018916100573</v>
      </c>
    </row>
    <row r="81" spans="1:5" x14ac:dyDescent="0.3">
      <c r="A81" s="46">
        <v>40623</v>
      </c>
      <c r="C81">
        <f t="shared" si="0"/>
        <v>1608.0399966347572</v>
      </c>
      <c r="D81" s="59">
        <f t="shared" si="1"/>
        <v>1150.2749349055637</v>
      </c>
      <c r="E81" s="59">
        <f t="shared" si="2"/>
        <v>2065.8050583639506</v>
      </c>
    </row>
    <row r="82" spans="1:5" x14ac:dyDescent="0.3">
      <c r="A82" s="46">
        <v>40624</v>
      </c>
      <c r="C82">
        <f t="shared" si="0"/>
        <v>1625.5121192590473</v>
      </c>
      <c r="D82" s="59">
        <f t="shared" si="1"/>
        <v>1148.4486108203864</v>
      </c>
      <c r="E82" s="59">
        <f t="shared" si="2"/>
        <v>2102.5756276977081</v>
      </c>
    </row>
    <row r="83" spans="1:5" x14ac:dyDescent="0.3">
      <c r="A83" s="46">
        <v>40625</v>
      </c>
      <c r="C83">
        <f t="shared" si="0"/>
        <v>1642.9842418833373</v>
      </c>
      <c r="D83" s="59">
        <f t="shared" si="1"/>
        <v>1146.358538035111</v>
      </c>
      <c r="E83" s="59">
        <f t="shared" si="2"/>
        <v>2139.6099457315636</v>
      </c>
    </row>
    <row r="84" spans="1:5" x14ac:dyDescent="0.3">
      <c r="A84" s="46">
        <v>40626</v>
      </c>
      <c r="C84">
        <f t="shared" si="0"/>
        <v>1660.4563645076273</v>
      </c>
      <c r="D84" s="59">
        <f t="shared" si="1"/>
        <v>1144.0082246631598</v>
      </c>
      <c r="E84" s="59">
        <f t="shared" si="2"/>
        <v>2176.9045043520946</v>
      </c>
    </row>
    <row r="85" spans="1:5" x14ac:dyDescent="0.3">
      <c r="A85" s="46">
        <v>40627</v>
      </c>
      <c r="C85">
        <f t="shared" si="0"/>
        <v>1677.9284871319173</v>
      </c>
      <c r="D85" s="59">
        <f t="shared" si="1"/>
        <v>1141.4010424899393</v>
      </c>
      <c r="E85" s="59">
        <f t="shared" si="2"/>
        <v>2214.4559317738954</v>
      </c>
    </row>
    <row r="86" spans="1:5" x14ac:dyDescent="0.3">
      <c r="A86" s="46">
        <v>40628</v>
      </c>
      <c r="C86">
        <f t="shared" si="0"/>
        <v>1695.4006097562074</v>
      </c>
      <c r="D86" s="59">
        <f t="shared" si="1"/>
        <v>1138.5402355774379</v>
      </c>
      <c r="E86" s="59">
        <f t="shared" si="2"/>
        <v>2252.260983934977</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2D1D-FAE3-45DF-9F2A-793DD1647F9A}">
  <dimension ref="A1:AO1000"/>
  <sheetViews>
    <sheetView tabSelected="1" topLeftCell="A2" workbookViewId="0">
      <selection activeCell="T9" sqref="T9"/>
    </sheetView>
  </sheetViews>
  <sheetFormatPr defaultRowHeight="14.4" x14ac:dyDescent="0.3"/>
  <cols>
    <col min="2" max="2" width="10.33203125" style="46" bestFit="1" customWidth="1"/>
    <col min="6" max="6" width="9.88671875" customWidth="1"/>
    <col min="7" max="7" width="9.77734375" customWidth="1"/>
    <col min="9" max="9" width="10.44140625" customWidth="1"/>
    <col min="11" max="11" width="12.109375" customWidth="1"/>
    <col min="12" max="12" width="11.77734375" customWidth="1"/>
    <col min="13" max="13" width="9.6640625" customWidth="1"/>
    <col min="14" max="14" width="8.88671875" customWidth="1"/>
    <col min="15" max="15" width="11.6640625" customWidth="1"/>
    <col min="16" max="16" width="10.77734375" customWidth="1"/>
    <col min="18" max="18" width="10.21875" customWidth="1"/>
    <col min="22" max="22" width="11.6640625" customWidth="1"/>
    <col min="23" max="23" width="13.33203125" customWidth="1"/>
    <col min="32" max="32" width="12.109375" customWidth="1"/>
    <col min="33" max="33" width="11.21875" customWidth="1"/>
    <col min="34" max="34" width="10.5546875" customWidth="1"/>
    <col min="37" max="37" width="10.88671875" customWidth="1"/>
  </cols>
  <sheetData>
    <row r="1" spans="1:41" s="47" customFormat="1" ht="25.8" customHeight="1" x14ac:dyDescent="0.3">
      <c r="A1" s="47" t="s">
        <v>11</v>
      </c>
      <c r="B1" s="48" t="s">
        <v>10</v>
      </c>
      <c r="C1" s="47" t="s">
        <v>21</v>
      </c>
      <c r="D1" s="47" t="s">
        <v>9</v>
      </c>
      <c r="E1" s="47" t="s">
        <v>5</v>
      </c>
      <c r="F1" s="47" t="s">
        <v>4</v>
      </c>
      <c r="G1" s="47" t="s">
        <v>22</v>
      </c>
      <c r="H1" s="47" t="s">
        <v>25</v>
      </c>
      <c r="I1" s="47" t="s">
        <v>3</v>
      </c>
      <c r="J1" s="47" t="s">
        <v>6</v>
      </c>
      <c r="K1" s="47" t="s">
        <v>7</v>
      </c>
      <c r="L1" s="47" t="s">
        <v>24</v>
      </c>
      <c r="M1" s="47" t="s">
        <v>20</v>
      </c>
      <c r="N1" s="47" t="s">
        <v>17</v>
      </c>
      <c r="O1" s="47" t="s">
        <v>18</v>
      </c>
      <c r="P1" s="47" t="s">
        <v>16</v>
      </c>
      <c r="Q1" s="47" t="s">
        <v>15</v>
      </c>
      <c r="R1" s="47" t="s">
        <v>14</v>
      </c>
      <c r="S1" s="47" t="s">
        <v>13</v>
      </c>
      <c r="U1" s="58"/>
      <c r="V1" s="60" t="s">
        <v>49</v>
      </c>
      <c r="W1" s="61"/>
      <c r="X1" s="61"/>
      <c r="Y1" s="61"/>
      <c r="Z1" s="61"/>
      <c r="AA1" s="61"/>
      <c r="AB1" s="61"/>
      <c r="AC1" s="61"/>
      <c r="AD1" s="61"/>
      <c r="AE1" s="61"/>
      <c r="AF1" s="61"/>
      <c r="AG1" s="61"/>
      <c r="AH1" s="61"/>
      <c r="AI1" s="61"/>
      <c r="AJ1" s="49"/>
      <c r="AK1" s="49"/>
      <c r="AL1" s="49"/>
      <c r="AM1" s="49"/>
      <c r="AN1" s="49"/>
      <c r="AO1" s="50"/>
    </row>
    <row r="2" spans="1:41" x14ac:dyDescent="0.3">
      <c r="A2">
        <v>1</v>
      </c>
      <c r="B2" s="46">
        <v>40544</v>
      </c>
      <c r="C2">
        <v>1</v>
      </c>
      <c r="D2">
        <v>0</v>
      </c>
      <c r="E2" t="b">
        <v>0</v>
      </c>
      <c r="F2">
        <v>6</v>
      </c>
      <c r="G2" t="s">
        <v>27</v>
      </c>
      <c r="H2" t="s">
        <v>28</v>
      </c>
      <c r="I2">
        <v>1</v>
      </c>
      <c r="J2" t="s">
        <v>29</v>
      </c>
      <c r="K2">
        <v>0.24</v>
      </c>
      <c r="L2" t="s">
        <v>23</v>
      </c>
      <c r="M2">
        <v>0.28789999999999999</v>
      </c>
      <c r="N2">
        <v>0.81</v>
      </c>
      <c r="O2" t="s">
        <v>30</v>
      </c>
      <c r="P2">
        <v>0</v>
      </c>
      <c r="Q2">
        <v>3</v>
      </c>
      <c r="R2">
        <v>13</v>
      </c>
      <c r="S2">
        <v>16</v>
      </c>
      <c r="U2" s="51"/>
      <c r="AO2" s="52"/>
    </row>
    <row r="3" spans="1:41" x14ac:dyDescent="0.3">
      <c r="A3">
        <v>2</v>
      </c>
      <c r="B3" s="46">
        <v>40544</v>
      </c>
      <c r="C3">
        <v>1</v>
      </c>
      <c r="D3">
        <v>1</v>
      </c>
      <c r="E3" t="b">
        <v>0</v>
      </c>
      <c r="F3">
        <v>6</v>
      </c>
      <c r="G3" t="s">
        <v>27</v>
      </c>
      <c r="H3" t="s">
        <v>28</v>
      </c>
      <c r="I3">
        <v>1</v>
      </c>
      <c r="J3" t="s">
        <v>29</v>
      </c>
      <c r="K3">
        <v>0.22</v>
      </c>
      <c r="L3" t="s">
        <v>23</v>
      </c>
      <c r="M3">
        <v>0.2727</v>
      </c>
      <c r="N3">
        <v>0.8</v>
      </c>
      <c r="O3" t="s">
        <v>30</v>
      </c>
      <c r="P3">
        <v>0</v>
      </c>
      <c r="Q3">
        <v>8</v>
      </c>
      <c r="R3">
        <v>32</v>
      </c>
      <c r="S3">
        <v>40</v>
      </c>
      <c r="U3" s="51"/>
      <c r="AO3" s="52"/>
    </row>
    <row r="4" spans="1:41" x14ac:dyDescent="0.3">
      <c r="A4">
        <v>3</v>
      </c>
      <c r="B4" s="46">
        <v>40544</v>
      </c>
      <c r="C4">
        <v>1</v>
      </c>
      <c r="D4">
        <v>2</v>
      </c>
      <c r="E4" t="b">
        <v>0</v>
      </c>
      <c r="F4">
        <v>6</v>
      </c>
      <c r="G4" t="s">
        <v>27</v>
      </c>
      <c r="H4" t="s">
        <v>28</v>
      </c>
      <c r="I4">
        <v>1</v>
      </c>
      <c r="J4" t="s">
        <v>29</v>
      </c>
      <c r="K4">
        <v>0.22</v>
      </c>
      <c r="L4" t="s">
        <v>23</v>
      </c>
      <c r="M4">
        <v>0.2727</v>
      </c>
      <c r="N4">
        <v>0.8</v>
      </c>
      <c r="O4" t="s">
        <v>30</v>
      </c>
      <c r="P4">
        <v>0</v>
      </c>
      <c r="Q4">
        <v>5</v>
      </c>
      <c r="R4">
        <v>27</v>
      </c>
      <c r="S4">
        <v>32</v>
      </c>
      <c r="U4" s="51"/>
      <c r="V4" s="53" t="s">
        <v>41</v>
      </c>
      <c r="W4">
        <f>SUM(Append1[Count])</f>
        <v>58268</v>
      </c>
      <c r="AO4" s="52"/>
    </row>
    <row r="5" spans="1:41" x14ac:dyDescent="0.3">
      <c r="A5">
        <v>4</v>
      </c>
      <c r="B5" s="46">
        <v>40544</v>
      </c>
      <c r="C5">
        <v>1</v>
      </c>
      <c r="D5">
        <v>3</v>
      </c>
      <c r="E5" t="b">
        <v>0</v>
      </c>
      <c r="F5">
        <v>6</v>
      </c>
      <c r="G5" t="s">
        <v>27</v>
      </c>
      <c r="H5" t="s">
        <v>28</v>
      </c>
      <c r="I5">
        <v>1</v>
      </c>
      <c r="J5" t="s">
        <v>29</v>
      </c>
      <c r="K5">
        <v>0.24</v>
      </c>
      <c r="L5" t="s">
        <v>23</v>
      </c>
      <c r="M5">
        <v>0.28789999999999999</v>
      </c>
      <c r="N5">
        <v>0.75</v>
      </c>
      <c r="O5" t="s">
        <v>30</v>
      </c>
      <c r="P5">
        <v>0</v>
      </c>
      <c r="Q5">
        <v>3</v>
      </c>
      <c r="R5">
        <v>10</v>
      </c>
      <c r="S5">
        <v>13</v>
      </c>
      <c r="U5" s="51"/>
      <c r="V5" s="53" t="s">
        <v>42</v>
      </c>
      <c r="W5">
        <f>AVERAGE(Append1[Count])</f>
        <v>58.326326326326324</v>
      </c>
      <c r="AO5" s="52"/>
    </row>
    <row r="6" spans="1:41" x14ac:dyDescent="0.3">
      <c r="A6">
        <v>5</v>
      </c>
      <c r="B6" s="46">
        <v>40544</v>
      </c>
      <c r="C6">
        <v>1</v>
      </c>
      <c r="D6">
        <v>4</v>
      </c>
      <c r="E6" t="b">
        <v>0</v>
      </c>
      <c r="F6">
        <v>6</v>
      </c>
      <c r="G6" t="s">
        <v>27</v>
      </c>
      <c r="H6" t="s">
        <v>28</v>
      </c>
      <c r="I6">
        <v>1</v>
      </c>
      <c r="J6" t="s">
        <v>29</v>
      </c>
      <c r="K6">
        <v>0.24</v>
      </c>
      <c r="L6" t="s">
        <v>23</v>
      </c>
      <c r="M6">
        <v>0.28789999999999999</v>
      </c>
      <c r="N6">
        <v>0.75</v>
      </c>
      <c r="O6" t="s">
        <v>30</v>
      </c>
      <c r="P6">
        <v>0</v>
      </c>
      <c r="Q6">
        <v>0</v>
      </c>
      <c r="R6">
        <v>1</v>
      </c>
      <c r="S6">
        <v>1</v>
      </c>
      <c r="U6" s="51"/>
      <c r="V6" s="53" t="s">
        <v>13</v>
      </c>
      <c r="W6">
        <f>COUNT(Append1[Casual])</f>
        <v>999</v>
      </c>
      <c r="AO6" s="52"/>
    </row>
    <row r="7" spans="1:41" x14ac:dyDescent="0.3">
      <c r="A7">
        <v>6</v>
      </c>
      <c r="B7" s="46">
        <v>40544</v>
      </c>
      <c r="C7">
        <v>1</v>
      </c>
      <c r="D7">
        <v>5</v>
      </c>
      <c r="E7" t="b">
        <v>0</v>
      </c>
      <c r="F7">
        <v>6</v>
      </c>
      <c r="G7" t="s">
        <v>27</v>
      </c>
      <c r="H7" t="s">
        <v>28</v>
      </c>
      <c r="I7">
        <v>2</v>
      </c>
      <c r="J7" t="s">
        <v>31</v>
      </c>
      <c r="K7">
        <v>0.24</v>
      </c>
      <c r="L7" t="s">
        <v>23</v>
      </c>
      <c r="M7">
        <v>0.2576</v>
      </c>
      <c r="N7">
        <v>0.75</v>
      </c>
      <c r="O7" t="s">
        <v>30</v>
      </c>
      <c r="P7">
        <v>8.9599999999999999E-2</v>
      </c>
      <c r="Q7">
        <v>0</v>
      </c>
      <c r="R7">
        <v>1</v>
      </c>
      <c r="S7">
        <v>1</v>
      </c>
      <c r="U7" s="51"/>
      <c r="V7" s="53" t="s">
        <v>43</v>
      </c>
      <c r="W7">
        <f>COUNTIF(G:G,"Yes")</f>
        <v>330</v>
      </c>
      <c r="AO7" s="52"/>
    </row>
    <row r="8" spans="1:41" x14ac:dyDescent="0.3">
      <c r="A8">
        <v>7</v>
      </c>
      <c r="B8" s="46">
        <v>40544</v>
      </c>
      <c r="C8">
        <v>1</v>
      </c>
      <c r="D8">
        <v>6</v>
      </c>
      <c r="E8" t="b">
        <v>0</v>
      </c>
      <c r="F8">
        <v>6</v>
      </c>
      <c r="G8" t="s">
        <v>27</v>
      </c>
      <c r="H8" t="s">
        <v>28</v>
      </c>
      <c r="I8">
        <v>1</v>
      </c>
      <c r="J8" t="s">
        <v>29</v>
      </c>
      <c r="K8">
        <v>0.22</v>
      </c>
      <c r="L8" t="s">
        <v>23</v>
      </c>
      <c r="M8">
        <v>0.2727</v>
      </c>
      <c r="N8">
        <v>0.8</v>
      </c>
      <c r="O8" t="s">
        <v>30</v>
      </c>
      <c r="P8">
        <v>0</v>
      </c>
      <c r="Q8">
        <v>2</v>
      </c>
      <c r="R8">
        <v>0</v>
      </c>
      <c r="S8">
        <v>2</v>
      </c>
      <c r="U8" s="51"/>
      <c r="AO8" s="52"/>
    </row>
    <row r="9" spans="1:41" x14ac:dyDescent="0.3">
      <c r="A9">
        <v>8</v>
      </c>
      <c r="B9" s="46">
        <v>40544</v>
      </c>
      <c r="C9">
        <v>1</v>
      </c>
      <c r="D9">
        <v>7</v>
      </c>
      <c r="E9" t="b">
        <v>0</v>
      </c>
      <c r="F9">
        <v>6</v>
      </c>
      <c r="G9" t="s">
        <v>27</v>
      </c>
      <c r="H9" t="s">
        <v>28</v>
      </c>
      <c r="I9">
        <v>1</v>
      </c>
      <c r="J9" t="s">
        <v>29</v>
      </c>
      <c r="K9">
        <v>0.2</v>
      </c>
      <c r="L9" t="s">
        <v>23</v>
      </c>
      <c r="M9">
        <v>0.2576</v>
      </c>
      <c r="N9">
        <v>0.86</v>
      </c>
      <c r="O9" t="s">
        <v>30</v>
      </c>
      <c r="P9">
        <v>0</v>
      </c>
      <c r="Q9">
        <v>1</v>
      </c>
      <c r="R9">
        <v>2</v>
      </c>
      <c r="S9">
        <v>3</v>
      </c>
      <c r="U9" s="51"/>
      <c r="AO9" s="52"/>
    </row>
    <row r="10" spans="1:41" x14ac:dyDescent="0.3">
      <c r="A10">
        <v>9</v>
      </c>
      <c r="B10" s="46">
        <v>40544</v>
      </c>
      <c r="C10">
        <v>1</v>
      </c>
      <c r="D10">
        <v>8</v>
      </c>
      <c r="E10" t="b">
        <v>0</v>
      </c>
      <c r="F10">
        <v>6</v>
      </c>
      <c r="G10" t="s">
        <v>27</v>
      </c>
      <c r="H10" t="s">
        <v>28</v>
      </c>
      <c r="I10">
        <v>1</v>
      </c>
      <c r="J10" t="s">
        <v>29</v>
      </c>
      <c r="K10">
        <v>0.24</v>
      </c>
      <c r="L10" t="s">
        <v>23</v>
      </c>
      <c r="M10">
        <v>0.19892385786802047</v>
      </c>
      <c r="N10">
        <v>0.75</v>
      </c>
      <c r="O10" t="s">
        <v>30</v>
      </c>
      <c r="P10">
        <v>0</v>
      </c>
      <c r="Q10">
        <v>1</v>
      </c>
      <c r="R10">
        <v>7</v>
      </c>
      <c r="S10">
        <v>8</v>
      </c>
      <c r="U10" s="51"/>
      <c r="X10" s="53" t="s">
        <v>44</v>
      </c>
      <c r="Y10" s="53" t="s">
        <v>47</v>
      </c>
      <c r="Z10" s="53" t="s">
        <v>48</v>
      </c>
      <c r="AO10" s="52"/>
    </row>
    <row r="11" spans="1:41" x14ac:dyDescent="0.3">
      <c r="A11">
        <v>10</v>
      </c>
      <c r="B11" s="46">
        <v>40544</v>
      </c>
      <c r="C11">
        <v>1</v>
      </c>
      <c r="D11">
        <v>9</v>
      </c>
      <c r="E11" t="b">
        <v>0</v>
      </c>
      <c r="F11">
        <v>6</v>
      </c>
      <c r="G11" t="s">
        <v>27</v>
      </c>
      <c r="H11" t="s">
        <v>28</v>
      </c>
      <c r="I11">
        <v>1</v>
      </c>
      <c r="J11" t="s">
        <v>29</v>
      </c>
      <c r="K11">
        <v>0.32</v>
      </c>
      <c r="L11" t="s">
        <v>23</v>
      </c>
      <c r="M11">
        <v>0.34849999999999998</v>
      </c>
      <c r="N11">
        <v>0.76</v>
      </c>
      <c r="O11" t="s">
        <v>30</v>
      </c>
      <c r="P11">
        <v>0</v>
      </c>
      <c r="Q11">
        <v>8</v>
      </c>
      <c r="R11">
        <v>6</v>
      </c>
      <c r="S11">
        <v>14</v>
      </c>
      <c r="U11" s="51"/>
      <c r="V11" s="20" t="s">
        <v>45</v>
      </c>
      <c r="W11" s="20" t="s">
        <v>10</v>
      </c>
      <c r="X11" s="20" t="s">
        <v>46</v>
      </c>
      <c r="Y11" s="20" t="s">
        <v>6</v>
      </c>
      <c r="Z11" s="20" t="s">
        <v>17</v>
      </c>
      <c r="AO11" s="52"/>
    </row>
    <row r="12" spans="1:41" x14ac:dyDescent="0.3">
      <c r="A12">
        <v>11</v>
      </c>
      <c r="B12" s="46">
        <v>40544</v>
      </c>
      <c r="C12">
        <v>1</v>
      </c>
      <c r="D12">
        <v>10</v>
      </c>
      <c r="E12" t="b">
        <v>0</v>
      </c>
      <c r="F12">
        <v>6</v>
      </c>
      <c r="G12" t="s">
        <v>27</v>
      </c>
      <c r="H12" t="s">
        <v>28</v>
      </c>
      <c r="I12">
        <v>1</v>
      </c>
      <c r="J12" t="s">
        <v>29</v>
      </c>
      <c r="K12">
        <v>0.38</v>
      </c>
      <c r="L12" t="s">
        <v>30</v>
      </c>
      <c r="M12">
        <v>0.39389999999999997</v>
      </c>
      <c r="N12">
        <v>0.76</v>
      </c>
      <c r="O12" t="s">
        <v>30</v>
      </c>
      <c r="P12">
        <v>0.25369999999999998</v>
      </c>
      <c r="Q12">
        <v>12</v>
      </c>
      <c r="R12">
        <v>24</v>
      </c>
      <c r="S12">
        <v>36</v>
      </c>
      <c r="U12" s="51"/>
      <c r="V12">
        <v>15</v>
      </c>
      <c r="W12" s="46">
        <v>40544</v>
      </c>
      <c r="X12" t="str">
        <f>LEFT(H15,3)</f>
        <v>Sat</v>
      </c>
      <c r="Y12" t="str">
        <f>RIGHT(J15,4)</f>
        <v>isty</v>
      </c>
      <c r="Z12">
        <f>LEN(O15)</f>
        <v>5</v>
      </c>
      <c r="AO12" s="52"/>
    </row>
    <row r="13" spans="1:41" x14ac:dyDescent="0.3">
      <c r="A13">
        <v>12</v>
      </c>
      <c r="B13" s="46">
        <v>40544</v>
      </c>
      <c r="C13">
        <v>1</v>
      </c>
      <c r="D13">
        <v>11</v>
      </c>
      <c r="E13" t="b">
        <v>0</v>
      </c>
      <c r="F13">
        <v>6</v>
      </c>
      <c r="G13" t="s">
        <v>27</v>
      </c>
      <c r="H13" t="s">
        <v>28</v>
      </c>
      <c r="I13">
        <v>1</v>
      </c>
      <c r="J13" t="s">
        <v>29</v>
      </c>
      <c r="K13">
        <v>0.36</v>
      </c>
      <c r="L13" t="s">
        <v>30</v>
      </c>
      <c r="M13">
        <v>0.33329999999999999</v>
      </c>
      <c r="N13">
        <v>0.81</v>
      </c>
      <c r="O13" t="s">
        <v>30</v>
      </c>
      <c r="P13">
        <v>0.28360000000000002</v>
      </c>
      <c r="Q13">
        <v>26</v>
      </c>
      <c r="R13">
        <v>30</v>
      </c>
      <c r="S13">
        <v>56</v>
      </c>
      <c r="U13" s="51"/>
      <c r="V13">
        <v>16</v>
      </c>
      <c r="W13" s="46">
        <v>40544</v>
      </c>
      <c r="X13" t="str">
        <f t="shared" ref="X13:X22" si="0">LEFT(H16,3)</f>
        <v>Sat</v>
      </c>
      <c r="Y13" t="str">
        <f t="shared" ref="Y13:Y22" si="1">RIGHT(J16,4)</f>
        <v>isty</v>
      </c>
      <c r="Z13">
        <f t="shared" ref="Z13:Z22" si="2">LEN(O16)</f>
        <v>5</v>
      </c>
      <c r="AO13" s="52"/>
    </row>
    <row r="14" spans="1:41" x14ac:dyDescent="0.3">
      <c r="A14">
        <v>13</v>
      </c>
      <c r="B14" s="46">
        <v>40544</v>
      </c>
      <c r="C14">
        <v>1</v>
      </c>
      <c r="D14">
        <v>12</v>
      </c>
      <c r="E14" t="b">
        <v>0</v>
      </c>
      <c r="F14">
        <v>6</v>
      </c>
      <c r="G14" t="s">
        <v>27</v>
      </c>
      <c r="H14" t="s">
        <v>28</v>
      </c>
      <c r="I14">
        <v>1</v>
      </c>
      <c r="J14" t="s">
        <v>29</v>
      </c>
      <c r="K14">
        <v>0.42</v>
      </c>
      <c r="L14" t="s">
        <v>30</v>
      </c>
      <c r="M14">
        <v>0.42420000000000002</v>
      </c>
      <c r="N14">
        <v>0.77</v>
      </c>
      <c r="O14" t="s">
        <v>30</v>
      </c>
      <c r="P14">
        <v>0.28360000000000002</v>
      </c>
      <c r="Q14">
        <v>29</v>
      </c>
      <c r="R14">
        <v>55</v>
      </c>
      <c r="S14">
        <v>84</v>
      </c>
      <c r="U14" s="51"/>
      <c r="V14">
        <v>17</v>
      </c>
      <c r="W14" s="46">
        <v>40544</v>
      </c>
      <c r="X14" t="str">
        <f t="shared" si="0"/>
        <v>Sat</v>
      </c>
      <c r="Y14" t="str">
        <f t="shared" si="1"/>
        <v>isty</v>
      </c>
      <c r="Z14">
        <f t="shared" si="2"/>
        <v>5</v>
      </c>
      <c r="AO14" s="52"/>
    </row>
    <row r="15" spans="1:41" x14ac:dyDescent="0.3">
      <c r="A15">
        <v>14</v>
      </c>
      <c r="B15" s="46">
        <v>40544</v>
      </c>
      <c r="C15">
        <v>1</v>
      </c>
      <c r="D15">
        <v>13</v>
      </c>
      <c r="E15" t="b">
        <v>0</v>
      </c>
      <c r="F15">
        <v>6</v>
      </c>
      <c r="G15" t="s">
        <v>27</v>
      </c>
      <c r="H15" t="s">
        <v>28</v>
      </c>
      <c r="I15">
        <v>2</v>
      </c>
      <c r="J15" t="s">
        <v>31</v>
      </c>
      <c r="K15">
        <v>0.46</v>
      </c>
      <c r="L15" t="s">
        <v>30</v>
      </c>
      <c r="M15">
        <v>0.45450000000000002</v>
      </c>
      <c r="N15">
        <v>0.72</v>
      </c>
      <c r="O15" t="s">
        <v>30</v>
      </c>
      <c r="P15">
        <v>0.29849999999999999</v>
      </c>
      <c r="Q15">
        <v>47</v>
      </c>
      <c r="R15">
        <v>47</v>
      </c>
      <c r="S15">
        <v>94</v>
      </c>
      <c r="U15" s="51"/>
      <c r="V15">
        <v>18</v>
      </c>
      <c r="W15" s="46">
        <v>40544</v>
      </c>
      <c r="X15" t="str">
        <f t="shared" si="0"/>
        <v>Sat</v>
      </c>
      <c r="Y15" t="str">
        <f t="shared" si="1"/>
        <v>isty</v>
      </c>
      <c r="Z15">
        <f t="shared" si="2"/>
        <v>5</v>
      </c>
      <c r="AO15" s="52"/>
    </row>
    <row r="16" spans="1:41" x14ac:dyDescent="0.3">
      <c r="A16">
        <v>15</v>
      </c>
      <c r="B16" s="46">
        <v>40544</v>
      </c>
      <c r="C16">
        <v>1</v>
      </c>
      <c r="D16">
        <v>14</v>
      </c>
      <c r="E16" t="b">
        <v>0</v>
      </c>
      <c r="F16">
        <v>6</v>
      </c>
      <c r="G16" t="s">
        <v>27</v>
      </c>
      <c r="H16" t="s">
        <v>28</v>
      </c>
      <c r="I16">
        <v>2</v>
      </c>
      <c r="J16" t="s">
        <v>31</v>
      </c>
      <c r="K16">
        <v>0.46</v>
      </c>
      <c r="L16" t="s">
        <v>30</v>
      </c>
      <c r="M16">
        <v>0.45450000000000002</v>
      </c>
      <c r="N16">
        <v>0.72</v>
      </c>
      <c r="O16" t="s">
        <v>30</v>
      </c>
      <c r="P16">
        <v>0.28360000000000002</v>
      </c>
      <c r="Q16">
        <v>35</v>
      </c>
      <c r="R16">
        <v>71</v>
      </c>
      <c r="S16">
        <v>106</v>
      </c>
      <c r="U16" s="51"/>
      <c r="V16">
        <v>19</v>
      </c>
      <c r="W16" s="46">
        <v>40544</v>
      </c>
      <c r="X16" t="str">
        <f t="shared" si="0"/>
        <v>Sat</v>
      </c>
      <c r="Y16" t="str">
        <f t="shared" si="1"/>
        <v>isty</v>
      </c>
      <c r="Z16">
        <f t="shared" si="2"/>
        <v>5</v>
      </c>
      <c r="AO16" s="52"/>
    </row>
    <row r="17" spans="1:41" x14ac:dyDescent="0.3">
      <c r="A17">
        <v>16</v>
      </c>
      <c r="B17" s="46">
        <v>40544</v>
      </c>
      <c r="C17">
        <v>1</v>
      </c>
      <c r="D17">
        <v>15</v>
      </c>
      <c r="E17" t="b">
        <v>0</v>
      </c>
      <c r="F17">
        <v>6</v>
      </c>
      <c r="G17" t="s">
        <v>27</v>
      </c>
      <c r="H17" t="s">
        <v>28</v>
      </c>
      <c r="I17">
        <v>2</v>
      </c>
      <c r="J17" t="s">
        <v>31</v>
      </c>
      <c r="K17">
        <v>0.44</v>
      </c>
      <c r="L17" t="s">
        <v>30</v>
      </c>
      <c r="M17">
        <v>0.43940000000000001</v>
      </c>
      <c r="N17">
        <v>0.77</v>
      </c>
      <c r="O17" t="s">
        <v>30</v>
      </c>
      <c r="P17">
        <v>0.29849999999999999</v>
      </c>
      <c r="Q17">
        <v>40</v>
      </c>
      <c r="R17">
        <v>70</v>
      </c>
      <c r="S17">
        <v>110</v>
      </c>
      <c r="U17" s="51"/>
      <c r="V17">
        <v>20</v>
      </c>
      <c r="W17" s="46">
        <v>40544</v>
      </c>
      <c r="X17" t="str">
        <f t="shared" si="0"/>
        <v>Sat</v>
      </c>
      <c r="Y17" t="str">
        <f t="shared" si="1"/>
        <v>Rain</v>
      </c>
      <c r="Z17">
        <f t="shared" si="2"/>
        <v>5</v>
      </c>
      <c r="AO17" s="52"/>
    </row>
    <row r="18" spans="1:41" x14ac:dyDescent="0.3">
      <c r="A18">
        <v>17</v>
      </c>
      <c r="B18" s="46">
        <v>40544</v>
      </c>
      <c r="C18">
        <v>1</v>
      </c>
      <c r="D18">
        <v>16</v>
      </c>
      <c r="E18" t="b">
        <v>0</v>
      </c>
      <c r="F18">
        <v>6</v>
      </c>
      <c r="G18" t="s">
        <v>27</v>
      </c>
      <c r="H18" t="s">
        <v>28</v>
      </c>
      <c r="I18">
        <v>2</v>
      </c>
      <c r="J18" t="s">
        <v>31</v>
      </c>
      <c r="K18">
        <v>0.42</v>
      </c>
      <c r="L18" t="s">
        <v>30</v>
      </c>
      <c r="M18">
        <v>0.42420000000000002</v>
      </c>
      <c r="N18">
        <v>0.82</v>
      </c>
      <c r="O18" t="s">
        <v>30</v>
      </c>
      <c r="P18">
        <v>0.29849999999999999</v>
      </c>
      <c r="Q18">
        <v>41</v>
      </c>
      <c r="R18">
        <v>52</v>
      </c>
      <c r="S18">
        <v>93</v>
      </c>
      <c r="U18" s="51"/>
      <c r="V18">
        <v>21</v>
      </c>
      <c r="W18" s="46">
        <v>40544</v>
      </c>
      <c r="X18" t="str">
        <f t="shared" si="0"/>
        <v>Sat</v>
      </c>
      <c r="Y18" t="str">
        <f t="shared" si="1"/>
        <v>Rain</v>
      </c>
      <c r="Z18">
        <f t="shared" si="2"/>
        <v>5</v>
      </c>
      <c r="AO18" s="52"/>
    </row>
    <row r="19" spans="1:41" x14ac:dyDescent="0.3">
      <c r="A19">
        <v>18</v>
      </c>
      <c r="B19" s="46">
        <v>40544</v>
      </c>
      <c r="C19">
        <v>1</v>
      </c>
      <c r="D19">
        <v>17</v>
      </c>
      <c r="E19" t="b">
        <v>0</v>
      </c>
      <c r="F19">
        <v>6</v>
      </c>
      <c r="G19" t="s">
        <v>27</v>
      </c>
      <c r="H19" t="s">
        <v>28</v>
      </c>
      <c r="I19">
        <v>2</v>
      </c>
      <c r="J19" t="s">
        <v>31</v>
      </c>
      <c r="K19">
        <v>0.44</v>
      </c>
      <c r="L19" t="s">
        <v>30</v>
      </c>
      <c r="M19">
        <v>0.19604030874785608</v>
      </c>
      <c r="N19">
        <v>0.82</v>
      </c>
      <c r="O19" t="s">
        <v>30</v>
      </c>
      <c r="P19">
        <v>0.28360000000000002</v>
      </c>
      <c r="Q19">
        <v>15</v>
      </c>
      <c r="R19">
        <v>52</v>
      </c>
      <c r="S19">
        <v>67</v>
      </c>
      <c r="U19" s="51"/>
      <c r="V19">
        <v>22</v>
      </c>
      <c r="W19" s="46">
        <v>40544</v>
      </c>
      <c r="X19" t="str">
        <f t="shared" si="0"/>
        <v>Sat</v>
      </c>
      <c r="Y19" t="str">
        <f t="shared" si="1"/>
        <v>isty</v>
      </c>
      <c r="Z19">
        <f t="shared" si="2"/>
        <v>5</v>
      </c>
      <c r="AO19" s="52"/>
    </row>
    <row r="20" spans="1:41" x14ac:dyDescent="0.3">
      <c r="A20">
        <v>19</v>
      </c>
      <c r="B20" s="46">
        <v>40544</v>
      </c>
      <c r="C20">
        <v>1</v>
      </c>
      <c r="D20">
        <v>18</v>
      </c>
      <c r="E20" t="b">
        <v>0</v>
      </c>
      <c r="F20">
        <v>6</v>
      </c>
      <c r="G20" t="s">
        <v>27</v>
      </c>
      <c r="H20" t="s">
        <v>28</v>
      </c>
      <c r="I20">
        <v>3</v>
      </c>
      <c r="J20" t="s">
        <v>32</v>
      </c>
      <c r="K20">
        <v>0.42</v>
      </c>
      <c r="L20" t="s">
        <v>30</v>
      </c>
      <c r="M20">
        <v>0.42420000000000002</v>
      </c>
      <c r="N20">
        <v>0.88</v>
      </c>
      <c r="O20" t="s">
        <v>30</v>
      </c>
      <c r="P20">
        <v>0.25369999999999998</v>
      </c>
      <c r="Q20">
        <v>9</v>
      </c>
      <c r="R20">
        <v>26</v>
      </c>
      <c r="S20">
        <v>35</v>
      </c>
      <c r="U20" s="51"/>
      <c r="V20">
        <v>23</v>
      </c>
      <c r="W20" s="46">
        <v>40544</v>
      </c>
      <c r="X20" t="str">
        <f t="shared" si="0"/>
        <v>Sat</v>
      </c>
      <c r="Y20" t="str">
        <f t="shared" si="1"/>
        <v>isty</v>
      </c>
      <c r="Z20">
        <f t="shared" si="2"/>
        <v>5</v>
      </c>
      <c r="AO20" s="52"/>
    </row>
    <row r="21" spans="1:41" x14ac:dyDescent="0.3">
      <c r="A21">
        <v>20</v>
      </c>
      <c r="B21" s="46">
        <v>40544</v>
      </c>
      <c r="C21">
        <v>1</v>
      </c>
      <c r="D21">
        <v>19</v>
      </c>
      <c r="E21" t="b">
        <v>0</v>
      </c>
      <c r="F21">
        <v>6</v>
      </c>
      <c r="G21" t="s">
        <v>27</v>
      </c>
      <c r="H21" t="s">
        <v>28</v>
      </c>
      <c r="I21">
        <v>3</v>
      </c>
      <c r="J21" t="s">
        <v>32</v>
      </c>
      <c r="K21">
        <v>0.42</v>
      </c>
      <c r="L21" t="s">
        <v>30</v>
      </c>
      <c r="M21">
        <v>0.42420000000000002</v>
      </c>
      <c r="N21">
        <v>0.88</v>
      </c>
      <c r="O21" t="s">
        <v>30</v>
      </c>
      <c r="P21">
        <v>0.25369999999999998</v>
      </c>
      <c r="Q21">
        <v>6</v>
      </c>
      <c r="R21">
        <v>31</v>
      </c>
      <c r="S21">
        <v>37</v>
      </c>
      <c r="U21" s="51"/>
      <c r="V21">
        <v>24</v>
      </c>
      <c r="W21" s="46">
        <v>40544</v>
      </c>
      <c r="X21" t="str">
        <f t="shared" si="0"/>
        <v>Sat</v>
      </c>
      <c r="Y21" t="str">
        <f t="shared" si="1"/>
        <v>isty</v>
      </c>
      <c r="Z21">
        <f t="shared" si="2"/>
        <v>5</v>
      </c>
      <c r="AO21" s="52"/>
    </row>
    <row r="22" spans="1:41" x14ac:dyDescent="0.3">
      <c r="A22">
        <v>21</v>
      </c>
      <c r="B22" s="46">
        <v>40544</v>
      </c>
      <c r="C22">
        <v>1</v>
      </c>
      <c r="D22">
        <v>20</v>
      </c>
      <c r="E22" t="b">
        <v>0</v>
      </c>
      <c r="F22">
        <v>6</v>
      </c>
      <c r="G22" t="s">
        <v>27</v>
      </c>
      <c r="H22" t="s">
        <v>28</v>
      </c>
      <c r="I22">
        <v>2</v>
      </c>
      <c r="J22" t="s">
        <v>31</v>
      </c>
      <c r="K22">
        <v>0.4</v>
      </c>
      <c r="L22" t="s">
        <v>30</v>
      </c>
      <c r="M22">
        <v>0.40910000000000002</v>
      </c>
      <c r="N22">
        <v>0.87</v>
      </c>
      <c r="O22" t="s">
        <v>30</v>
      </c>
      <c r="P22">
        <v>0.25369999999999998</v>
      </c>
      <c r="Q22">
        <v>11</v>
      </c>
      <c r="R22">
        <v>25</v>
      </c>
      <c r="S22">
        <v>36</v>
      </c>
      <c r="U22" s="51"/>
      <c r="V22">
        <v>25</v>
      </c>
      <c r="W22" s="46">
        <v>40545</v>
      </c>
      <c r="X22" t="str">
        <f t="shared" si="0"/>
        <v>Sat</v>
      </c>
      <c r="Y22" t="str">
        <f t="shared" si="1"/>
        <v>isty</v>
      </c>
      <c r="Z22">
        <f t="shared" si="2"/>
        <v>5</v>
      </c>
      <c r="AO22" s="52"/>
    </row>
    <row r="23" spans="1:41" x14ac:dyDescent="0.3">
      <c r="A23">
        <v>22</v>
      </c>
      <c r="B23" s="46">
        <v>40544</v>
      </c>
      <c r="C23">
        <v>1</v>
      </c>
      <c r="D23">
        <v>21</v>
      </c>
      <c r="E23" t="b">
        <v>0</v>
      </c>
      <c r="F23">
        <v>6</v>
      </c>
      <c r="G23" t="s">
        <v>27</v>
      </c>
      <c r="H23" t="s">
        <v>28</v>
      </c>
      <c r="I23">
        <v>2</v>
      </c>
      <c r="J23" t="s">
        <v>31</v>
      </c>
      <c r="K23">
        <v>0.4</v>
      </c>
      <c r="L23" t="s">
        <v>30</v>
      </c>
      <c r="M23">
        <v>0.40910000000000002</v>
      </c>
      <c r="N23">
        <v>0.87</v>
      </c>
      <c r="O23" t="s">
        <v>30</v>
      </c>
      <c r="P23">
        <v>0.19400000000000001</v>
      </c>
      <c r="Q23">
        <v>3</v>
      </c>
      <c r="R23">
        <v>31</v>
      </c>
      <c r="S23">
        <v>34</v>
      </c>
      <c r="U23" s="51"/>
      <c r="AO23" s="52"/>
    </row>
    <row r="24" spans="1:41" x14ac:dyDescent="0.3">
      <c r="A24">
        <v>23</v>
      </c>
      <c r="B24" s="46">
        <v>40544</v>
      </c>
      <c r="C24">
        <v>1</v>
      </c>
      <c r="D24">
        <v>22</v>
      </c>
      <c r="E24" t="b">
        <v>0</v>
      </c>
      <c r="F24">
        <v>6</v>
      </c>
      <c r="G24" t="s">
        <v>27</v>
      </c>
      <c r="H24" t="s">
        <v>28</v>
      </c>
      <c r="I24">
        <v>2</v>
      </c>
      <c r="J24" t="s">
        <v>31</v>
      </c>
      <c r="K24">
        <v>0.4</v>
      </c>
      <c r="L24" t="s">
        <v>30</v>
      </c>
      <c r="M24">
        <v>0.40910000000000002</v>
      </c>
      <c r="N24">
        <v>0.94</v>
      </c>
      <c r="O24" t="s">
        <v>30</v>
      </c>
      <c r="P24">
        <v>0.22389999999999999</v>
      </c>
      <c r="Q24">
        <v>11</v>
      </c>
      <c r="R24">
        <v>17</v>
      </c>
      <c r="S24">
        <v>28</v>
      </c>
      <c r="U24" s="51"/>
      <c r="AO24" s="52"/>
    </row>
    <row r="25" spans="1:41" x14ac:dyDescent="0.3">
      <c r="A25">
        <v>24</v>
      </c>
      <c r="B25" s="46">
        <v>40544</v>
      </c>
      <c r="C25">
        <v>1</v>
      </c>
      <c r="D25">
        <v>23</v>
      </c>
      <c r="E25" t="b">
        <v>0</v>
      </c>
      <c r="F25">
        <v>6</v>
      </c>
      <c r="G25" t="s">
        <v>27</v>
      </c>
      <c r="H25" t="s">
        <v>28</v>
      </c>
      <c r="I25">
        <v>2</v>
      </c>
      <c r="J25" t="s">
        <v>31</v>
      </c>
      <c r="K25">
        <v>0.46</v>
      </c>
      <c r="L25" t="s">
        <v>30</v>
      </c>
      <c r="M25">
        <v>0.19414498269896208</v>
      </c>
      <c r="N25">
        <v>0.88</v>
      </c>
      <c r="O25" t="s">
        <v>30</v>
      </c>
      <c r="P25">
        <v>0.29849999999999999</v>
      </c>
      <c r="Q25">
        <v>15</v>
      </c>
      <c r="R25">
        <v>24</v>
      </c>
      <c r="S25">
        <v>39</v>
      </c>
      <c r="U25" s="51"/>
      <c r="V25" s="62" t="s">
        <v>50</v>
      </c>
      <c r="W25" s="62"/>
      <c r="X25" s="62"/>
      <c r="Y25" s="62"/>
      <c r="AO25" s="52"/>
    </row>
    <row r="26" spans="1:41" x14ac:dyDescent="0.3">
      <c r="A26">
        <v>25</v>
      </c>
      <c r="B26" s="46">
        <v>40545</v>
      </c>
      <c r="C26">
        <v>1</v>
      </c>
      <c r="D26">
        <v>0</v>
      </c>
      <c r="E26" t="b">
        <v>0</v>
      </c>
      <c r="F26">
        <v>0</v>
      </c>
      <c r="G26" t="s">
        <v>27</v>
      </c>
      <c r="H26" t="s">
        <v>33</v>
      </c>
      <c r="I26">
        <v>2</v>
      </c>
      <c r="J26" t="s">
        <v>31</v>
      </c>
      <c r="K26">
        <v>0.46</v>
      </c>
      <c r="L26" t="s">
        <v>30</v>
      </c>
      <c r="M26">
        <v>0.45450000000000002</v>
      </c>
      <c r="N26">
        <v>0.88</v>
      </c>
      <c r="O26" t="s">
        <v>30</v>
      </c>
      <c r="P26">
        <v>0.29849999999999999</v>
      </c>
      <c r="Q26">
        <v>4</v>
      </c>
      <c r="R26">
        <v>13</v>
      </c>
      <c r="S26">
        <v>17</v>
      </c>
      <c r="U26" s="51"/>
      <c r="V26" s="53" t="s">
        <v>51</v>
      </c>
      <c r="W26" t="s">
        <v>4</v>
      </c>
      <c r="X26">
        <f>SUMIF(G:G,"No",Q:Q)</f>
        <v>2218</v>
      </c>
      <c r="AO26" s="52"/>
    </row>
    <row r="27" spans="1:41" x14ac:dyDescent="0.3">
      <c r="A27">
        <v>26</v>
      </c>
      <c r="B27" s="46">
        <v>40545</v>
      </c>
      <c r="C27">
        <v>1</v>
      </c>
      <c r="D27">
        <v>1</v>
      </c>
      <c r="E27" t="b">
        <v>0</v>
      </c>
      <c r="F27">
        <v>0</v>
      </c>
      <c r="G27" t="s">
        <v>27</v>
      </c>
      <c r="H27" t="s">
        <v>33</v>
      </c>
      <c r="I27">
        <v>2</v>
      </c>
      <c r="J27" t="s">
        <v>31</v>
      </c>
      <c r="K27">
        <v>0.44</v>
      </c>
      <c r="L27" t="s">
        <v>30</v>
      </c>
      <c r="M27">
        <v>0.43940000000000001</v>
      </c>
      <c r="N27">
        <v>0.94</v>
      </c>
      <c r="O27" t="s">
        <v>30</v>
      </c>
      <c r="P27">
        <v>0.25369999999999998</v>
      </c>
      <c r="Q27">
        <v>1</v>
      </c>
      <c r="R27">
        <v>16</v>
      </c>
      <c r="S27">
        <v>17</v>
      </c>
      <c r="U27" s="51"/>
      <c r="W27" t="s">
        <v>22</v>
      </c>
      <c r="X27">
        <f>SUMIF(Append1[Weekend],"Yes",Append1[Casual])</f>
        <v>2702</v>
      </c>
      <c r="AO27" s="52"/>
    </row>
    <row r="28" spans="1:41" x14ac:dyDescent="0.3">
      <c r="A28">
        <v>27</v>
      </c>
      <c r="B28" s="46">
        <v>40545</v>
      </c>
      <c r="C28">
        <v>1</v>
      </c>
      <c r="D28">
        <v>2</v>
      </c>
      <c r="E28" t="b">
        <v>0</v>
      </c>
      <c r="F28">
        <v>0</v>
      </c>
      <c r="G28" t="s">
        <v>27</v>
      </c>
      <c r="H28" t="s">
        <v>33</v>
      </c>
      <c r="I28">
        <v>2</v>
      </c>
      <c r="J28" t="s">
        <v>31</v>
      </c>
      <c r="K28">
        <v>0.42</v>
      </c>
      <c r="L28" t="s">
        <v>30</v>
      </c>
      <c r="M28">
        <v>0.42420000000000002</v>
      </c>
      <c r="N28">
        <v>1</v>
      </c>
      <c r="O28" t="s">
        <v>30</v>
      </c>
      <c r="P28">
        <v>0.28360000000000002</v>
      </c>
      <c r="Q28">
        <v>1</v>
      </c>
      <c r="R28">
        <v>8</v>
      </c>
      <c r="S28">
        <v>9</v>
      </c>
      <c r="U28" s="51"/>
      <c r="AO28" s="52"/>
    </row>
    <row r="29" spans="1:41" x14ac:dyDescent="0.3">
      <c r="A29">
        <v>28</v>
      </c>
      <c r="B29" s="46">
        <v>40545</v>
      </c>
      <c r="C29">
        <v>1</v>
      </c>
      <c r="D29">
        <v>3</v>
      </c>
      <c r="E29" t="b">
        <v>0</v>
      </c>
      <c r="F29">
        <v>0</v>
      </c>
      <c r="G29" t="s">
        <v>27</v>
      </c>
      <c r="H29" t="s">
        <v>33</v>
      </c>
      <c r="I29">
        <v>2</v>
      </c>
      <c r="J29" t="s">
        <v>31</v>
      </c>
      <c r="K29">
        <v>0.46</v>
      </c>
      <c r="L29" t="s">
        <v>30</v>
      </c>
      <c r="M29">
        <v>0.45450000000000002</v>
      </c>
      <c r="N29">
        <v>0.94</v>
      </c>
      <c r="O29" t="s">
        <v>30</v>
      </c>
      <c r="P29">
        <v>0.19400000000000001</v>
      </c>
      <c r="Q29">
        <v>2</v>
      </c>
      <c r="R29">
        <v>4</v>
      </c>
      <c r="S29">
        <v>6</v>
      </c>
      <c r="U29" s="51"/>
      <c r="V29" s="53" t="s">
        <v>52</v>
      </c>
      <c r="W29" t="s">
        <v>53</v>
      </c>
      <c r="X29">
        <f>SUMIF(Append1[Weekend],"No",Append1[Registered])</f>
        <v>40181</v>
      </c>
      <c r="AO29" s="52"/>
    </row>
    <row r="30" spans="1:41" x14ac:dyDescent="0.3">
      <c r="A30">
        <v>29</v>
      </c>
      <c r="B30" s="46">
        <v>40545</v>
      </c>
      <c r="C30">
        <v>1</v>
      </c>
      <c r="D30">
        <v>4</v>
      </c>
      <c r="E30" t="b">
        <v>0</v>
      </c>
      <c r="F30">
        <v>0</v>
      </c>
      <c r="G30" t="s">
        <v>27</v>
      </c>
      <c r="H30" t="s">
        <v>33</v>
      </c>
      <c r="I30">
        <v>2</v>
      </c>
      <c r="J30" t="s">
        <v>31</v>
      </c>
      <c r="K30">
        <v>0.46</v>
      </c>
      <c r="L30" t="s">
        <v>30</v>
      </c>
      <c r="M30">
        <v>0.192409756097561</v>
      </c>
      <c r="N30">
        <v>0.94</v>
      </c>
      <c r="O30" t="s">
        <v>30</v>
      </c>
      <c r="P30">
        <v>0.19400000000000001</v>
      </c>
      <c r="Q30">
        <v>2</v>
      </c>
      <c r="R30">
        <v>1</v>
      </c>
      <c r="S30">
        <v>3</v>
      </c>
      <c r="U30" s="51"/>
      <c r="W30" t="s">
        <v>22</v>
      </c>
      <c r="X30">
        <f>SUMIF(Append1[Weekend],"Yes",Append1[Registered])</f>
        <v>13167</v>
      </c>
      <c r="AO30" s="52"/>
    </row>
    <row r="31" spans="1:41" x14ac:dyDescent="0.3">
      <c r="A31">
        <v>30</v>
      </c>
      <c r="B31" s="46">
        <v>40545</v>
      </c>
      <c r="C31">
        <v>1</v>
      </c>
      <c r="D31">
        <v>6</v>
      </c>
      <c r="E31" t="b">
        <v>0</v>
      </c>
      <c r="F31">
        <v>0</v>
      </c>
      <c r="G31" t="s">
        <v>27</v>
      </c>
      <c r="H31" t="s">
        <v>33</v>
      </c>
      <c r="I31">
        <v>3</v>
      </c>
      <c r="J31" t="s">
        <v>32</v>
      </c>
      <c r="K31">
        <v>0.42</v>
      </c>
      <c r="L31" t="s">
        <v>30</v>
      </c>
      <c r="M31">
        <v>0.42420000000000002</v>
      </c>
      <c r="N31">
        <v>0.77</v>
      </c>
      <c r="O31" t="s">
        <v>30</v>
      </c>
      <c r="P31">
        <v>0.29849999999999999</v>
      </c>
      <c r="Q31">
        <v>0</v>
      </c>
      <c r="R31">
        <v>2</v>
      </c>
      <c r="S31">
        <v>2</v>
      </c>
      <c r="U31" s="51"/>
      <c r="AO31" s="52"/>
    </row>
    <row r="32" spans="1:41" x14ac:dyDescent="0.3">
      <c r="A32">
        <v>31</v>
      </c>
      <c r="B32" s="46">
        <v>40545</v>
      </c>
      <c r="C32">
        <v>1</v>
      </c>
      <c r="D32">
        <v>7</v>
      </c>
      <c r="E32" t="b">
        <v>0</v>
      </c>
      <c r="F32">
        <v>0</v>
      </c>
      <c r="G32" t="s">
        <v>27</v>
      </c>
      <c r="H32" t="s">
        <v>33</v>
      </c>
      <c r="I32">
        <v>2</v>
      </c>
      <c r="J32" t="s">
        <v>31</v>
      </c>
      <c r="K32">
        <v>0.4</v>
      </c>
      <c r="L32" t="s">
        <v>30</v>
      </c>
      <c r="M32">
        <v>0.40910000000000002</v>
      </c>
      <c r="N32">
        <v>0.76</v>
      </c>
      <c r="O32" t="s">
        <v>30</v>
      </c>
      <c r="P32">
        <v>0.19400000000000001</v>
      </c>
      <c r="Q32">
        <v>0</v>
      </c>
      <c r="R32">
        <v>1</v>
      </c>
      <c r="S32">
        <v>1</v>
      </c>
      <c r="U32" s="51"/>
      <c r="AO32" s="52"/>
    </row>
    <row r="33" spans="1:41" x14ac:dyDescent="0.3">
      <c r="A33">
        <v>32</v>
      </c>
      <c r="B33" s="46">
        <v>40545</v>
      </c>
      <c r="C33">
        <v>1</v>
      </c>
      <c r="D33">
        <v>8</v>
      </c>
      <c r="E33" t="b">
        <v>0</v>
      </c>
      <c r="F33">
        <v>0</v>
      </c>
      <c r="G33" t="s">
        <v>27</v>
      </c>
      <c r="H33" t="s">
        <v>33</v>
      </c>
      <c r="I33">
        <v>3</v>
      </c>
      <c r="J33" t="s">
        <v>32</v>
      </c>
      <c r="K33">
        <v>0.4</v>
      </c>
      <c r="L33" t="s">
        <v>30</v>
      </c>
      <c r="M33">
        <v>0.40910000000000002</v>
      </c>
      <c r="N33">
        <v>0.71</v>
      </c>
      <c r="O33" t="s">
        <v>30</v>
      </c>
      <c r="P33">
        <v>0.22389999999999999</v>
      </c>
      <c r="Q33">
        <v>0</v>
      </c>
      <c r="R33">
        <v>8</v>
      </c>
      <c r="S33">
        <v>8</v>
      </c>
      <c r="U33" s="51"/>
      <c r="AO33" s="52"/>
    </row>
    <row r="34" spans="1:41" ht="14.4" customHeight="1" x14ac:dyDescent="0.3">
      <c r="A34">
        <v>33</v>
      </c>
      <c r="B34" s="46">
        <v>40545</v>
      </c>
      <c r="C34">
        <v>1</v>
      </c>
      <c r="D34">
        <v>9</v>
      </c>
      <c r="E34" t="b">
        <v>0</v>
      </c>
      <c r="F34">
        <v>0</v>
      </c>
      <c r="G34" t="s">
        <v>27</v>
      </c>
      <c r="H34" t="s">
        <v>33</v>
      </c>
      <c r="I34">
        <v>2</v>
      </c>
      <c r="J34" t="s">
        <v>31</v>
      </c>
      <c r="K34">
        <v>0.38</v>
      </c>
      <c r="L34" t="s">
        <v>30</v>
      </c>
      <c r="M34">
        <v>0.19124483362521896</v>
      </c>
      <c r="N34">
        <v>0.76</v>
      </c>
      <c r="O34" t="s">
        <v>30</v>
      </c>
      <c r="P34">
        <v>0.22389999999999999</v>
      </c>
      <c r="Q34">
        <v>1</v>
      </c>
      <c r="R34">
        <v>19</v>
      </c>
      <c r="S34">
        <v>20</v>
      </c>
      <c r="U34" s="51"/>
      <c r="V34" s="63" t="s">
        <v>57</v>
      </c>
      <c r="W34" t="s">
        <v>54</v>
      </c>
      <c r="X34">
        <f>SUMIFS(Append1[Count],Append1[Weekend],"Yes",Append1[Weather],"Heavy Rain")</f>
        <v>0</v>
      </c>
      <c r="AO34" s="52"/>
    </row>
    <row r="35" spans="1:41" x14ac:dyDescent="0.3">
      <c r="A35">
        <v>34</v>
      </c>
      <c r="B35" s="46">
        <v>40545</v>
      </c>
      <c r="C35">
        <v>1</v>
      </c>
      <c r="D35">
        <v>10</v>
      </c>
      <c r="E35" t="b">
        <v>0</v>
      </c>
      <c r="F35">
        <v>0</v>
      </c>
      <c r="G35" t="s">
        <v>27</v>
      </c>
      <c r="H35" t="s">
        <v>33</v>
      </c>
      <c r="I35">
        <v>2</v>
      </c>
      <c r="J35" t="s">
        <v>31</v>
      </c>
      <c r="K35">
        <v>0.36</v>
      </c>
      <c r="L35" t="s">
        <v>30</v>
      </c>
      <c r="M35">
        <v>0.34849999999999998</v>
      </c>
      <c r="N35">
        <v>0.81</v>
      </c>
      <c r="O35" t="s">
        <v>30</v>
      </c>
      <c r="P35">
        <v>0.22389999999999999</v>
      </c>
      <c r="Q35">
        <v>7</v>
      </c>
      <c r="R35">
        <v>46</v>
      </c>
      <c r="S35">
        <v>53</v>
      </c>
      <c r="U35" s="51"/>
      <c r="V35" s="63"/>
      <c r="W35" t="s">
        <v>55</v>
      </c>
      <c r="X35">
        <f>SUMIFS(S:S,G:G,"Yes",O:O,"Risky")</f>
        <v>3109</v>
      </c>
      <c r="AO35" s="52"/>
    </row>
    <row r="36" spans="1:41" x14ac:dyDescent="0.3">
      <c r="A36">
        <v>35</v>
      </c>
      <c r="B36" s="46">
        <v>40545</v>
      </c>
      <c r="C36">
        <v>1</v>
      </c>
      <c r="D36">
        <v>11</v>
      </c>
      <c r="E36" t="b">
        <v>0</v>
      </c>
      <c r="F36">
        <v>0</v>
      </c>
      <c r="G36" t="s">
        <v>27</v>
      </c>
      <c r="H36" t="s">
        <v>33</v>
      </c>
      <c r="I36">
        <v>2</v>
      </c>
      <c r="J36" t="s">
        <v>31</v>
      </c>
      <c r="K36">
        <v>0.36</v>
      </c>
      <c r="L36" t="s">
        <v>30</v>
      </c>
      <c r="M36">
        <v>0.33329999999999999</v>
      </c>
      <c r="N36">
        <v>0.71</v>
      </c>
      <c r="O36" t="s">
        <v>30</v>
      </c>
      <c r="P36">
        <v>0.25369999999999998</v>
      </c>
      <c r="Q36">
        <v>16</v>
      </c>
      <c r="R36">
        <v>54</v>
      </c>
      <c r="S36">
        <v>70</v>
      </c>
      <c r="U36" s="51"/>
      <c r="V36" s="63"/>
      <c r="W36" t="s">
        <v>8</v>
      </c>
      <c r="X36">
        <f>SUMIFS(S:S,G:G,"Yes",L:L,"Safe")</f>
        <v>12527</v>
      </c>
      <c r="AO36" s="52"/>
    </row>
    <row r="37" spans="1:41" x14ac:dyDescent="0.3">
      <c r="A37">
        <v>36</v>
      </c>
      <c r="B37" s="46">
        <v>40545</v>
      </c>
      <c r="C37">
        <v>1</v>
      </c>
      <c r="D37">
        <v>12</v>
      </c>
      <c r="E37" t="b">
        <v>0</v>
      </c>
      <c r="F37">
        <v>0</v>
      </c>
      <c r="G37" t="s">
        <v>27</v>
      </c>
      <c r="H37" t="s">
        <v>33</v>
      </c>
      <c r="I37">
        <v>2</v>
      </c>
      <c r="J37" t="s">
        <v>31</v>
      </c>
      <c r="K37">
        <v>0.36</v>
      </c>
      <c r="L37" t="s">
        <v>30</v>
      </c>
      <c r="M37">
        <v>0.33329999999999999</v>
      </c>
      <c r="N37">
        <v>0.66</v>
      </c>
      <c r="O37" t="s">
        <v>34</v>
      </c>
      <c r="P37">
        <v>0.29849999999999999</v>
      </c>
      <c r="Q37">
        <v>20</v>
      </c>
      <c r="R37">
        <v>73</v>
      </c>
      <c r="S37">
        <v>93</v>
      </c>
      <c r="U37" s="51"/>
      <c r="W37" t="s">
        <v>56</v>
      </c>
      <c r="X37">
        <f>SUMIFS(S:S,G:G,"Yes",J:J,"Clean")</f>
        <v>11309</v>
      </c>
      <c r="AO37" s="52"/>
    </row>
    <row r="38" spans="1:41" x14ac:dyDescent="0.3">
      <c r="A38">
        <v>37</v>
      </c>
      <c r="B38" s="46">
        <v>40545</v>
      </c>
      <c r="C38">
        <v>1</v>
      </c>
      <c r="D38">
        <v>13</v>
      </c>
      <c r="E38" t="b">
        <v>0</v>
      </c>
      <c r="F38">
        <v>0</v>
      </c>
      <c r="G38" t="s">
        <v>27</v>
      </c>
      <c r="H38" t="s">
        <v>33</v>
      </c>
      <c r="I38">
        <v>2</v>
      </c>
      <c r="J38" t="s">
        <v>31</v>
      </c>
      <c r="K38">
        <v>0.36</v>
      </c>
      <c r="L38" t="s">
        <v>30</v>
      </c>
      <c r="M38">
        <v>0.34849999999999998</v>
      </c>
      <c r="N38">
        <v>0.66</v>
      </c>
      <c r="O38" t="s">
        <v>34</v>
      </c>
      <c r="P38">
        <v>0.1343</v>
      </c>
      <c r="Q38">
        <v>11</v>
      </c>
      <c r="R38">
        <v>64</v>
      </c>
      <c r="S38">
        <v>75</v>
      </c>
      <c r="U38" s="51"/>
      <c r="AO38" s="52"/>
    </row>
    <row r="39" spans="1:41" x14ac:dyDescent="0.3">
      <c r="A39">
        <v>38</v>
      </c>
      <c r="B39" s="46">
        <v>40545</v>
      </c>
      <c r="C39">
        <v>1</v>
      </c>
      <c r="D39">
        <v>14</v>
      </c>
      <c r="E39" t="b">
        <v>0</v>
      </c>
      <c r="F39">
        <v>0</v>
      </c>
      <c r="G39" t="s">
        <v>27</v>
      </c>
      <c r="H39" t="s">
        <v>33</v>
      </c>
      <c r="I39">
        <v>3</v>
      </c>
      <c r="J39" t="s">
        <v>32</v>
      </c>
      <c r="K39">
        <v>0.36</v>
      </c>
      <c r="L39" t="s">
        <v>30</v>
      </c>
      <c r="M39">
        <v>0.19018906525573195</v>
      </c>
      <c r="N39">
        <v>0.76</v>
      </c>
      <c r="O39" t="s">
        <v>30</v>
      </c>
      <c r="P39">
        <v>0.19400000000000001</v>
      </c>
      <c r="Q39">
        <v>4</v>
      </c>
      <c r="R39">
        <v>55</v>
      </c>
      <c r="S39">
        <v>59</v>
      </c>
      <c r="U39" s="51"/>
      <c r="AO39" s="52"/>
    </row>
    <row r="40" spans="1:41" x14ac:dyDescent="0.3">
      <c r="A40">
        <v>39</v>
      </c>
      <c r="B40" s="46">
        <v>40545</v>
      </c>
      <c r="C40">
        <v>1</v>
      </c>
      <c r="D40">
        <v>15</v>
      </c>
      <c r="E40" t="b">
        <v>0</v>
      </c>
      <c r="F40">
        <v>0</v>
      </c>
      <c r="G40" t="s">
        <v>27</v>
      </c>
      <c r="H40" t="s">
        <v>33</v>
      </c>
      <c r="I40">
        <v>3</v>
      </c>
      <c r="J40" t="s">
        <v>32</v>
      </c>
      <c r="K40">
        <v>0.34</v>
      </c>
      <c r="L40" t="s">
        <v>23</v>
      </c>
      <c r="M40">
        <v>0.33329999999999999</v>
      </c>
      <c r="N40">
        <v>0.81</v>
      </c>
      <c r="O40" t="s">
        <v>30</v>
      </c>
      <c r="P40">
        <v>0.16420000000000001</v>
      </c>
      <c r="Q40">
        <v>19</v>
      </c>
      <c r="R40">
        <v>55</v>
      </c>
      <c r="S40">
        <v>74</v>
      </c>
      <c r="U40" s="51"/>
      <c r="AO40" s="52"/>
    </row>
    <row r="41" spans="1:41" x14ac:dyDescent="0.3">
      <c r="A41">
        <v>40</v>
      </c>
      <c r="B41" s="46">
        <v>40545</v>
      </c>
      <c r="C41">
        <v>1</v>
      </c>
      <c r="D41">
        <v>16</v>
      </c>
      <c r="E41" t="b">
        <v>0</v>
      </c>
      <c r="F41">
        <v>0</v>
      </c>
      <c r="G41" t="s">
        <v>27</v>
      </c>
      <c r="H41" t="s">
        <v>33</v>
      </c>
      <c r="I41">
        <v>3</v>
      </c>
      <c r="J41" t="s">
        <v>32</v>
      </c>
      <c r="K41">
        <v>0.34</v>
      </c>
      <c r="L41" t="s">
        <v>23</v>
      </c>
      <c r="M41">
        <v>0.33329999999999999</v>
      </c>
      <c r="N41">
        <v>0.71</v>
      </c>
      <c r="O41" t="s">
        <v>30</v>
      </c>
      <c r="P41">
        <v>0.16420000000000001</v>
      </c>
      <c r="Q41">
        <v>9</v>
      </c>
      <c r="R41">
        <v>67</v>
      </c>
      <c r="S41">
        <v>76</v>
      </c>
      <c r="U41" s="51"/>
      <c r="AO41" s="52"/>
    </row>
    <row r="42" spans="1:41" ht="13.8" customHeight="1" x14ac:dyDescent="0.3">
      <c r="A42">
        <v>41</v>
      </c>
      <c r="B42" s="46">
        <v>40545</v>
      </c>
      <c r="C42">
        <v>1</v>
      </c>
      <c r="D42">
        <v>17</v>
      </c>
      <c r="E42" t="b">
        <v>0</v>
      </c>
      <c r="F42">
        <v>0</v>
      </c>
      <c r="G42" t="s">
        <v>27</v>
      </c>
      <c r="H42" t="s">
        <v>33</v>
      </c>
      <c r="I42">
        <v>1</v>
      </c>
      <c r="J42" t="s">
        <v>29</v>
      </c>
      <c r="K42">
        <v>0.34</v>
      </c>
      <c r="L42" t="s">
        <v>23</v>
      </c>
      <c r="M42">
        <v>0.33329999999999999</v>
      </c>
      <c r="N42">
        <v>0.56999999999999995</v>
      </c>
      <c r="O42" t="s">
        <v>34</v>
      </c>
      <c r="P42">
        <v>0.19400000000000001</v>
      </c>
      <c r="Q42">
        <v>7</v>
      </c>
      <c r="R42">
        <v>58</v>
      </c>
      <c r="S42">
        <v>65</v>
      </c>
      <c r="U42" s="51"/>
      <c r="V42" s="56" t="s">
        <v>11</v>
      </c>
      <c r="W42" s="57" t="s">
        <v>10</v>
      </c>
      <c r="X42" s="56" t="s">
        <v>21</v>
      </c>
      <c r="Y42" s="56" t="s">
        <v>9</v>
      </c>
      <c r="Z42" s="56" t="s">
        <v>5</v>
      </c>
      <c r="AA42" s="56" t="s">
        <v>4</v>
      </c>
      <c r="AB42" s="56" t="s">
        <v>22</v>
      </c>
      <c r="AC42" s="56" t="s">
        <v>25</v>
      </c>
      <c r="AD42" s="56" t="s">
        <v>3</v>
      </c>
      <c r="AE42" s="56" t="s">
        <v>6</v>
      </c>
      <c r="AF42" s="56" t="s">
        <v>7</v>
      </c>
      <c r="AG42" s="56" t="s">
        <v>24</v>
      </c>
      <c r="AH42" s="56" t="s">
        <v>20</v>
      </c>
      <c r="AI42" s="56" t="s">
        <v>17</v>
      </c>
      <c r="AJ42" s="56" t="s">
        <v>18</v>
      </c>
      <c r="AK42" s="56" t="s">
        <v>16</v>
      </c>
      <c r="AL42" s="56" t="s">
        <v>15</v>
      </c>
      <c r="AM42" s="56" t="s">
        <v>14</v>
      </c>
      <c r="AN42" s="56" t="s">
        <v>13</v>
      </c>
      <c r="AO42" s="52"/>
    </row>
    <row r="43" spans="1:41" x14ac:dyDescent="0.3">
      <c r="A43">
        <v>42</v>
      </c>
      <c r="B43" s="46">
        <v>40545</v>
      </c>
      <c r="C43">
        <v>1</v>
      </c>
      <c r="D43">
        <v>18</v>
      </c>
      <c r="E43" t="b">
        <v>0</v>
      </c>
      <c r="F43">
        <v>0</v>
      </c>
      <c r="G43" t="s">
        <v>27</v>
      </c>
      <c r="H43" t="s">
        <v>33</v>
      </c>
      <c r="I43">
        <v>2</v>
      </c>
      <c r="J43" t="s">
        <v>31</v>
      </c>
      <c r="K43">
        <v>0.36</v>
      </c>
      <c r="L43" t="s">
        <v>30</v>
      </c>
      <c r="M43">
        <v>0.33329999999999999</v>
      </c>
      <c r="N43">
        <v>0.46</v>
      </c>
      <c r="O43" t="s">
        <v>34</v>
      </c>
      <c r="P43">
        <v>0.32840000000000003</v>
      </c>
      <c r="Q43">
        <v>10</v>
      </c>
      <c r="R43">
        <v>43</v>
      </c>
      <c r="S43">
        <v>53</v>
      </c>
      <c r="U43" s="51"/>
      <c r="V43">
        <v>8</v>
      </c>
      <c r="W43" s="46">
        <f>VLOOKUP($V43,Append1[#All],2,FALSE)</f>
        <v>40544</v>
      </c>
      <c r="X43">
        <f>VLOOKUP($V43,Append1[#All],3,FALSE)</f>
        <v>1</v>
      </c>
      <c r="Y43">
        <f>VLOOKUP($V43,Append1[#All],4,FALSE)</f>
        <v>7</v>
      </c>
      <c r="Z43" t="b">
        <f>VLOOKUP($V43,Append1[#All],5,FALSE)</f>
        <v>0</v>
      </c>
      <c r="AA43">
        <f>VLOOKUP($V43,Append1[#All],6,FALSE)</f>
        <v>6</v>
      </c>
      <c r="AB43" t="str">
        <f>VLOOKUP($V43,Append1[#All],7,FALSE)</f>
        <v>Yes</v>
      </c>
      <c r="AC43" t="str">
        <f>VLOOKUP($V43,Append1[#All],8,FALSE)</f>
        <v>Saturday</v>
      </c>
      <c r="AD43">
        <f>VLOOKUP($V43,Append1[#All],9,FALSE)</f>
        <v>1</v>
      </c>
      <c r="AE43" t="str">
        <f>VLOOKUP($V43,Append1[#All],10,FALSE)</f>
        <v>Clean</v>
      </c>
      <c r="AF43">
        <f>VLOOKUP($V43,Append1[#All],11,FALSE)</f>
        <v>0.2</v>
      </c>
      <c r="AG43" t="str">
        <f>VLOOKUP($V43,Append1[#All],12,FALSE)</f>
        <v>Safe</v>
      </c>
      <c r="AH43">
        <f>VLOOKUP($V43,Append1[#All],13,FALSE)</f>
        <v>0.2576</v>
      </c>
      <c r="AI43">
        <f>VLOOKUP($V43,Append1[#All],14,FALSE)</f>
        <v>0.86</v>
      </c>
      <c r="AJ43" t="str">
        <f>VLOOKUP($V43,Append1[#All],15,FALSE)</f>
        <v>Risky</v>
      </c>
      <c r="AK43">
        <f>VLOOKUP($V43,Append1[#All],16,FALSE)</f>
        <v>0</v>
      </c>
      <c r="AL43">
        <f>VLOOKUP($V43,Append1[#All],17,FALSE)</f>
        <v>1</v>
      </c>
      <c r="AM43">
        <f>VLOOKUP($V43,Append1[#All],18,FALSE)</f>
        <v>2</v>
      </c>
      <c r="AN43">
        <f>VLOOKUP($V43,Append1[#All],19,FALSE)</f>
        <v>3</v>
      </c>
      <c r="AO43" s="52"/>
    </row>
    <row r="44" spans="1:41" x14ac:dyDescent="0.3">
      <c r="A44">
        <v>43</v>
      </c>
      <c r="B44" s="46">
        <v>40545</v>
      </c>
      <c r="C44">
        <v>1</v>
      </c>
      <c r="D44">
        <v>19</v>
      </c>
      <c r="E44" t="b">
        <v>0</v>
      </c>
      <c r="F44">
        <v>0</v>
      </c>
      <c r="G44" t="s">
        <v>27</v>
      </c>
      <c r="H44" t="s">
        <v>33</v>
      </c>
      <c r="I44">
        <v>1</v>
      </c>
      <c r="J44" t="s">
        <v>29</v>
      </c>
      <c r="K44">
        <v>0.32</v>
      </c>
      <c r="L44" t="s">
        <v>23</v>
      </c>
      <c r="M44">
        <v>0.28789999999999999</v>
      </c>
      <c r="N44">
        <v>0.42</v>
      </c>
      <c r="O44" t="s">
        <v>34</v>
      </c>
      <c r="P44">
        <v>0.44779999999999998</v>
      </c>
      <c r="Q44">
        <v>1</v>
      </c>
      <c r="R44">
        <v>29</v>
      </c>
      <c r="S44">
        <v>30</v>
      </c>
      <c r="U44" s="51"/>
      <c r="W44" s="46"/>
      <c r="AO44" s="52"/>
    </row>
    <row r="45" spans="1:41" x14ac:dyDescent="0.3">
      <c r="A45">
        <v>44</v>
      </c>
      <c r="B45" s="46">
        <v>40545</v>
      </c>
      <c r="C45">
        <v>1</v>
      </c>
      <c r="D45">
        <v>20</v>
      </c>
      <c r="E45" t="b">
        <v>0</v>
      </c>
      <c r="F45">
        <v>0</v>
      </c>
      <c r="G45" t="s">
        <v>27</v>
      </c>
      <c r="H45" t="s">
        <v>33</v>
      </c>
      <c r="I45">
        <v>1</v>
      </c>
      <c r="J45" t="s">
        <v>29</v>
      </c>
      <c r="K45">
        <v>0.3</v>
      </c>
      <c r="L45" t="s">
        <v>23</v>
      </c>
      <c r="M45">
        <v>0.18899661921708191</v>
      </c>
      <c r="N45">
        <v>0.39</v>
      </c>
      <c r="O45" t="s">
        <v>34</v>
      </c>
      <c r="P45">
        <v>0.35820000000000002</v>
      </c>
      <c r="Q45">
        <v>5</v>
      </c>
      <c r="R45">
        <v>17</v>
      </c>
      <c r="S45">
        <v>22</v>
      </c>
      <c r="U45" s="51"/>
      <c r="W45" s="46"/>
      <c r="AO45" s="52"/>
    </row>
    <row r="46" spans="1:41" x14ac:dyDescent="0.3">
      <c r="A46">
        <v>45</v>
      </c>
      <c r="B46" s="46">
        <v>40545</v>
      </c>
      <c r="C46">
        <v>1</v>
      </c>
      <c r="D46">
        <v>21</v>
      </c>
      <c r="E46" t="b">
        <v>0</v>
      </c>
      <c r="F46">
        <v>0</v>
      </c>
      <c r="G46" t="s">
        <v>27</v>
      </c>
      <c r="H46" t="s">
        <v>33</v>
      </c>
      <c r="I46">
        <v>1</v>
      </c>
      <c r="J46" t="s">
        <v>29</v>
      </c>
      <c r="K46">
        <v>0.26</v>
      </c>
      <c r="L46" t="s">
        <v>23</v>
      </c>
      <c r="M46">
        <v>0.2273</v>
      </c>
      <c r="N46">
        <v>0.44</v>
      </c>
      <c r="O46" t="s">
        <v>34</v>
      </c>
      <c r="P46">
        <v>0.32840000000000003</v>
      </c>
      <c r="Q46">
        <v>11</v>
      </c>
      <c r="R46">
        <v>20</v>
      </c>
      <c r="S46">
        <v>31</v>
      </c>
      <c r="U46" s="51"/>
      <c r="W46" s="46"/>
      <c r="AO46" s="52"/>
    </row>
    <row r="47" spans="1:41" x14ac:dyDescent="0.3">
      <c r="A47">
        <v>46</v>
      </c>
      <c r="B47" s="46">
        <v>40545</v>
      </c>
      <c r="C47">
        <v>1</v>
      </c>
      <c r="D47">
        <v>22</v>
      </c>
      <c r="E47" t="b">
        <v>0</v>
      </c>
      <c r="F47">
        <v>0</v>
      </c>
      <c r="G47" t="s">
        <v>27</v>
      </c>
      <c r="H47" t="s">
        <v>33</v>
      </c>
      <c r="I47">
        <v>1</v>
      </c>
      <c r="J47" t="s">
        <v>29</v>
      </c>
      <c r="K47">
        <v>0.24</v>
      </c>
      <c r="L47" t="s">
        <v>23</v>
      </c>
      <c r="M47">
        <v>0.21210000000000001</v>
      </c>
      <c r="N47">
        <v>0.44</v>
      </c>
      <c r="O47" t="s">
        <v>34</v>
      </c>
      <c r="P47">
        <v>0.29849999999999999</v>
      </c>
      <c r="Q47">
        <v>0</v>
      </c>
      <c r="R47">
        <v>9</v>
      </c>
      <c r="S47">
        <v>9</v>
      </c>
      <c r="U47" s="51"/>
      <c r="V47" t="s">
        <v>58</v>
      </c>
      <c r="W47">
        <f>_xlfn.STDEV.S(Append1[Count])</f>
        <v>51.00620436166944</v>
      </c>
      <c r="AO47" s="52"/>
    </row>
    <row r="48" spans="1:41" x14ac:dyDescent="0.3">
      <c r="A48">
        <v>47</v>
      </c>
      <c r="B48" s="46">
        <v>40545</v>
      </c>
      <c r="C48">
        <v>1</v>
      </c>
      <c r="D48">
        <v>23</v>
      </c>
      <c r="E48" t="b">
        <v>0</v>
      </c>
      <c r="F48">
        <v>0</v>
      </c>
      <c r="G48" t="s">
        <v>27</v>
      </c>
      <c r="H48" t="s">
        <v>33</v>
      </c>
      <c r="I48">
        <v>1</v>
      </c>
      <c r="J48" t="s">
        <v>29</v>
      </c>
      <c r="K48">
        <v>0.22</v>
      </c>
      <c r="L48" t="s">
        <v>23</v>
      </c>
      <c r="M48">
        <v>0.2273</v>
      </c>
      <c r="N48">
        <v>0.47</v>
      </c>
      <c r="O48" t="s">
        <v>34</v>
      </c>
      <c r="P48">
        <v>0.16420000000000001</v>
      </c>
      <c r="Q48">
        <v>0</v>
      </c>
      <c r="R48">
        <v>8</v>
      </c>
      <c r="S48">
        <v>8</v>
      </c>
      <c r="U48" s="51"/>
      <c r="V48" t="s">
        <v>59</v>
      </c>
      <c r="W48">
        <f>CORREL(Q:Q,R:R)</f>
        <v>0.33757774892593273</v>
      </c>
      <c r="AO48" s="52"/>
    </row>
    <row r="49" spans="1:41" x14ac:dyDescent="0.3">
      <c r="A49">
        <v>48</v>
      </c>
      <c r="B49" s="46">
        <v>40546</v>
      </c>
      <c r="C49">
        <v>1</v>
      </c>
      <c r="D49">
        <v>0</v>
      </c>
      <c r="E49" t="b">
        <v>0</v>
      </c>
      <c r="F49">
        <v>1</v>
      </c>
      <c r="G49" t="s">
        <v>35</v>
      </c>
      <c r="H49" t="s">
        <v>36</v>
      </c>
      <c r="I49">
        <v>1</v>
      </c>
      <c r="J49" t="s">
        <v>29</v>
      </c>
      <c r="K49">
        <v>0.22</v>
      </c>
      <c r="L49" t="s">
        <v>23</v>
      </c>
      <c r="M49">
        <v>0.19700000000000001</v>
      </c>
      <c r="N49">
        <v>0.44</v>
      </c>
      <c r="O49" t="s">
        <v>34</v>
      </c>
      <c r="P49">
        <v>0.35820000000000002</v>
      </c>
      <c r="Q49">
        <v>0</v>
      </c>
      <c r="R49">
        <v>5</v>
      </c>
      <c r="S49">
        <v>5</v>
      </c>
      <c r="U49" s="51"/>
      <c r="V49" t="s">
        <v>60</v>
      </c>
      <c r="W49">
        <f>_xlfn.VAR.S(S:S)</f>
        <v>2601.6328833843868</v>
      </c>
      <c r="AO49" s="52"/>
    </row>
    <row r="50" spans="1:41" x14ac:dyDescent="0.3">
      <c r="A50">
        <v>49</v>
      </c>
      <c r="B50" s="46">
        <v>40546</v>
      </c>
      <c r="C50">
        <v>1</v>
      </c>
      <c r="D50">
        <v>1</v>
      </c>
      <c r="E50" t="b">
        <v>0</v>
      </c>
      <c r="F50">
        <v>1</v>
      </c>
      <c r="G50" t="s">
        <v>35</v>
      </c>
      <c r="H50" t="s">
        <v>36</v>
      </c>
      <c r="I50">
        <v>1</v>
      </c>
      <c r="J50" t="s">
        <v>29</v>
      </c>
      <c r="K50">
        <v>0.2</v>
      </c>
      <c r="L50" t="s">
        <v>23</v>
      </c>
      <c r="M50">
        <v>0.18880358422939073</v>
      </c>
      <c r="N50">
        <v>0.44</v>
      </c>
      <c r="O50" t="s">
        <v>34</v>
      </c>
      <c r="P50">
        <v>0.41789999999999999</v>
      </c>
      <c r="Q50">
        <v>0</v>
      </c>
      <c r="R50">
        <v>2</v>
      </c>
      <c r="S50">
        <v>2</v>
      </c>
      <c r="U50" s="51"/>
      <c r="V50" t="s">
        <v>61</v>
      </c>
      <c r="W50">
        <f>AVERAGE(Append1[Count])</f>
        <v>58.326326326326324</v>
      </c>
      <c r="AO50" s="52"/>
    </row>
    <row r="51" spans="1:41" x14ac:dyDescent="0.3">
      <c r="A51">
        <v>50</v>
      </c>
      <c r="B51" s="46">
        <v>40546</v>
      </c>
      <c r="C51">
        <v>1</v>
      </c>
      <c r="D51">
        <v>4</v>
      </c>
      <c r="E51" t="b">
        <v>0</v>
      </c>
      <c r="F51">
        <v>1</v>
      </c>
      <c r="G51" t="s">
        <v>35</v>
      </c>
      <c r="H51" t="s">
        <v>36</v>
      </c>
      <c r="I51">
        <v>1</v>
      </c>
      <c r="J51" t="s">
        <v>29</v>
      </c>
      <c r="K51">
        <v>0.16</v>
      </c>
      <c r="L51" t="s">
        <v>23</v>
      </c>
      <c r="M51">
        <v>0.13639999999999999</v>
      </c>
      <c r="N51">
        <v>0.47</v>
      </c>
      <c r="O51" t="s">
        <v>34</v>
      </c>
      <c r="P51">
        <v>0.3881</v>
      </c>
      <c r="Q51">
        <v>0</v>
      </c>
      <c r="R51">
        <v>1</v>
      </c>
      <c r="S51">
        <v>1</v>
      </c>
      <c r="U51" s="51"/>
      <c r="AO51" s="52"/>
    </row>
    <row r="52" spans="1:41" x14ac:dyDescent="0.3">
      <c r="A52">
        <v>51</v>
      </c>
      <c r="B52" s="46">
        <v>40546</v>
      </c>
      <c r="C52">
        <v>1</v>
      </c>
      <c r="D52">
        <v>5</v>
      </c>
      <c r="E52" t="b">
        <v>0</v>
      </c>
      <c r="F52">
        <v>1</v>
      </c>
      <c r="G52" t="s">
        <v>35</v>
      </c>
      <c r="H52" t="s">
        <v>36</v>
      </c>
      <c r="I52">
        <v>1</v>
      </c>
      <c r="J52" t="s">
        <v>29</v>
      </c>
      <c r="K52">
        <v>0.16</v>
      </c>
      <c r="L52" t="s">
        <v>23</v>
      </c>
      <c r="M52">
        <v>0.13639999999999999</v>
      </c>
      <c r="N52">
        <v>0.47</v>
      </c>
      <c r="O52" t="s">
        <v>34</v>
      </c>
      <c r="P52">
        <v>0.28360000000000002</v>
      </c>
      <c r="Q52">
        <v>0</v>
      </c>
      <c r="R52">
        <v>3</v>
      </c>
      <c r="S52">
        <v>3</v>
      </c>
      <c r="U52" s="51"/>
      <c r="AO52" s="52"/>
    </row>
    <row r="53" spans="1:41" x14ac:dyDescent="0.3">
      <c r="A53">
        <v>52</v>
      </c>
      <c r="B53" s="46">
        <v>40546</v>
      </c>
      <c r="C53">
        <v>1</v>
      </c>
      <c r="D53">
        <v>6</v>
      </c>
      <c r="E53" t="b">
        <v>0</v>
      </c>
      <c r="F53">
        <v>1</v>
      </c>
      <c r="G53" t="s">
        <v>35</v>
      </c>
      <c r="H53" t="s">
        <v>36</v>
      </c>
      <c r="I53">
        <v>1</v>
      </c>
      <c r="J53" t="s">
        <v>29</v>
      </c>
      <c r="K53">
        <v>0.14000000000000001</v>
      </c>
      <c r="L53" t="s">
        <v>23</v>
      </c>
      <c r="M53">
        <v>0.1061</v>
      </c>
      <c r="N53">
        <v>0.5</v>
      </c>
      <c r="O53" t="s">
        <v>34</v>
      </c>
      <c r="P53">
        <v>0.3881</v>
      </c>
      <c r="Q53">
        <v>0</v>
      </c>
      <c r="R53">
        <v>30</v>
      </c>
      <c r="S53">
        <v>30</v>
      </c>
      <c r="U53" s="51"/>
      <c r="AO53" s="52"/>
    </row>
    <row r="54" spans="1:41" x14ac:dyDescent="0.3">
      <c r="A54">
        <v>53</v>
      </c>
      <c r="B54" s="46">
        <v>40546</v>
      </c>
      <c r="C54">
        <v>1</v>
      </c>
      <c r="D54">
        <v>7</v>
      </c>
      <c r="E54" t="b">
        <v>0</v>
      </c>
      <c r="F54">
        <v>1</v>
      </c>
      <c r="G54" t="s">
        <v>35</v>
      </c>
      <c r="H54" t="s">
        <v>36</v>
      </c>
      <c r="I54">
        <v>1</v>
      </c>
      <c r="J54" t="s">
        <v>29</v>
      </c>
      <c r="K54">
        <v>0.14000000000000001</v>
      </c>
      <c r="L54" t="s">
        <v>23</v>
      </c>
      <c r="M54">
        <v>0.13639999999999999</v>
      </c>
      <c r="N54">
        <v>0.5</v>
      </c>
      <c r="O54" t="s">
        <v>34</v>
      </c>
      <c r="P54">
        <v>0.19400000000000001</v>
      </c>
      <c r="Q54">
        <v>1</v>
      </c>
      <c r="R54">
        <v>63</v>
      </c>
      <c r="S54">
        <v>64</v>
      </c>
      <c r="U54" s="51"/>
      <c r="AO54" s="52"/>
    </row>
    <row r="55" spans="1:41" x14ac:dyDescent="0.3">
      <c r="A55">
        <v>54</v>
      </c>
      <c r="B55" s="46">
        <v>40546</v>
      </c>
      <c r="C55">
        <v>1</v>
      </c>
      <c r="D55">
        <v>8</v>
      </c>
      <c r="E55" t="b">
        <v>0</v>
      </c>
      <c r="F55">
        <v>1</v>
      </c>
      <c r="G55" t="s">
        <v>35</v>
      </c>
      <c r="H55" t="s">
        <v>36</v>
      </c>
      <c r="I55">
        <v>1</v>
      </c>
      <c r="J55" t="s">
        <v>29</v>
      </c>
      <c r="K55">
        <v>0.14000000000000001</v>
      </c>
      <c r="L55" t="s">
        <v>23</v>
      </c>
      <c r="M55">
        <v>0.1212</v>
      </c>
      <c r="N55">
        <v>0.5</v>
      </c>
      <c r="O55" t="s">
        <v>34</v>
      </c>
      <c r="P55">
        <v>0.28360000000000002</v>
      </c>
      <c r="Q55">
        <v>1</v>
      </c>
      <c r="R55">
        <v>153</v>
      </c>
      <c r="S55">
        <v>154</v>
      </c>
      <c r="U55" s="51"/>
      <c r="AO55" s="52"/>
    </row>
    <row r="56" spans="1:41" x14ac:dyDescent="0.3">
      <c r="A56">
        <v>55</v>
      </c>
      <c r="B56" s="46">
        <v>40546</v>
      </c>
      <c r="C56">
        <v>1</v>
      </c>
      <c r="D56">
        <v>9</v>
      </c>
      <c r="E56" t="b">
        <v>0</v>
      </c>
      <c r="F56">
        <v>1</v>
      </c>
      <c r="G56" t="s">
        <v>35</v>
      </c>
      <c r="H56" t="s">
        <v>36</v>
      </c>
      <c r="I56">
        <v>1</v>
      </c>
      <c r="J56" t="s">
        <v>29</v>
      </c>
      <c r="K56">
        <v>0.16</v>
      </c>
      <c r="L56" t="s">
        <v>23</v>
      </c>
      <c r="M56">
        <v>0.13639999999999999</v>
      </c>
      <c r="N56">
        <v>0.43</v>
      </c>
      <c r="O56" t="s">
        <v>34</v>
      </c>
      <c r="P56">
        <v>0.3881</v>
      </c>
      <c r="Q56">
        <v>7</v>
      </c>
      <c r="R56">
        <v>81</v>
      </c>
      <c r="S56">
        <v>88</v>
      </c>
      <c r="U56" s="51"/>
      <c r="AO56" s="52"/>
    </row>
    <row r="57" spans="1:41" x14ac:dyDescent="0.3">
      <c r="A57">
        <v>56</v>
      </c>
      <c r="B57" s="46">
        <v>40546</v>
      </c>
      <c r="C57">
        <v>1</v>
      </c>
      <c r="D57">
        <v>10</v>
      </c>
      <c r="E57" t="b">
        <v>0</v>
      </c>
      <c r="F57">
        <v>1</v>
      </c>
      <c r="G57" t="s">
        <v>35</v>
      </c>
      <c r="H57" t="s">
        <v>36</v>
      </c>
      <c r="I57">
        <v>1</v>
      </c>
      <c r="J57" t="s">
        <v>29</v>
      </c>
      <c r="K57">
        <v>0.18</v>
      </c>
      <c r="L57" t="s">
        <v>23</v>
      </c>
      <c r="M57">
        <v>0.16669999999999999</v>
      </c>
      <c r="N57">
        <v>0.43</v>
      </c>
      <c r="O57" t="s">
        <v>34</v>
      </c>
      <c r="P57">
        <v>0.25369999999999998</v>
      </c>
      <c r="Q57">
        <v>11</v>
      </c>
      <c r="R57">
        <v>33</v>
      </c>
      <c r="S57">
        <v>44</v>
      </c>
      <c r="U57" s="51"/>
      <c r="AO57" s="52"/>
    </row>
    <row r="58" spans="1:41" x14ac:dyDescent="0.3">
      <c r="A58">
        <v>57</v>
      </c>
      <c r="B58" s="46">
        <v>40546</v>
      </c>
      <c r="C58">
        <v>1</v>
      </c>
      <c r="D58">
        <v>11</v>
      </c>
      <c r="E58" t="b">
        <v>0</v>
      </c>
      <c r="F58">
        <v>1</v>
      </c>
      <c r="G58" t="s">
        <v>35</v>
      </c>
      <c r="H58" t="s">
        <v>36</v>
      </c>
      <c r="I58">
        <v>1</v>
      </c>
      <c r="J58" t="s">
        <v>29</v>
      </c>
      <c r="K58">
        <v>0.2</v>
      </c>
      <c r="L58" t="s">
        <v>23</v>
      </c>
      <c r="M58">
        <v>0.18179999999999999</v>
      </c>
      <c r="N58">
        <v>0.4</v>
      </c>
      <c r="O58" t="s">
        <v>34</v>
      </c>
      <c r="P58">
        <v>0.32840000000000003</v>
      </c>
      <c r="Q58">
        <v>10</v>
      </c>
      <c r="R58">
        <v>41</v>
      </c>
      <c r="S58">
        <v>51</v>
      </c>
      <c r="U58" s="54"/>
      <c r="V58" s="6"/>
      <c r="W58" s="6"/>
      <c r="X58" s="6"/>
      <c r="Y58" s="6"/>
      <c r="Z58" s="6"/>
      <c r="AA58" s="6"/>
      <c r="AB58" s="6"/>
      <c r="AC58" s="6"/>
      <c r="AD58" s="6"/>
      <c r="AE58" s="6"/>
      <c r="AF58" s="6"/>
      <c r="AG58" s="6"/>
      <c r="AH58" s="6"/>
      <c r="AI58" s="6"/>
      <c r="AJ58" s="6"/>
      <c r="AK58" s="6"/>
      <c r="AL58" s="6"/>
      <c r="AM58" s="6"/>
      <c r="AN58" s="6"/>
      <c r="AO58" s="55"/>
    </row>
    <row r="59" spans="1:41" x14ac:dyDescent="0.3">
      <c r="A59">
        <v>58</v>
      </c>
      <c r="B59" s="46">
        <v>40546</v>
      </c>
      <c r="C59">
        <v>1</v>
      </c>
      <c r="D59">
        <v>12</v>
      </c>
      <c r="E59" t="b">
        <v>0</v>
      </c>
      <c r="F59">
        <v>1</v>
      </c>
      <c r="G59" t="s">
        <v>35</v>
      </c>
      <c r="H59" t="s">
        <v>36</v>
      </c>
      <c r="I59">
        <v>1</v>
      </c>
      <c r="J59" t="s">
        <v>29</v>
      </c>
      <c r="K59">
        <v>0.22</v>
      </c>
      <c r="L59" t="s">
        <v>23</v>
      </c>
      <c r="M59">
        <v>0.21210000000000001</v>
      </c>
      <c r="N59">
        <v>0.35</v>
      </c>
      <c r="O59" t="s">
        <v>34</v>
      </c>
      <c r="P59">
        <v>0.29849999999999999</v>
      </c>
      <c r="Q59">
        <v>13</v>
      </c>
      <c r="R59">
        <v>48</v>
      </c>
      <c r="S59">
        <v>61</v>
      </c>
    </row>
    <row r="60" spans="1:41" x14ac:dyDescent="0.3">
      <c r="A60">
        <v>59</v>
      </c>
      <c r="B60" s="46">
        <v>40546</v>
      </c>
      <c r="C60">
        <v>1</v>
      </c>
      <c r="D60">
        <v>13</v>
      </c>
      <c r="E60" t="b">
        <v>0</v>
      </c>
      <c r="F60">
        <v>1</v>
      </c>
      <c r="G60" t="s">
        <v>35</v>
      </c>
      <c r="H60" t="s">
        <v>36</v>
      </c>
      <c r="I60">
        <v>1</v>
      </c>
      <c r="J60" t="s">
        <v>29</v>
      </c>
      <c r="K60">
        <v>0.24</v>
      </c>
      <c r="L60" t="s">
        <v>23</v>
      </c>
      <c r="M60">
        <v>0.18946976320582881</v>
      </c>
      <c r="N60">
        <v>0.35</v>
      </c>
      <c r="O60" t="s">
        <v>34</v>
      </c>
      <c r="P60">
        <v>0.28360000000000002</v>
      </c>
      <c r="Q60">
        <v>8</v>
      </c>
      <c r="R60">
        <v>53</v>
      </c>
      <c r="S60">
        <v>61</v>
      </c>
    </row>
    <row r="61" spans="1:41" x14ac:dyDescent="0.3">
      <c r="A61">
        <v>60</v>
      </c>
      <c r="B61" s="46">
        <v>40546</v>
      </c>
      <c r="C61">
        <v>1</v>
      </c>
      <c r="D61">
        <v>14</v>
      </c>
      <c r="E61" t="b">
        <v>0</v>
      </c>
      <c r="F61">
        <v>1</v>
      </c>
      <c r="G61" t="s">
        <v>35</v>
      </c>
      <c r="H61" t="s">
        <v>36</v>
      </c>
      <c r="I61">
        <v>1</v>
      </c>
      <c r="J61" t="s">
        <v>29</v>
      </c>
      <c r="K61">
        <v>0.26</v>
      </c>
      <c r="L61" t="s">
        <v>23</v>
      </c>
      <c r="M61">
        <v>0.2424</v>
      </c>
      <c r="N61">
        <v>0.3</v>
      </c>
      <c r="O61" t="s">
        <v>34</v>
      </c>
      <c r="P61">
        <v>0.28360000000000002</v>
      </c>
      <c r="Q61">
        <v>11</v>
      </c>
      <c r="R61">
        <v>66</v>
      </c>
      <c r="S61">
        <v>77</v>
      </c>
    </row>
    <row r="62" spans="1:41" x14ac:dyDescent="0.3">
      <c r="A62">
        <v>61</v>
      </c>
      <c r="B62" s="46">
        <v>40546</v>
      </c>
      <c r="C62">
        <v>1</v>
      </c>
      <c r="D62">
        <v>15</v>
      </c>
      <c r="E62" t="b">
        <v>0</v>
      </c>
      <c r="F62">
        <v>1</v>
      </c>
      <c r="G62" t="s">
        <v>35</v>
      </c>
      <c r="H62" t="s">
        <v>36</v>
      </c>
      <c r="I62">
        <v>1</v>
      </c>
      <c r="J62" t="s">
        <v>29</v>
      </c>
      <c r="K62">
        <v>0.26</v>
      </c>
      <c r="L62" t="s">
        <v>23</v>
      </c>
      <c r="M62">
        <v>0.2424</v>
      </c>
      <c r="N62">
        <v>0.3</v>
      </c>
      <c r="O62" t="s">
        <v>34</v>
      </c>
      <c r="P62">
        <v>0.25369999999999998</v>
      </c>
      <c r="Q62">
        <v>14</v>
      </c>
      <c r="R62">
        <v>58</v>
      </c>
      <c r="S62">
        <v>72</v>
      </c>
    </row>
    <row r="63" spans="1:41" x14ac:dyDescent="0.3">
      <c r="A63">
        <v>62</v>
      </c>
      <c r="B63" s="46">
        <v>40546</v>
      </c>
      <c r="C63">
        <v>1</v>
      </c>
      <c r="D63">
        <v>16</v>
      </c>
      <c r="E63" t="b">
        <v>0</v>
      </c>
      <c r="F63">
        <v>1</v>
      </c>
      <c r="G63" t="s">
        <v>35</v>
      </c>
      <c r="H63" t="s">
        <v>36</v>
      </c>
      <c r="I63">
        <v>1</v>
      </c>
      <c r="J63" t="s">
        <v>29</v>
      </c>
      <c r="K63">
        <v>0.26</v>
      </c>
      <c r="L63" t="s">
        <v>23</v>
      </c>
      <c r="M63">
        <v>0.2424</v>
      </c>
      <c r="N63">
        <v>0.3</v>
      </c>
      <c r="O63" t="s">
        <v>34</v>
      </c>
      <c r="P63">
        <v>0.25369999999999998</v>
      </c>
      <c r="Q63">
        <v>9</v>
      </c>
      <c r="R63">
        <v>67</v>
      </c>
      <c r="S63">
        <v>76</v>
      </c>
    </row>
    <row r="64" spans="1:41" x14ac:dyDescent="0.3">
      <c r="A64">
        <v>63</v>
      </c>
      <c r="B64" s="46">
        <v>40546</v>
      </c>
      <c r="C64">
        <v>1</v>
      </c>
      <c r="D64">
        <v>17</v>
      </c>
      <c r="E64" t="b">
        <v>0</v>
      </c>
      <c r="F64">
        <v>1</v>
      </c>
      <c r="G64" t="s">
        <v>35</v>
      </c>
      <c r="H64" t="s">
        <v>36</v>
      </c>
      <c r="I64">
        <v>1</v>
      </c>
      <c r="J64" t="s">
        <v>29</v>
      </c>
      <c r="K64">
        <v>0.24</v>
      </c>
      <c r="L64" t="s">
        <v>23</v>
      </c>
      <c r="M64">
        <v>0.2273</v>
      </c>
      <c r="N64">
        <v>0.3</v>
      </c>
      <c r="O64" t="s">
        <v>34</v>
      </c>
      <c r="P64">
        <v>0.22389999999999999</v>
      </c>
      <c r="Q64">
        <v>11</v>
      </c>
      <c r="R64">
        <v>146</v>
      </c>
      <c r="S64">
        <v>157</v>
      </c>
    </row>
    <row r="65" spans="1:19" x14ac:dyDescent="0.3">
      <c r="A65">
        <v>64</v>
      </c>
      <c r="B65" s="46">
        <v>40546</v>
      </c>
      <c r="C65">
        <v>1</v>
      </c>
      <c r="D65">
        <v>18</v>
      </c>
      <c r="E65" t="b">
        <v>0</v>
      </c>
      <c r="F65">
        <v>1</v>
      </c>
      <c r="G65" t="s">
        <v>35</v>
      </c>
      <c r="H65" t="s">
        <v>36</v>
      </c>
      <c r="I65">
        <v>1</v>
      </c>
      <c r="J65" t="s">
        <v>29</v>
      </c>
      <c r="K65">
        <v>0.24</v>
      </c>
      <c r="L65" t="s">
        <v>23</v>
      </c>
      <c r="M65">
        <v>0.2576</v>
      </c>
      <c r="N65">
        <v>0.32</v>
      </c>
      <c r="O65" t="s">
        <v>34</v>
      </c>
      <c r="P65">
        <v>0.1045</v>
      </c>
      <c r="Q65">
        <v>9</v>
      </c>
      <c r="R65">
        <v>148</v>
      </c>
      <c r="S65">
        <v>157</v>
      </c>
    </row>
    <row r="66" spans="1:19" x14ac:dyDescent="0.3">
      <c r="A66">
        <v>65</v>
      </c>
      <c r="B66" s="46">
        <v>40546</v>
      </c>
      <c r="C66">
        <v>1</v>
      </c>
      <c r="D66">
        <v>19</v>
      </c>
      <c r="E66" t="b">
        <v>0</v>
      </c>
      <c r="F66">
        <v>1</v>
      </c>
      <c r="G66" t="s">
        <v>35</v>
      </c>
      <c r="H66" t="s">
        <v>36</v>
      </c>
      <c r="I66">
        <v>1</v>
      </c>
      <c r="J66" t="s">
        <v>29</v>
      </c>
      <c r="K66">
        <v>0.2</v>
      </c>
      <c r="L66" t="s">
        <v>23</v>
      </c>
      <c r="M66">
        <v>0.2576</v>
      </c>
      <c r="N66">
        <v>0.47</v>
      </c>
      <c r="O66" t="s">
        <v>34</v>
      </c>
      <c r="P66">
        <v>0</v>
      </c>
      <c r="Q66">
        <v>8</v>
      </c>
      <c r="R66">
        <v>102</v>
      </c>
      <c r="S66">
        <v>110</v>
      </c>
    </row>
    <row r="67" spans="1:19" x14ac:dyDescent="0.3">
      <c r="A67">
        <v>66</v>
      </c>
      <c r="B67" s="46">
        <v>40546</v>
      </c>
      <c r="C67">
        <v>1</v>
      </c>
      <c r="D67">
        <v>20</v>
      </c>
      <c r="E67" t="b">
        <v>0</v>
      </c>
      <c r="F67">
        <v>1</v>
      </c>
      <c r="G67" t="s">
        <v>35</v>
      </c>
      <c r="H67" t="s">
        <v>36</v>
      </c>
      <c r="I67">
        <v>1</v>
      </c>
      <c r="J67" t="s">
        <v>29</v>
      </c>
      <c r="K67">
        <v>0.2</v>
      </c>
      <c r="L67" t="s">
        <v>23</v>
      </c>
      <c r="M67">
        <v>0.18885672191528544</v>
      </c>
      <c r="N67">
        <v>0.47</v>
      </c>
      <c r="O67" t="s">
        <v>34</v>
      </c>
      <c r="P67">
        <v>0.1045</v>
      </c>
      <c r="Q67">
        <v>3</v>
      </c>
      <c r="R67">
        <v>49</v>
      </c>
      <c r="S67">
        <v>52</v>
      </c>
    </row>
    <row r="68" spans="1:19" x14ac:dyDescent="0.3">
      <c r="A68">
        <v>67</v>
      </c>
      <c r="B68" s="46">
        <v>40546</v>
      </c>
      <c r="C68">
        <v>1</v>
      </c>
      <c r="D68">
        <v>21</v>
      </c>
      <c r="E68" t="b">
        <v>0</v>
      </c>
      <c r="F68">
        <v>1</v>
      </c>
      <c r="G68" t="s">
        <v>35</v>
      </c>
      <c r="H68" t="s">
        <v>36</v>
      </c>
      <c r="I68">
        <v>1</v>
      </c>
      <c r="J68" t="s">
        <v>29</v>
      </c>
      <c r="K68">
        <v>0.18</v>
      </c>
      <c r="L68" t="s">
        <v>23</v>
      </c>
      <c r="M68">
        <v>0.19700000000000001</v>
      </c>
      <c r="N68">
        <v>0.64</v>
      </c>
      <c r="O68" t="s">
        <v>34</v>
      </c>
      <c r="P68">
        <v>0.1343</v>
      </c>
      <c r="Q68">
        <v>3</v>
      </c>
      <c r="R68">
        <v>49</v>
      </c>
      <c r="S68">
        <v>52</v>
      </c>
    </row>
    <row r="69" spans="1:19" x14ac:dyDescent="0.3">
      <c r="A69">
        <v>68</v>
      </c>
      <c r="B69" s="46">
        <v>40546</v>
      </c>
      <c r="C69">
        <v>1</v>
      </c>
      <c r="D69">
        <v>22</v>
      </c>
      <c r="E69" t="b">
        <v>0</v>
      </c>
      <c r="F69">
        <v>1</v>
      </c>
      <c r="G69" t="s">
        <v>35</v>
      </c>
      <c r="H69" t="s">
        <v>36</v>
      </c>
      <c r="I69">
        <v>1</v>
      </c>
      <c r="J69" t="s">
        <v>29</v>
      </c>
      <c r="K69">
        <v>0.14000000000000001</v>
      </c>
      <c r="L69" t="s">
        <v>23</v>
      </c>
      <c r="M69">
        <v>0.1515</v>
      </c>
      <c r="N69">
        <v>0.69</v>
      </c>
      <c r="O69" t="s">
        <v>34</v>
      </c>
      <c r="P69">
        <v>0.1343</v>
      </c>
      <c r="Q69">
        <v>0</v>
      </c>
      <c r="R69">
        <v>20</v>
      </c>
      <c r="S69">
        <v>20</v>
      </c>
    </row>
    <row r="70" spans="1:19" x14ac:dyDescent="0.3">
      <c r="A70">
        <v>69</v>
      </c>
      <c r="B70" s="46">
        <v>40546</v>
      </c>
      <c r="C70">
        <v>1</v>
      </c>
      <c r="D70">
        <v>23</v>
      </c>
      <c r="E70" t="b">
        <v>0</v>
      </c>
      <c r="F70">
        <v>1</v>
      </c>
      <c r="G70" t="s">
        <v>35</v>
      </c>
      <c r="H70" t="s">
        <v>36</v>
      </c>
      <c r="I70">
        <v>1</v>
      </c>
      <c r="J70" t="s">
        <v>29</v>
      </c>
      <c r="K70">
        <v>0.18</v>
      </c>
      <c r="L70" t="s">
        <v>23</v>
      </c>
      <c r="M70">
        <v>0.21210000000000001</v>
      </c>
      <c r="N70">
        <v>0.55000000000000004</v>
      </c>
      <c r="O70" t="s">
        <v>34</v>
      </c>
      <c r="P70">
        <v>0.1045</v>
      </c>
      <c r="Q70">
        <v>1</v>
      </c>
      <c r="R70">
        <v>11</v>
      </c>
      <c r="S70">
        <v>12</v>
      </c>
    </row>
    <row r="71" spans="1:19" x14ac:dyDescent="0.3">
      <c r="A71">
        <v>70</v>
      </c>
      <c r="B71" s="46">
        <v>40547</v>
      </c>
      <c r="C71">
        <v>1</v>
      </c>
      <c r="D71">
        <v>0</v>
      </c>
      <c r="E71" t="b">
        <v>0</v>
      </c>
      <c r="F71">
        <v>2</v>
      </c>
      <c r="G71" t="s">
        <v>35</v>
      </c>
      <c r="H71" t="s">
        <v>37</v>
      </c>
      <c r="I71">
        <v>1</v>
      </c>
      <c r="J71" t="s">
        <v>29</v>
      </c>
      <c r="K71">
        <v>0.16</v>
      </c>
      <c r="L71" t="s">
        <v>23</v>
      </c>
      <c r="M71">
        <v>0.18886777777777777</v>
      </c>
      <c r="N71">
        <v>0.55000000000000004</v>
      </c>
      <c r="O71" t="s">
        <v>34</v>
      </c>
      <c r="P71">
        <v>0.1045</v>
      </c>
      <c r="Q71">
        <v>0</v>
      </c>
      <c r="R71">
        <v>5</v>
      </c>
      <c r="S71">
        <v>5</v>
      </c>
    </row>
    <row r="72" spans="1:19" x14ac:dyDescent="0.3">
      <c r="A72">
        <v>71</v>
      </c>
      <c r="B72" s="46">
        <v>40547</v>
      </c>
      <c r="C72">
        <v>1</v>
      </c>
      <c r="D72">
        <v>1</v>
      </c>
      <c r="E72" t="b">
        <v>0</v>
      </c>
      <c r="F72">
        <v>2</v>
      </c>
      <c r="G72" t="s">
        <v>35</v>
      </c>
      <c r="H72" t="s">
        <v>37</v>
      </c>
      <c r="I72">
        <v>1</v>
      </c>
      <c r="J72" t="s">
        <v>29</v>
      </c>
      <c r="K72">
        <v>0.16</v>
      </c>
      <c r="L72" t="s">
        <v>23</v>
      </c>
      <c r="M72">
        <v>0.18179999999999999</v>
      </c>
      <c r="N72">
        <v>0.59</v>
      </c>
      <c r="O72" t="s">
        <v>34</v>
      </c>
      <c r="P72">
        <v>0.1045</v>
      </c>
      <c r="Q72">
        <v>0</v>
      </c>
      <c r="R72">
        <v>2</v>
      </c>
      <c r="S72">
        <v>2</v>
      </c>
    </row>
    <row r="73" spans="1:19" x14ac:dyDescent="0.3">
      <c r="A73">
        <v>72</v>
      </c>
      <c r="B73" s="46">
        <v>40547</v>
      </c>
      <c r="C73">
        <v>1</v>
      </c>
      <c r="D73">
        <v>2</v>
      </c>
      <c r="E73" t="b">
        <v>0</v>
      </c>
      <c r="F73">
        <v>2</v>
      </c>
      <c r="G73" t="s">
        <v>35</v>
      </c>
      <c r="H73" t="s">
        <v>37</v>
      </c>
      <c r="I73">
        <v>1</v>
      </c>
      <c r="J73" t="s">
        <v>29</v>
      </c>
      <c r="K73">
        <v>0.14000000000000001</v>
      </c>
      <c r="L73" t="s">
        <v>23</v>
      </c>
      <c r="M73">
        <v>0.1515</v>
      </c>
      <c r="N73">
        <v>0.63</v>
      </c>
      <c r="O73" t="s">
        <v>34</v>
      </c>
      <c r="P73">
        <v>0.1343</v>
      </c>
      <c r="Q73">
        <v>0</v>
      </c>
      <c r="R73">
        <v>1</v>
      </c>
      <c r="S73">
        <v>1</v>
      </c>
    </row>
    <row r="74" spans="1:19" x14ac:dyDescent="0.3">
      <c r="A74">
        <v>73</v>
      </c>
      <c r="B74" s="46">
        <v>40547</v>
      </c>
      <c r="C74">
        <v>1</v>
      </c>
      <c r="D74">
        <v>4</v>
      </c>
      <c r="E74" t="b">
        <v>0</v>
      </c>
      <c r="F74">
        <v>2</v>
      </c>
      <c r="G74" t="s">
        <v>35</v>
      </c>
      <c r="H74" t="s">
        <v>37</v>
      </c>
      <c r="I74">
        <v>1</v>
      </c>
      <c r="J74" t="s">
        <v>29</v>
      </c>
      <c r="K74">
        <v>0.14000000000000001</v>
      </c>
      <c r="L74" t="s">
        <v>23</v>
      </c>
      <c r="M74">
        <v>0.18179999999999999</v>
      </c>
      <c r="N74">
        <v>0.63</v>
      </c>
      <c r="O74" t="s">
        <v>34</v>
      </c>
      <c r="P74">
        <v>8.9599999999999999E-2</v>
      </c>
      <c r="Q74">
        <v>0</v>
      </c>
      <c r="R74">
        <v>2</v>
      </c>
      <c r="S74">
        <v>2</v>
      </c>
    </row>
    <row r="75" spans="1:19" x14ac:dyDescent="0.3">
      <c r="A75">
        <v>74</v>
      </c>
      <c r="B75" s="46">
        <v>40547</v>
      </c>
      <c r="C75">
        <v>1</v>
      </c>
      <c r="D75">
        <v>5</v>
      </c>
      <c r="E75" t="b">
        <v>0</v>
      </c>
      <c r="F75">
        <v>2</v>
      </c>
      <c r="G75" t="s">
        <v>35</v>
      </c>
      <c r="H75" t="s">
        <v>37</v>
      </c>
      <c r="I75">
        <v>1</v>
      </c>
      <c r="J75" t="s">
        <v>29</v>
      </c>
      <c r="K75">
        <v>0.12</v>
      </c>
      <c r="L75" t="s">
        <v>23</v>
      </c>
      <c r="M75">
        <v>0.1515</v>
      </c>
      <c r="N75">
        <v>0.68</v>
      </c>
      <c r="O75" t="s">
        <v>34</v>
      </c>
      <c r="P75">
        <v>0.1045</v>
      </c>
      <c r="Q75">
        <v>0</v>
      </c>
      <c r="R75">
        <v>4</v>
      </c>
      <c r="S75">
        <v>4</v>
      </c>
    </row>
    <row r="76" spans="1:19" x14ac:dyDescent="0.3">
      <c r="A76">
        <v>75</v>
      </c>
      <c r="B76" s="46">
        <v>40547</v>
      </c>
      <c r="C76">
        <v>1</v>
      </c>
      <c r="D76">
        <v>6</v>
      </c>
      <c r="E76" t="b">
        <v>0</v>
      </c>
      <c r="F76">
        <v>2</v>
      </c>
      <c r="G76" t="s">
        <v>35</v>
      </c>
      <c r="H76" t="s">
        <v>37</v>
      </c>
      <c r="I76">
        <v>1</v>
      </c>
      <c r="J76" t="s">
        <v>29</v>
      </c>
      <c r="K76">
        <v>0.12</v>
      </c>
      <c r="L76" t="s">
        <v>23</v>
      </c>
      <c r="M76">
        <v>0.1515</v>
      </c>
      <c r="N76">
        <v>0.74</v>
      </c>
      <c r="O76" t="s">
        <v>30</v>
      </c>
      <c r="P76">
        <v>0.1045</v>
      </c>
      <c r="Q76">
        <v>0</v>
      </c>
      <c r="R76">
        <v>36</v>
      </c>
      <c r="S76">
        <v>36</v>
      </c>
    </row>
    <row r="77" spans="1:19" x14ac:dyDescent="0.3">
      <c r="A77">
        <v>76</v>
      </c>
      <c r="B77" s="46">
        <v>40547</v>
      </c>
      <c r="C77">
        <v>1</v>
      </c>
      <c r="D77">
        <v>7</v>
      </c>
      <c r="E77" t="b">
        <v>0</v>
      </c>
      <c r="F77">
        <v>2</v>
      </c>
      <c r="G77" t="s">
        <v>35</v>
      </c>
      <c r="H77" t="s">
        <v>37</v>
      </c>
      <c r="I77">
        <v>1</v>
      </c>
      <c r="J77" t="s">
        <v>29</v>
      </c>
      <c r="K77">
        <v>0.12</v>
      </c>
      <c r="L77" t="s">
        <v>23</v>
      </c>
      <c r="M77">
        <v>0.1515</v>
      </c>
      <c r="N77">
        <v>0.74</v>
      </c>
      <c r="O77" t="s">
        <v>30</v>
      </c>
      <c r="P77">
        <v>0.1343</v>
      </c>
      <c r="Q77">
        <v>2</v>
      </c>
      <c r="R77">
        <v>92</v>
      </c>
      <c r="S77">
        <v>94</v>
      </c>
    </row>
    <row r="78" spans="1:19" x14ac:dyDescent="0.3">
      <c r="A78">
        <v>77</v>
      </c>
      <c r="B78" s="46">
        <v>40547</v>
      </c>
      <c r="C78">
        <v>1</v>
      </c>
      <c r="D78">
        <v>8</v>
      </c>
      <c r="E78" t="b">
        <v>0</v>
      </c>
      <c r="F78">
        <v>2</v>
      </c>
      <c r="G78" t="s">
        <v>35</v>
      </c>
      <c r="H78" t="s">
        <v>37</v>
      </c>
      <c r="I78">
        <v>1</v>
      </c>
      <c r="J78" t="s">
        <v>29</v>
      </c>
      <c r="K78">
        <v>0.14000000000000001</v>
      </c>
      <c r="L78" t="s">
        <v>23</v>
      </c>
      <c r="M78">
        <v>0.1515</v>
      </c>
      <c r="N78">
        <v>0.69</v>
      </c>
      <c r="O78" t="s">
        <v>34</v>
      </c>
      <c r="P78">
        <v>0.16420000000000001</v>
      </c>
      <c r="Q78">
        <v>2</v>
      </c>
      <c r="R78">
        <v>177</v>
      </c>
      <c r="S78">
        <v>179</v>
      </c>
    </row>
    <row r="79" spans="1:19" x14ac:dyDescent="0.3">
      <c r="A79">
        <v>78</v>
      </c>
      <c r="B79" s="46">
        <v>40547</v>
      </c>
      <c r="C79">
        <v>1</v>
      </c>
      <c r="D79">
        <v>9</v>
      </c>
      <c r="E79" t="b">
        <v>0</v>
      </c>
      <c r="F79">
        <v>2</v>
      </c>
      <c r="G79" t="s">
        <v>35</v>
      </c>
      <c r="H79" t="s">
        <v>37</v>
      </c>
      <c r="I79">
        <v>1</v>
      </c>
      <c r="J79" t="s">
        <v>29</v>
      </c>
      <c r="K79">
        <v>0.16</v>
      </c>
      <c r="L79" t="s">
        <v>23</v>
      </c>
      <c r="M79">
        <v>0.1515</v>
      </c>
      <c r="N79">
        <v>0.64</v>
      </c>
      <c r="O79" t="s">
        <v>34</v>
      </c>
      <c r="P79">
        <v>0.22389999999999999</v>
      </c>
      <c r="Q79">
        <v>2</v>
      </c>
      <c r="R79">
        <v>98</v>
      </c>
      <c r="S79">
        <v>100</v>
      </c>
    </row>
    <row r="80" spans="1:19" x14ac:dyDescent="0.3">
      <c r="A80">
        <v>79</v>
      </c>
      <c r="B80" s="46">
        <v>40547</v>
      </c>
      <c r="C80">
        <v>1</v>
      </c>
      <c r="D80">
        <v>10</v>
      </c>
      <c r="E80" t="b">
        <v>0</v>
      </c>
      <c r="F80">
        <v>2</v>
      </c>
      <c r="G80" t="s">
        <v>35</v>
      </c>
      <c r="H80" t="s">
        <v>37</v>
      </c>
      <c r="I80">
        <v>2</v>
      </c>
      <c r="J80" t="s">
        <v>31</v>
      </c>
      <c r="K80">
        <v>0.16</v>
      </c>
      <c r="L80" t="s">
        <v>23</v>
      </c>
      <c r="M80">
        <v>0.13639999999999999</v>
      </c>
      <c r="N80">
        <v>0.69</v>
      </c>
      <c r="O80" t="s">
        <v>34</v>
      </c>
      <c r="P80">
        <v>0.32840000000000003</v>
      </c>
      <c r="Q80">
        <v>5</v>
      </c>
      <c r="R80">
        <v>37</v>
      </c>
      <c r="S80">
        <v>42</v>
      </c>
    </row>
    <row r="81" spans="1:19" x14ac:dyDescent="0.3">
      <c r="A81">
        <v>80</v>
      </c>
      <c r="B81" s="46">
        <v>40547</v>
      </c>
      <c r="C81">
        <v>1</v>
      </c>
      <c r="D81">
        <v>11</v>
      </c>
      <c r="E81" t="b">
        <v>0</v>
      </c>
      <c r="F81">
        <v>2</v>
      </c>
      <c r="G81" t="s">
        <v>35</v>
      </c>
      <c r="H81" t="s">
        <v>37</v>
      </c>
      <c r="I81">
        <v>1</v>
      </c>
      <c r="J81" t="s">
        <v>29</v>
      </c>
      <c r="K81">
        <v>0.22</v>
      </c>
      <c r="L81" t="s">
        <v>23</v>
      </c>
      <c r="M81">
        <v>0.21210000000000001</v>
      </c>
      <c r="N81">
        <v>0.51</v>
      </c>
      <c r="O81" t="s">
        <v>34</v>
      </c>
      <c r="P81">
        <v>0.29849999999999999</v>
      </c>
      <c r="Q81">
        <v>7</v>
      </c>
      <c r="R81">
        <v>50</v>
      </c>
      <c r="S81">
        <v>57</v>
      </c>
    </row>
    <row r="82" spans="1:19" x14ac:dyDescent="0.3">
      <c r="A82">
        <v>81</v>
      </c>
      <c r="B82" s="46">
        <v>40547</v>
      </c>
      <c r="C82">
        <v>1</v>
      </c>
      <c r="D82">
        <v>12</v>
      </c>
      <c r="E82" t="b">
        <v>0</v>
      </c>
      <c r="F82">
        <v>2</v>
      </c>
      <c r="G82" t="s">
        <v>35</v>
      </c>
      <c r="H82" t="s">
        <v>37</v>
      </c>
      <c r="I82">
        <v>1</v>
      </c>
      <c r="J82" t="s">
        <v>29</v>
      </c>
      <c r="K82">
        <v>0.22</v>
      </c>
      <c r="L82" t="s">
        <v>23</v>
      </c>
      <c r="M82">
        <v>0.2273</v>
      </c>
      <c r="N82">
        <v>0.51</v>
      </c>
      <c r="O82" t="s">
        <v>34</v>
      </c>
      <c r="P82">
        <v>0.16420000000000001</v>
      </c>
      <c r="Q82">
        <v>12</v>
      </c>
      <c r="R82">
        <v>66</v>
      </c>
      <c r="S82">
        <v>78</v>
      </c>
    </row>
    <row r="83" spans="1:19" x14ac:dyDescent="0.3">
      <c r="A83">
        <v>82</v>
      </c>
      <c r="B83" s="46">
        <v>40547</v>
      </c>
      <c r="C83">
        <v>1</v>
      </c>
      <c r="D83">
        <v>13</v>
      </c>
      <c r="E83" t="b">
        <v>0</v>
      </c>
      <c r="F83">
        <v>2</v>
      </c>
      <c r="G83" t="s">
        <v>35</v>
      </c>
      <c r="H83" t="s">
        <v>37</v>
      </c>
      <c r="I83">
        <v>1</v>
      </c>
      <c r="J83" t="s">
        <v>29</v>
      </c>
      <c r="K83">
        <v>0.24</v>
      </c>
      <c r="L83" t="s">
        <v>23</v>
      </c>
      <c r="M83">
        <v>0.2273</v>
      </c>
      <c r="N83">
        <v>0.56000000000000005</v>
      </c>
      <c r="O83" t="s">
        <v>34</v>
      </c>
      <c r="P83">
        <v>0.19400000000000001</v>
      </c>
      <c r="Q83">
        <v>18</v>
      </c>
      <c r="R83">
        <v>79</v>
      </c>
      <c r="S83">
        <v>97</v>
      </c>
    </row>
    <row r="84" spans="1:19" x14ac:dyDescent="0.3">
      <c r="A84">
        <v>83</v>
      </c>
      <c r="B84" s="46">
        <v>40547</v>
      </c>
      <c r="C84">
        <v>1</v>
      </c>
      <c r="D84">
        <v>14</v>
      </c>
      <c r="E84" t="b">
        <v>0</v>
      </c>
      <c r="F84">
        <v>2</v>
      </c>
      <c r="G84" t="s">
        <v>35</v>
      </c>
      <c r="H84" t="s">
        <v>37</v>
      </c>
      <c r="I84">
        <v>1</v>
      </c>
      <c r="J84" t="s">
        <v>29</v>
      </c>
      <c r="K84">
        <v>0.26</v>
      </c>
      <c r="L84" t="s">
        <v>23</v>
      </c>
      <c r="M84">
        <v>0.2576</v>
      </c>
      <c r="N84">
        <v>0.52</v>
      </c>
      <c r="O84" t="s">
        <v>34</v>
      </c>
      <c r="P84">
        <v>0.22389999999999999</v>
      </c>
      <c r="Q84">
        <v>9</v>
      </c>
      <c r="R84">
        <v>54</v>
      </c>
      <c r="S84">
        <v>63</v>
      </c>
    </row>
    <row r="85" spans="1:19" x14ac:dyDescent="0.3">
      <c r="A85">
        <v>84</v>
      </c>
      <c r="B85" s="46">
        <v>40547</v>
      </c>
      <c r="C85">
        <v>1</v>
      </c>
      <c r="D85">
        <v>15</v>
      </c>
      <c r="E85" t="b">
        <v>0</v>
      </c>
      <c r="F85">
        <v>2</v>
      </c>
      <c r="G85" t="s">
        <v>35</v>
      </c>
      <c r="H85" t="s">
        <v>37</v>
      </c>
      <c r="I85">
        <v>1</v>
      </c>
      <c r="J85" t="s">
        <v>29</v>
      </c>
      <c r="K85">
        <v>0.28000000000000003</v>
      </c>
      <c r="L85" t="s">
        <v>23</v>
      </c>
      <c r="M85">
        <v>0.2727</v>
      </c>
      <c r="N85">
        <v>0.52</v>
      </c>
      <c r="O85" t="s">
        <v>34</v>
      </c>
      <c r="P85">
        <v>0.25369999999999998</v>
      </c>
      <c r="Q85">
        <v>17</v>
      </c>
      <c r="R85">
        <v>48</v>
      </c>
      <c r="S85">
        <v>65</v>
      </c>
    </row>
    <row r="86" spans="1:19" x14ac:dyDescent="0.3">
      <c r="A86">
        <v>85</v>
      </c>
      <c r="B86" s="46">
        <v>40547</v>
      </c>
      <c r="C86">
        <v>1</v>
      </c>
      <c r="D86">
        <v>16</v>
      </c>
      <c r="E86" t="b">
        <v>0</v>
      </c>
      <c r="F86">
        <v>2</v>
      </c>
      <c r="G86" t="s">
        <v>35</v>
      </c>
      <c r="H86" t="s">
        <v>37</v>
      </c>
      <c r="I86">
        <v>1</v>
      </c>
      <c r="J86" t="s">
        <v>29</v>
      </c>
      <c r="K86">
        <v>0.3</v>
      </c>
      <c r="L86" t="s">
        <v>23</v>
      </c>
      <c r="M86">
        <v>0.28789999999999999</v>
      </c>
      <c r="N86">
        <v>0.49</v>
      </c>
      <c r="O86" t="s">
        <v>34</v>
      </c>
      <c r="P86">
        <v>0.25369999999999998</v>
      </c>
      <c r="Q86">
        <v>15</v>
      </c>
      <c r="R86">
        <v>68</v>
      </c>
      <c r="S86">
        <v>83</v>
      </c>
    </row>
    <row r="87" spans="1:19" x14ac:dyDescent="0.3">
      <c r="A87">
        <v>86</v>
      </c>
      <c r="B87" s="46">
        <v>40547</v>
      </c>
      <c r="C87">
        <v>1</v>
      </c>
      <c r="D87">
        <v>17</v>
      </c>
      <c r="E87" t="b">
        <v>0</v>
      </c>
      <c r="F87">
        <v>2</v>
      </c>
      <c r="G87" t="s">
        <v>35</v>
      </c>
      <c r="H87" t="s">
        <v>37</v>
      </c>
      <c r="I87">
        <v>1</v>
      </c>
      <c r="J87" t="s">
        <v>29</v>
      </c>
      <c r="K87">
        <v>0.28000000000000003</v>
      </c>
      <c r="L87" t="s">
        <v>23</v>
      </c>
      <c r="M87">
        <v>0.2727</v>
      </c>
      <c r="N87">
        <v>0.48</v>
      </c>
      <c r="O87" t="s">
        <v>34</v>
      </c>
      <c r="P87">
        <v>0.22389999999999999</v>
      </c>
      <c r="Q87">
        <v>10</v>
      </c>
      <c r="R87">
        <v>202</v>
      </c>
      <c r="S87">
        <v>212</v>
      </c>
    </row>
    <row r="88" spans="1:19" x14ac:dyDescent="0.3">
      <c r="A88">
        <v>87</v>
      </c>
      <c r="B88" s="46">
        <v>40547</v>
      </c>
      <c r="C88">
        <v>1</v>
      </c>
      <c r="D88">
        <v>18</v>
      </c>
      <c r="E88" t="b">
        <v>0</v>
      </c>
      <c r="F88">
        <v>2</v>
      </c>
      <c r="G88" t="s">
        <v>35</v>
      </c>
      <c r="H88" t="s">
        <v>37</v>
      </c>
      <c r="I88">
        <v>1</v>
      </c>
      <c r="J88" t="s">
        <v>29</v>
      </c>
      <c r="K88">
        <v>0.26</v>
      </c>
      <c r="L88" t="s">
        <v>23</v>
      </c>
      <c r="M88">
        <v>0.2576</v>
      </c>
      <c r="N88">
        <v>0.48</v>
      </c>
      <c r="O88" t="s">
        <v>34</v>
      </c>
      <c r="P88">
        <v>0.19400000000000001</v>
      </c>
      <c r="Q88">
        <v>3</v>
      </c>
      <c r="R88">
        <v>179</v>
      </c>
      <c r="S88">
        <v>182</v>
      </c>
    </row>
    <row r="89" spans="1:19" x14ac:dyDescent="0.3">
      <c r="A89">
        <v>88</v>
      </c>
      <c r="B89" s="46">
        <v>40547</v>
      </c>
      <c r="C89">
        <v>1</v>
      </c>
      <c r="D89">
        <v>19</v>
      </c>
      <c r="E89" t="b">
        <v>0</v>
      </c>
      <c r="F89">
        <v>2</v>
      </c>
      <c r="G89" t="s">
        <v>35</v>
      </c>
      <c r="H89" t="s">
        <v>37</v>
      </c>
      <c r="I89">
        <v>1</v>
      </c>
      <c r="J89" t="s">
        <v>29</v>
      </c>
      <c r="K89">
        <v>0.24</v>
      </c>
      <c r="L89" t="s">
        <v>23</v>
      </c>
      <c r="M89">
        <v>0.2576</v>
      </c>
      <c r="N89">
        <v>0.48</v>
      </c>
      <c r="O89" t="s">
        <v>34</v>
      </c>
      <c r="P89">
        <v>0.1045</v>
      </c>
      <c r="Q89">
        <v>2</v>
      </c>
      <c r="R89">
        <v>110</v>
      </c>
      <c r="S89">
        <v>112</v>
      </c>
    </row>
    <row r="90" spans="1:19" x14ac:dyDescent="0.3">
      <c r="A90">
        <v>89</v>
      </c>
      <c r="B90" s="46">
        <v>40547</v>
      </c>
      <c r="C90">
        <v>1</v>
      </c>
      <c r="D90">
        <v>20</v>
      </c>
      <c r="E90" t="b">
        <v>0</v>
      </c>
      <c r="F90">
        <v>2</v>
      </c>
      <c r="G90" t="s">
        <v>35</v>
      </c>
      <c r="H90" t="s">
        <v>37</v>
      </c>
      <c r="I90">
        <v>1</v>
      </c>
      <c r="J90" t="s">
        <v>29</v>
      </c>
      <c r="K90">
        <v>0.24</v>
      </c>
      <c r="L90" t="s">
        <v>23</v>
      </c>
      <c r="M90">
        <v>0.2576</v>
      </c>
      <c r="N90">
        <v>0.48</v>
      </c>
      <c r="O90" t="s">
        <v>34</v>
      </c>
      <c r="P90">
        <v>0.1045</v>
      </c>
      <c r="Q90">
        <v>1</v>
      </c>
      <c r="R90">
        <v>53</v>
      </c>
      <c r="S90">
        <v>54</v>
      </c>
    </row>
    <row r="91" spans="1:19" x14ac:dyDescent="0.3">
      <c r="A91">
        <v>90</v>
      </c>
      <c r="B91" s="46">
        <v>40547</v>
      </c>
      <c r="C91">
        <v>1</v>
      </c>
      <c r="D91">
        <v>21</v>
      </c>
      <c r="E91" t="b">
        <v>0</v>
      </c>
      <c r="F91">
        <v>2</v>
      </c>
      <c r="G91" t="s">
        <v>35</v>
      </c>
      <c r="H91" t="s">
        <v>37</v>
      </c>
      <c r="I91">
        <v>1</v>
      </c>
      <c r="J91" t="s">
        <v>29</v>
      </c>
      <c r="K91">
        <v>0.22</v>
      </c>
      <c r="L91" t="s">
        <v>23</v>
      </c>
      <c r="M91">
        <v>0.2727</v>
      </c>
      <c r="N91">
        <v>0.64</v>
      </c>
      <c r="O91" t="s">
        <v>34</v>
      </c>
      <c r="P91">
        <v>0</v>
      </c>
      <c r="Q91">
        <v>0</v>
      </c>
      <c r="R91">
        <v>48</v>
      </c>
      <c r="S91">
        <v>48</v>
      </c>
    </row>
    <row r="92" spans="1:19" x14ac:dyDescent="0.3">
      <c r="A92">
        <v>91</v>
      </c>
      <c r="B92" s="46">
        <v>40547</v>
      </c>
      <c r="C92">
        <v>1</v>
      </c>
      <c r="D92">
        <v>22</v>
      </c>
      <c r="E92" t="b">
        <v>0</v>
      </c>
      <c r="F92">
        <v>2</v>
      </c>
      <c r="G92" t="s">
        <v>35</v>
      </c>
      <c r="H92" t="s">
        <v>37</v>
      </c>
      <c r="I92">
        <v>1</v>
      </c>
      <c r="J92" t="s">
        <v>29</v>
      </c>
      <c r="K92">
        <v>0.22</v>
      </c>
      <c r="L92" t="s">
        <v>23</v>
      </c>
      <c r="M92">
        <v>0.2576</v>
      </c>
      <c r="N92">
        <v>0.64</v>
      </c>
      <c r="O92" t="s">
        <v>34</v>
      </c>
      <c r="P92">
        <v>8.9599999999999999E-2</v>
      </c>
      <c r="Q92">
        <v>1</v>
      </c>
      <c r="R92">
        <v>34</v>
      </c>
      <c r="S92">
        <v>35</v>
      </c>
    </row>
    <row r="93" spans="1:19" x14ac:dyDescent="0.3">
      <c r="A93">
        <v>92</v>
      </c>
      <c r="B93" s="46">
        <v>40547</v>
      </c>
      <c r="C93">
        <v>1</v>
      </c>
      <c r="D93">
        <v>23</v>
      </c>
      <c r="E93" t="b">
        <v>0</v>
      </c>
      <c r="F93">
        <v>2</v>
      </c>
      <c r="G93" t="s">
        <v>35</v>
      </c>
      <c r="H93" t="s">
        <v>37</v>
      </c>
      <c r="I93">
        <v>1</v>
      </c>
      <c r="J93" t="s">
        <v>29</v>
      </c>
      <c r="K93">
        <v>0.2</v>
      </c>
      <c r="L93" t="s">
        <v>23</v>
      </c>
      <c r="M93">
        <v>0.2273</v>
      </c>
      <c r="N93">
        <v>0.69</v>
      </c>
      <c r="O93" t="s">
        <v>34</v>
      </c>
      <c r="P93">
        <v>8.9599999999999999E-2</v>
      </c>
      <c r="Q93">
        <v>2</v>
      </c>
      <c r="R93">
        <v>9</v>
      </c>
      <c r="S93">
        <v>11</v>
      </c>
    </row>
    <row r="94" spans="1:19" x14ac:dyDescent="0.3">
      <c r="A94">
        <v>93</v>
      </c>
      <c r="B94" s="46">
        <v>40548</v>
      </c>
      <c r="C94">
        <v>1</v>
      </c>
      <c r="D94">
        <v>0</v>
      </c>
      <c r="E94" t="b">
        <v>0</v>
      </c>
      <c r="F94">
        <v>3</v>
      </c>
      <c r="G94" t="s">
        <v>35</v>
      </c>
      <c r="H94" t="s">
        <v>38</v>
      </c>
      <c r="I94">
        <v>1</v>
      </c>
      <c r="J94" t="s">
        <v>29</v>
      </c>
      <c r="K94">
        <v>0.2</v>
      </c>
      <c r="L94" t="s">
        <v>23</v>
      </c>
      <c r="M94">
        <v>0.2576</v>
      </c>
      <c r="N94">
        <v>0.64</v>
      </c>
      <c r="O94" t="s">
        <v>34</v>
      </c>
      <c r="P94">
        <v>0</v>
      </c>
      <c r="Q94">
        <v>0</v>
      </c>
      <c r="R94">
        <v>6</v>
      </c>
      <c r="S94">
        <v>6</v>
      </c>
    </row>
    <row r="95" spans="1:19" x14ac:dyDescent="0.3">
      <c r="A95">
        <v>94</v>
      </c>
      <c r="B95" s="46">
        <v>40548</v>
      </c>
      <c r="C95">
        <v>1</v>
      </c>
      <c r="D95">
        <v>1</v>
      </c>
      <c r="E95" t="b">
        <v>0</v>
      </c>
      <c r="F95">
        <v>3</v>
      </c>
      <c r="G95" t="s">
        <v>35</v>
      </c>
      <c r="H95" t="s">
        <v>38</v>
      </c>
      <c r="I95">
        <v>1</v>
      </c>
      <c r="J95" t="s">
        <v>29</v>
      </c>
      <c r="K95">
        <v>0.16</v>
      </c>
      <c r="L95" t="s">
        <v>23</v>
      </c>
      <c r="M95">
        <v>0.19700000000000001</v>
      </c>
      <c r="N95">
        <v>0.74</v>
      </c>
      <c r="O95" t="s">
        <v>30</v>
      </c>
      <c r="P95">
        <v>8.9599999999999999E-2</v>
      </c>
      <c r="Q95">
        <v>0</v>
      </c>
      <c r="R95">
        <v>6</v>
      </c>
      <c r="S95">
        <v>6</v>
      </c>
    </row>
    <row r="96" spans="1:19" x14ac:dyDescent="0.3">
      <c r="A96">
        <v>95</v>
      </c>
      <c r="B96" s="46">
        <v>40548</v>
      </c>
      <c r="C96">
        <v>1</v>
      </c>
      <c r="D96">
        <v>2</v>
      </c>
      <c r="E96" t="b">
        <v>0</v>
      </c>
      <c r="F96">
        <v>3</v>
      </c>
      <c r="G96" t="s">
        <v>35</v>
      </c>
      <c r="H96" t="s">
        <v>38</v>
      </c>
      <c r="I96">
        <v>1</v>
      </c>
      <c r="J96" t="s">
        <v>29</v>
      </c>
      <c r="K96">
        <v>0.16</v>
      </c>
      <c r="L96" t="s">
        <v>23</v>
      </c>
      <c r="M96">
        <v>0.19700000000000001</v>
      </c>
      <c r="N96">
        <v>0.74</v>
      </c>
      <c r="O96" t="s">
        <v>30</v>
      </c>
      <c r="P96">
        <v>8.9599999999999999E-2</v>
      </c>
      <c r="Q96">
        <v>0</v>
      </c>
      <c r="R96">
        <v>2</v>
      </c>
      <c r="S96">
        <v>2</v>
      </c>
    </row>
    <row r="97" spans="1:19" x14ac:dyDescent="0.3">
      <c r="A97">
        <v>96</v>
      </c>
      <c r="B97" s="46">
        <v>40548</v>
      </c>
      <c r="C97">
        <v>1</v>
      </c>
      <c r="D97">
        <v>4</v>
      </c>
      <c r="E97" t="b">
        <v>0</v>
      </c>
      <c r="F97">
        <v>3</v>
      </c>
      <c r="G97" t="s">
        <v>35</v>
      </c>
      <c r="H97" t="s">
        <v>38</v>
      </c>
      <c r="I97">
        <v>1</v>
      </c>
      <c r="J97" t="s">
        <v>29</v>
      </c>
      <c r="K97">
        <v>0.24</v>
      </c>
      <c r="L97" t="s">
        <v>23</v>
      </c>
      <c r="M97">
        <v>0.2273</v>
      </c>
      <c r="N97">
        <v>0.48</v>
      </c>
      <c r="O97" t="s">
        <v>34</v>
      </c>
      <c r="P97">
        <v>0.22389999999999999</v>
      </c>
      <c r="Q97">
        <v>0</v>
      </c>
      <c r="R97">
        <v>2</v>
      </c>
      <c r="S97">
        <v>2</v>
      </c>
    </row>
    <row r="98" spans="1:19" x14ac:dyDescent="0.3">
      <c r="A98">
        <v>97</v>
      </c>
      <c r="B98" s="46">
        <v>40548</v>
      </c>
      <c r="C98">
        <v>1</v>
      </c>
      <c r="D98">
        <v>5</v>
      </c>
      <c r="E98" t="b">
        <v>0</v>
      </c>
      <c r="F98">
        <v>3</v>
      </c>
      <c r="G98" t="s">
        <v>35</v>
      </c>
      <c r="H98" t="s">
        <v>38</v>
      </c>
      <c r="I98">
        <v>1</v>
      </c>
      <c r="J98" t="s">
        <v>29</v>
      </c>
      <c r="K98">
        <v>0.22</v>
      </c>
      <c r="L98" t="s">
        <v>23</v>
      </c>
      <c r="M98">
        <v>0.2273</v>
      </c>
      <c r="N98">
        <v>0.47</v>
      </c>
      <c r="O98" t="s">
        <v>34</v>
      </c>
      <c r="P98">
        <v>0.16420000000000001</v>
      </c>
      <c r="Q98">
        <v>0</v>
      </c>
      <c r="R98">
        <v>3</v>
      </c>
      <c r="S98">
        <v>3</v>
      </c>
    </row>
    <row r="99" spans="1:19" x14ac:dyDescent="0.3">
      <c r="A99">
        <v>98</v>
      </c>
      <c r="B99" s="46">
        <v>40548</v>
      </c>
      <c r="C99">
        <v>1</v>
      </c>
      <c r="D99">
        <v>6</v>
      </c>
      <c r="E99" t="b">
        <v>0</v>
      </c>
      <c r="F99">
        <v>3</v>
      </c>
      <c r="G99" t="s">
        <v>35</v>
      </c>
      <c r="H99" t="s">
        <v>38</v>
      </c>
      <c r="I99">
        <v>1</v>
      </c>
      <c r="J99" t="s">
        <v>29</v>
      </c>
      <c r="K99">
        <v>0.2</v>
      </c>
      <c r="L99" t="s">
        <v>23</v>
      </c>
      <c r="M99">
        <v>0.19700000000000001</v>
      </c>
      <c r="N99">
        <v>0.47</v>
      </c>
      <c r="O99" t="s">
        <v>34</v>
      </c>
      <c r="P99">
        <v>0.22389999999999999</v>
      </c>
      <c r="Q99">
        <v>0</v>
      </c>
      <c r="R99">
        <v>33</v>
      </c>
      <c r="S99">
        <v>33</v>
      </c>
    </row>
    <row r="100" spans="1:19" x14ac:dyDescent="0.3">
      <c r="A100">
        <v>99</v>
      </c>
      <c r="B100" s="46">
        <v>40548</v>
      </c>
      <c r="C100">
        <v>1</v>
      </c>
      <c r="D100">
        <v>7</v>
      </c>
      <c r="E100" t="b">
        <v>0</v>
      </c>
      <c r="F100">
        <v>3</v>
      </c>
      <c r="G100" t="s">
        <v>35</v>
      </c>
      <c r="H100" t="s">
        <v>38</v>
      </c>
      <c r="I100">
        <v>1</v>
      </c>
      <c r="J100" t="s">
        <v>29</v>
      </c>
      <c r="K100">
        <v>0.18</v>
      </c>
      <c r="L100" t="s">
        <v>23</v>
      </c>
      <c r="M100">
        <v>0.18179999999999999</v>
      </c>
      <c r="N100">
        <v>0.43</v>
      </c>
      <c r="O100" t="s">
        <v>34</v>
      </c>
      <c r="P100">
        <v>0.19400000000000001</v>
      </c>
      <c r="Q100">
        <v>1</v>
      </c>
      <c r="R100">
        <v>87</v>
      </c>
      <c r="S100">
        <v>88</v>
      </c>
    </row>
    <row r="101" spans="1:19" x14ac:dyDescent="0.3">
      <c r="A101">
        <v>100</v>
      </c>
      <c r="B101" s="46">
        <v>40548</v>
      </c>
      <c r="C101">
        <v>1</v>
      </c>
      <c r="D101">
        <v>8</v>
      </c>
      <c r="E101" t="b">
        <v>0</v>
      </c>
      <c r="F101">
        <v>3</v>
      </c>
      <c r="G101" t="s">
        <v>35</v>
      </c>
      <c r="H101" t="s">
        <v>38</v>
      </c>
      <c r="I101">
        <v>1</v>
      </c>
      <c r="J101" t="s">
        <v>29</v>
      </c>
      <c r="K101">
        <v>0.2</v>
      </c>
      <c r="L101" t="s">
        <v>23</v>
      </c>
      <c r="M101">
        <v>0.18179999999999999</v>
      </c>
      <c r="N101">
        <v>0.4</v>
      </c>
      <c r="O101" t="s">
        <v>34</v>
      </c>
      <c r="P101">
        <v>0.29849999999999999</v>
      </c>
      <c r="Q101">
        <v>3</v>
      </c>
      <c r="R101">
        <v>192</v>
      </c>
      <c r="S101">
        <v>195</v>
      </c>
    </row>
    <row r="102" spans="1:19" x14ac:dyDescent="0.3">
      <c r="A102">
        <v>101</v>
      </c>
      <c r="B102" s="46">
        <v>40548</v>
      </c>
      <c r="C102">
        <v>1</v>
      </c>
      <c r="D102">
        <v>9</v>
      </c>
      <c r="E102" t="b">
        <v>0</v>
      </c>
      <c r="F102">
        <v>3</v>
      </c>
      <c r="G102" t="s">
        <v>35</v>
      </c>
      <c r="H102" t="s">
        <v>38</v>
      </c>
      <c r="I102">
        <v>1</v>
      </c>
      <c r="J102" t="s">
        <v>29</v>
      </c>
      <c r="K102">
        <v>0.22</v>
      </c>
      <c r="L102" t="s">
        <v>23</v>
      </c>
      <c r="M102">
        <v>0.19700000000000001</v>
      </c>
      <c r="N102">
        <v>0.37</v>
      </c>
      <c r="O102" t="s">
        <v>34</v>
      </c>
      <c r="P102">
        <v>0.32840000000000003</v>
      </c>
      <c r="Q102">
        <v>6</v>
      </c>
      <c r="R102">
        <v>109</v>
      </c>
      <c r="S102">
        <v>115</v>
      </c>
    </row>
    <row r="103" spans="1:19" x14ac:dyDescent="0.3">
      <c r="A103">
        <v>102</v>
      </c>
      <c r="B103" s="46">
        <v>40548</v>
      </c>
      <c r="C103">
        <v>1</v>
      </c>
      <c r="D103">
        <v>10</v>
      </c>
      <c r="E103" t="b">
        <v>0</v>
      </c>
      <c r="F103">
        <v>3</v>
      </c>
      <c r="G103" t="s">
        <v>35</v>
      </c>
      <c r="H103" t="s">
        <v>38</v>
      </c>
      <c r="I103">
        <v>1</v>
      </c>
      <c r="J103" t="s">
        <v>29</v>
      </c>
      <c r="K103">
        <v>0.22</v>
      </c>
      <c r="L103" t="s">
        <v>23</v>
      </c>
      <c r="M103">
        <v>0.19700000000000001</v>
      </c>
      <c r="N103">
        <v>0.37</v>
      </c>
      <c r="O103" t="s">
        <v>34</v>
      </c>
      <c r="P103">
        <v>0.32840000000000003</v>
      </c>
      <c r="Q103">
        <v>4</v>
      </c>
      <c r="R103">
        <v>53</v>
      </c>
      <c r="S103">
        <v>57</v>
      </c>
    </row>
    <row r="104" spans="1:19" x14ac:dyDescent="0.3">
      <c r="A104">
        <v>103</v>
      </c>
      <c r="B104" s="46">
        <v>40548</v>
      </c>
      <c r="C104">
        <v>1</v>
      </c>
      <c r="D104">
        <v>11</v>
      </c>
      <c r="E104" t="b">
        <v>0</v>
      </c>
      <c r="F104">
        <v>3</v>
      </c>
      <c r="G104" t="s">
        <v>35</v>
      </c>
      <c r="H104" t="s">
        <v>38</v>
      </c>
      <c r="I104">
        <v>1</v>
      </c>
      <c r="J104" t="s">
        <v>29</v>
      </c>
      <c r="K104">
        <v>0.26</v>
      </c>
      <c r="L104" t="s">
        <v>23</v>
      </c>
      <c r="M104">
        <v>0.2273</v>
      </c>
      <c r="N104">
        <v>0.33</v>
      </c>
      <c r="O104" t="s">
        <v>34</v>
      </c>
      <c r="P104">
        <v>0.32840000000000003</v>
      </c>
      <c r="Q104">
        <v>12</v>
      </c>
      <c r="R104">
        <v>34</v>
      </c>
      <c r="S104">
        <v>46</v>
      </c>
    </row>
    <row r="105" spans="1:19" x14ac:dyDescent="0.3">
      <c r="A105">
        <v>104</v>
      </c>
      <c r="B105" s="46">
        <v>40548</v>
      </c>
      <c r="C105">
        <v>1</v>
      </c>
      <c r="D105">
        <v>12</v>
      </c>
      <c r="E105" t="b">
        <v>0</v>
      </c>
      <c r="F105">
        <v>3</v>
      </c>
      <c r="G105" t="s">
        <v>35</v>
      </c>
      <c r="H105" t="s">
        <v>38</v>
      </c>
      <c r="I105">
        <v>1</v>
      </c>
      <c r="J105" t="s">
        <v>29</v>
      </c>
      <c r="K105">
        <v>0.26</v>
      </c>
      <c r="L105" t="s">
        <v>23</v>
      </c>
      <c r="M105">
        <v>0.2273</v>
      </c>
      <c r="N105">
        <v>0.33</v>
      </c>
      <c r="O105" t="s">
        <v>34</v>
      </c>
      <c r="P105">
        <v>0.32840000000000003</v>
      </c>
      <c r="Q105">
        <v>5</v>
      </c>
      <c r="R105">
        <v>74</v>
      </c>
      <c r="S105">
        <v>79</v>
      </c>
    </row>
    <row r="106" spans="1:19" x14ac:dyDescent="0.3">
      <c r="A106">
        <v>105</v>
      </c>
      <c r="B106" s="46">
        <v>40548</v>
      </c>
      <c r="C106">
        <v>1</v>
      </c>
      <c r="D106">
        <v>13</v>
      </c>
      <c r="E106" t="b">
        <v>0</v>
      </c>
      <c r="F106">
        <v>3</v>
      </c>
      <c r="G106" t="s">
        <v>35</v>
      </c>
      <c r="H106" t="s">
        <v>38</v>
      </c>
      <c r="I106">
        <v>1</v>
      </c>
      <c r="J106" t="s">
        <v>29</v>
      </c>
      <c r="K106">
        <v>0.28000000000000003</v>
      </c>
      <c r="L106" t="s">
        <v>23</v>
      </c>
      <c r="M106">
        <v>0.2576</v>
      </c>
      <c r="N106">
        <v>0.3</v>
      </c>
      <c r="O106" t="s">
        <v>34</v>
      </c>
      <c r="P106">
        <v>0.29849999999999999</v>
      </c>
      <c r="Q106">
        <v>6</v>
      </c>
      <c r="R106">
        <v>65</v>
      </c>
      <c r="S106">
        <v>71</v>
      </c>
    </row>
    <row r="107" spans="1:19" x14ac:dyDescent="0.3">
      <c r="A107">
        <v>106</v>
      </c>
      <c r="B107" s="46">
        <v>40548</v>
      </c>
      <c r="C107">
        <v>1</v>
      </c>
      <c r="D107">
        <v>14</v>
      </c>
      <c r="E107" t="b">
        <v>0</v>
      </c>
      <c r="F107">
        <v>3</v>
      </c>
      <c r="G107" t="s">
        <v>35</v>
      </c>
      <c r="H107" t="s">
        <v>38</v>
      </c>
      <c r="I107">
        <v>1</v>
      </c>
      <c r="J107" t="s">
        <v>29</v>
      </c>
      <c r="K107">
        <v>0.3</v>
      </c>
      <c r="L107" t="s">
        <v>23</v>
      </c>
      <c r="M107">
        <v>0.28789999999999999</v>
      </c>
      <c r="N107">
        <v>0.28000000000000003</v>
      </c>
      <c r="O107" t="s">
        <v>34</v>
      </c>
      <c r="P107">
        <v>0.19400000000000001</v>
      </c>
      <c r="Q107">
        <v>10</v>
      </c>
      <c r="R107">
        <v>52</v>
      </c>
      <c r="S107">
        <v>62</v>
      </c>
    </row>
    <row r="108" spans="1:19" x14ac:dyDescent="0.3">
      <c r="A108">
        <v>107</v>
      </c>
      <c r="B108" s="46">
        <v>40548</v>
      </c>
      <c r="C108">
        <v>1</v>
      </c>
      <c r="D108">
        <v>15</v>
      </c>
      <c r="E108" t="b">
        <v>0</v>
      </c>
      <c r="F108">
        <v>3</v>
      </c>
      <c r="G108" t="s">
        <v>35</v>
      </c>
      <c r="H108" t="s">
        <v>38</v>
      </c>
      <c r="I108">
        <v>1</v>
      </c>
      <c r="J108" t="s">
        <v>29</v>
      </c>
      <c r="K108">
        <v>0.3</v>
      </c>
      <c r="L108" t="s">
        <v>23</v>
      </c>
      <c r="M108">
        <v>0.28789999999999999</v>
      </c>
      <c r="N108">
        <v>0.28000000000000003</v>
      </c>
      <c r="O108" t="s">
        <v>34</v>
      </c>
      <c r="P108">
        <v>0.19400000000000001</v>
      </c>
      <c r="Q108">
        <v>7</v>
      </c>
      <c r="R108">
        <v>55</v>
      </c>
      <c r="S108">
        <v>62</v>
      </c>
    </row>
    <row r="109" spans="1:19" x14ac:dyDescent="0.3">
      <c r="A109">
        <v>108</v>
      </c>
      <c r="B109" s="46">
        <v>40548</v>
      </c>
      <c r="C109">
        <v>1</v>
      </c>
      <c r="D109">
        <v>16</v>
      </c>
      <c r="E109" t="b">
        <v>0</v>
      </c>
      <c r="F109">
        <v>3</v>
      </c>
      <c r="G109" t="s">
        <v>35</v>
      </c>
      <c r="H109" t="s">
        <v>38</v>
      </c>
      <c r="I109">
        <v>1</v>
      </c>
      <c r="J109" t="s">
        <v>29</v>
      </c>
      <c r="K109">
        <v>0.3</v>
      </c>
      <c r="L109" t="s">
        <v>23</v>
      </c>
      <c r="M109">
        <v>0.31819999999999998</v>
      </c>
      <c r="N109">
        <v>0.28000000000000003</v>
      </c>
      <c r="O109" t="s">
        <v>34</v>
      </c>
      <c r="P109">
        <v>8.9599999999999999E-2</v>
      </c>
      <c r="Q109">
        <v>4</v>
      </c>
      <c r="R109">
        <v>85</v>
      </c>
      <c r="S109">
        <v>89</v>
      </c>
    </row>
    <row r="110" spans="1:19" x14ac:dyDescent="0.3">
      <c r="A110">
        <v>109</v>
      </c>
      <c r="B110" s="46">
        <v>40548</v>
      </c>
      <c r="C110">
        <v>1</v>
      </c>
      <c r="D110">
        <v>17</v>
      </c>
      <c r="E110" t="b">
        <v>0</v>
      </c>
      <c r="F110">
        <v>3</v>
      </c>
      <c r="G110" t="s">
        <v>35</v>
      </c>
      <c r="H110" t="s">
        <v>38</v>
      </c>
      <c r="I110">
        <v>1</v>
      </c>
      <c r="J110" t="s">
        <v>29</v>
      </c>
      <c r="K110">
        <v>0.24</v>
      </c>
      <c r="L110" t="s">
        <v>23</v>
      </c>
      <c r="M110">
        <v>0.2273</v>
      </c>
      <c r="N110">
        <v>0.38</v>
      </c>
      <c r="O110" t="s">
        <v>34</v>
      </c>
      <c r="P110">
        <v>0.19400000000000001</v>
      </c>
      <c r="Q110">
        <v>4</v>
      </c>
      <c r="R110">
        <v>186</v>
      </c>
      <c r="S110">
        <v>190</v>
      </c>
    </row>
    <row r="111" spans="1:19" x14ac:dyDescent="0.3">
      <c r="A111">
        <v>110</v>
      </c>
      <c r="B111" s="46">
        <v>40548</v>
      </c>
      <c r="C111">
        <v>1</v>
      </c>
      <c r="D111">
        <v>18</v>
      </c>
      <c r="E111" t="b">
        <v>0</v>
      </c>
      <c r="F111">
        <v>3</v>
      </c>
      <c r="G111" t="s">
        <v>35</v>
      </c>
      <c r="H111" t="s">
        <v>38</v>
      </c>
      <c r="I111">
        <v>1</v>
      </c>
      <c r="J111" t="s">
        <v>29</v>
      </c>
      <c r="K111">
        <v>0.24</v>
      </c>
      <c r="L111" t="s">
        <v>23</v>
      </c>
      <c r="M111">
        <v>0.2424</v>
      </c>
      <c r="N111">
        <v>0.38</v>
      </c>
      <c r="O111" t="s">
        <v>34</v>
      </c>
      <c r="P111">
        <v>0.1343</v>
      </c>
      <c r="Q111">
        <v>3</v>
      </c>
      <c r="R111">
        <v>166</v>
      </c>
      <c r="S111">
        <v>169</v>
      </c>
    </row>
    <row r="112" spans="1:19" x14ac:dyDescent="0.3">
      <c r="A112">
        <v>111</v>
      </c>
      <c r="B112" s="46">
        <v>40548</v>
      </c>
      <c r="C112">
        <v>1</v>
      </c>
      <c r="D112">
        <v>19</v>
      </c>
      <c r="E112" t="b">
        <v>0</v>
      </c>
      <c r="F112">
        <v>3</v>
      </c>
      <c r="G112" t="s">
        <v>35</v>
      </c>
      <c r="H112" t="s">
        <v>38</v>
      </c>
      <c r="I112">
        <v>1</v>
      </c>
      <c r="J112" t="s">
        <v>29</v>
      </c>
      <c r="K112">
        <v>0.24</v>
      </c>
      <c r="L112" t="s">
        <v>23</v>
      </c>
      <c r="M112">
        <v>0.2576</v>
      </c>
      <c r="N112">
        <v>0.38</v>
      </c>
      <c r="O112" t="s">
        <v>34</v>
      </c>
      <c r="P112">
        <v>0.1045</v>
      </c>
      <c r="Q112">
        <v>5</v>
      </c>
      <c r="R112">
        <v>127</v>
      </c>
      <c r="S112">
        <v>132</v>
      </c>
    </row>
    <row r="113" spans="1:19" x14ac:dyDescent="0.3">
      <c r="A113">
        <v>112</v>
      </c>
      <c r="B113" s="46">
        <v>40548</v>
      </c>
      <c r="C113">
        <v>1</v>
      </c>
      <c r="D113">
        <v>20</v>
      </c>
      <c r="E113" t="b">
        <v>0</v>
      </c>
      <c r="F113">
        <v>3</v>
      </c>
      <c r="G113" t="s">
        <v>35</v>
      </c>
      <c r="H113" t="s">
        <v>38</v>
      </c>
      <c r="I113">
        <v>1</v>
      </c>
      <c r="J113" t="s">
        <v>29</v>
      </c>
      <c r="K113">
        <v>0.22</v>
      </c>
      <c r="L113" t="s">
        <v>23</v>
      </c>
      <c r="M113">
        <v>0.2273</v>
      </c>
      <c r="N113">
        <v>0.47</v>
      </c>
      <c r="O113" t="s">
        <v>34</v>
      </c>
      <c r="P113">
        <v>0.16420000000000001</v>
      </c>
      <c r="Q113">
        <v>7</v>
      </c>
      <c r="R113">
        <v>82</v>
      </c>
      <c r="S113">
        <v>89</v>
      </c>
    </row>
    <row r="114" spans="1:19" x14ac:dyDescent="0.3">
      <c r="A114">
        <v>113</v>
      </c>
      <c r="B114" s="46">
        <v>40548</v>
      </c>
      <c r="C114">
        <v>1</v>
      </c>
      <c r="D114">
        <v>21</v>
      </c>
      <c r="E114" t="b">
        <v>0</v>
      </c>
      <c r="F114">
        <v>3</v>
      </c>
      <c r="G114" t="s">
        <v>35</v>
      </c>
      <c r="H114" t="s">
        <v>38</v>
      </c>
      <c r="I114">
        <v>1</v>
      </c>
      <c r="J114" t="s">
        <v>29</v>
      </c>
      <c r="K114">
        <v>0.2</v>
      </c>
      <c r="L114" t="s">
        <v>23</v>
      </c>
      <c r="M114">
        <v>0.19700000000000001</v>
      </c>
      <c r="N114">
        <v>0.51</v>
      </c>
      <c r="O114" t="s">
        <v>34</v>
      </c>
      <c r="P114">
        <v>0.19400000000000001</v>
      </c>
      <c r="Q114">
        <v>3</v>
      </c>
      <c r="R114">
        <v>40</v>
      </c>
      <c r="S114">
        <v>43</v>
      </c>
    </row>
    <row r="115" spans="1:19" x14ac:dyDescent="0.3">
      <c r="A115">
        <v>114</v>
      </c>
      <c r="B115" s="46">
        <v>40548</v>
      </c>
      <c r="C115">
        <v>1</v>
      </c>
      <c r="D115">
        <v>22</v>
      </c>
      <c r="E115" t="b">
        <v>0</v>
      </c>
      <c r="F115">
        <v>3</v>
      </c>
      <c r="G115" t="s">
        <v>35</v>
      </c>
      <c r="H115" t="s">
        <v>38</v>
      </c>
      <c r="I115">
        <v>1</v>
      </c>
      <c r="J115" t="s">
        <v>29</v>
      </c>
      <c r="K115">
        <v>0.18</v>
      </c>
      <c r="L115" t="s">
        <v>23</v>
      </c>
      <c r="M115">
        <v>0.19700000000000001</v>
      </c>
      <c r="N115">
        <v>0.55000000000000004</v>
      </c>
      <c r="O115" t="s">
        <v>34</v>
      </c>
      <c r="P115">
        <v>0.1343</v>
      </c>
      <c r="Q115">
        <v>1</v>
      </c>
      <c r="R115">
        <v>41</v>
      </c>
      <c r="S115">
        <v>42</v>
      </c>
    </row>
    <row r="116" spans="1:19" x14ac:dyDescent="0.3">
      <c r="A116">
        <v>115</v>
      </c>
      <c r="B116" s="46">
        <v>40548</v>
      </c>
      <c r="C116">
        <v>1</v>
      </c>
      <c r="D116">
        <v>23</v>
      </c>
      <c r="E116" t="b">
        <v>0</v>
      </c>
      <c r="F116">
        <v>3</v>
      </c>
      <c r="G116" t="s">
        <v>35</v>
      </c>
      <c r="H116" t="s">
        <v>38</v>
      </c>
      <c r="I116">
        <v>1</v>
      </c>
      <c r="J116" t="s">
        <v>29</v>
      </c>
      <c r="K116">
        <v>0.2</v>
      </c>
      <c r="L116" t="s">
        <v>23</v>
      </c>
      <c r="M116">
        <v>0.2576</v>
      </c>
      <c r="N116">
        <v>0.47</v>
      </c>
      <c r="O116" t="s">
        <v>34</v>
      </c>
      <c r="P116">
        <v>0</v>
      </c>
      <c r="Q116">
        <v>1</v>
      </c>
      <c r="R116">
        <v>18</v>
      </c>
      <c r="S116">
        <v>19</v>
      </c>
    </row>
    <row r="117" spans="1:19" x14ac:dyDescent="0.3">
      <c r="A117">
        <v>116</v>
      </c>
      <c r="B117" s="46">
        <v>40549</v>
      </c>
      <c r="C117">
        <v>1</v>
      </c>
      <c r="D117">
        <v>0</v>
      </c>
      <c r="E117" t="b">
        <v>0</v>
      </c>
      <c r="F117">
        <v>4</v>
      </c>
      <c r="G117" t="s">
        <v>35</v>
      </c>
      <c r="H117" t="s">
        <v>39</v>
      </c>
      <c r="I117">
        <v>1</v>
      </c>
      <c r="J117" t="s">
        <v>29</v>
      </c>
      <c r="K117">
        <v>0.18</v>
      </c>
      <c r="L117" t="s">
        <v>23</v>
      </c>
      <c r="M117">
        <v>0.2424</v>
      </c>
      <c r="N117">
        <v>0.55000000000000004</v>
      </c>
      <c r="O117" t="s">
        <v>34</v>
      </c>
      <c r="P117">
        <v>0</v>
      </c>
      <c r="Q117">
        <v>0</v>
      </c>
      <c r="R117">
        <v>11</v>
      </c>
      <c r="S117">
        <v>11</v>
      </c>
    </row>
    <row r="118" spans="1:19" x14ac:dyDescent="0.3">
      <c r="A118">
        <v>117</v>
      </c>
      <c r="B118" s="46">
        <v>40549</v>
      </c>
      <c r="C118">
        <v>1</v>
      </c>
      <c r="D118">
        <v>1</v>
      </c>
      <c r="E118" t="b">
        <v>0</v>
      </c>
      <c r="F118">
        <v>4</v>
      </c>
      <c r="G118" t="s">
        <v>35</v>
      </c>
      <c r="H118" t="s">
        <v>39</v>
      </c>
      <c r="I118">
        <v>1</v>
      </c>
      <c r="J118" t="s">
        <v>29</v>
      </c>
      <c r="K118">
        <v>0.16</v>
      </c>
      <c r="L118" t="s">
        <v>23</v>
      </c>
      <c r="M118">
        <v>0.2273</v>
      </c>
      <c r="N118">
        <v>0.64</v>
      </c>
      <c r="O118" t="s">
        <v>34</v>
      </c>
      <c r="P118">
        <v>0</v>
      </c>
      <c r="Q118">
        <v>0</v>
      </c>
      <c r="R118">
        <v>4</v>
      </c>
      <c r="S118">
        <v>4</v>
      </c>
    </row>
    <row r="119" spans="1:19" x14ac:dyDescent="0.3">
      <c r="A119">
        <v>118</v>
      </c>
      <c r="B119" s="46">
        <v>40549</v>
      </c>
      <c r="C119">
        <v>1</v>
      </c>
      <c r="D119">
        <v>2</v>
      </c>
      <c r="E119" t="b">
        <v>0</v>
      </c>
      <c r="F119">
        <v>4</v>
      </c>
      <c r="G119" t="s">
        <v>35</v>
      </c>
      <c r="H119" t="s">
        <v>39</v>
      </c>
      <c r="I119">
        <v>1</v>
      </c>
      <c r="J119" t="s">
        <v>29</v>
      </c>
      <c r="K119">
        <v>0.16</v>
      </c>
      <c r="L119" t="s">
        <v>23</v>
      </c>
      <c r="M119">
        <v>0.2273</v>
      </c>
      <c r="N119">
        <v>0.64</v>
      </c>
      <c r="O119" t="s">
        <v>34</v>
      </c>
      <c r="P119">
        <v>0</v>
      </c>
      <c r="Q119">
        <v>0</v>
      </c>
      <c r="R119">
        <v>2</v>
      </c>
      <c r="S119">
        <v>2</v>
      </c>
    </row>
    <row r="120" spans="1:19" x14ac:dyDescent="0.3">
      <c r="A120">
        <v>119</v>
      </c>
      <c r="B120" s="46">
        <v>40549</v>
      </c>
      <c r="C120">
        <v>1</v>
      </c>
      <c r="D120">
        <v>4</v>
      </c>
      <c r="E120" t="b">
        <v>0</v>
      </c>
      <c r="F120">
        <v>4</v>
      </c>
      <c r="G120" t="s">
        <v>35</v>
      </c>
      <c r="H120" t="s">
        <v>39</v>
      </c>
      <c r="I120">
        <v>2</v>
      </c>
      <c r="J120" t="s">
        <v>31</v>
      </c>
      <c r="K120">
        <v>0.16</v>
      </c>
      <c r="L120" t="s">
        <v>23</v>
      </c>
      <c r="M120">
        <v>0.19700000000000001</v>
      </c>
      <c r="N120">
        <v>0.64</v>
      </c>
      <c r="O120" t="s">
        <v>34</v>
      </c>
      <c r="P120">
        <v>8.9599999999999999E-2</v>
      </c>
      <c r="Q120">
        <v>0</v>
      </c>
      <c r="R120">
        <v>1</v>
      </c>
      <c r="S120">
        <v>1</v>
      </c>
    </row>
    <row r="121" spans="1:19" x14ac:dyDescent="0.3">
      <c r="A121">
        <v>120</v>
      </c>
      <c r="B121" s="46">
        <v>40549</v>
      </c>
      <c r="C121">
        <v>1</v>
      </c>
      <c r="D121">
        <v>5</v>
      </c>
      <c r="E121" t="b">
        <v>0</v>
      </c>
      <c r="F121">
        <v>4</v>
      </c>
      <c r="G121" t="s">
        <v>35</v>
      </c>
      <c r="H121" t="s">
        <v>39</v>
      </c>
      <c r="I121">
        <v>2</v>
      </c>
      <c r="J121" t="s">
        <v>31</v>
      </c>
      <c r="K121">
        <v>0.14000000000000001</v>
      </c>
      <c r="L121" t="s">
        <v>23</v>
      </c>
      <c r="M121">
        <v>0.18179999999999999</v>
      </c>
      <c r="N121">
        <v>0.69</v>
      </c>
      <c r="O121" t="s">
        <v>34</v>
      </c>
      <c r="P121">
        <v>8.9599999999999999E-2</v>
      </c>
      <c r="Q121">
        <v>0</v>
      </c>
      <c r="R121">
        <v>4</v>
      </c>
      <c r="S121">
        <v>4</v>
      </c>
    </row>
    <row r="122" spans="1:19" x14ac:dyDescent="0.3">
      <c r="A122">
        <v>121</v>
      </c>
      <c r="B122" s="46">
        <v>40549</v>
      </c>
      <c r="C122">
        <v>1</v>
      </c>
      <c r="D122">
        <v>6</v>
      </c>
      <c r="E122" t="b">
        <v>0</v>
      </c>
      <c r="F122">
        <v>4</v>
      </c>
      <c r="G122" t="s">
        <v>35</v>
      </c>
      <c r="H122" t="s">
        <v>39</v>
      </c>
      <c r="I122">
        <v>2</v>
      </c>
      <c r="J122" t="s">
        <v>31</v>
      </c>
      <c r="K122">
        <v>0.14000000000000001</v>
      </c>
      <c r="L122" t="s">
        <v>23</v>
      </c>
      <c r="M122">
        <v>0.16669999999999999</v>
      </c>
      <c r="N122">
        <v>0.63</v>
      </c>
      <c r="O122" t="s">
        <v>34</v>
      </c>
      <c r="P122">
        <v>0.1045</v>
      </c>
      <c r="Q122">
        <v>0</v>
      </c>
      <c r="R122">
        <v>36</v>
      </c>
      <c r="S122">
        <v>36</v>
      </c>
    </row>
    <row r="123" spans="1:19" x14ac:dyDescent="0.3">
      <c r="A123">
        <v>122</v>
      </c>
      <c r="B123" s="46">
        <v>40549</v>
      </c>
      <c r="C123">
        <v>1</v>
      </c>
      <c r="D123">
        <v>7</v>
      </c>
      <c r="E123" t="b">
        <v>0</v>
      </c>
      <c r="F123">
        <v>4</v>
      </c>
      <c r="G123" t="s">
        <v>35</v>
      </c>
      <c r="H123" t="s">
        <v>39</v>
      </c>
      <c r="I123">
        <v>2</v>
      </c>
      <c r="J123" t="s">
        <v>31</v>
      </c>
      <c r="K123">
        <v>0.16</v>
      </c>
      <c r="L123" t="s">
        <v>23</v>
      </c>
      <c r="M123">
        <v>0.2273</v>
      </c>
      <c r="N123">
        <v>0.59</v>
      </c>
      <c r="O123" t="s">
        <v>34</v>
      </c>
      <c r="P123">
        <v>0</v>
      </c>
      <c r="Q123">
        <v>0</v>
      </c>
      <c r="R123">
        <v>95</v>
      </c>
      <c r="S123">
        <v>95</v>
      </c>
    </row>
    <row r="124" spans="1:19" x14ac:dyDescent="0.3">
      <c r="A124">
        <v>123</v>
      </c>
      <c r="B124" s="46">
        <v>40549</v>
      </c>
      <c r="C124">
        <v>1</v>
      </c>
      <c r="D124">
        <v>8</v>
      </c>
      <c r="E124" t="b">
        <v>0</v>
      </c>
      <c r="F124">
        <v>4</v>
      </c>
      <c r="G124" t="s">
        <v>35</v>
      </c>
      <c r="H124" t="s">
        <v>39</v>
      </c>
      <c r="I124">
        <v>1</v>
      </c>
      <c r="J124" t="s">
        <v>29</v>
      </c>
      <c r="K124">
        <v>0.16</v>
      </c>
      <c r="L124" t="s">
        <v>23</v>
      </c>
      <c r="M124">
        <v>0.2273</v>
      </c>
      <c r="N124">
        <v>0.59</v>
      </c>
      <c r="O124" t="s">
        <v>34</v>
      </c>
      <c r="P124">
        <v>0</v>
      </c>
      <c r="Q124">
        <v>3</v>
      </c>
      <c r="R124">
        <v>216</v>
      </c>
      <c r="S124">
        <v>219</v>
      </c>
    </row>
    <row r="125" spans="1:19" x14ac:dyDescent="0.3">
      <c r="A125">
        <v>124</v>
      </c>
      <c r="B125" s="46">
        <v>40549</v>
      </c>
      <c r="C125">
        <v>1</v>
      </c>
      <c r="D125">
        <v>9</v>
      </c>
      <c r="E125" t="b">
        <v>0</v>
      </c>
      <c r="F125">
        <v>4</v>
      </c>
      <c r="G125" t="s">
        <v>35</v>
      </c>
      <c r="H125" t="s">
        <v>39</v>
      </c>
      <c r="I125">
        <v>2</v>
      </c>
      <c r="J125" t="s">
        <v>31</v>
      </c>
      <c r="K125">
        <v>0.18</v>
      </c>
      <c r="L125" t="s">
        <v>23</v>
      </c>
      <c r="M125">
        <v>0.2424</v>
      </c>
      <c r="N125">
        <v>0.51</v>
      </c>
      <c r="O125" t="s">
        <v>34</v>
      </c>
      <c r="P125">
        <v>0</v>
      </c>
      <c r="Q125">
        <v>6</v>
      </c>
      <c r="R125">
        <v>116</v>
      </c>
      <c r="S125">
        <v>122</v>
      </c>
    </row>
    <row r="126" spans="1:19" x14ac:dyDescent="0.3">
      <c r="A126">
        <v>125</v>
      </c>
      <c r="B126" s="46">
        <v>40549</v>
      </c>
      <c r="C126">
        <v>1</v>
      </c>
      <c r="D126">
        <v>10</v>
      </c>
      <c r="E126" t="b">
        <v>0</v>
      </c>
      <c r="F126">
        <v>4</v>
      </c>
      <c r="G126" t="s">
        <v>35</v>
      </c>
      <c r="H126" t="s">
        <v>39</v>
      </c>
      <c r="I126">
        <v>1</v>
      </c>
      <c r="J126" t="s">
        <v>29</v>
      </c>
      <c r="K126">
        <v>0.2</v>
      </c>
      <c r="L126" t="s">
        <v>23</v>
      </c>
      <c r="M126">
        <v>0.2576</v>
      </c>
      <c r="N126">
        <v>0.47</v>
      </c>
      <c r="O126" t="s">
        <v>34</v>
      </c>
      <c r="P126">
        <v>0</v>
      </c>
      <c r="Q126">
        <v>3</v>
      </c>
      <c r="R126">
        <v>42</v>
      </c>
      <c r="S126">
        <v>45</v>
      </c>
    </row>
    <row r="127" spans="1:19" x14ac:dyDescent="0.3">
      <c r="A127">
        <v>126</v>
      </c>
      <c r="B127" s="46">
        <v>40549</v>
      </c>
      <c r="C127">
        <v>1</v>
      </c>
      <c r="D127">
        <v>11</v>
      </c>
      <c r="E127" t="b">
        <v>0</v>
      </c>
      <c r="F127">
        <v>4</v>
      </c>
      <c r="G127" t="s">
        <v>35</v>
      </c>
      <c r="H127" t="s">
        <v>39</v>
      </c>
      <c r="I127">
        <v>1</v>
      </c>
      <c r="J127" t="s">
        <v>29</v>
      </c>
      <c r="K127">
        <v>0.22</v>
      </c>
      <c r="L127" t="s">
        <v>23</v>
      </c>
      <c r="M127">
        <v>0.2576</v>
      </c>
      <c r="N127">
        <v>0.44</v>
      </c>
      <c r="O127" t="s">
        <v>34</v>
      </c>
      <c r="P127">
        <v>8.9599999999999999E-2</v>
      </c>
      <c r="Q127">
        <v>2</v>
      </c>
      <c r="R127">
        <v>57</v>
      </c>
      <c r="S127">
        <v>59</v>
      </c>
    </row>
    <row r="128" spans="1:19" x14ac:dyDescent="0.3">
      <c r="A128">
        <v>127</v>
      </c>
      <c r="B128" s="46">
        <v>40549</v>
      </c>
      <c r="C128">
        <v>1</v>
      </c>
      <c r="D128">
        <v>12</v>
      </c>
      <c r="E128" t="b">
        <v>0</v>
      </c>
      <c r="F128">
        <v>4</v>
      </c>
      <c r="G128" t="s">
        <v>35</v>
      </c>
      <c r="H128" t="s">
        <v>39</v>
      </c>
      <c r="I128">
        <v>1</v>
      </c>
      <c r="J128" t="s">
        <v>29</v>
      </c>
      <c r="K128">
        <v>0.26</v>
      </c>
      <c r="L128" t="s">
        <v>23</v>
      </c>
      <c r="M128">
        <v>0.28789999999999999</v>
      </c>
      <c r="N128">
        <v>0.35</v>
      </c>
      <c r="O128" t="s">
        <v>34</v>
      </c>
      <c r="P128">
        <v>0</v>
      </c>
      <c r="Q128">
        <v>6</v>
      </c>
      <c r="R128">
        <v>78</v>
      </c>
      <c r="S128">
        <v>84</v>
      </c>
    </row>
    <row r="129" spans="1:19" x14ac:dyDescent="0.3">
      <c r="A129">
        <v>128</v>
      </c>
      <c r="B129" s="46">
        <v>40549</v>
      </c>
      <c r="C129">
        <v>1</v>
      </c>
      <c r="D129">
        <v>13</v>
      </c>
      <c r="E129" t="b">
        <v>0</v>
      </c>
      <c r="F129">
        <v>4</v>
      </c>
      <c r="G129" t="s">
        <v>35</v>
      </c>
      <c r="H129" t="s">
        <v>39</v>
      </c>
      <c r="I129">
        <v>1</v>
      </c>
      <c r="J129" t="s">
        <v>29</v>
      </c>
      <c r="K129">
        <v>0.26</v>
      </c>
      <c r="L129" t="s">
        <v>23</v>
      </c>
      <c r="M129">
        <v>0.2727</v>
      </c>
      <c r="N129">
        <v>0.35</v>
      </c>
      <c r="O129" t="s">
        <v>34</v>
      </c>
      <c r="P129">
        <v>0.1045</v>
      </c>
      <c r="Q129">
        <v>12</v>
      </c>
      <c r="R129">
        <v>55</v>
      </c>
      <c r="S129">
        <v>67</v>
      </c>
    </row>
    <row r="130" spans="1:19" x14ac:dyDescent="0.3">
      <c r="A130">
        <v>129</v>
      </c>
      <c r="B130" s="46">
        <v>40549</v>
      </c>
      <c r="C130">
        <v>1</v>
      </c>
      <c r="D130">
        <v>14</v>
      </c>
      <c r="E130" t="b">
        <v>0</v>
      </c>
      <c r="F130">
        <v>4</v>
      </c>
      <c r="G130" t="s">
        <v>35</v>
      </c>
      <c r="H130" t="s">
        <v>39</v>
      </c>
      <c r="I130">
        <v>1</v>
      </c>
      <c r="J130" t="s">
        <v>29</v>
      </c>
      <c r="K130">
        <v>0.28000000000000003</v>
      </c>
      <c r="L130" t="s">
        <v>23</v>
      </c>
      <c r="M130">
        <v>0.2727</v>
      </c>
      <c r="N130">
        <v>0.36</v>
      </c>
      <c r="O130" t="s">
        <v>34</v>
      </c>
      <c r="P130">
        <v>0.16420000000000001</v>
      </c>
      <c r="Q130">
        <v>11</v>
      </c>
      <c r="R130">
        <v>59</v>
      </c>
      <c r="S130">
        <v>70</v>
      </c>
    </row>
    <row r="131" spans="1:19" x14ac:dyDescent="0.3">
      <c r="A131">
        <v>130</v>
      </c>
      <c r="B131" s="46">
        <v>40549</v>
      </c>
      <c r="C131">
        <v>1</v>
      </c>
      <c r="D131">
        <v>15</v>
      </c>
      <c r="E131" t="b">
        <v>0</v>
      </c>
      <c r="F131">
        <v>4</v>
      </c>
      <c r="G131" t="s">
        <v>35</v>
      </c>
      <c r="H131" t="s">
        <v>39</v>
      </c>
      <c r="I131">
        <v>1</v>
      </c>
      <c r="J131" t="s">
        <v>29</v>
      </c>
      <c r="K131">
        <v>0.28000000000000003</v>
      </c>
      <c r="L131" t="s">
        <v>23</v>
      </c>
      <c r="M131">
        <v>0.2727</v>
      </c>
      <c r="N131">
        <v>0.36</v>
      </c>
      <c r="O131" t="s">
        <v>34</v>
      </c>
      <c r="P131">
        <v>0</v>
      </c>
      <c r="Q131">
        <v>8</v>
      </c>
      <c r="R131">
        <v>54</v>
      </c>
      <c r="S131">
        <v>62</v>
      </c>
    </row>
    <row r="132" spans="1:19" x14ac:dyDescent="0.3">
      <c r="A132">
        <v>131</v>
      </c>
      <c r="B132" s="46">
        <v>40549</v>
      </c>
      <c r="C132">
        <v>1</v>
      </c>
      <c r="D132">
        <v>16</v>
      </c>
      <c r="E132" t="b">
        <v>0</v>
      </c>
      <c r="F132">
        <v>4</v>
      </c>
      <c r="G132" t="s">
        <v>35</v>
      </c>
      <c r="H132" t="s">
        <v>39</v>
      </c>
      <c r="I132">
        <v>1</v>
      </c>
      <c r="J132" t="s">
        <v>29</v>
      </c>
      <c r="K132">
        <v>0.26</v>
      </c>
      <c r="L132" t="s">
        <v>23</v>
      </c>
      <c r="M132">
        <v>0.2576</v>
      </c>
      <c r="N132">
        <v>0.38</v>
      </c>
      <c r="O132" t="s">
        <v>34</v>
      </c>
      <c r="P132">
        <v>0.16420000000000001</v>
      </c>
      <c r="Q132">
        <v>12</v>
      </c>
      <c r="R132">
        <v>74</v>
      </c>
      <c r="S132">
        <v>86</v>
      </c>
    </row>
    <row r="133" spans="1:19" x14ac:dyDescent="0.3">
      <c r="A133">
        <v>132</v>
      </c>
      <c r="B133" s="46">
        <v>40549</v>
      </c>
      <c r="C133">
        <v>1</v>
      </c>
      <c r="D133">
        <v>17</v>
      </c>
      <c r="E133" t="b">
        <v>0</v>
      </c>
      <c r="F133">
        <v>4</v>
      </c>
      <c r="G133" t="s">
        <v>35</v>
      </c>
      <c r="H133" t="s">
        <v>39</v>
      </c>
      <c r="I133">
        <v>1</v>
      </c>
      <c r="J133" t="s">
        <v>29</v>
      </c>
      <c r="K133">
        <v>0.22</v>
      </c>
      <c r="L133" t="s">
        <v>23</v>
      </c>
      <c r="M133">
        <v>0.2273</v>
      </c>
      <c r="N133">
        <v>0.51</v>
      </c>
      <c r="O133" t="s">
        <v>34</v>
      </c>
      <c r="P133">
        <v>0.16420000000000001</v>
      </c>
      <c r="Q133">
        <v>9</v>
      </c>
      <c r="R133">
        <v>163</v>
      </c>
      <c r="S133">
        <v>172</v>
      </c>
    </row>
    <row r="134" spans="1:19" x14ac:dyDescent="0.3">
      <c r="A134">
        <v>133</v>
      </c>
      <c r="B134" s="46">
        <v>40549</v>
      </c>
      <c r="C134">
        <v>1</v>
      </c>
      <c r="D134">
        <v>18</v>
      </c>
      <c r="E134" t="b">
        <v>0</v>
      </c>
      <c r="F134">
        <v>4</v>
      </c>
      <c r="G134" t="s">
        <v>35</v>
      </c>
      <c r="H134" t="s">
        <v>39</v>
      </c>
      <c r="I134">
        <v>1</v>
      </c>
      <c r="J134" t="s">
        <v>29</v>
      </c>
      <c r="K134">
        <v>0.22</v>
      </c>
      <c r="L134" t="s">
        <v>23</v>
      </c>
      <c r="M134">
        <v>0.2273</v>
      </c>
      <c r="N134">
        <v>0.51</v>
      </c>
      <c r="O134" t="s">
        <v>34</v>
      </c>
      <c r="P134">
        <v>0.1343</v>
      </c>
      <c r="Q134">
        <v>5</v>
      </c>
      <c r="R134">
        <v>158</v>
      </c>
      <c r="S134">
        <v>163</v>
      </c>
    </row>
    <row r="135" spans="1:19" x14ac:dyDescent="0.3">
      <c r="A135">
        <v>134</v>
      </c>
      <c r="B135" s="46">
        <v>40549</v>
      </c>
      <c r="C135">
        <v>1</v>
      </c>
      <c r="D135">
        <v>19</v>
      </c>
      <c r="E135" t="b">
        <v>0</v>
      </c>
      <c r="F135">
        <v>4</v>
      </c>
      <c r="G135" t="s">
        <v>35</v>
      </c>
      <c r="H135" t="s">
        <v>39</v>
      </c>
      <c r="I135">
        <v>1</v>
      </c>
      <c r="J135" t="s">
        <v>29</v>
      </c>
      <c r="K135">
        <v>0.22</v>
      </c>
      <c r="L135" t="s">
        <v>23</v>
      </c>
      <c r="M135">
        <v>0.2576</v>
      </c>
      <c r="N135">
        <v>0.55000000000000004</v>
      </c>
      <c r="O135" t="s">
        <v>34</v>
      </c>
      <c r="P135">
        <v>8.9599999999999999E-2</v>
      </c>
      <c r="Q135">
        <v>3</v>
      </c>
      <c r="R135">
        <v>109</v>
      </c>
      <c r="S135">
        <v>112</v>
      </c>
    </row>
    <row r="136" spans="1:19" x14ac:dyDescent="0.3">
      <c r="A136">
        <v>135</v>
      </c>
      <c r="B136" s="46">
        <v>40549</v>
      </c>
      <c r="C136">
        <v>1</v>
      </c>
      <c r="D136">
        <v>20</v>
      </c>
      <c r="E136" t="b">
        <v>0</v>
      </c>
      <c r="F136">
        <v>4</v>
      </c>
      <c r="G136" t="s">
        <v>35</v>
      </c>
      <c r="H136" t="s">
        <v>39</v>
      </c>
      <c r="I136">
        <v>1</v>
      </c>
      <c r="J136" t="s">
        <v>29</v>
      </c>
      <c r="K136">
        <v>0.2</v>
      </c>
      <c r="L136" t="s">
        <v>23</v>
      </c>
      <c r="M136">
        <v>0.21210000000000001</v>
      </c>
      <c r="N136">
        <v>0.51</v>
      </c>
      <c r="O136" t="s">
        <v>34</v>
      </c>
      <c r="P136">
        <v>0.16420000000000001</v>
      </c>
      <c r="Q136">
        <v>3</v>
      </c>
      <c r="R136">
        <v>66</v>
      </c>
      <c r="S136">
        <v>69</v>
      </c>
    </row>
    <row r="137" spans="1:19" x14ac:dyDescent="0.3">
      <c r="A137">
        <v>136</v>
      </c>
      <c r="B137" s="46">
        <v>40549</v>
      </c>
      <c r="C137">
        <v>1</v>
      </c>
      <c r="D137">
        <v>21</v>
      </c>
      <c r="E137" t="b">
        <v>0</v>
      </c>
      <c r="F137">
        <v>4</v>
      </c>
      <c r="G137" t="s">
        <v>35</v>
      </c>
      <c r="H137" t="s">
        <v>39</v>
      </c>
      <c r="I137">
        <v>2</v>
      </c>
      <c r="J137" t="s">
        <v>31</v>
      </c>
      <c r="K137">
        <v>0.22</v>
      </c>
      <c r="L137" t="s">
        <v>23</v>
      </c>
      <c r="M137">
        <v>0.21210000000000001</v>
      </c>
      <c r="N137">
        <v>0.55000000000000004</v>
      </c>
      <c r="O137" t="s">
        <v>34</v>
      </c>
      <c r="P137">
        <v>0.22389999999999999</v>
      </c>
      <c r="Q137">
        <v>0</v>
      </c>
      <c r="R137">
        <v>48</v>
      </c>
      <c r="S137">
        <v>48</v>
      </c>
    </row>
    <row r="138" spans="1:19" x14ac:dyDescent="0.3">
      <c r="A138">
        <v>137</v>
      </c>
      <c r="B138" s="46">
        <v>40549</v>
      </c>
      <c r="C138">
        <v>1</v>
      </c>
      <c r="D138">
        <v>22</v>
      </c>
      <c r="E138" t="b">
        <v>0</v>
      </c>
      <c r="F138">
        <v>4</v>
      </c>
      <c r="G138" t="s">
        <v>35</v>
      </c>
      <c r="H138" t="s">
        <v>39</v>
      </c>
      <c r="I138">
        <v>2</v>
      </c>
      <c r="J138" t="s">
        <v>31</v>
      </c>
      <c r="K138">
        <v>0.22</v>
      </c>
      <c r="L138" t="s">
        <v>23</v>
      </c>
      <c r="M138">
        <v>0.21210000000000001</v>
      </c>
      <c r="N138">
        <v>0.51</v>
      </c>
      <c r="O138" t="s">
        <v>34</v>
      </c>
      <c r="P138">
        <v>0.28360000000000002</v>
      </c>
      <c r="Q138">
        <v>1</v>
      </c>
      <c r="R138">
        <v>51</v>
      </c>
      <c r="S138">
        <v>52</v>
      </c>
    </row>
    <row r="139" spans="1:19" x14ac:dyDescent="0.3">
      <c r="A139">
        <v>138</v>
      </c>
      <c r="B139" s="46">
        <v>40549</v>
      </c>
      <c r="C139">
        <v>1</v>
      </c>
      <c r="D139">
        <v>23</v>
      </c>
      <c r="E139" t="b">
        <v>0</v>
      </c>
      <c r="F139">
        <v>4</v>
      </c>
      <c r="G139" t="s">
        <v>35</v>
      </c>
      <c r="H139" t="s">
        <v>39</v>
      </c>
      <c r="I139">
        <v>2</v>
      </c>
      <c r="J139" t="s">
        <v>31</v>
      </c>
      <c r="K139">
        <v>0.2</v>
      </c>
      <c r="L139" t="s">
        <v>23</v>
      </c>
      <c r="M139">
        <v>0.19700000000000001</v>
      </c>
      <c r="N139">
        <v>0.59</v>
      </c>
      <c r="O139" t="s">
        <v>34</v>
      </c>
      <c r="P139">
        <v>0.19400000000000001</v>
      </c>
      <c r="Q139">
        <v>4</v>
      </c>
      <c r="R139">
        <v>19</v>
      </c>
      <c r="S139">
        <v>23</v>
      </c>
    </row>
    <row r="140" spans="1:19" x14ac:dyDescent="0.3">
      <c r="A140">
        <v>139</v>
      </c>
      <c r="B140" s="46">
        <v>40550</v>
      </c>
      <c r="C140">
        <v>1</v>
      </c>
      <c r="D140">
        <v>0</v>
      </c>
      <c r="E140" t="b">
        <v>0</v>
      </c>
      <c r="F140">
        <v>5</v>
      </c>
      <c r="G140" t="s">
        <v>35</v>
      </c>
      <c r="H140" t="s">
        <v>40</v>
      </c>
      <c r="I140">
        <v>2</v>
      </c>
      <c r="J140" t="s">
        <v>31</v>
      </c>
      <c r="K140">
        <v>0.2</v>
      </c>
      <c r="L140" t="s">
        <v>23</v>
      </c>
      <c r="M140">
        <v>0.19700000000000001</v>
      </c>
      <c r="N140">
        <v>0.64</v>
      </c>
      <c r="O140" t="s">
        <v>34</v>
      </c>
      <c r="P140">
        <v>0.19400000000000001</v>
      </c>
      <c r="Q140">
        <v>4</v>
      </c>
      <c r="R140">
        <v>13</v>
      </c>
      <c r="S140">
        <v>17</v>
      </c>
    </row>
    <row r="141" spans="1:19" x14ac:dyDescent="0.3">
      <c r="A141">
        <v>140</v>
      </c>
      <c r="B141" s="46">
        <v>40550</v>
      </c>
      <c r="C141">
        <v>1</v>
      </c>
      <c r="D141">
        <v>1</v>
      </c>
      <c r="E141" t="b">
        <v>0</v>
      </c>
      <c r="F141">
        <v>5</v>
      </c>
      <c r="G141" t="s">
        <v>35</v>
      </c>
      <c r="H141" t="s">
        <v>40</v>
      </c>
      <c r="I141">
        <v>2</v>
      </c>
      <c r="J141" t="s">
        <v>31</v>
      </c>
      <c r="K141">
        <v>0.2</v>
      </c>
      <c r="L141" t="s">
        <v>23</v>
      </c>
      <c r="M141">
        <v>0.19700000000000001</v>
      </c>
      <c r="N141">
        <v>0.69</v>
      </c>
      <c r="O141" t="s">
        <v>34</v>
      </c>
      <c r="P141">
        <v>0.22389999999999999</v>
      </c>
      <c r="Q141">
        <v>2</v>
      </c>
      <c r="R141">
        <v>5</v>
      </c>
      <c r="S141">
        <v>7</v>
      </c>
    </row>
    <row r="142" spans="1:19" x14ac:dyDescent="0.3">
      <c r="A142">
        <v>141</v>
      </c>
      <c r="B142" s="46">
        <v>40550</v>
      </c>
      <c r="C142">
        <v>1</v>
      </c>
      <c r="D142">
        <v>2</v>
      </c>
      <c r="E142" t="b">
        <v>0</v>
      </c>
      <c r="F142">
        <v>5</v>
      </c>
      <c r="G142" t="s">
        <v>35</v>
      </c>
      <c r="H142" t="s">
        <v>40</v>
      </c>
      <c r="I142">
        <v>2</v>
      </c>
      <c r="J142" t="s">
        <v>31</v>
      </c>
      <c r="K142">
        <v>0.2</v>
      </c>
      <c r="L142" t="s">
        <v>23</v>
      </c>
      <c r="M142">
        <v>0.19700000000000001</v>
      </c>
      <c r="N142">
        <v>0.69</v>
      </c>
      <c r="O142" t="s">
        <v>34</v>
      </c>
      <c r="P142">
        <v>0.22389999999999999</v>
      </c>
      <c r="Q142">
        <v>0</v>
      </c>
      <c r="R142">
        <v>1</v>
      </c>
      <c r="S142">
        <v>1</v>
      </c>
    </row>
    <row r="143" spans="1:19" x14ac:dyDescent="0.3">
      <c r="A143">
        <v>142</v>
      </c>
      <c r="B143" s="46">
        <v>40550</v>
      </c>
      <c r="C143">
        <v>1</v>
      </c>
      <c r="D143">
        <v>4</v>
      </c>
      <c r="E143" t="b">
        <v>0</v>
      </c>
      <c r="F143">
        <v>5</v>
      </c>
      <c r="G143" t="s">
        <v>35</v>
      </c>
      <c r="H143" t="s">
        <v>40</v>
      </c>
      <c r="I143">
        <v>2</v>
      </c>
      <c r="J143" t="s">
        <v>31</v>
      </c>
      <c r="K143">
        <v>0.2</v>
      </c>
      <c r="L143" t="s">
        <v>23</v>
      </c>
      <c r="M143">
        <v>0.21210000000000001</v>
      </c>
      <c r="N143">
        <v>0.69</v>
      </c>
      <c r="O143" t="s">
        <v>34</v>
      </c>
      <c r="P143">
        <v>0.1343</v>
      </c>
      <c r="Q143">
        <v>0</v>
      </c>
      <c r="R143">
        <v>1</v>
      </c>
      <c r="S143">
        <v>1</v>
      </c>
    </row>
    <row r="144" spans="1:19" x14ac:dyDescent="0.3">
      <c r="A144">
        <v>143</v>
      </c>
      <c r="B144" s="46">
        <v>40550</v>
      </c>
      <c r="C144">
        <v>1</v>
      </c>
      <c r="D144">
        <v>5</v>
      </c>
      <c r="E144" t="b">
        <v>0</v>
      </c>
      <c r="F144">
        <v>5</v>
      </c>
      <c r="G144" t="s">
        <v>35</v>
      </c>
      <c r="H144" t="s">
        <v>40</v>
      </c>
      <c r="I144">
        <v>3</v>
      </c>
      <c r="J144" t="s">
        <v>32</v>
      </c>
      <c r="K144">
        <v>0.22</v>
      </c>
      <c r="L144" t="s">
        <v>23</v>
      </c>
      <c r="M144">
        <v>0.2727</v>
      </c>
      <c r="N144">
        <v>0.55000000000000004</v>
      </c>
      <c r="O144" t="s">
        <v>34</v>
      </c>
      <c r="P144">
        <v>0</v>
      </c>
      <c r="Q144">
        <v>0</v>
      </c>
      <c r="R144">
        <v>5</v>
      </c>
      <c r="S144">
        <v>5</v>
      </c>
    </row>
    <row r="145" spans="1:19" x14ac:dyDescent="0.3">
      <c r="A145">
        <v>144</v>
      </c>
      <c r="B145" s="46">
        <v>40550</v>
      </c>
      <c r="C145">
        <v>1</v>
      </c>
      <c r="D145">
        <v>6</v>
      </c>
      <c r="E145" t="b">
        <v>0</v>
      </c>
      <c r="F145">
        <v>5</v>
      </c>
      <c r="G145" t="s">
        <v>35</v>
      </c>
      <c r="H145" t="s">
        <v>40</v>
      </c>
      <c r="I145">
        <v>2</v>
      </c>
      <c r="J145" t="s">
        <v>31</v>
      </c>
      <c r="K145">
        <v>0.2</v>
      </c>
      <c r="L145" t="s">
        <v>23</v>
      </c>
      <c r="M145">
        <v>0.2576</v>
      </c>
      <c r="N145">
        <v>0.69</v>
      </c>
      <c r="O145" t="s">
        <v>34</v>
      </c>
      <c r="P145">
        <v>0</v>
      </c>
      <c r="Q145">
        <v>8</v>
      </c>
      <c r="R145">
        <v>26</v>
      </c>
      <c r="S145">
        <v>34</v>
      </c>
    </row>
    <row r="146" spans="1:19" x14ac:dyDescent="0.3">
      <c r="A146">
        <v>145</v>
      </c>
      <c r="B146" s="46">
        <v>40550</v>
      </c>
      <c r="C146">
        <v>1</v>
      </c>
      <c r="D146">
        <v>7</v>
      </c>
      <c r="E146" t="b">
        <v>0</v>
      </c>
      <c r="F146">
        <v>5</v>
      </c>
      <c r="G146" t="s">
        <v>35</v>
      </c>
      <c r="H146" t="s">
        <v>40</v>
      </c>
      <c r="I146">
        <v>1</v>
      </c>
      <c r="J146" t="s">
        <v>29</v>
      </c>
      <c r="K146">
        <v>0.2</v>
      </c>
      <c r="L146" t="s">
        <v>23</v>
      </c>
      <c r="M146">
        <v>0.21210000000000001</v>
      </c>
      <c r="N146">
        <v>0.69</v>
      </c>
      <c r="O146" t="s">
        <v>34</v>
      </c>
      <c r="P146">
        <v>0.1343</v>
      </c>
      <c r="Q146">
        <v>8</v>
      </c>
      <c r="R146">
        <v>76</v>
      </c>
      <c r="S146">
        <v>84</v>
      </c>
    </row>
    <row r="147" spans="1:19" x14ac:dyDescent="0.3">
      <c r="A147">
        <v>146</v>
      </c>
      <c r="B147" s="46">
        <v>40550</v>
      </c>
      <c r="C147">
        <v>1</v>
      </c>
      <c r="D147">
        <v>8</v>
      </c>
      <c r="E147" t="b">
        <v>0</v>
      </c>
      <c r="F147">
        <v>5</v>
      </c>
      <c r="G147" t="s">
        <v>35</v>
      </c>
      <c r="H147" t="s">
        <v>40</v>
      </c>
      <c r="I147">
        <v>1</v>
      </c>
      <c r="J147" t="s">
        <v>29</v>
      </c>
      <c r="K147">
        <v>0.2</v>
      </c>
      <c r="L147" t="s">
        <v>23</v>
      </c>
      <c r="M147">
        <v>0.19700000000000001</v>
      </c>
      <c r="N147">
        <v>0.51</v>
      </c>
      <c r="O147" t="s">
        <v>34</v>
      </c>
      <c r="P147">
        <v>0.25369999999999998</v>
      </c>
      <c r="Q147">
        <v>20</v>
      </c>
      <c r="R147">
        <v>190</v>
      </c>
      <c r="S147">
        <v>210</v>
      </c>
    </row>
    <row r="148" spans="1:19" x14ac:dyDescent="0.3">
      <c r="A148">
        <v>147</v>
      </c>
      <c r="B148" s="46">
        <v>40550</v>
      </c>
      <c r="C148">
        <v>1</v>
      </c>
      <c r="D148">
        <v>9</v>
      </c>
      <c r="E148" t="b">
        <v>0</v>
      </c>
      <c r="F148">
        <v>5</v>
      </c>
      <c r="G148" t="s">
        <v>35</v>
      </c>
      <c r="H148" t="s">
        <v>40</v>
      </c>
      <c r="I148">
        <v>1</v>
      </c>
      <c r="J148" t="s">
        <v>29</v>
      </c>
      <c r="K148">
        <v>0.2</v>
      </c>
      <c r="L148" t="s">
        <v>23</v>
      </c>
      <c r="M148">
        <v>0.18179999999999999</v>
      </c>
      <c r="N148">
        <v>0.47</v>
      </c>
      <c r="O148" t="s">
        <v>34</v>
      </c>
      <c r="P148">
        <v>0.29849999999999999</v>
      </c>
      <c r="Q148">
        <v>9</v>
      </c>
      <c r="R148">
        <v>125</v>
      </c>
      <c r="S148">
        <v>134</v>
      </c>
    </row>
    <row r="149" spans="1:19" x14ac:dyDescent="0.3">
      <c r="A149">
        <v>148</v>
      </c>
      <c r="B149" s="46">
        <v>40550</v>
      </c>
      <c r="C149">
        <v>1</v>
      </c>
      <c r="D149">
        <v>10</v>
      </c>
      <c r="E149" t="b">
        <v>0</v>
      </c>
      <c r="F149">
        <v>5</v>
      </c>
      <c r="G149" t="s">
        <v>35</v>
      </c>
      <c r="H149" t="s">
        <v>40</v>
      </c>
      <c r="I149">
        <v>1</v>
      </c>
      <c r="J149" t="s">
        <v>29</v>
      </c>
      <c r="K149">
        <v>0.22</v>
      </c>
      <c r="L149" t="s">
        <v>23</v>
      </c>
      <c r="M149">
        <v>0.19700000000000001</v>
      </c>
      <c r="N149">
        <v>0.37</v>
      </c>
      <c r="O149" t="s">
        <v>34</v>
      </c>
      <c r="P149">
        <v>0.32840000000000003</v>
      </c>
      <c r="Q149">
        <v>16</v>
      </c>
      <c r="R149">
        <v>47</v>
      </c>
      <c r="S149">
        <v>63</v>
      </c>
    </row>
    <row r="150" spans="1:19" x14ac:dyDescent="0.3">
      <c r="A150">
        <v>149</v>
      </c>
      <c r="B150" s="46">
        <v>40550</v>
      </c>
      <c r="C150">
        <v>1</v>
      </c>
      <c r="D150">
        <v>11</v>
      </c>
      <c r="E150" t="b">
        <v>0</v>
      </c>
      <c r="F150">
        <v>5</v>
      </c>
      <c r="G150" t="s">
        <v>35</v>
      </c>
      <c r="H150" t="s">
        <v>40</v>
      </c>
      <c r="I150">
        <v>2</v>
      </c>
      <c r="J150" t="s">
        <v>31</v>
      </c>
      <c r="K150">
        <v>0.2</v>
      </c>
      <c r="L150" t="s">
        <v>23</v>
      </c>
      <c r="M150">
        <v>0.19700000000000001</v>
      </c>
      <c r="N150">
        <v>0.4</v>
      </c>
      <c r="O150" t="s">
        <v>34</v>
      </c>
      <c r="P150">
        <v>0.22389999999999999</v>
      </c>
      <c r="Q150">
        <v>19</v>
      </c>
      <c r="R150">
        <v>48</v>
      </c>
      <c r="S150">
        <v>67</v>
      </c>
    </row>
    <row r="151" spans="1:19" x14ac:dyDescent="0.3">
      <c r="A151">
        <v>150</v>
      </c>
      <c r="B151" s="46">
        <v>40550</v>
      </c>
      <c r="C151">
        <v>1</v>
      </c>
      <c r="D151">
        <v>12</v>
      </c>
      <c r="E151" t="b">
        <v>0</v>
      </c>
      <c r="F151">
        <v>5</v>
      </c>
      <c r="G151" t="s">
        <v>35</v>
      </c>
      <c r="H151" t="s">
        <v>40</v>
      </c>
      <c r="I151">
        <v>2</v>
      </c>
      <c r="J151" t="s">
        <v>31</v>
      </c>
      <c r="K151">
        <v>0.2</v>
      </c>
      <c r="L151" t="s">
        <v>23</v>
      </c>
      <c r="M151">
        <v>0.19700000000000001</v>
      </c>
      <c r="N151">
        <v>0.37</v>
      </c>
      <c r="O151" t="s">
        <v>34</v>
      </c>
      <c r="P151">
        <v>0.25369999999999998</v>
      </c>
      <c r="Q151">
        <v>9</v>
      </c>
      <c r="R151">
        <v>50</v>
      </c>
      <c r="S151">
        <v>59</v>
      </c>
    </row>
    <row r="152" spans="1:19" x14ac:dyDescent="0.3">
      <c r="A152">
        <v>151</v>
      </c>
      <c r="B152" s="46">
        <v>40550</v>
      </c>
      <c r="C152">
        <v>1</v>
      </c>
      <c r="D152">
        <v>13</v>
      </c>
      <c r="E152" t="b">
        <v>0</v>
      </c>
      <c r="F152">
        <v>5</v>
      </c>
      <c r="G152" t="s">
        <v>35</v>
      </c>
      <c r="H152" t="s">
        <v>40</v>
      </c>
      <c r="I152">
        <v>2</v>
      </c>
      <c r="J152" t="s">
        <v>31</v>
      </c>
      <c r="K152">
        <v>0.2</v>
      </c>
      <c r="L152" t="s">
        <v>23</v>
      </c>
      <c r="M152">
        <v>0.18179999999999999</v>
      </c>
      <c r="N152">
        <v>0.37</v>
      </c>
      <c r="O152" t="s">
        <v>34</v>
      </c>
      <c r="P152">
        <v>0.28360000000000002</v>
      </c>
      <c r="Q152">
        <v>9</v>
      </c>
      <c r="R152">
        <v>64</v>
      </c>
      <c r="S152">
        <v>73</v>
      </c>
    </row>
    <row r="153" spans="1:19" x14ac:dyDescent="0.3">
      <c r="A153">
        <v>152</v>
      </c>
      <c r="B153" s="46">
        <v>40550</v>
      </c>
      <c r="C153">
        <v>1</v>
      </c>
      <c r="D153">
        <v>14</v>
      </c>
      <c r="E153" t="b">
        <v>0</v>
      </c>
      <c r="F153">
        <v>5</v>
      </c>
      <c r="G153" t="s">
        <v>35</v>
      </c>
      <c r="H153" t="s">
        <v>40</v>
      </c>
      <c r="I153">
        <v>2</v>
      </c>
      <c r="J153" t="s">
        <v>31</v>
      </c>
      <c r="K153">
        <v>0.2</v>
      </c>
      <c r="L153" t="s">
        <v>23</v>
      </c>
      <c r="M153">
        <v>0.19700000000000001</v>
      </c>
      <c r="N153">
        <v>0.4</v>
      </c>
      <c r="O153" t="s">
        <v>34</v>
      </c>
      <c r="P153">
        <v>0.25369999999999998</v>
      </c>
      <c r="Q153">
        <v>7</v>
      </c>
      <c r="R153">
        <v>43</v>
      </c>
      <c r="S153">
        <v>50</v>
      </c>
    </row>
    <row r="154" spans="1:19" x14ac:dyDescent="0.3">
      <c r="A154">
        <v>153</v>
      </c>
      <c r="B154" s="46">
        <v>40550</v>
      </c>
      <c r="C154">
        <v>1</v>
      </c>
      <c r="D154">
        <v>15</v>
      </c>
      <c r="E154" t="b">
        <v>0</v>
      </c>
      <c r="F154">
        <v>5</v>
      </c>
      <c r="G154" t="s">
        <v>35</v>
      </c>
      <c r="H154" t="s">
        <v>40</v>
      </c>
      <c r="I154">
        <v>2</v>
      </c>
      <c r="J154" t="s">
        <v>31</v>
      </c>
      <c r="K154">
        <v>0.2</v>
      </c>
      <c r="L154" t="s">
        <v>23</v>
      </c>
      <c r="M154">
        <v>0.21210000000000001</v>
      </c>
      <c r="N154">
        <v>0.37</v>
      </c>
      <c r="O154" t="s">
        <v>34</v>
      </c>
      <c r="P154">
        <v>0.16420000000000001</v>
      </c>
      <c r="Q154">
        <v>9</v>
      </c>
      <c r="R154">
        <v>63</v>
      </c>
      <c r="S154">
        <v>72</v>
      </c>
    </row>
    <row r="155" spans="1:19" x14ac:dyDescent="0.3">
      <c r="A155">
        <v>154</v>
      </c>
      <c r="B155" s="46">
        <v>40550</v>
      </c>
      <c r="C155">
        <v>1</v>
      </c>
      <c r="D155">
        <v>16</v>
      </c>
      <c r="E155" t="b">
        <v>0</v>
      </c>
      <c r="F155">
        <v>5</v>
      </c>
      <c r="G155" t="s">
        <v>35</v>
      </c>
      <c r="H155" t="s">
        <v>40</v>
      </c>
      <c r="I155">
        <v>2</v>
      </c>
      <c r="J155" t="s">
        <v>31</v>
      </c>
      <c r="K155">
        <v>0.2</v>
      </c>
      <c r="L155" t="s">
        <v>23</v>
      </c>
      <c r="M155">
        <v>0.21210000000000001</v>
      </c>
      <c r="N155">
        <v>0.37</v>
      </c>
      <c r="O155" t="s">
        <v>34</v>
      </c>
      <c r="P155">
        <v>0.16420000000000001</v>
      </c>
      <c r="Q155">
        <v>5</v>
      </c>
      <c r="R155">
        <v>82</v>
      </c>
      <c r="S155">
        <v>87</v>
      </c>
    </row>
    <row r="156" spans="1:19" x14ac:dyDescent="0.3">
      <c r="A156">
        <v>155</v>
      </c>
      <c r="B156" s="46">
        <v>40550</v>
      </c>
      <c r="C156">
        <v>1</v>
      </c>
      <c r="D156">
        <v>17</v>
      </c>
      <c r="E156" t="b">
        <v>0</v>
      </c>
      <c r="F156">
        <v>5</v>
      </c>
      <c r="G156" t="s">
        <v>35</v>
      </c>
      <c r="H156" t="s">
        <v>40</v>
      </c>
      <c r="I156">
        <v>2</v>
      </c>
      <c r="J156" t="s">
        <v>31</v>
      </c>
      <c r="K156">
        <v>0.2</v>
      </c>
      <c r="L156" t="s">
        <v>23</v>
      </c>
      <c r="M156">
        <v>0.2576</v>
      </c>
      <c r="N156">
        <v>0.37</v>
      </c>
      <c r="O156" t="s">
        <v>34</v>
      </c>
      <c r="P156">
        <v>0</v>
      </c>
      <c r="Q156">
        <v>9</v>
      </c>
      <c r="R156">
        <v>178</v>
      </c>
      <c r="S156">
        <v>187</v>
      </c>
    </row>
    <row r="157" spans="1:19" x14ac:dyDescent="0.3">
      <c r="A157">
        <v>156</v>
      </c>
      <c r="B157" s="46">
        <v>40550</v>
      </c>
      <c r="C157">
        <v>1</v>
      </c>
      <c r="D157">
        <v>18</v>
      </c>
      <c r="E157" t="b">
        <v>0</v>
      </c>
      <c r="F157">
        <v>5</v>
      </c>
      <c r="G157" t="s">
        <v>35</v>
      </c>
      <c r="H157" t="s">
        <v>40</v>
      </c>
      <c r="I157">
        <v>1</v>
      </c>
      <c r="J157" t="s">
        <v>29</v>
      </c>
      <c r="K157">
        <v>0.2</v>
      </c>
      <c r="L157" t="s">
        <v>23</v>
      </c>
      <c r="M157">
        <v>0.2273</v>
      </c>
      <c r="N157">
        <v>0.4</v>
      </c>
      <c r="O157" t="s">
        <v>34</v>
      </c>
      <c r="P157">
        <v>8.9599999999999999E-2</v>
      </c>
      <c r="Q157">
        <v>7</v>
      </c>
      <c r="R157">
        <v>116</v>
      </c>
      <c r="S157">
        <v>123</v>
      </c>
    </row>
    <row r="158" spans="1:19" x14ac:dyDescent="0.3">
      <c r="A158">
        <v>157</v>
      </c>
      <c r="B158" s="46">
        <v>40550</v>
      </c>
      <c r="C158">
        <v>1</v>
      </c>
      <c r="D158">
        <v>19</v>
      </c>
      <c r="E158" t="b">
        <v>0</v>
      </c>
      <c r="F158">
        <v>5</v>
      </c>
      <c r="G158" t="s">
        <v>35</v>
      </c>
      <c r="H158" t="s">
        <v>40</v>
      </c>
      <c r="I158">
        <v>1</v>
      </c>
      <c r="J158" t="s">
        <v>29</v>
      </c>
      <c r="K158">
        <v>0.16</v>
      </c>
      <c r="L158" t="s">
        <v>23</v>
      </c>
      <c r="M158">
        <v>0.19700000000000001</v>
      </c>
      <c r="N158">
        <v>0.55000000000000004</v>
      </c>
      <c r="O158" t="s">
        <v>34</v>
      </c>
      <c r="P158">
        <v>8.9599999999999999E-2</v>
      </c>
      <c r="Q158">
        <v>3</v>
      </c>
      <c r="R158">
        <v>92</v>
      </c>
      <c r="S158">
        <v>95</v>
      </c>
    </row>
    <row r="159" spans="1:19" x14ac:dyDescent="0.3">
      <c r="A159">
        <v>158</v>
      </c>
      <c r="B159" s="46">
        <v>40550</v>
      </c>
      <c r="C159">
        <v>1</v>
      </c>
      <c r="D159">
        <v>20</v>
      </c>
      <c r="E159" t="b">
        <v>0</v>
      </c>
      <c r="F159">
        <v>5</v>
      </c>
      <c r="G159" t="s">
        <v>35</v>
      </c>
      <c r="H159" t="s">
        <v>40</v>
      </c>
      <c r="I159">
        <v>1</v>
      </c>
      <c r="J159" t="s">
        <v>29</v>
      </c>
      <c r="K159">
        <v>0.18</v>
      </c>
      <c r="L159" t="s">
        <v>23</v>
      </c>
      <c r="M159">
        <v>0.21210000000000001</v>
      </c>
      <c r="N159">
        <v>0.47</v>
      </c>
      <c r="O159" t="s">
        <v>34</v>
      </c>
      <c r="P159">
        <v>0.1045</v>
      </c>
      <c r="Q159">
        <v>1</v>
      </c>
      <c r="R159">
        <v>50</v>
      </c>
      <c r="S159">
        <v>51</v>
      </c>
    </row>
    <row r="160" spans="1:19" x14ac:dyDescent="0.3">
      <c r="A160">
        <v>159</v>
      </c>
      <c r="B160" s="46">
        <v>40550</v>
      </c>
      <c r="C160">
        <v>1</v>
      </c>
      <c r="D160">
        <v>21</v>
      </c>
      <c r="E160" t="b">
        <v>0</v>
      </c>
      <c r="F160">
        <v>5</v>
      </c>
      <c r="G160" t="s">
        <v>35</v>
      </c>
      <c r="H160" t="s">
        <v>40</v>
      </c>
      <c r="I160">
        <v>1</v>
      </c>
      <c r="J160" t="s">
        <v>29</v>
      </c>
      <c r="K160">
        <v>0.18</v>
      </c>
      <c r="L160" t="s">
        <v>23</v>
      </c>
      <c r="M160">
        <v>0.19700000000000001</v>
      </c>
      <c r="N160">
        <v>0.47</v>
      </c>
      <c r="O160" t="s">
        <v>34</v>
      </c>
      <c r="P160">
        <v>0.1343</v>
      </c>
      <c r="Q160">
        <v>0</v>
      </c>
      <c r="R160">
        <v>39</v>
      </c>
      <c r="S160">
        <v>39</v>
      </c>
    </row>
    <row r="161" spans="1:19" x14ac:dyDescent="0.3">
      <c r="A161">
        <v>160</v>
      </c>
      <c r="B161" s="46">
        <v>40550</v>
      </c>
      <c r="C161">
        <v>1</v>
      </c>
      <c r="D161">
        <v>22</v>
      </c>
      <c r="E161" t="b">
        <v>0</v>
      </c>
      <c r="F161">
        <v>5</v>
      </c>
      <c r="G161" t="s">
        <v>35</v>
      </c>
      <c r="H161" t="s">
        <v>40</v>
      </c>
      <c r="I161">
        <v>2</v>
      </c>
      <c r="J161" t="s">
        <v>31</v>
      </c>
      <c r="K161">
        <v>0.18</v>
      </c>
      <c r="L161" t="s">
        <v>23</v>
      </c>
      <c r="M161">
        <v>0.19700000000000001</v>
      </c>
      <c r="N161">
        <v>0.43</v>
      </c>
      <c r="O161" t="s">
        <v>34</v>
      </c>
      <c r="P161">
        <v>0.16420000000000001</v>
      </c>
      <c r="Q161">
        <v>2</v>
      </c>
      <c r="R161">
        <v>34</v>
      </c>
      <c r="S161">
        <v>36</v>
      </c>
    </row>
    <row r="162" spans="1:19" x14ac:dyDescent="0.3">
      <c r="A162">
        <v>161</v>
      </c>
      <c r="B162" s="46">
        <v>40550</v>
      </c>
      <c r="C162">
        <v>1</v>
      </c>
      <c r="D162">
        <v>23</v>
      </c>
      <c r="E162" t="b">
        <v>0</v>
      </c>
      <c r="F162">
        <v>5</v>
      </c>
      <c r="G162" t="s">
        <v>35</v>
      </c>
      <c r="H162" t="s">
        <v>40</v>
      </c>
      <c r="I162">
        <v>2</v>
      </c>
      <c r="J162" t="s">
        <v>31</v>
      </c>
      <c r="K162">
        <v>0.18</v>
      </c>
      <c r="L162" t="s">
        <v>23</v>
      </c>
      <c r="M162">
        <v>0.19700000000000001</v>
      </c>
      <c r="N162">
        <v>0.51</v>
      </c>
      <c r="O162" t="s">
        <v>34</v>
      </c>
      <c r="P162">
        <v>0.16420000000000001</v>
      </c>
      <c r="Q162">
        <v>1</v>
      </c>
      <c r="R162">
        <v>14</v>
      </c>
      <c r="S162">
        <v>15</v>
      </c>
    </row>
    <row r="163" spans="1:19" x14ac:dyDescent="0.3">
      <c r="A163">
        <v>162</v>
      </c>
      <c r="B163" s="46">
        <v>40551</v>
      </c>
      <c r="C163">
        <v>1</v>
      </c>
      <c r="D163">
        <v>0</v>
      </c>
      <c r="E163" t="b">
        <v>0</v>
      </c>
      <c r="F163">
        <v>6</v>
      </c>
      <c r="G163" t="s">
        <v>27</v>
      </c>
      <c r="H163" t="s">
        <v>28</v>
      </c>
      <c r="I163">
        <v>2</v>
      </c>
      <c r="J163" t="s">
        <v>31</v>
      </c>
      <c r="K163">
        <v>0.18</v>
      </c>
      <c r="L163" t="s">
        <v>23</v>
      </c>
      <c r="M163">
        <v>0.19700000000000001</v>
      </c>
      <c r="N163">
        <v>0.51</v>
      </c>
      <c r="O163" t="s">
        <v>34</v>
      </c>
      <c r="P163">
        <v>0.16420000000000001</v>
      </c>
      <c r="Q163">
        <v>1</v>
      </c>
      <c r="R163">
        <v>24</v>
      </c>
      <c r="S163">
        <v>25</v>
      </c>
    </row>
    <row r="164" spans="1:19" x14ac:dyDescent="0.3">
      <c r="A164">
        <v>163</v>
      </c>
      <c r="B164" s="46">
        <v>40551</v>
      </c>
      <c r="C164">
        <v>1</v>
      </c>
      <c r="D164">
        <v>1</v>
      </c>
      <c r="E164" t="b">
        <v>0</v>
      </c>
      <c r="F164">
        <v>6</v>
      </c>
      <c r="G164" t="s">
        <v>27</v>
      </c>
      <c r="H164" t="s">
        <v>28</v>
      </c>
      <c r="I164">
        <v>2</v>
      </c>
      <c r="J164" t="s">
        <v>31</v>
      </c>
      <c r="K164">
        <v>0.18</v>
      </c>
      <c r="L164" t="s">
        <v>23</v>
      </c>
      <c r="M164">
        <v>0.21210000000000001</v>
      </c>
      <c r="N164">
        <v>0.55000000000000004</v>
      </c>
      <c r="O164" t="s">
        <v>34</v>
      </c>
      <c r="P164">
        <v>8.9599999999999999E-2</v>
      </c>
      <c r="Q164">
        <v>1</v>
      </c>
      <c r="R164">
        <v>15</v>
      </c>
      <c r="S164">
        <v>16</v>
      </c>
    </row>
    <row r="165" spans="1:19" x14ac:dyDescent="0.3">
      <c r="A165">
        <v>164</v>
      </c>
      <c r="B165" s="46">
        <v>40551</v>
      </c>
      <c r="C165">
        <v>1</v>
      </c>
      <c r="D165">
        <v>2</v>
      </c>
      <c r="E165" t="b">
        <v>0</v>
      </c>
      <c r="F165">
        <v>6</v>
      </c>
      <c r="G165" t="s">
        <v>27</v>
      </c>
      <c r="H165" t="s">
        <v>28</v>
      </c>
      <c r="I165">
        <v>2</v>
      </c>
      <c r="J165" t="s">
        <v>31</v>
      </c>
      <c r="K165">
        <v>0.18</v>
      </c>
      <c r="L165" t="s">
        <v>23</v>
      </c>
      <c r="M165">
        <v>0.2424</v>
      </c>
      <c r="N165">
        <v>0.55000000000000004</v>
      </c>
      <c r="O165" t="s">
        <v>34</v>
      </c>
      <c r="P165">
        <v>0</v>
      </c>
      <c r="Q165">
        <v>3</v>
      </c>
      <c r="R165">
        <v>13</v>
      </c>
      <c r="S165">
        <v>16</v>
      </c>
    </row>
    <row r="166" spans="1:19" x14ac:dyDescent="0.3">
      <c r="A166">
        <v>165</v>
      </c>
      <c r="B166" s="46">
        <v>40551</v>
      </c>
      <c r="C166">
        <v>1</v>
      </c>
      <c r="D166">
        <v>3</v>
      </c>
      <c r="E166" t="b">
        <v>0</v>
      </c>
      <c r="F166">
        <v>6</v>
      </c>
      <c r="G166" t="s">
        <v>27</v>
      </c>
      <c r="H166" t="s">
        <v>28</v>
      </c>
      <c r="I166">
        <v>3</v>
      </c>
      <c r="J166" t="s">
        <v>32</v>
      </c>
      <c r="K166">
        <v>0.18</v>
      </c>
      <c r="L166" t="s">
        <v>23</v>
      </c>
      <c r="M166">
        <v>0.19700000000000001</v>
      </c>
      <c r="N166">
        <v>0.55000000000000004</v>
      </c>
      <c r="O166" t="s">
        <v>34</v>
      </c>
      <c r="P166">
        <v>0.16420000000000001</v>
      </c>
      <c r="Q166">
        <v>0</v>
      </c>
      <c r="R166">
        <v>7</v>
      </c>
      <c r="S166">
        <v>7</v>
      </c>
    </row>
    <row r="167" spans="1:19" x14ac:dyDescent="0.3">
      <c r="A167">
        <v>166</v>
      </c>
      <c r="B167" s="46">
        <v>40551</v>
      </c>
      <c r="C167">
        <v>1</v>
      </c>
      <c r="D167">
        <v>4</v>
      </c>
      <c r="E167" t="b">
        <v>0</v>
      </c>
      <c r="F167">
        <v>6</v>
      </c>
      <c r="G167" t="s">
        <v>27</v>
      </c>
      <c r="H167" t="s">
        <v>28</v>
      </c>
      <c r="I167">
        <v>3</v>
      </c>
      <c r="J167" t="s">
        <v>32</v>
      </c>
      <c r="K167">
        <v>0.18</v>
      </c>
      <c r="L167" t="s">
        <v>23</v>
      </c>
      <c r="M167">
        <v>0.19700000000000001</v>
      </c>
      <c r="N167">
        <v>0.55000000000000004</v>
      </c>
      <c r="O167" t="s">
        <v>34</v>
      </c>
      <c r="P167">
        <v>0.16420000000000001</v>
      </c>
      <c r="Q167">
        <v>0</v>
      </c>
      <c r="R167">
        <v>1</v>
      </c>
      <c r="S167">
        <v>1</v>
      </c>
    </row>
    <row r="168" spans="1:19" x14ac:dyDescent="0.3">
      <c r="A168">
        <v>167</v>
      </c>
      <c r="B168" s="46">
        <v>40551</v>
      </c>
      <c r="C168">
        <v>1</v>
      </c>
      <c r="D168">
        <v>5</v>
      </c>
      <c r="E168" t="b">
        <v>0</v>
      </c>
      <c r="F168">
        <v>6</v>
      </c>
      <c r="G168" t="s">
        <v>27</v>
      </c>
      <c r="H168" t="s">
        <v>28</v>
      </c>
      <c r="I168">
        <v>2</v>
      </c>
      <c r="J168" t="s">
        <v>31</v>
      </c>
      <c r="K168">
        <v>0.16</v>
      </c>
      <c r="L168" t="s">
        <v>23</v>
      </c>
      <c r="M168">
        <v>0.16669999999999999</v>
      </c>
      <c r="N168">
        <v>0.74</v>
      </c>
      <c r="O168" t="s">
        <v>30</v>
      </c>
      <c r="P168">
        <v>0.16420000000000001</v>
      </c>
      <c r="Q168">
        <v>0</v>
      </c>
      <c r="R168">
        <v>5</v>
      </c>
      <c r="S168">
        <v>5</v>
      </c>
    </row>
    <row r="169" spans="1:19" x14ac:dyDescent="0.3">
      <c r="A169">
        <v>168</v>
      </c>
      <c r="B169" s="46">
        <v>40551</v>
      </c>
      <c r="C169">
        <v>1</v>
      </c>
      <c r="D169">
        <v>6</v>
      </c>
      <c r="E169" t="b">
        <v>0</v>
      </c>
      <c r="F169">
        <v>6</v>
      </c>
      <c r="G169" t="s">
        <v>27</v>
      </c>
      <c r="H169" t="s">
        <v>28</v>
      </c>
      <c r="I169">
        <v>2</v>
      </c>
      <c r="J169" t="s">
        <v>31</v>
      </c>
      <c r="K169">
        <v>0.16</v>
      </c>
      <c r="L169" t="s">
        <v>23</v>
      </c>
      <c r="M169">
        <v>0.16669999999999999</v>
      </c>
      <c r="N169">
        <v>0.74</v>
      </c>
      <c r="O169" t="s">
        <v>30</v>
      </c>
      <c r="P169">
        <v>0.16420000000000001</v>
      </c>
      <c r="Q169">
        <v>0</v>
      </c>
      <c r="R169">
        <v>2</v>
      </c>
      <c r="S169">
        <v>2</v>
      </c>
    </row>
    <row r="170" spans="1:19" x14ac:dyDescent="0.3">
      <c r="A170">
        <v>169</v>
      </c>
      <c r="B170" s="46">
        <v>40551</v>
      </c>
      <c r="C170">
        <v>1</v>
      </c>
      <c r="D170">
        <v>7</v>
      </c>
      <c r="E170" t="b">
        <v>0</v>
      </c>
      <c r="F170">
        <v>6</v>
      </c>
      <c r="G170" t="s">
        <v>27</v>
      </c>
      <c r="H170" t="s">
        <v>28</v>
      </c>
      <c r="I170">
        <v>2</v>
      </c>
      <c r="J170" t="s">
        <v>31</v>
      </c>
      <c r="K170">
        <v>0.16</v>
      </c>
      <c r="L170" t="s">
        <v>23</v>
      </c>
      <c r="M170">
        <v>0.18179999999999999</v>
      </c>
      <c r="N170">
        <v>0.74</v>
      </c>
      <c r="O170" t="s">
        <v>30</v>
      </c>
      <c r="P170">
        <v>0.1045</v>
      </c>
      <c r="Q170">
        <v>1</v>
      </c>
      <c r="R170">
        <v>8</v>
      </c>
      <c r="S170">
        <v>9</v>
      </c>
    </row>
    <row r="171" spans="1:19" x14ac:dyDescent="0.3">
      <c r="A171">
        <v>170</v>
      </c>
      <c r="B171" s="46">
        <v>40551</v>
      </c>
      <c r="C171">
        <v>1</v>
      </c>
      <c r="D171">
        <v>8</v>
      </c>
      <c r="E171" t="b">
        <v>0</v>
      </c>
      <c r="F171">
        <v>6</v>
      </c>
      <c r="G171" t="s">
        <v>27</v>
      </c>
      <c r="H171" t="s">
        <v>28</v>
      </c>
      <c r="I171">
        <v>3</v>
      </c>
      <c r="J171" t="s">
        <v>32</v>
      </c>
      <c r="K171">
        <v>0.16</v>
      </c>
      <c r="L171" t="s">
        <v>23</v>
      </c>
      <c r="M171">
        <v>0.18179999999999999</v>
      </c>
      <c r="N171">
        <v>0.93</v>
      </c>
      <c r="O171" t="s">
        <v>30</v>
      </c>
      <c r="P171">
        <v>0.1045</v>
      </c>
      <c r="Q171">
        <v>0</v>
      </c>
      <c r="R171">
        <v>15</v>
      </c>
      <c r="S171">
        <v>15</v>
      </c>
    </row>
    <row r="172" spans="1:19" x14ac:dyDescent="0.3">
      <c r="A172">
        <v>171</v>
      </c>
      <c r="B172" s="46">
        <v>40551</v>
      </c>
      <c r="C172">
        <v>1</v>
      </c>
      <c r="D172">
        <v>9</v>
      </c>
      <c r="E172" t="b">
        <v>0</v>
      </c>
      <c r="F172">
        <v>6</v>
      </c>
      <c r="G172" t="s">
        <v>27</v>
      </c>
      <c r="H172" t="s">
        <v>28</v>
      </c>
      <c r="I172">
        <v>3</v>
      </c>
      <c r="J172" t="s">
        <v>32</v>
      </c>
      <c r="K172">
        <v>0.16</v>
      </c>
      <c r="L172" t="s">
        <v>23</v>
      </c>
      <c r="M172">
        <v>0.18179999999999999</v>
      </c>
      <c r="N172">
        <v>0.93</v>
      </c>
      <c r="O172" t="s">
        <v>30</v>
      </c>
      <c r="P172">
        <v>0.1045</v>
      </c>
      <c r="Q172">
        <v>0</v>
      </c>
      <c r="R172">
        <v>20</v>
      </c>
      <c r="S172">
        <v>20</v>
      </c>
    </row>
    <row r="173" spans="1:19" x14ac:dyDescent="0.3">
      <c r="A173">
        <v>172</v>
      </c>
      <c r="B173" s="46">
        <v>40551</v>
      </c>
      <c r="C173">
        <v>1</v>
      </c>
      <c r="D173">
        <v>10</v>
      </c>
      <c r="E173" t="b">
        <v>0</v>
      </c>
      <c r="F173">
        <v>6</v>
      </c>
      <c r="G173" t="s">
        <v>27</v>
      </c>
      <c r="H173" t="s">
        <v>28</v>
      </c>
      <c r="I173">
        <v>2</v>
      </c>
      <c r="J173" t="s">
        <v>31</v>
      </c>
      <c r="K173">
        <v>0.18</v>
      </c>
      <c r="L173" t="s">
        <v>23</v>
      </c>
      <c r="M173">
        <v>0.19700000000000001</v>
      </c>
      <c r="N173">
        <v>0.8</v>
      </c>
      <c r="O173" t="s">
        <v>30</v>
      </c>
      <c r="P173">
        <v>0.16420000000000001</v>
      </c>
      <c r="Q173">
        <v>5</v>
      </c>
      <c r="R173">
        <v>56</v>
      </c>
      <c r="S173">
        <v>61</v>
      </c>
    </row>
    <row r="174" spans="1:19" x14ac:dyDescent="0.3">
      <c r="A174">
        <v>173</v>
      </c>
      <c r="B174" s="46">
        <v>40551</v>
      </c>
      <c r="C174">
        <v>1</v>
      </c>
      <c r="D174">
        <v>11</v>
      </c>
      <c r="E174" t="b">
        <v>0</v>
      </c>
      <c r="F174">
        <v>6</v>
      </c>
      <c r="G174" t="s">
        <v>27</v>
      </c>
      <c r="H174" t="s">
        <v>28</v>
      </c>
      <c r="I174">
        <v>2</v>
      </c>
      <c r="J174" t="s">
        <v>31</v>
      </c>
      <c r="K174">
        <v>0.2</v>
      </c>
      <c r="L174" t="s">
        <v>23</v>
      </c>
      <c r="M174">
        <v>0.18179999999999999</v>
      </c>
      <c r="N174">
        <v>0.69</v>
      </c>
      <c r="O174" t="s">
        <v>34</v>
      </c>
      <c r="P174">
        <v>0.3881</v>
      </c>
      <c r="Q174">
        <v>2</v>
      </c>
      <c r="R174">
        <v>60</v>
      </c>
      <c r="S174">
        <v>62</v>
      </c>
    </row>
    <row r="175" spans="1:19" x14ac:dyDescent="0.3">
      <c r="A175">
        <v>174</v>
      </c>
      <c r="B175" s="46">
        <v>40551</v>
      </c>
      <c r="C175">
        <v>1</v>
      </c>
      <c r="D175">
        <v>12</v>
      </c>
      <c r="E175" t="b">
        <v>0</v>
      </c>
      <c r="F175">
        <v>6</v>
      </c>
      <c r="G175" t="s">
        <v>27</v>
      </c>
      <c r="H175" t="s">
        <v>28</v>
      </c>
      <c r="I175">
        <v>2</v>
      </c>
      <c r="J175" t="s">
        <v>31</v>
      </c>
      <c r="K175">
        <v>0.2</v>
      </c>
      <c r="L175" t="s">
        <v>23</v>
      </c>
      <c r="M175">
        <v>0.18179999999999999</v>
      </c>
      <c r="N175">
        <v>0.59</v>
      </c>
      <c r="O175" t="s">
        <v>34</v>
      </c>
      <c r="P175">
        <v>0.35820000000000002</v>
      </c>
      <c r="Q175">
        <v>8</v>
      </c>
      <c r="R175">
        <v>90</v>
      </c>
      <c r="S175">
        <v>98</v>
      </c>
    </row>
    <row r="176" spans="1:19" x14ac:dyDescent="0.3">
      <c r="A176">
        <v>175</v>
      </c>
      <c r="B176" s="46">
        <v>40551</v>
      </c>
      <c r="C176">
        <v>1</v>
      </c>
      <c r="D176">
        <v>13</v>
      </c>
      <c r="E176" t="b">
        <v>0</v>
      </c>
      <c r="F176">
        <v>6</v>
      </c>
      <c r="G176" t="s">
        <v>27</v>
      </c>
      <c r="H176" t="s">
        <v>28</v>
      </c>
      <c r="I176">
        <v>1</v>
      </c>
      <c r="J176" t="s">
        <v>29</v>
      </c>
      <c r="K176">
        <v>0.2</v>
      </c>
      <c r="L176" t="s">
        <v>23</v>
      </c>
      <c r="M176">
        <v>0.18179999999999999</v>
      </c>
      <c r="N176">
        <v>0.44</v>
      </c>
      <c r="O176" t="s">
        <v>34</v>
      </c>
      <c r="P176">
        <v>0.32840000000000003</v>
      </c>
      <c r="Q176">
        <v>7</v>
      </c>
      <c r="R176">
        <v>95</v>
      </c>
      <c r="S176">
        <v>102</v>
      </c>
    </row>
    <row r="177" spans="1:19" x14ac:dyDescent="0.3">
      <c r="A177">
        <v>176</v>
      </c>
      <c r="B177" s="46">
        <v>40551</v>
      </c>
      <c r="C177">
        <v>1</v>
      </c>
      <c r="D177">
        <v>14</v>
      </c>
      <c r="E177" t="b">
        <v>0</v>
      </c>
      <c r="F177">
        <v>6</v>
      </c>
      <c r="G177" t="s">
        <v>27</v>
      </c>
      <c r="H177" t="s">
        <v>28</v>
      </c>
      <c r="I177">
        <v>1</v>
      </c>
      <c r="J177" t="s">
        <v>29</v>
      </c>
      <c r="K177">
        <v>0.2</v>
      </c>
      <c r="L177" t="s">
        <v>23</v>
      </c>
      <c r="M177">
        <v>0.16669999999999999</v>
      </c>
      <c r="N177">
        <v>0.32</v>
      </c>
      <c r="O177" t="s">
        <v>34</v>
      </c>
      <c r="P177">
        <v>0.49249999999999999</v>
      </c>
      <c r="Q177">
        <v>12</v>
      </c>
      <c r="R177">
        <v>83</v>
      </c>
      <c r="S177">
        <v>95</v>
      </c>
    </row>
    <row r="178" spans="1:19" x14ac:dyDescent="0.3">
      <c r="A178">
        <v>177</v>
      </c>
      <c r="B178" s="46">
        <v>40551</v>
      </c>
      <c r="C178">
        <v>1</v>
      </c>
      <c r="D178">
        <v>15</v>
      </c>
      <c r="E178" t="b">
        <v>0</v>
      </c>
      <c r="F178">
        <v>6</v>
      </c>
      <c r="G178" t="s">
        <v>27</v>
      </c>
      <c r="H178" t="s">
        <v>28</v>
      </c>
      <c r="I178">
        <v>1</v>
      </c>
      <c r="J178" t="s">
        <v>29</v>
      </c>
      <c r="K178">
        <v>0.2</v>
      </c>
      <c r="L178" t="s">
        <v>23</v>
      </c>
      <c r="M178">
        <v>0.16669999999999999</v>
      </c>
      <c r="N178">
        <v>0.32</v>
      </c>
      <c r="O178" t="s">
        <v>34</v>
      </c>
      <c r="P178">
        <v>0.44779999999999998</v>
      </c>
      <c r="Q178">
        <v>5</v>
      </c>
      <c r="R178">
        <v>69</v>
      </c>
      <c r="S178">
        <v>74</v>
      </c>
    </row>
    <row r="179" spans="1:19" x14ac:dyDescent="0.3">
      <c r="A179">
        <v>178</v>
      </c>
      <c r="B179" s="46">
        <v>40551</v>
      </c>
      <c r="C179">
        <v>1</v>
      </c>
      <c r="D179">
        <v>16</v>
      </c>
      <c r="E179" t="b">
        <v>0</v>
      </c>
      <c r="F179">
        <v>6</v>
      </c>
      <c r="G179" t="s">
        <v>27</v>
      </c>
      <c r="H179" t="s">
        <v>28</v>
      </c>
      <c r="I179">
        <v>1</v>
      </c>
      <c r="J179" t="s">
        <v>29</v>
      </c>
      <c r="K179">
        <v>0.18</v>
      </c>
      <c r="L179" t="s">
        <v>23</v>
      </c>
      <c r="M179">
        <v>0.13639999999999999</v>
      </c>
      <c r="N179">
        <v>0.28999999999999998</v>
      </c>
      <c r="O179" t="s">
        <v>34</v>
      </c>
      <c r="P179">
        <v>0.44779999999999998</v>
      </c>
      <c r="Q179">
        <v>8</v>
      </c>
      <c r="R179">
        <v>68</v>
      </c>
      <c r="S179">
        <v>76</v>
      </c>
    </row>
    <row r="180" spans="1:19" x14ac:dyDescent="0.3">
      <c r="A180">
        <v>179</v>
      </c>
      <c r="B180" s="46">
        <v>40551</v>
      </c>
      <c r="C180">
        <v>1</v>
      </c>
      <c r="D180">
        <v>17</v>
      </c>
      <c r="E180" t="b">
        <v>0</v>
      </c>
      <c r="F180">
        <v>6</v>
      </c>
      <c r="G180" t="s">
        <v>27</v>
      </c>
      <c r="H180" t="s">
        <v>28</v>
      </c>
      <c r="I180">
        <v>1</v>
      </c>
      <c r="J180" t="s">
        <v>29</v>
      </c>
      <c r="K180">
        <v>0.16</v>
      </c>
      <c r="L180" t="s">
        <v>23</v>
      </c>
      <c r="M180">
        <v>0.1212</v>
      </c>
      <c r="N180">
        <v>0.37</v>
      </c>
      <c r="O180" t="s">
        <v>34</v>
      </c>
      <c r="P180">
        <v>0.55220000000000002</v>
      </c>
      <c r="Q180">
        <v>5</v>
      </c>
      <c r="R180">
        <v>64</v>
      </c>
      <c r="S180">
        <v>69</v>
      </c>
    </row>
    <row r="181" spans="1:19" x14ac:dyDescent="0.3">
      <c r="A181">
        <v>180</v>
      </c>
      <c r="B181" s="46">
        <v>40551</v>
      </c>
      <c r="C181">
        <v>1</v>
      </c>
      <c r="D181">
        <v>18</v>
      </c>
      <c r="E181" t="b">
        <v>0</v>
      </c>
      <c r="F181">
        <v>6</v>
      </c>
      <c r="G181" t="s">
        <v>27</v>
      </c>
      <c r="H181" t="s">
        <v>28</v>
      </c>
      <c r="I181">
        <v>1</v>
      </c>
      <c r="J181" t="s">
        <v>29</v>
      </c>
      <c r="K181">
        <v>0.14000000000000001</v>
      </c>
      <c r="L181" t="s">
        <v>23</v>
      </c>
      <c r="M181">
        <v>0.1212</v>
      </c>
      <c r="N181">
        <v>0.39</v>
      </c>
      <c r="O181" t="s">
        <v>34</v>
      </c>
      <c r="P181">
        <v>0.29849999999999999</v>
      </c>
      <c r="Q181">
        <v>3</v>
      </c>
      <c r="R181">
        <v>52</v>
      </c>
      <c r="S181">
        <v>55</v>
      </c>
    </row>
    <row r="182" spans="1:19" x14ac:dyDescent="0.3">
      <c r="A182">
        <v>181</v>
      </c>
      <c r="B182" s="46">
        <v>40551</v>
      </c>
      <c r="C182">
        <v>1</v>
      </c>
      <c r="D182">
        <v>19</v>
      </c>
      <c r="E182" t="b">
        <v>0</v>
      </c>
      <c r="F182">
        <v>6</v>
      </c>
      <c r="G182" t="s">
        <v>27</v>
      </c>
      <c r="H182" t="s">
        <v>28</v>
      </c>
      <c r="I182">
        <v>1</v>
      </c>
      <c r="J182" t="s">
        <v>29</v>
      </c>
      <c r="K182">
        <v>0.14000000000000001</v>
      </c>
      <c r="L182" t="s">
        <v>23</v>
      </c>
      <c r="M182">
        <v>0.1212</v>
      </c>
      <c r="N182">
        <v>0.36</v>
      </c>
      <c r="O182" t="s">
        <v>34</v>
      </c>
      <c r="P182">
        <v>0.25369999999999998</v>
      </c>
      <c r="Q182">
        <v>4</v>
      </c>
      <c r="R182">
        <v>26</v>
      </c>
      <c r="S182">
        <v>30</v>
      </c>
    </row>
    <row r="183" spans="1:19" x14ac:dyDescent="0.3">
      <c r="A183">
        <v>182</v>
      </c>
      <c r="B183" s="46">
        <v>40551</v>
      </c>
      <c r="C183">
        <v>1</v>
      </c>
      <c r="D183">
        <v>20</v>
      </c>
      <c r="E183" t="b">
        <v>0</v>
      </c>
      <c r="F183">
        <v>6</v>
      </c>
      <c r="G183" t="s">
        <v>27</v>
      </c>
      <c r="H183" t="s">
        <v>28</v>
      </c>
      <c r="I183">
        <v>1</v>
      </c>
      <c r="J183" t="s">
        <v>29</v>
      </c>
      <c r="K183">
        <v>0.12</v>
      </c>
      <c r="L183" t="s">
        <v>23</v>
      </c>
      <c r="M183">
        <v>0.1212</v>
      </c>
      <c r="N183">
        <v>0.36</v>
      </c>
      <c r="O183" t="s">
        <v>34</v>
      </c>
      <c r="P183">
        <v>0.25369999999999998</v>
      </c>
      <c r="Q183">
        <v>0</v>
      </c>
      <c r="R183">
        <v>28</v>
      </c>
      <c r="S183">
        <v>28</v>
      </c>
    </row>
    <row r="184" spans="1:19" x14ac:dyDescent="0.3">
      <c r="A184">
        <v>183</v>
      </c>
      <c r="B184" s="46">
        <v>40551</v>
      </c>
      <c r="C184">
        <v>1</v>
      </c>
      <c r="D184">
        <v>21</v>
      </c>
      <c r="E184" t="b">
        <v>0</v>
      </c>
      <c r="F184">
        <v>6</v>
      </c>
      <c r="G184" t="s">
        <v>27</v>
      </c>
      <c r="H184" t="s">
        <v>28</v>
      </c>
      <c r="I184">
        <v>1</v>
      </c>
      <c r="J184" t="s">
        <v>29</v>
      </c>
      <c r="K184">
        <v>0.12</v>
      </c>
      <c r="L184" t="s">
        <v>23</v>
      </c>
      <c r="M184">
        <v>0.1061</v>
      </c>
      <c r="N184">
        <v>0.39</v>
      </c>
      <c r="O184" t="s">
        <v>34</v>
      </c>
      <c r="P184">
        <v>0.35820000000000002</v>
      </c>
      <c r="Q184">
        <v>2</v>
      </c>
      <c r="R184">
        <v>35</v>
      </c>
      <c r="S184">
        <v>37</v>
      </c>
    </row>
    <row r="185" spans="1:19" x14ac:dyDescent="0.3">
      <c r="A185">
        <v>184</v>
      </c>
      <c r="B185" s="46">
        <v>40551</v>
      </c>
      <c r="C185">
        <v>1</v>
      </c>
      <c r="D185">
        <v>22</v>
      </c>
      <c r="E185" t="b">
        <v>0</v>
      </c>
      <c r="F185">
        <v>6</v>
      </c>
      <c r="G185" t="s">
        <v>27</v>
      </c>
      <c r="H185" t="s">
        <v>28</v>
      </c>
      <c r="I185">
        <v>1</v>
      </c>
      <c r="J185" t="s">
        <v>29</v>
      </c>
      <c r="K185">
        <v>0.12</v>
      </c>
      <c r="L185" t="s">
        <v>23</v>
      </c>
      <c r="M185">
        <v>0.1061</v>
      </c>
      <c r="N185">
        <v>0.36</v>
      </c>
      <c r="O185" t="s">
        <v>34</v>
      </c>
      <c r="P185">
        <v>0.3881</v>
      </c>
      <c r="Q185">
        <v>1</v>
      </c>
      <c r="R185">
        <v>33</v>
      </c>
      <c r="S185">
        <v>34</v>
      </c>
    </row>
    <row r="186" spans="1:19" x14ac:dyDescent="0.3">
      <c r="A186">
        <v>185</v>
      </c>
      <c r="B186" s="46">
        <v>40551</v>
      </c>
      <c r="C186">
        <v>1</v>
      </c>
      <c r="D186">
        <v>23</v>
      </c>
      <c r="E186" t="b">
        <v>0</v>
      </c>
      <c r="F186">
        <v>6</v>
      </c>
      <c r="G186" t="s">
        <v>27</v>
      </c>
      <c r="H186" t="s">
        <v>28</v>
      </c>
      <c r="I186">
        <v>1</v>
      </c>
      <c r="J186" t="s">
        <v>29</v>
      </c>
      <c r="K186">
        <v>0.1</v>
      </c>
      <c r="L186" t="s">
        <v>23</v>
      </c>
      <c r="M186">
        <v>6.0600000000000001E-2</v>
      </c>
      <c r="N186">
        <v>0.39</v>
      </c>
      <c r="O186" t="s">
        <v>34</v>
      </c>
      <c r="P186">
        <v>0.44779999999999998</v>
      </c>
      <c r="Q186">
        <v>0</v>
      </c>
      <c r="R186">
        <v>22</v>
      </c>
      <c r="S186">
        <v>22</v>
      </c>
    </row>
    <row r="187" spans="1:19" x14ac:dyDescent="0.3">
      <c r="A187">
        <v>186</v>
      </c>
      <c r="B187" s="46">
        <v>40552</v>
      </c>
      <c r="C187">
        <v>1</v>
      </c>
      <c r="D187">
        <v>0</v>
      </c>
      <c r="E187" t="b">
        <v>0</v>
      </c>
      <c r="F187">
        <v>0</v>
      </c>
      <c r="G187" t="s">
        <v>27</v>
      </c>
      <c r="H187" t="s">
        <v>33</v>
      </c>
      <c r="I187">
        <v>1</v>
      </c>
      <c r="J187" t="s">
        <v>29</v>
      </c>
      <c r="K187">
        <v>0.1</v>
      </c>
      <c r="L187" t="s">
        <v>23</v>
      </c>
      <c r="M187">
        <v>7.5800000000000006E-2</v>
      </c>
      <c r="N187">
        <v>0.42</v>
      </c>
      <c r="O187" t="s">
        <v>34</v>
      </c>
      <c r="P187">
        <v>0.3881</v>
      </c>
      <c r="Q187">
        <v>1</v>
      </c>
      <c r="R187">
        <v>24</v>
      </c>
      <c r="S187">
        <v>25</v>
      </c>
    </row>
    <row r="188" spans="1:19" x14ac:dyDescent="0.3">
      <c r="A188">
        <v>187</v>
      </c>
      <c r="B188" s="46">
        <v>40552</v>
      </c>
      <c r="C188">
        <v>1</v>
      </c>
      <c r="D188">
        <v>1</v>
      </c>
      <c r="E188" t="b">
        <v>0</v>
      </c>
      <c r="F188">
        <v>0</v>
      </c>
      <c r="G188" t="s">
        <v>27</v>
      </c>
      <c r="H188" t="s">
        <v>33</v>
      </c>
      <c r="I188">
        <v>1</v>
      </c>
      <c r="J188" t="s">
        <v>29</v>
      </c>
      <c r="K188">
        <v>0.1</v>
      </c>
      <c r="L188" t="s">
        <v>23</v>
      </c>
      <c r="M188">
        <v>6.0600000000000001E-2</v>
      </c>
      <c r="N188">
        <v>0.42</v>
      </c>
      <c r="O188" t="s">
        <v>34</v>
      </c>
      <c r="P188">
        <v>0.4627</v>
      </c>
      <c r="Q188">
        <v>0</v>
      </c>
      <c r="R188">
        <v>12</v>
      </c>
      <c r="S188">
        <v>12</v>
      </c>
    </row>
    <row r="189" spans="1:19" x14ac:dyDescent="0.3">
      <c r="A189">
        <v>188</v>
      </c>
      <c r="B189" s="46">
        <v>40552</v>
      </c>
      <c r="C189">
        <v>1</v>
      </c>
      <c r="D189">
        <v>2</v>
      </c>
      <c r="E189" t="b">
        <v>0</v>
      </c>
      <c r="F189">
        <v>0</v>
      </c>
      <c r="G189" t="s">
        <v>27</v>
      </c>
      <c r="H189" t="s">
        <v>33</v>
      </c>
      <c r="I189">
        <v>1</v>
      </c>
      <c r="J189" t="s">
        <v>29</v>
      </c>
      <c r="K189">
        <v>0.1</v>
      </c>
      <c r="L189" t="s">
        <v>23</v>
      </c>
      <c r="M189">
        <v>6.0600000000000001E-2</v>
      </c>
      <c r="N189">
        <v>0.46</v>
      </c>
      <c r="O189" t="s">
        <v>34</v>
      </c>
      <c r="P189">
        <v>0.4627</v>
      </c>
      <c r="Q189">
        <v>0</v>
      </c>
      <c r="R189">
        <v>11</v>
      </c>
      <c r="S189">
        <v>11</v>
      </c>
    </row>
    <row r="190" spans="1:19" x14ac:dyDescent="0.3">
      <c r="A190">
        <v>189</v>
      </c>
      <c r="B190" s="46">
        <v>40552</v>
      </c>
      <c r="C190">
        <v>1</v>
      </c>
      <c r="D190">
        <v>3</v>
      </c>
      <c r="E190" t="b">
        <v>0</v>
      </c>
      <c r="F190">
        <v>0</v>
      </c>
      <c r="G190" t="s">
        <v>27</v>
      </c>
      <c r="H190" t="s">
        <v>33</v>
      </c>
      <c r="I190">
        <v>1</v>
      </c>
      <c r="J190" t="s">
        <v>29</v>
      </c>
      <c r="K190">
        <v>0.1</v>
      </c>
      <c r="L190" t="s">
        <v>23</v>
      </c>
      <c r="M190">
        <v>7.5800000000000006E-2</v>
      </c>
      <c r="N190">
        <v>0.46</v>
      </c>
      <c r="O190" t="s">
        <v>34</v>
      </c>
      <c r="P190">
        <v>0.41789999999999999</v>
      </c>
      <c r="Q190">
        <v>0</v>
      </c>
      <c r="R190">
        <v>4</v>
      </c>
      <c r="S190">
        <v>4</v>
      </c>
    </row>
    <row r="191" spans="1:19" x14ac:dyDescent="0.3">
      <c r="A191">
        <v>190</v>
      </c>
      <c r="B191" s="46">
        <v>40552</v>
      </c>
      <c r="C191">
        <v>1</v>
      </c>
      <c r="D191">
        <v>4</v>
      </c>
      <c r="E191" t="b">
        <v>0</v>
      </c>
      <c r="F191">
        <v>0</v>
      </c>
      <c r="G191" t="s">
        <v>27</v>
      </c>
      <c r="H191" t="s">
        <v>33</v>
      </c>
      <c r="I191">
        <v>1</v>
      </c>
      <c r="J191" t="s">
        <v>29</v>
      </c>
      <c r="K191">
        <v>0.08</v>
      </c>
      <c r="L191" t="s">
        <v>30</v>
      </c>
      <c r="M191">
        <v>9.0899999999999995E-2</v>
      </c>
      <c r="N191">
        <v>0.53</v>
      </c>
      <c r="O191" t="s">
        <v>34</v>
      </c>
      <c r="P191">
        <v>0.19400000000000001</v>
      </c>
      <c r="Q191">
        <v>0</v>
      </c>
      <c r="R191">
        <v>1</v>
      </c>
      <c r="S191">
        <v>1</v>
      </c>
    </row>
    <row r="192" spans="1:19" x14ac:dyDescent="0.3">
      <c r="A192">
        <v>191</v>
      </c>
      <c r="B192" s="46">
        <v>40552</v>
      </c>
      <c r="C192">
        <v>1</v>
      </c>
      <c r="D192">
        <v>5</v>
      </c>
      <c r="E192" t="b">
        <v>0</v>
      </c>
      <c r="F192">
        <v>0</v>
      </c>
      <c r="G192" t="s">
        <v>27</v>
      </c>
      <c r="H192" t="s">
        <v>33</v>
      </c>
      <c r="I192">
        <v>1</v>
      </c>
      <c r="J192" t="s">
        <v>29</v>
      </c>
      <c r="K192">
        <v>0.08</v>
      </c>
      <c r="L192" t="s">
        <v>30</v>
      </c>
      <c r="M192">
        <v>9.0899999999999995E-2</v>
      </c>
      <c r="N192">
        <v>0.53</v>
      </c>
      <c r="O192" t="s">
        <v>34</v>
      </c>
      <c r="P192">
        <v>0.19400000000000001</v>
      </c>
      <c r="Q192">
        <v>0</v>
      </c>
      <c r="R192">
        <v>1</v>
      </c>
      <c r="S192">
        <v>1</v>
      </c>
    </row>
    <row r="193" spans="1:19" x14ac:dyDescent="0.3">
      <c r="A193">
        <v>192</v>
      </c>
      <c r="B193" s="46">
        <v>40552</v>
      </c>
      <c r="C193">
        <v>1</v>
      </c>
      <c r="D193">
        <v>6</v>
      </c>
      <c r="E193" t="b">
        <v>0</v>
      </c>
      <c r="F193">
        <v>0</v>
      </c>
      <c r="G193" t="s">
        <v>27</v>
      </c>
      <c r="H193" t="s">
        <v>33</v>
      </c>
      <c r="I193">
        <v>1</v>
      </c>
      <c r="J193" t="s">
        <v>29</v>
      </c>
      <c r="K193">
        <v>0.1</v>
      </c>
      <c r="L193" t="s">
        <v>23</v>
      </c>
      <c r="M193">
        <v>9.0899999999999995E-2</v>
      </c>
      <c r="N193">
        <v>0.49</v>
      </c>
      <c r="O193" t="s">
        <v>34</v>
      </c>
      <c r="P193">
        <v>0.28360000000000002</v>
      </c>
      <c r="Q193">
        <v>0</v>
      </c>
      <c r="R193">
        <v>1</v>
      </c>
      <c r="S193">
        <v>1</v>
      </c>
    </row>
    <row r="194" spans="1:19" x14ac:dyDescent="0.3">
      <c r="A194">
        <v>193</v>
      </c>
      <c r="B194" s="46">
        <v>40552</v>
      </c>
      <c r="C194">
        <v>1</v>
      </c>
      <c r="D194">
        <v>7</v>
      </c>
      <c r="E194" t="b">
        <v>0</v>
      </c>
      <c r="F194">
        <v>0</v>
      </c>
      <c r="G194" t="s">
        <v>27</v>
      </c>
      <c r="H194" t="s">
        <v>33</v>
      </c>
      <c r="I194">
        <v>1</v>
      </c>
      <c r="J194" t="s">
        <v>29</v>
      </c>
      <c r="K194">
        <v>0.08</v>
      </c>
      <c r="L194" t="s">
        <v>30</v>
      </c>
      <c r="M194">
        <v>9.0899999999999995E-2</v>
      </c>
      <c r="N194">
        <v>0.53</v>
      </c>
      <c r="O194" t="s">
        <v>34</v>
      </c>
      <c r="P194">
        <v>0.19400000000000001</v>
      </c>
      <c r="Q194">
        <v>1</v>
      </c>
      <c r="R194">
        <v>5</v>
      </c>
      <c r="S194">
        <v>6</v>
      </c>
    </row>
    <row r="195" spans="1:19" x14ac:dyDescent="0.3">
      <c r="A195">
        <v>194</v>
      </c>
      <c r="B195" s="46">
        <v>40552</v>
      </c>
      <c r="C195">
        <v>1</v>
      </c>
      <c r="D195">
        <v>8</v>
      </c>
      <c r="E195" t="b">
        <v>0</v>
      </c>
      <c r="F195">
        <v>0</v>
      </c>
      <c r="G195" t="s">
        <v>27</v>
      </c>
      <c r="H195" t="s">
        <v>33</v>
      </c>
      <c r="I195">
        <v>1</v>
      </c>
      <c r="J195" t="s">
        <v>29</v>
      </c>
      <c r="K195">
        <v>0.1</v>
      </c>
      <c r="L195" t="s">
        <v>23</v>
      </c>
      <c r="M195">
        <v>9.0899999999999995E-2</v>
      </c>
      <c r="N195">
        <v>0.49</v>
      </c>
      <c r="O195" t="s">
        <v>34</v>
      </c>
      <c r="P195">
        <v>0.28360000000000002</v>
      </c>
      <c r="Q195">
        <v>0</v>
      </c>
      <c r="R195">
        <v>10</v>
      </c>
      <c r="S195">
        <v>10</v>
      </c>
    </row>
    <row r="196" spans="1:19" x14ac:dyDescent="0.3">
      <c r="A196">
        <v>195</v>
      </c>
      <c r="B196" s="46">
        <v>40552</v>
      </c>
      <c r="C196">
        <v>1</v>
      </c>
      <c r="D196">
        <v>9</v>
      </c>
      <c r="E196" t="b">
        <v>0</v>
      </c>
      <c r="F196">
        <v>0</v>
      </c>
      <c r="G196" t="s">
        <v>27</v>
      </c>
      <c r="H196" t="s">
        <v>33</v>
      </c>
      <c r="I196">
        <v>1</v>
      </c>
      <c r="J196" t="s">
        <v>29</v>
      </c>
      <c r="K196">
        <v>0.12</v>
      </c>
      <c r="L196" t="s">
        <v>23</v>
      </c>
      <c r="M196">
        <v>7.5800000000000006E-2</v>
      </c>
      <c r="N196">
        <v>0.46</v>
      </c>
      <c r="O196" t="s">
        <v>34</v>
      </c>
      <c r="P196">
        <v>0.52239999999999998</v>
      </c>
      <c r="Q196">
        <v>0</v>
      </c>
      <c r="R196">
        <v>19</v>
      </c>
      <c r="S196">
        <v>19</v>
      </c>
    </row>
    <row r="197" spans="1:19" x14ac:dyDescent="0.3">
      <c r="A197">
        <v>196</v>
      </c>
      <c r="B197" s="46">
        <v>40552</v>
      </c>
      <c r="C197">
        <v>1</v>
      </c>
      <c r="D197">
        <v>10</v>
      </c>
      <c r="E197" t="b">
        <v>0</v>
      </c>
      <c r="F197">
        <v>0</v>
      </c>
      <c r="G197" t="s">
        <v>27</v>
      </c>
      <c r="H197" t="s">
        <v>33</v>
      </c>
      <c r="I197">
        <v>1</v>
      </c>
      <c r="J197" t="s">
        <v>29</v>
      </c>
      <c r="K197">
        <v>0.14000000000000001</v>
      </c>
      <c r="L197" t="s">
        <v>23</v>
      </c>
      <c r="M197">
        <v>0.1061</v>
      </c>
      <c r="N197">
        <v>0.43</v>
      </c>
      <c r="O197" t="s">
        <v>34</v>
      </c>
      <c r="P197">
        <v>0.3881</v>
      </c>
      <c r="Q197">
        <v>0</v>
      </c>
      <c r="R197">
        <v>49</v>
      </c>
      <c r="S197">
        <v>49</v>
      </c>
    </row>
    <row r="198" spans="1:19" x14ac:dyDescent="0.3">
      <c r="A198">
        <v>197</v>
      </c>
      <c r="B198" s="46">
        <v>40552</v>
      </c>
      <c r="C198">
        <v>1</v>
      </c>
      <c r="D198">
        <v>11</v>
      </c>
      <c r="E198" t="b">
        <v>0</v>
      </c>
      <c r="F198">
        <v>0</v>
      </c>
      <c r="G198" t="s">
        <v>27</v>
      </c>
      <c r="H198" t="s">
        <v>33</v>
      </c>
      <c r="I198">
        <v>1</v>
      </c>
      <c r="J198" t="s">
        <v>29</v>
      </c>
      <c r="K198">
        <v>0.16</v>
      </c>
      <c r="L198" t="s">
        <v>23</v>
      </c>
      <c r="M198">
        <v>0.1212</v>
      </c>
      <c r="N198">
        <v>0.4</v>
      </c>
      <c r="O198" t="s">
        <v>34</v>
      </c>
      <c r="P198">
        <v>0.52239999999999998</v>
      </c>
      <c r="Q198">
        <v>2</v>
      </c>
      <c r="R198">
        <v>47</v>
      </c>
      <c r="S198">
        <v>49</v>
      </c>
    </row>
    <row r="199" spans="1:19" x14ac:dyDescent="0.3">
      <c r="A199">
        <v>198</v>
      </c>
      <c r="B199" s="46">
        <v>40552</v>
      </c>
      <c r="C199">
        <v>1</v>
      </c>
      <c r="D199">
        <v>12</v>
      </c>
      <c r="E199" t="b">
        <v>0</v>
      </c>
      <c r="F199">
        <v>0</v>
      </c>
      <c r="G199" t="s">
        <v>27</v>
      </c>
      <c r="H199" t="s">
        <v>33</v>
      </c>
      <c r="I199">
        <v>1</v>
      </c>
      <c r="J199" t="s">
        <v>29</v>
      </c>
      <c r="K199">
        <v>0.18</v>
      </c>
      <c r="L199" t="s">
        <v>23</v>
      </c>
      <c r="M199">
        <v>0.13639999999999999</v>
      </c>
      <c r="N199">
        <v>0.37</v>
      </c>
      <c r="O199" t="s">
        <v>34</v>
      </c>
      <c r="P199">
        <v>0.44779999999999998</v>
      </c>
      <c r="Q199">
        <v>4</v>
      </c>
      <c r="R199">
        <v>79</v>
      </c>
      <c r="S199">
        <v>83</v>
      </c>
    </row>
    <row r="200" spans="1:19" x14ac:dyDescent="0.3">
      <c r="A200">
        <v>199</v>
      </c>
      <c r="B200" s="46">
        <v>40552</v>
      </c>
      <c r="C200">
        <v>1</v>
      </c>
      <c r="D200">
        <v>13</v>
      </c>
      <c r="E200" t="b">
        <v>0</v>
      </c>
      <c r="F200">
        <v>0</v>
      </c>
      <c r="G200" t="s">
        <v>27</v>
      </c>
      <c r="H200" t="s">
        <v>33</v>
      </c>
      <c r="I200">
        <v>1</v>
      </c>
      <c r="J200" t="s">
        <v>29</v>
      </c>
      <c r="K200">
        <v>0.2</v>
      </c>
      <c r="L200" t="s">
        <v>23</v>
      </c>
      <c r="M200">
        <v>0.16669999999999999</v>
      </c>
      <c r="N200">
        <v>0.34</v>
      </c>
      <c r="O200" t="s">
        <v>34</v>
      </c>
      <c r="P200">
        <v>0.44779999999999998</v>
      </c>
      <c r="Q200">
        <v>6</v>
      </c>
      <c r="R200">
        <v>69</v>
      </c>
      <c r="S200">
        <v>75</v>
      </c>
    </row>
    <row r="201" spans="1:19" x14ac:dyDescent="0.3">
      <c r="A201">
        <v>200</v>
      </c>
      <c r="B201" s="46">
        <v>40552</v>
      </c>
      <c r="C201">
        <v>1</v>
      </c>
      <c r="D201">
        <v>14</v>
      </c>
      <c r="E201" t="b">
        <v>0</v>
      </c>
      <c r="F201">
        <v>0</v>
      </c>
      <c r="G201" t="s">
        <v>27</v>
      </c>
      <c r="H201" t="s">
        <v>33</v>
      </c>
      <c r="I201">
        <v>1</v>
      </c>
      <c r="J201" t="s">
        <v>29</v>
      </c>
      <c r="K201">
        <v>0.22</v>
      </c>
      <c r="L201" t="s">
        <v>23</v>
      </c>
      <c r="M201">
        <v>0.18179999999999999</v>
      </c>
      <c r="N201">
        <v>0.32</v>
      </c>
      <c r="O201" t="s">
        <v>34</v>
      </c>
      <c r="P201">
        <v>0.4627</v>
      </c>
      <c r="Q201">
        <v>8</v>
      </c>
      <c r="R201">
        <v>64</v>
      </c>
      <c r="S201">
        <v>72</v>
      </c>
    </row>
    <row r="202" spans="1:19" x14ac:dyDescent="0.3">
      <c r="A202">
        <v>201</v>
      </c>
      <c r="B202" s="46">
        <v>40552</v>
      </c>
      <c r="C202">
        <v>1</v>
      </c>
      <c r="D202">
        <v>15</v>
      </c>
      <c r="E202" t="b">
        <v>0</v>
      </c>
      <c r="F202">
        <v>0</v>
      </c>
      <c r="G202" t="s">
        <v>27</v>
      </c>
      <c r="H202" t="s">
        <v>33</v>
      </c>
      <c r="I202">
        <v>1</v>
      </c>
      <c r="J202" t="s">
        <v>29</v>
      </c>
      <c r="K202">
        <v>0.22</v>
      </c>
      <c r="L202" t="s">
        <v>23</v>
      </c>
      <c r="M202">
        <v>0.19700000000000001</v>
      </c>
      <c r="N202">
        <v>0.35</v>
      </c>
      <c r="O202" t="s">
        <v>34</v>
      </c>
      <c r="P202">
        <v>0.35820000000000002</v>
      </c>
      <c r="Q202">
        <v>5</v>
      </c>
      <c r="R202">
        <v>77</v>
      </c>
      <c r="S202">
        <v>82</v>
      </c>
    </row>
    <row r="203" spans="1:19" x14ac:dyDescent="0.3">
      <c r="A203">
        <v>202</v>
      </c>
      <c r="B203" s="46">
        <v>40552</v>
      </c>
      <c r="C203">
        <v>1</v>
      </c>
      <c r="D203">
        <v>16</v>
      </c>
      <c r="E203" t="b">
        <v>0</v>
      </c>
      <c r="F203">
        <v>0</v>
      </c>
      <c r="G203" t="s">
        <v>27</v>
      </c>
      <c r="H203" t="s">
        <v>33</v>
      </c>
      <c r="I203">
        <v>1</v>
      </c>
      <c r="J203" t="s">
        <v>29</v>
      </c>
      <c r="K203">
        <v>0.2</v>
      </c>
      <c r="L203" t="s">
        <v>23</v>
      </c>
      <c r="M203">
        <v>0.16669999999999999</v>
      </c>
      <c r="N203">
        <v>0.34</v>
      </c>
      <c r="O203" t="s">
        <v>34</v>
      </c>
      <c r="P203">
        <v>0.44779999999999998</v>
      </c>
      <c r="Q203">
        <v>13</v>
      </c>
      <c r="R203">
        <v>79</v>
      </c>
      <c r="S203">
        <v>92</v>
      </c>
    </row>
    <row r="204" spans="1:19" x14ac:dyDescent="0.3">
      <c r="A204">
        <v>203</v>
      </c>
      <c r="B204" s="46">
        <v>40552</v>
      </c>
      <c r="C204">
        <v>1</v>
      </c>
      <c r="D204">
        <v>17</v>
      </c>
      <c r="E204" t="b">
        <v>0</v>
      </c>
      <c r="F204">
        <v>0</v>
      </c>
      <c r="G204" t="s">
        <v>27</v>
      </c>
      <c r="H204" t="s">
        <v>33</v>
      </c>
      <c r="I204">
        <v>1</v>
      </c>
      <c r="J204" t="s">
        <v>29</v>
      </c>
      <c r="K204">
        <v>0.18</v>
      </c>
      <c r="L204" t="s">
        <v>23</v>
      </c>
      <c r="M204">
        <v>0.1515</v>
      </c>
      <c r="N204">
        <v>0.37</v>
      </c>
      <c r="O204" t="s">
        <v>34</v>
      </c>
      <c r="P204">
        <v>0.3881</v>
      </c>
      <c r="Q204">
        <v>3</v>
      </c>
      <c r="R204">
        <v>59</v>
      </c>
      <c r="S204">
        <v>62</v>
      </c>
    </row>
    <row r="205" spans="1:19" x14ac:dyDescent="0.3">
      <c r="A205">
        <v>204</v>
      </c>
      <c r="B205" s="46">
        <v>40552</v>
      </c>
      <c r="C205">
        <v>1</v>
      </c>
      <c r="D205">
        <v>18</v>
      </c>
      <c r="E205" t="b">
        <v>0</v>
      </c>
      <c r="F205">
        <v>0</v>
      </c>
      <c r="G205" t="s">
        <v>27</v>
      </c>
      <c r="H205" t="s">
        <v>33</v>
      </c>
      <c r="I205">
        <v>1</v>
      </c>
      <c r="J205" t="s">
        <v>29</v>
      </c>
      <c r="K205">
        <v>0.16</v>
      </c>
      <c r="L205" t="s">
        <v>23</v>
      </c>
      <c r="M205">
        <v>0.13639999999999999</v>
      </c>
      <c r="N205">
        <v>0.4</v>
      </c>
      <c r="O205" t="s">
        <v>34</v>
      </c>
      <c r="P205">
        <v>0.32840000000000003</v>
      </c>
      <c r="Q205">
        <v>4</v>
      </c>
      <c r="R205">
        <v>44</v>
      </c>
      <c r="S205">
        <v>48</v>
      </c>
    </row>
    <row r="206" spans="1:19" x14ac:dyDescent="0.3">
      <c r="A206">
        <v>205</v>
      </c>
      <c r="B206" s="46">
        <v>40552</v>
      </c>
      <c r="C206">
        <v>1</v>
      </c>
      <c r="D206">
        <v>19</v>
      </c>
      <c r="E206" t="b">
        <v>0</v>
      </c>
      <c r="F206">
        <v>0</v>
      </c>
      <c r="G206" t="s">
        <v>27</v>
      </c>
      <c r="H206" t="s">
        <v>33</v>
      </c>
      <c r="I206">
        <v>1</v>
      </c>
      <c r="J206" t="s">
        <v>29</v>
      </c>
      <c r="K206">
        <v>0.16</v>
      </c>
      <c r="L206" t="s">
        <v>23</v>
      </c>
      <c r="M206">
        <v>0.13639999999999999</v>
      </c>
      <c r="N206">
        <v>0.43</v>
      </c>
      <c r="O206" t="s">
        <v>34</v>
      </c>
      <c r="P206">
        <v>0.32840000000000003</v>
      </c>
      <c r="Q206">
        <v>1</v>
      </c>
      <c r="R206">
        <v>40</v>
      </c>
      <c r="S206">
        <v>41</v>
      </c>
    </row>
    <row r="207" spans="1:19" x14ac:dyDescent="0.3">
      <c r="A207">
        <v>206</v>
      </c>
      <c r="B207" s="46">
        <v>40552</v>
      </c>
      <c r="C207">
        <v>1</v>
      </c>
      <c r="D207">
        <v>20</v>
      </c>
      <c r="E207" t="b">
        <v>0</v>
      </c>
      <c r="F207">
        <v>0</v>
      </c>
      <c r="G207" t="s">
        <v>27</v>
      </c>
      <c r="H207" t="s">
        <v>33</v>
      </c>
      <c r="I207">
        <v>1</v>
      </c>
      <c r="J207" t="s">
        <v>29</v>
      </c>
      <c r="K207">
        <v>0.14000000000000001</v>
      </c>
      <c r="L207" t="s">
        <v>23</v>
      </c>
      <c r="M207">
        <v>0.1212</v>
      </c>
      <c r="N207">
        <v>0.46</v>
      </c>
      <c r="O207" t="s">
        <v>34</v>
      </c>
      <c r="P207">
        <v>0.25369999999999998</v>
      </c>
      <c r="Q207">
        <v>0</v>
      </c>
      <c r="R207">
        <v>38</v>
      </c>
      <c r="S207">
        <v>38</v>
      </c>
    </row>
    <row r="208" spans="1:19" x14ac:dyDescent="0.3">
      <c r="A208">
        <v>207</v>
      </c>
      <c r="B208" s="46">
        <v>40552</v>
      </c>
      <c r="C208">
        <v>1</v>
      </c>
      <c r="D208">
        <v>21</v>
      </c>
      <c r="E208" t="b">
        <v>0</v>
      </c>
      <c r="F208">
        <v>0</v>
      </c>
      <c r="G208" t="s">
        <v>27</v>
      </c>
      <c r="H208" t="s">
        <v>33</v>
      </c>
      <c r="I208">
        <v>1</v>
      </c>
      <c r="J208" t="s">
        <v>29</v>
      </c>
      <c r="K208">
        <v>0.14000000000000001</v>
      </c>
      <c r="L208" t="s">
        <v>23</v>
      </c>
      <c r="M208">
        <v>0.1061</v>
      </c>
      <c r="N208">
        <v>0.46</v>
      </c>
      <c r="O208" t="s">
        <v>34</v>
      </c>
      <c r="P208">
        <v>0.41789999999999999</v>
      </c>
      <c r="Q208">
        <v>1</v>
      </c>
      <c r="R208">
        <v>19</v>
      </c>
      <c r="S208">
        <v>20</v>
      </c>
    </row>
    <row r="209" spans="1:19" x14ac:dyDescent="0.3">
      <c r="A209">
        <v>208</v>
      </c>
      <c r="B209" s="46">
        <v>40552</v>
      </c>
      <c r="C209">
        <v>1</v>
      </c>
      <c r="D209">
        <v>22</v>
      </c>
      <c r="E209" t="b">
        <v>0</v>
      </c>
      <c r="F209">
        <v>0</v>
      </c>
      <c r="G209" t="s">
        <v>27</v>
      </c>
      <c r="H209" t="s">
        <v>33</v>
      </c>
      <c r="I209">
        <v>1</v>
      </c>
      <c r="J209" t="s">
        <v>29</v>
      </c>
      <c r="K209">
        <v>0.14000000000000001</v>
      </c>
      <c r="L209" t="s">
        <v>23</v>
      </c>
      <c r="M209">
        <v>0.1212</v>
      </c>
      <c r="N209">
        <v>0.46</v>
      </c>
      <c r="O209" t="s">
        <v>34</v>
      </c>
      <c r="P209">
        <v>0.29849999999999999</v>
      </c>
      <c r="Q209">
        <v>5</v>
      </c>
      <c r="R209">
        <v>10</v>
      </c>
      <c r="S209">
        <v>15</v>
      </c>
    </row>
    <row r="210" spans="1:19" x14ac:dyDescent="0.3">
      <c r="A210">
        <v>209</v>
      </c>
      <c r="B210" s="46">
        <v>40552</v>
      </c>
      <c r="C210">
        <v>1</v>
      </c>
      <c r="D210">
        <v>23</v>
      </c>
      <c r="E210" t="b">
        <v>0</v>
      </c>
      <c r="F210">
        <v>0</v>
      </c>
      <c r="G210" t="s">
        <v>27</v>
      </c>
      <c r="H210" t="s">
        <v>33</v>
      </c>
      <c r="I210">
        <v>1</v>
      </c>
      <c r="J210" t="s">
        <v>29</v>
      </c>
      <c r="K210">
        <v>0.12</v>
      </c>
      <c r="L210" t="s">
        <v>23</v>
      </c>
      <c r="M210">
        <v>0.13639999999999999</v>
      </c>
      <c r="N210">
        <v>0.5</v>
      </c>
      <c r="O210" t="s">
        <v>34</v>
      </c>
      <c r="P210">
        <v>0.19400000000000001</v>
      </c>
      <c r="Q210">
        <v>0</v>
      </c>
      <c r="R210">
        <v>6</v>
      </c>
      <c r="S210">
        <v>6</v>
      </c>
    </row>
    <row r="211" spans="1:19" x14ac:dyDescent="0.3">
      <c r="A211">
        <v>210</v>
      </c>
      <c r="B211" s="46">
        <v>40553</v>
      </c>
      <c r="C211">
        <v>1</v>
      </c>
      <c r="D211">
        <v>0</v>
      </c>
      <c r="E211" t="b">
        <v>0</v>
      </c>
      <c r="F211">
        <v>1</v>
      </c>
      <c r="G211" t="s">
        <v>35</v>
      </c>
      <c r="H211" t="s">
        <v>36</v>
      </c>
      <c r="I211">
        <v>1</v>
      </c>
      <c r="J211" t="s">
        <v>29</v>
      </c>
      <c r="K211">
        <v>0.12</v>
      </c>
      <c r="L211" t="s">
        <v>23</v>
      </c>
      <c r="M211">
        <v>0.1212</v>
      </c>
      <c r="N211">
        <v>0.5</v>
      </c>
      <c r="O211" t="s">
        <v>34</v>
      </c>
      <c r="P211">
        <v>0.28360000000000002</v>
      </c>
      <c r="Q211">
        <v>2</v>
      </c>
      <c r="R211">
        <v>3</v>
      </c>
      <c r="S211">
        <v>5</v>
      </c>
    </row>
    <row r="212" spans="1:19" x14ac:dyDescent="0.3">
      <c r="A212">
        <v>211</v>
      </c>
      <c r="B212" s="46">
        <v>40553</v>
      </c>
      <c r="C212">
        <v>1</v>
      </c>
      <c r="D212">
        <v>1</v>
      </c>
      <c r="E212" t="b">
        <v>0</v>
      </c>
      <c r="F212">
        <v>1</v>
      </c>
      <c r="G212" t="s">
        <v>35</v>
      </c>
      <c r="H212" t="s">
        <v>36</v>
      </c>
      <c r="I212">
        <v>1</v>
      </c>
      <c r="J212" t="s">
        <v>29</v>
      </c>
      <c r="K212">
        <v>0.12</v>
      </c>
      <c r="L212" t="s">
        <v>23</v>
      </c>
      <c r="M212">
        <v>0.1212</v>
      </c>
      <c r="N212">
        <v>0.5</v>
      </c>
      <c r="O212" t="s">
        <v>34</v>
      </c>
      <c r="P212">
        <v>0.28360000000000002</v>
      </c>
      <c r="Q212">
        <v>1</v>
      </c>
      <c r="R212">
        <v>0</v>
      </c>
      <c r="S212">
        <v>1</v>
      </c>
    </row>
    <row r="213" spans="1:19" x14ac:dyDescent="0.3">
      <c r="A213">
        <v>212</v>
      </c>
      <c r="B213" s="46">
        <v>40553</v>
      </c>
      <c r="C213">
        <v>1</v>
      </c>
      <c r="D213">
        <v>2</v>
      </c>
      <c r="E213" t="b">
        <v>0</v>
      </c>
      <c r="F213">
        <v>1</v>
      </c>
      <c r="G213" t="s">
        <v>35</v>
      </c>
      <c r="H213" t="s">
        <v>36</v>
      </c>
      <c r="I213">
        <v>1</v>
      </c>
      <c r="J213" t="s">
        <v>29</v>
      </c>
      <c r="K213">
        <v>0.12</v>
      </c>
      <c r="L213" t="s">
        <v>23</v>
      </c>
      <c r="M213">
        <v>0.1212</v>
      </c>
      <c r="N213">
        <v>0.5</v>
      </c>
      <c r="O213" t="s">
        <v>34</v>
      </c>
      <c r="P213">
        <v>0.22389999999999999</v>
      </c>
      <c r="Q213">
        <v>0</v>
      </c>
      <c r="R213">
        <v>3</v>
      </c>
      <c r="S213">
        <v>3</v>
      </c>
    </row>
    <row r="214" spans="1:19" x14ac:dyDescent="0.3">
      <c r="A214">
        <v>213</v>
      </c>
      <c r="B214" s="46">
        <v>40553</v>
      </c>
      <c r="C214">
        <v>1</v>
      </c>
      <c r="D214">
        <v>3</v>
      </c>
      <c r="E214" t="b">
        <v>0</v>
      </c>
      <c r="F214">
        <v>1</v>
      </c>
      <c r="G214" t="s">
        <v>35</v>
      </c>
      <c r="H214" t="s">
        <v>36</v>
      </c>
      <c r="I214">
        <v>1</v>
      </c>
      <c r="J214" t="s">
        <v>29</v>
      </c>
      <c r="K214">
        <v>0.12</v>
      </c>
      <c r="L214" t="s">
        <v>23</v>
      </c>
      <c r="M214">
        <v>0.1212</v>
      </c>
      <c r="N214">
        <v>0.5</v>
      </c>
      <c r="O214" t="s">
        <v>34</v>
      </c>
      <c r="P214">
        <v>0.22389999999999999</v>
      </c>
      <c r="Q214">
        <v>0</v>
      </c>
      <c r="R214">
        <v>1</v>
      </c>
      <c r="S214">
        <v>1</v>
      </c>
    </row>
    <row r="215" spans="1:19" x14ac:dyDescent="0.3">
      <c r="A215">
        <v>214</v>
      </c>
      <c r="B215" s="46">
        <v>40553</v>
      </c>
      <c r="C215">
        <v>1</v>
      </c>
      <c r="D215">
        <v>4</v>
      </c>
      <c r="E215" t="b">
        <v>0</v>
      </c>
      <c r="F215">
        <v>1</v>
      </c>
      <c r="G215" t="s">
        <v>35</v>
      </c>
      <c r="H215" t="s">
        <v>36</v>
      </c>
      <c r="I215">
        <v>1</v>
      </c>
      <c r="J215" t="s">
        <v>29</v>
      </c>
      <c r="K215">
        <v>0.1</v>
      </c>
      <c r="L215" t="s">
        <v>23</v>
      </c>
      <c r="M215">
        <v>0.1212</v>
      </c>
      <c r="N215">
        <v>0.54</v>
      </c>
      <c r="O215" t="s">
        <v>34</v>
      </c>
      <c r="P215">
        <v>0.1343</v>
      </c>
      <c r="Q215">
        <v>1</v>
      </c>
      <c r="R215">
        <v>2</v>
      </c>
      <c r="S215">
        <v>3</v>
      </c>
    </row>
    <row r="216" spans="1:19" x14ac:dyDescent="0.3">
      <c r="A216">
        <v>215</v>
      </c>
      <c r="B216" s="46">
        <v>40553</v>
      </c>
      <c r="C216">
        <v>1</v>
      </c>
      <c r="D216">
        <v>5</v>
      </c>
      <c r="E216" t="b">
        <v>0</v>
      </c>
      <c r="F216">
        <v>1</v>
      </c>
      <c r="G216" t="s">
        <v>35</v>
      </c>
      <c r="H216" t="s">
        <v>36</v>
      </c>
      <c r="I216">
        <v>1</v>
      </c>
      <c r="J216" t="s">
        <v>29</v>
      </c>
      <c r="K216">
        <v>0.1</v>
      </c>
      <c r="L216" t="s">
        <v>23</v>
      </c>
      <c r="M216">
        <v>0.1061</v>
      </c>
      <c r="N216">
        <v>0.54</v>
      </c>
      <c r="O216" t="s">
        <v>34</v>
      </c>
      <c r="P216">
        <v>0.25369999999999998</v>
      </c>
      <c r="Q216">
        <v>0</v>
      </c>
      <c r="R216">
        <v>3</v>
      </c>
      <c r="S216">
        <v>3</v>
      </c>
    </row>
    <row r="217" spans="1:19" x14ac:dyDescent="0.3">
      <c r="A217">
        <v>216</v>
      </c>
      <c r="B217" s="46">
        <v>40553</v>
      </c>
      <c r="C217">
        <v>1</v>
      </c>
      <c r="D217">
        <v>6</v>
      </c>
      <c r="E217" t="b">
        <v>0</v>
      </c>
      <c r="F217">
        <v>1</v>
      </c>
      <c r="G217" t="s">
        <v>35</v>
      </c>
      <c r="H217" t="s">
        <v>36</v>
      </c>
      <c r="I217">
        <v>1</v>
      </c>
      <c r="J217" t="s">
        <v>29</v>
      </c>
      <c r="K217">
        <v>0.12</v>
      </c>
      <c r="L217" t="s">
        <v>23</v>
      </c>
      <c r="M217">
        <v>0.1212</v>
      </c>
      <c r="N217">
        <v>0.5</v>
      </c>
      <c r="O217" t="s">
        <v>34</v>
      </c>
      <c r="P217">
        <v>0.28360000000000002</v>
      </c>
      <c r="Q217">
        <v>0</v>
      </c>
      <c r="R217">
        <v>31</v>
      </c>
      <c r="S217">
        <v>31</v>
      </c>
    </row>
    <row r="218" spans="1:19" x14ac:dyDescent="0.3">
      <c r="A218">
        <v>217</v>
      </c>
      <c r="B218" s="46">
        <v>40553</v>
      </c>
      <c r="C218">
        <v>1</v>
      </c>
      <c r="D218">
        <v>7</v>
      </c>
      <c r="E218" t="b">
        <v>0</v>
      </c>
      <c r="F218">
        <v>1</v>
      </c>
      <c r="G218" t="s">
        <v>35</v>
      </c>
      <c r="H218" t="s">
        <v>36</v>
      </c>
      <c r="I218">
        <v>1</v>
      </c>
      <c r="J218" t="s">
        <v>29</v>
      </c>
      <c r="K218">
        <v>0.12</v>
      </c>
      <c r="L218" t="s">
        <v>23</v>
      </c>
      <c r="M218">
        <v>0.1212</v>
      </c>
      <c r="N218">
        <v>0.5</v>
      </c>
      <c r="O218" t="s">
        <v>34</v>
      </c>
      <c r="P218">
        <v>0.22389999999999999</v>
      </c>
      <c r="Q218">
        <v>2</v>
      </c>
      <c r="R218">
        <v>75</v>
      </c>
      <c r="S218">
        <v>77</v>
      </c>
    </row>
    <row r="219" spans="1:19" x14ac:dyDescent="0.3">
      <c r="A219">
        <v>218</v>
      </c>
      <c r="B219" s="46">
        <v>40553</v>
      </c>
      <c r="C219">
        <v>1</v>
      </c>
      <c r="D219">
        <v>8</v>
      </c>
      <c r="E219" t="b">
        <v>0</v>
      </c>
      <c r="F219">
        <v>1</v>
      </c>
      <c r="G219" t="s">
        <v>35</v>
      </c>
      <c r="H219" t="s">
        <v>36</v>
      </c>
      <c r="I219">
        <v>2</v>
      </c>
      <c r="J219" t="s">
        <v>31</v>
      </c>
      <c r="K219">
        <v>0.12</v>
      </c>
      <c r="L219" t="s">
        <v>23</v>
      </c>
      <c r="M219">
        <v>0.1212</v>
      </c>
      <c r="N219">
        <v>0.5</v>
      </c>
      <c r="O219" t="s">
        <v>34</v>
      </c>
      <c r="P219">
        <v>0.28360000000000002</v>
      </c>
      <c r="Q219">
        <v>4</v>
      </c>
      <c r="R219">
        <v>184</v>
      </c>
      <c r="S219">
        <v>188</v>
      </c>
    </row>
    <row r="220" spans="1:19" x14ac:dyDescent="0.3">
      <c r="A220">
        <v>219</v>
      </c>
      <c r="B220" s="46">
        <v>40553</v>
      </c>
      <c r="C220">
        <v>1</v>
      </c>
      <c r="D220">
        <v>9</v>
      </c>
      <c r="E220" t="b">
        <v>0</v>
      </c>
      <c r="F220">
        <v>1</v>
      </c>
      <c r="G220" t="s">
        <v>35</v>
      </c>
      <c r="H220" t="s">
        <v>36</v>
      </c>
      <c r="I220">
        <v>2</v>
      </c>
      <c r="J220" t="s">
        <v>31</v>
      </c>
      <c r="K220">
        <v>0.14000000000000001</v>
      </c>
      <c r="L220" t="s">
        <v>23</v>
      </c>
      <c r="M220">
        <v>0.1212</v>
      </c>
      <c r="N220">
        <v>0.5</v>
      </c>
      <c r="O220" t="s">
        <v>34</v>
      </c>
      <c r="P220">
        <v>0.25369999999999998</v>
      </c>
      <c r="Q220">
        <v>2</v>
      </c>
      <c r="R220">
        <v>92</v>
      </c>
      <c r="S220">
        <v>94</v>
      </c>
    </row>
    <row r="221" spans="1:19" x14ac:dyDescent="0.3">
      <c r="A221">
        <v>220</v>
      </c>
      <c r="B221" s="46">
        <v>40553</v>
      </c>
      <c r="C221">
        <v>1</v>
      </c>
      <c r="D221">
        <v>10</v>
      </c>
      <c r="E221" t="b">
        <v>0</v>
      </c>
      <c r="F221">
        <v>1</v>
      </c>
      <c r="G221" t="s">
        <v>35</v>
      </c>
      <c r="H221" t="s">
        <v>36</v>
      </c>
      <c r="I221">
        <v>2</v>
      </c>
      <c r="J221" t="s">
        <v>31</v>
      </c>
      <c r="K221">
        <v>0.14000000000000001</v>
      </c>
      <c r="L221" t="s">
        <v>23</v>
      </c>
      <c r="M221">
        <v>0.1212</v>
      </c>
      <c r="N221">
        <v>0.5</v>
      </c>
      <c r="O221" t="s">
        <v>34</v>
      </c>
      <c r="P221">
        <v>0.29849999999999999</v>
      </c>
      <c r="Q221">
        <v>0</v>
      </c>
      <c r="R221">
        <v>31</v>
      </c>
      <c r="S221">
        <v>31</v>
      </c>
    </row>
    <row r="222" spans="1:19" x14ac:dyDescent="0.3">
      <c r="A222">
        <v>221</v>
      </c>
      <c r="B222" s="46">
        <v>40553</v>
      </c>
      <c r="C222">
        <v>1</v>
      </c>
      <c r="D222">
        <v>11</v>
      </c>
      <c r="E222" t="b">
        <v>0</v>
      </c>
      <c r="F222">
        <v>1</v>
      </c>
      <c r="G222" t="s">
        <v>35</v>
      </c>
      <c r="H222" t="s">
        <v>36</v>
      </c>
      <c r="I222">
        <v>2</v>
      </c>
      <c r="J222" t="s">
        <v>31</v>
      </c>
      <c r="K222">
        <v>0.16</v>
      </c>
      <c r="L222" t="s">
        <v>23</v>
      </c>
      <c r="M222">
        <v>0.13639999999999999</v>
      </c>
      <c r="N222">
        <v>0.47</v>
      </c>
      <c r="O222" t="s">
        <v>34</v>
      </c>
      <c r="P222">
        <v>0.28360000000000002</v>
      </c>
      <c r="Q222">
        <v>2</v>
      </c>
      <c r="R222">
        <v>28</v>
      </c>
      <c r="S222">
        <v>30</v>
      </c>
    </row>
    <row r="223" spans="1:19" x14ac:dyDescent="0.3">
      <c r="A223">
        <v>222</v>
      </c>
      <c r="B223" s="46">
        <v>40553</v>
      </c>
      <c r="C223">
        <v>1</v>
      </c>
      <c r="D223">
        <v>12</v>
      </c>
      <c r="E223" t="b">
        <v>0</v>
      </c>
      <c r="F223">
        <v>1</v>
      </c>
      <c r="G223" t="s">
        <v>35</v>
      </c>
      <c r="H223" t="s">
        <v>36</v>
      </c>
      <c r="I223">
        <v>2</v>
      </c>
      <c r="J223" t="s">
        <v>31</v>
      </c>
      <c r="K223">
        <v>0.2</v>
      </c>
      <c r="L223" t="s">
        <v>23</v>
      </c>
      <c r="M223">
        <v>0.18179999999999999</v>
      </c>
      <c r="N223">
        <v>0.4</v>
      </c>
      <c r="O223" t="s">
        <v>34</v>
      </c>
      <c r="P223">
        <v>0.28360000000000002</v>
      </c>
      <c r="Q223">
        <v>5</v>
      </c>
      <c r="R223">
        <v>47</v>
      </c>
      <c r="S223">
        <v>52</v>
      </c>
    </row>
    <row r="224" spans="1:19" x14ac:dyDescent="0.3">
      <c r="A224">
        <v>223</v>
      </c>
      <c r="B224" s="46">
        <v>40553</v>
      </c>
      <c r="C224">
        <v>1</v>
      </c>
      <c r="D224">
        <v>13</v>
      </c>
      <c r="E224" t="b">
        <v>0</v>
      </c>
      <c r="F224">
        <v>1</v>
      </c>
      <c r="G224" t="s">
        <v>35</v>
      </c>
      <c r="H224" t="s">
        <v>36</v>
      </c>
      <c r="I224">
        <v>2</v>
      </c>
      <c r="J224" t="s">
        <v>31</v>
      </c>
      <c r="K224">
        <v>0.2</v>
      </c>
      <c r="L224" t="s">
        <v>23</v>
      </c>
      <c r="M224">
        <v>0.18179999999999999</v>
      </c>
      <c r="N224">
        <v>0.4</v>
      </c>
      <c r="O224" t="s">
        <v>34</v>
      </c>
      <c r="P224">
        <v>0.28360000000000002</v>
      </c>
      <c r="Q224">
        <v>4</v>
      </c>
      <c r="R224">
        <v>50</v>
      </c>
      <c r="S224">
        <v>54</v>
      </c>
    </row>
    <row r="225" spans="1:19" x14ac:dyDescent="0.3">
      <c r="A225">
        <v>224</v>
      </c>
      <c r="B225" s="46">
        <v>40553</v>
      </c>
      <c r="C225">
        <v>1</v>
      </c>
      <c r="D225">
        <v>14</v>
      </c>
      <c r="E225" t="b">
        <v>0</v>
      </c>
      <c r="F225">
        <v>1</v>
      </c>
      <c r="G225" t="s">
        <v>35</v>
      </c>
      <c r="H225" t="s">
        <v>36</v>
      </c>
      <c r="I225">
        <v>2</v>
      </c>
      <c r="J225" t="s">
        <v>31</v>
      </c>
      <c r="K225">
        <v>0.2</v>
      </c>
      <c r="L225" t="s">
        <v>23</v>
      </c>
      <c r="M225">
        <v>0.19700000000000001</v>
      </c>
      <c r="N225">
        <v>0.4</v>
      </c>
      <c r="O225" t="s">
        <v>34</v>
      </c>
      <c r="P225">
        <v>0.22389999999999999</v>
      </c>
      <c r="Q225">
        <v>0</v>
      </c>
      <c r="R225">
        <v>47</v>
      </c>
      <c r="S225">
        <v>47</v>
      </c>
    </row>
    <row r="226" spans="1:19" x14ac:dyDescent="0.3">
      <c r="A226">
        <v>225</v>
      </c>
      <c r="B226" s="46">
        <v>40553</v>
      </c>
      <c r="C226">
        <v>1</v>
      </c>
      <c r="D226">
        <v>15</v>
      </c>
      <c r="E226" t="b">
        <v>0</v>
      </c>
      <c r="F226">
        <v>1</v>
      </c>
      <c r="G226" t="s">
        <v>35</v>
      </c>
      <c r="H226" t="s">
        <v>36</v>
      </c>
      <c r="I226">
        <v>2</v>
      </c>
      <c r="J226" t="s">
        <v>31</v>
      </c>
      <c r="K226">
        <v>0.2</v>
      </c>
      <c r="L226" t="s">
        <v>23</v>
      </c>
      <c r="M226">
        <v>0.19700000000000001</v>
      </c>
      <c r="N226">
        <v>0.4</v>
      </c>
      <c r="O226" t="s">
        <v>34</v>
      </c>
      <c r="P226">
        <v>0.22389999999999999</v>
      </c>
      <c r="Q226">
        <v>2</v>
      </c>
      <c r="R226">
        <v>43</v>
      </c>
      <c r="S226">
        <v>45</v>
      </c>
    </row>
    <row r="227" spans="1:19" x14ac:dyDescent="0.3">
      <c r="A227">
        <v>226</v>
      </c>
      <c r="B227" s="46">
        <v>40553</v>
      </c>
      <c r="C227">
        <v>1</v>
      </c>
      <c r="D227">
        <v>16</v>
      </c>
      <c r="E227" t="b">
        <v>0</v>
      </c>
      <c r="F227">
        <v>1</v>
      </c>
      <c r="G227" t="s">
        <v>35</v>
      </c>
      <c r="H227" t="s">
        <v>36</v>
      </c>
      <c r="I227">
        <v>1</v>
      </c>
      <c r="J227" t="s">
        <v>29</v>
      </c>
      <c r="K227">
        <v>0.2</v>
      </c>
      <c r="L227" t="s">
        <v>23</v>
      </c>
      <c r="M227">
        <v>0.21210000000000001</v>
      </c>
      <c r="N227">
        <v>0.4</v>
      </c>
      <c r="O227" t="s">
        <v>34</v>
      </c>
      <c r="P227">
        <v>0.1343</v>
      </c>
      <c r="Q227">
        <v>4</v>
      </c>
      <c r="R227">
        <v>70</v>
      </c>
      <c r="S227">
        <v>74</v>
      </c>
    </row>
    <row r="228" spans="1:19" x14ac:dyDescent="0.3">
      <c r="A228">
        <v>227</v>
      </c>
      <c r="B228" s="46">
        <v>40553</v>
      </c>
      <c r="C228">
        <v>1</v>
      </c>
      <c r="D228">
        <v>17</v>
      </c>
      <c r="E228" t="b">
        <v>0</v>
      </c>
      <c r="F228">
        <v>1</v>
      </c>
      <c r="G228" t="s">
        <v>35</v>
      </c>
      <c r="H228" t="s">
        <v>36</v>
      </c>
      <c r="I228">
        <v>1</v>
      </c>
      <c r="J228" t="s">
        <v>29</v>
      </c>
      <c r="K228">
        <v>0.2</v>
      </c>
      <c r="L228" t="s">
        <v>23</v>
      </c>
      <c r="M228">
        <v>0.2273</v>
      </c>
      <c r="N228">
        <v>0.4</v>
      </c>
      <c r="O228" t="s">
        <v>34</v>
      </c>
      <c r="P228">
        <v>0.1045</v>
      </c>
      <c r="Q228">
        <v>4</v>
      </c>
      <c r="R228">
        <v>174</v>
      </c>
      <c r="S228">
        <v>178</v>
      </c>
    </row>
    <row r="229" spans="1:19" x14ac:dyDescent="0.3">
      <c r="A229">
        <v>228</v>
      </c>
      <c r="B229" s="46">
        <v>40553</v>
      </c>
      <c r="C229">
        <v>1</v>
      </c>
      <c r="D229">
        <v>18</v>
      </c>
      <c r="E229" t="b">
        <v>0</v>
      </c>
      <c r="F229">
        <v>1</v>
      </c>
      <c r="G229" t="s">
        <v>35</v>
      </c>
      <c r="H229" t="s">
        <v>36</v>
      </c>
      <c r="I229">
        <v>1</v>
      </c>
      <c r="J229" t="s">
        <v>29</v>
      </c>
      <c r="K229">
        <v>0.2</v>
      </c>
      <c r="L229" t="s">
        <v>23</v>
      </c>
      <c r="M229">
        <v>0.19700000000000001</v>
      </c>
      <c r="N229">
        <v>0.4</v>
      </c>
      <c r="O229" t="s">
        <v>34</v>
      </c>
      <c r="P229">
        <v>0.22389999999999999</v>
      </c>
      <c r="Q229">
        <v>1</v>
      </c>
      <c r="R229">
        <v>154</v>
      </c>
      <c r="S229">
        <v>155</v>
      </c>
    </row>
    <row r="230" spans="1:19" x14ac:dyDescent="0.3">
      <c r="A230">
        <v>229</v>
      </c>
      <c r="B230" s="46">
        <v>40553</v>
      </c>
      <c r="C230">
        <v>1</v>
      </c>
      <c r="D230">
        <v>19</v>
      </c>
      <c r="E230" t="b">
        <v>0</v>
      </c>
      <c r="F230">
        <v>1</v>
      </c>
      <c r="G230" t="s">
        <v>35</v>
      </c>
      <c r="H230" t="s">
        <v>36</v>
      </c>
      <c r="I230">
        <v>1</v>
      </c>
      <c r="J230" t="s">
        <v>29</v>
      </c>
      <c r="K230">
        <v>0.16</v>
      </c>
      <c r="L230" t="s">
        <v>23</v>
      </c>
      <c r="M230">
        <v>0.16669999999999999</v>
      </c>
      <c r="N230">
        <v>0.47</v>
      </c>
      <c r="O230" t="s">
        <v>34</v>
      </c>
      <c r="P230">
        <v>0.16420000000000001</v>
      </c>
      <c r="Q230">
        <v>3</v>
      </c>
      <c r="R230">
        <v>92</v>
      </c>
      <c r="S230">
        <v>95</v>
      </c>
    </row>
    <row r="231" spans="1:19" x14ac:dyDescent="0.3">
      <c r="A231">
        <v>230</v>
      </c>
      <c r="B231" s="46">
        <v>40553</v>
      </c>
      <c r="C231">
        <v>1</v>
      </c>
      <c r="D231">
        <v>20</v>
      </c>
      <c r="E231" t="b">
        <v>0</v>
      </c>
      <c r="F231">
        <v>1</v>
      </c>
      <c r="G231" t="s">
        <v>35</v>
      </c>
      <c r="H231" t="s">
        <v>36</v>
      </c>
      <c r="I231">
        <v>1</v>
      </c>
      <c r="J231" t="s">
        <v>29</v>
      </c>
      <c r="K231">
        <v>0.16</v>
      </c>
      <c r="L231" t="s">
        <v>23</v>
      </c>
      <c r="M231">
        <v>0.16669999999999999</v>
      </c>
      <c r="N231">
        <v>0.5</v>
      </c>
      <c r="O231" t="s">
        <v>34</v>
      </c>
      <c r="P231">
        <v>0.16420000000000001</v>
      </c>
      <c r="Q231">
        <v>1</v>
      </c>
      <c r="R231">
        <v>73</v>
      </c>
      <c r="S231">
        <v>74</v>
      </c>
    </row>
    <row r="232" spans="1:19" x14ac:dyDescent="0.3">
      <c r="A232">
        <v>231</v>
      </c>
      <c r="B232" s="46">
        <v>40553</v>
      </c>
      <c r="C232">
        <v>1</v>
      </c>
      <c r="D232">
        <v>21</v>
      </c>
      <c r="E232" t="b">
        <v>0</v>
      </c>
      <c r="F232">
        <v>1</v>
      </c>
      <c r="G232" t="s">
        <v>35</v>
      </c>
      <c r="H232" t="s">
        <v>36</v>
      </c>
      <c r="I232">
        <v>1</v>
      </c>
      <c r="J232" t="s">
        <v>29</v>
      </c>
      <c r="K232">
        <v>0.14000000000000001</v>
      </c>
      <c r="L232" t="s">
        <v>23</v>
      </c>
      <c r="M232">
        <v>0.13639999999999999</v>
      </c>
      <c r="N232">
        <v>0.59</v>
      </c>
      <c r="O232" t="s">
        <v>34</v>
      </c>
      <c r="P232">
        <v>0.19400000000000001</v>
      </c>
      <c r="Q232">
        <v>1</v>
      </c>
      <c r="R232">
        <v>37</v>
      </c>
      <c r="S232">
        <v>38</v>
      </c>
    </row>
    <row r="233" spans="1:19" x14ac:dyDescent="0.3">
      <c r="A233">
        <v>232</v>
      </c>
      <c r="B233" s="46">
        <v>40553</v>
      </c>
      <c r="C233">
        <v>1</v>
      </c>
      <c r="D233">
        <v>22</v>
      </c>
      <c r="E233" t="b">
        <v>0</v>
      </c>
      <c r="F233">
        <v>1</v>
      </c>
      <c r="G233" t="s">
        <v>35</v>
      </c>
      <c r="H233" t="s">
        <v>36</v>
      </c>
      <c r="I233">
        <v>1</v>
      </c>
      <c r="J233" t="s">
        <v>29</v>
      </c>
      <c r="K233">
        <v>0.14000000000000001</v>
      </c>
      <c r="L233" t="s">
        <v>23</v>
      </c>
      <c r="M233">
        <v>0.1515</v>
      </c>
      <c r="N233">
        <v>0.59</v>
      </c>
      <c r="O233" t="s">
        <v>34</v>
      </c>
      <c r="P233">
        <v>0.16420000000000001</v>
      </c>
      <c r="Q233">
        <v>2</v>
      </c>
      <c r="R233">
        <v>22</v>
      </c>
      <c r="S233">
        <v>24</v>
      </c>
    </row>
    <row r="234" spans="1:19" x14ac:dyDescent="0.3">
      <c r="A234">
        <v>233</v>
      </c>
      <c r="B234" s="46">
        <v>40553</v>
      </c>
      <c r="C234">
        <v>1</v>
      </c>
      <c r="D234">
        <v>23</v>
      </c>
      <c r="E234" t="b">
        <v>0</v>
      </c>
      <c r="F234">
        <v>1</v>
      </c>
      <c r="G234" t="s">
        <v>35</v>
      </c>
      <c r="H234" t="s">
        <v>36</v>
      </c>
      <c r="I234">
        <v>1</v>
      </c>
      <c r="J234" t="s">
        <v>29</v>
      </c>
      <c r="K234">
        <v>0.14000000000000001</v>
      </c>
      <c r="L234" t="s">
        <v>23</v>
      </c>
      <c r="M234">
        <v>0.1515</v>
      </c>
      <c r="N234">
        <v>0.59</v>
      </c>
      <c r="O234" t="s">
        <v>34</v>
      </c>
      <c r="P234">
        <v>0.16420000000000001</v>
      </c>
      <c r="Q234">
        <v>0</v>
      </c>
      <c r="R234">
        <v>18</v>
      </c>
      <c r="S234">
        <v>18</v>
      </c>
    </row>
    <row r="235" spans="1:19" x14ac:dyDescent="0.3">
      <c r="A235">
        <v>234</v>
      </c>
      <c r="B235" s="46">
        <v>40554</v>
      </c>
      <c r="C235">
        <v>1</v>
      </c>
      <c r="D235">
        <v>0</v>
      </c>
      <c r="E235" t="b">
        <v>0</v>
      </c>
      <c r="F235">
        <v>2</v>
      </c>
      <c r="G235" t="s">
        <v>35</v>
      </c>
      <c r="H235" t="s">
        <v>37</v>
      </c>
      <c r="I235">
        <v>1</v>
      </c>
      <c r="J235" t="s">
        <v>29</v>
      </c>
      <c r="K235">
        <v>0.14000000000000001</v>
      </c>
      <c r="L235" t="s">
        <v>23</v>
      </c>
      <c r="M235">
        <v>0.16669999999999999</v>
      </c>
      <c r="N235">
        <v>0.59</v>
      </c>
      <c r="O235" t="s">
        <v>34</v>
      </c>
      <c r="P235">
        <v>0.1045</v>
      </c>
      <c r="Q235">
        <v>2</v>
      </c>
      <c r="R235">
        <v>10</v>
      </c>
      <c r="S235">
        <v>12</v>
      </c>
    </row>
    <row r="236" spans="1:19" x14ac:dyDescent="0.3">
      <c r="A236">
        <v>235</v>
      </c>
      <c r="B236" s="46">
        <v>40554</v>
      </c>
      <c r="C236">
        <v>1</v>
      </c>
      <c r="D236">
        <v>1</v>
      </c>
      <c r="E236" t="b">
        <v>0</v>
      </c>
      <c r="F236">
        <v>2</v>
      </c>
      <c r="G236" t="s">
        <v>35</v>
      </c>
      <c r="H236" t="s">
        <v>37</v>
      </c>
      <c r="I236">
        <v>1</v>
      </c>
      <c r="J236" t="s">
        <v>29</v>
      </c>
      <c r="K236">
        <v>0.14000000000000001</v>
      </c>
      <c r="L236" t="s">
        <v>23</v>
      </c>
      <c r="M236">
        <v>0.1515</v>
      </c>
      <c r="N236">
        <v>0.59</v>
      </c>
      <c r="O236" t="s">
        <v>34</v>
      </c>
      <c r="P236">
        <v>0.16420000000000001</v>
      </c>
      <c r="Q236">
        <v>0</v>
      </c>
      <c r="R236">
        <v>3</v>
      </c>
      <c r="S236">
        <v>3</v>
      </c>
    </row>
    <row r="237" spans="1:19" x14ac:dyDescent="0.3">
      <c r="A237">
        <v>236</v>
      </c>
      <c r="B237" s="46">
        <v>40554</v>
      </c>
      <c r="C237">
        <v>1</v>
      </c>
      <c r="D237">
        <v>2</v>
      </c>
      <c r="E237" t="b">
        <v>0</v>
      </c>
      <c r="F237">
        <v>2</v>
      </c>
      <c r="G237" t="s">
        <v>35</v>
      </c>
      <c r="H237" t="s">
        <v>37</v>
      </c>
      <c r="I237">
        <v>2</v>
      </c>
      <c r="J237" t="s">
        <v>31</v>
      </c>
      <c r="K237">
        <v>0.16</v>
      </c>
      <c r="L237" t="s">
        <v>23</v>
      </c>
      <c r="M237">
        <v>0.1515</v>
      </c>
      <c r="N237">
        <v>0.55000000000000004</v>
      </c>
      <c r="O237" t="s">
        <v>34</v>
      </c>
      <c r="P237">
        <v>0.19400000000000001</v>
      </c>
      <c r="Q237">
        <v>0</v>
      </c>
      <c r="R237">
        <v>3</v>
      </c>
      <c r="S237">
        <v>3</v>
      </c>
    </row>
    <row r="238" spans="1:19" x14ac:dyDescent="0.3">
      <c r="A238">
        <v>237</v>
      </c>
      <c r="B238" s="46">
        <v>40554</v>
      </c>
      <c r="C238">
        <v>1</v>
      </c>
      <c r="D238">
        <v>5</v>
      </c>
      <c r="E238" t="b">
        <v>0</v>
      </c>
      <c r="F238">
        <v>2</v>
      </c>
      <c r="G238" t="s">
        <v>35</v>
      </c>
      <c r="H238" t="s">
        <v>37</v>
      </c>
      <c r="I238">
        <v>2</v>
      </c>
      <c r="J238" t="s">
        <v>31</v>
      </c>
      <c r="K238">
        <v>0.16</v>
      </c>
      <c r="L238" t="s">
        <v>23</v>
      </c>
      <c r="M238">
        <v>0.18179999999999999</v>
      </c>
      <c r="N238">
        <v>0.55000000000000004</v>
      </c>
      <c r="O238" t="s">
        <v>34</v>
      </c>
      <c r="P238">
        <v>0.1343</v>
      </c>
      <c r="Q238">
        <v>0</v>
      </c>
      <c r="R238">
        <v>6</v>
      </c>
      <c r="S238">
        <v>6</v>
      </c>
    </row>
    <row r="239" spans="1:19" x14ac:dyDescent="0.3">
      <c r="A239">
        <v>238</v>
      </c>
      <c r="B239" s="46">
        <v>40554</v>
      </c>
      <c r="C239">
        <v>1</v>
      </c>
      <c r="D239">
        <v>6</v>
      </c>
      <c r="E239" t="b">
        <v>0</v>
      </c>
      <c r="F239">
        <v>2</v>
      </c>
      <c r="G239" t="s">
        <v>35</v>
      </c>
      <c r="H239" t="s">
        <v>37</v>
      </c>
      <c r="I239">
        <v>2</v>
      </c>
      <c r="J239" t="s">
        <v>31</v>
      </c>
      <c r="K239">
        <v>0.16</v>
      </c>
      <c r="L239" t="s">
        <v>23</v>
      </c>
      <c r="M239">
        <v>0.18179999999999999</v>
      </c>
      <c r="N239">
        <v>0.55000000000000004</v>
      </c>
      <c r="O239" t="s">
        <v>34</v>
      </c>
      <c r="P239">
        <v>0.1343</v>
      </c>
      <c r="Q239">
        <v>0</v>
      </c>
      <c r="R239">
        <v>27</v>
      </c>
      <c r="S239">
        <v>27</v>
      </c>
    </row>
    <row r="240" spans="1:19" x14ac:dyDescent="0.3">
      <c r="A240">
        <v>239</v>
      </c>
      <c r="B240" s="46">
        <v>40554</v>
      </c>
      <c r="C240">
        <v>1</v>
      </c>
      <c r="D240">
        <v>7</v>
      </c>
      <c r="E240" t="b">
        <v>0</v>
      </c>
      <c r="F240">
        <v>2</v>
      </c>
      <c r="G240" t="s">
        <v>35</v>
      </c>
      <c r="H240" t="s">
        <v>37</v>
      </c>
      <c r="I240">
        <v>2</v>
      </c>
      <c r="J240" t="s">
        <v>31</v>
      </c>
      <c r="K240">
        <v>0.16</v>
      </c>
      <c r="L240" t="s">
        <v>23</v>
      </c>
      <c r="M240">
        <v>0.2273</v>
      </c>
      <c r="N240">
        <v>0.55000000000000004</v>
      </c>
      <c r="O240" t="s">
        <v>34</v>
      </c>
      <c r="P240">
        <v>0</v>
      </c>
      <c r="Q240">
        <v>2</v>
      </c>
      <c r="R240">
        <v>97</v>
      </c>
      <c r="S240">
        <v>99</v>
      </c>
    </row>
    <row r="241" spans="1:19" x14ac:dyDescent="0.3">
      <c r="A241">
        <v>240</v>
      </c>
      <c r="B241" s="46">
        <v>40554</v>
      </c>
      <c r="C241">
        <v>1</v>
      </c>
      <c r="D241">
        <v>8</v>
      </c>
      <c r="E241" t="b">
        <v>0</v>
      </c>
      <c r="F241">
        <v>2</v>
      </c>
      <c r="G241" t="s">
        <v>35</v>
      </c>
      <c r="H241" t="s">
        <v>37</v>
      </c>
      <c r="I241">
        <v>2</v>
      </c>
      <c r="J241" t="s">
        <v>31</v>
      </c>
      <c r="K241">
        <v>0.18</v>
      </c>
      <c r="L241" t="s">
        <v>23</v>
      </c>
      <c r="M241">
        <v>0.21210000000000001</v>
      </c>
      <c r="N241">
        <v>0.51</v>
      </c>
      <c r="O241" t="s">
        <v>34</v>
      </c>
      <c r="P241">
        <v>8.9599999999999999E-2</v>
      </c>
      <c r="Q241">
        <v>3</v>
      </c>
      <c r="R241">
        <v>214</v>
      </c>
      <c r="S241">
        <v>217</v>
      </c>
    </row>
    <row r="242" spans="1:19" x14ac:dyDescent="0.3">
      <c r="A242">
        <v>241</v>
      </c>
      <c r="B242" s="46">
        <v>40554</v>
      </c>
      <c r="C242">
        <v>1</v>
      </c>
      <c r="D242">
        <v>9</v>
      </c>
      <c r="E242" t="b">
        <v>0</v>
      </c>
      <c r="F242">
        <v>2</v>
      </c>
      <c r="G242" t="s">
        <v>35</v>
      </c>
      <c r="H242" t="s">
        <v>37</v>
      </c>
      <c r="I242">
        <v>2</v>
      </c>
      <c r="J242" t="s">
        <v>31</v>
      </c>
      <c r="K242">
        <v>0.18</v>
      </c>
      <c r="L242" t="s">
        <v>23</v>
      </c>
      <c r="M242">
        <v>0.19700000000000001</v>
      </c>
      <c r="N242">
        <v>0.51</v>
      </c>
      <c r="O242" t="s">
        <v>34</v>
      </c>
      <c r="P242">
        <v>0.16420000000000001</v>
      </c>
      <c r="Q242">
        <v>3</v>
      </c>
      <c r="R242">
        <v>127</v>
      </c>
      <c r="S242">
        <v>130</v>
      </c>
    </row>
    <row r="243" spans="1:19" x14ac:dyDescent="0.3">
      <c r="A243">
        <v>242</v>
      </c>
      <c r="B243" s="46">
        <v>40554</v>
      </c>
      <c r="C243">
        <v>1</v>
      </c>
      <c r="D243">
        <v>10</v>
      </c>
      <c r="E243" t="b">
        <v>0</v>
      </c>
      <c r="F243">
        <v>2</v>
      </c>
      <c r="G243" t="s">
        <v>35</v>
      </c>
      <c r="H243" t="s">
        <v>37</v>
      </c>
      <c r="I243">
        <v>2</v>
      </c>
      <c r="J243" t="s">
        <v>31</v>
      </c>
      <c r="K243">
        <v>0.2</v>
      </c>
      <c r="L243" t="s">
        <v>23</v>
      </c>
      <c r="M243">
        <v>0.21210000000000001</v>
      </c>
      <c r="N243">
        <v>0.51</v>
      </c>
      <c r="O243" t="s">
        <v>34</v>
      </c>
      <c r="P243">
        <v>0.16420000000000001</v>
      </c>
      <c r="Q243">
        <v>3</v>
      </c>
      <c r="R243">
        <v>51</v>
      </c>
      <c r="S243">
        <v>54</v>
      </c>
    </row>
    <row r="244" spans="1:19" x14ac:dyDescent="0.3">
      <c r="A244">
        <v>243</v>
      </c>
      <c r="B244" s="46">
        <v>40554</v>
      </c>
      <c r="C244">
        <v>1</v>
      </c>
      <c r="D244">
        <v>11</v>
      </c>
      <c r="E244" t="b">
        <v>0</v>
      </c>
      <c r="F244">
        <v>2</v>
      </c>
      <c r="G244" t="s">
        <v>35</v>
      </c>
      <c r="H244" t="s">
        <v>37</v>
      </c>
      <c r="I244">
        <v>2</v>
      </c>
      <c r="J244" t="s">
        <v>31</v>
      </c>
      <c r="K244">
        <v>0.2</v>
      </c>
      <c r="L244" t="s">
        <v>23</v>
      </c>
      <c r="M244">
        <v>0.21210000000000001</v>
      </c>
      <c r="N244">
        <v>0.47</v>
      </c>
      <c r="O244" t="s">
        <v>34</v>
      </c>
      <c r="P244">
        <v>0.1343</v>
      </c>
      <c r="Q244">
        <v>4</v>
      </c>
      <c r="R244">
        <v>31</v>
      </c>
      <c r="S244">
        <v>35</v>
      </c>
    </row>
    <row r="245" spans="1:19" x14ac:dyDescent="0.3">
      <c r="A245">
        <v>244</v>
      </c>
      <c r="B245" s="46">
        <v>40554</v>
      </c>
      <c r="C245">
        <v>1</v>
      </c>
      <c r="D245">
        <v>12</v>
      </c>
      <c r="E245" t="b">
        <v>0</v>
      </c>
      <c r="F245">
        <v>2</v>
      </c>
      <c r="G245" t="s">
        <v>35</v>
      </c>
      <c r="H245" t="s">
        <v>37</v>
      </c>
      <c r="I245">
        <v>2</v>
      </c>
      <c r="J245" t="s">
        <v>31</v>
      </c>
      <c r="K245">
        <v>0.2</v>
      </c>
      <c r="L245" t="s">
        <v>23</v>
      </c>
      <c r="M245">
        <v>0.2273</v>
      </c>
      <c r="N245">
        <v>0.51</v>
      </c>
      <c r="O245" t="s">
        <v>34</v>
      </c>
      <c r="P245">
        <v>0.1045</v>
      </c>
      <c r="Q245">
        <v>2</v>
      </c>
      <c r="R245">
        <v>55</v>
      </c>
      <c r="S245">
        <v>57</v>
      </c>
    </row>
    <row r="246" spans="1:19" x14ac:dyDescent="0.3">
      <c r="A246">
        <v>245</v>
      </c>
      <c r="B246" s="46">
        <v>40554</v>
      </c>
      <c r="C246">
        <v>1</v>
      </c>
      <c r="D246">
        <v>13</v>
      </c>
      <c r="E246" t="b">
        <v>0</v>
      </c>
      <c r="F246">
        <v>2</v>
      </c>
      <c r="G246" t="s">
        <v>35</v>
      </c>
      <c r="H246" t="s">
        <v>37</v>
      </c>
      <c r="I246">
        <v>2</v>
      </c>
      <c r="J246" t="s">
        <v>31</v>
      </c>
      <c r="K246">
        <v>0.2</v>
      </c>
      <c r="L246" t="s">
        <v>23</v>
      </c>
      <c r="M246">
        <v>0.2273</v>
      </c>
      <c r="N246">
        <v>0.59</v>
      </c>
      <c r="O246" t="s">
        <v>34</v>
      </c>
      <c r="P246">
        <v>8.9599999999999999E-2</v>
      </c>
      <c r="Q246">
        <v>6</v>
      </c>
      <c r="R246">
        <v>46</v>
      </c>
      <c r="S246">
        <v>52</v>
      </c>
    </row>
    <row r="247" spans="1:19" x14ac:dyDescent="0.3">
      <c r="A247">
        <v>246</v>
      </c>
      <c r="B247" s="46">
        <v>40554</v>
      </c>
      <c r="C247">
        <v>1</v>
      </c>
      <c r="D247">
        <v>14</v>
      </c>
      <c r="E247" t="b">
        <v>0</v>
      </c>
      <c r="F247">
        <v>2</v>
      </c>
      <c r="G247" t="s">
        <v>35</v>
      </c>
      <c r="H247" t="s">
        <v>37</v>
      </c>
      <c r="I247">
        <v>2</v>
      </c>
      <c r="J247" t="s">
        <v>31</v>
      </c>
      <c r="K247">
        <v>0.2</v>
      </c>
      <c r="L247" t="s">
        <v>23</v>
      </c>
      <c r="M247">
        <v>0.2273</v>
      </c>
      <c r="N247">
        <v>0.59</v>
      </c>
      <c r="O247" t="s">
        <v>34</v>
      </c>
      <c r="P247">
        <v>8.9599999999999999E-2</v>
      </c>
      <c r="Q247">
        <v>3</v>
      </c>
      <c r="R247">
        <v>60</v>
      </c>
      <c r="S247">
        <v>63</v>
      </c>
    </row>
    <row r="248" spans="1:19" x14ac:dyDescent="0.3">
      <c r="A248">
        <v>247</v>
      </c>
      <c r="B248" s="46">
        <v>40554</v>
      </c>
      <c r="C248">
        <v>1</v>
      </c>
      <c r="D248">
        <v>15</v>
      </c>
      <c r="E248" t="b">
        <v>0</v>
      </c>
      <c r="F248">
        <v>2</v>
      </c>
      <c r="G248" t="s">
        <v>35</v>
      </c>
      <c r="H248" t="s">
        <v>37</v>
      </c>
      <c r="I248">
        <v>2</v>
      </c>
      <c r="J248" t="s">
        <v>31</v>
      </c>
      <c r="K248">
        <v>0.16</v>
      </c>
      <c r="L248" t="s">
        <v>23</v>
      </c>
      <c r="M248">
        <v>0.19700000000000001</v>
      </c>
      <c r="N248">
        <v>0.8</v>
      </c>
      <c r="O248" t="s">
        <v>30</v>
      </c>
      <c r="P248">
        <v>8.9599999999999999E-2</v>
      </c>
      <c r="Q248">
        <v>2</v>
      </c>
      <c r="R248">
        <v>45</v>
      </c>
      <c r="S248">
        <v>47</v>
      </c>
    </row>
    <row r="249" spans="1:19" x14ac:dyDescent="0.3">
      <c r="A249">
        <v>248</v>
      </c>
      <c r="B249" s="46">
        <v>40554</v>
      </c>
      <c r="C249">
        <v>1</v>
      </c>
      <c r="D249">
        <v>16</v>
      </c>
      <c r="E249" t="b">
        <v>0</v>
      </c>
      <c r="F249">
        <v>2</v>
      </c>
      <c r="G249" t="s">
        <v>35</v>
      </c>
      <c r="H249" t="s">
        <v>37</v>
      </c>
      <c r="I249">
        <v>2</v>
      </c>
      <c r="J249" t="s">
        <v>31</v>
      </c>
      <c r="K249">
        <v>0.16</v>
      </c>
      <c r="L249" t="s">
        <v>23</v>
      </c>
      <c r="M249">
        <v>0.1515</v>
      </c>
      <c r="N249">
        <v>0.86</v>
      </c>
      <c r="O249" t="s">
        <v>30</v>
      </c>
      <c r="P249">
        <v>0.22389999999999999</v>
      </c>
      <c r="Q249">
        <v>4</v>
      </c>
      <c r="R249">
        <v>72</v>
      </c>
      <c r="S249">
        <v>76</v>
      </c>
    </row>
    <row r="250" spans="1:19" x14ac:dyDescent="0.3">
      <c r="A250">
        <v>249</v>
      </c>
      <c r="B250" s="46">
        <v>40554</v>
      </c>
      <c r="C250">
        <v>1</v>
      </c>
      <c r="D250">
        <v>17</v>
      </c>
      <c r="E250" t="b">
        <v>0</v>
      </c>
      <c r="F250">
        <v>2</v>
      </c>
      <c r="G250" t="s">
        <v>35</v>
      </c>
      <c r="H250" t="s">
        <v>37</v>
      </c>
      <c r="I250">
        <v>2</v>
      </c>
      <c r="J250" t="s">
        <v>31</v>
      </c>
      <c r="K250">
        <v>0.16</v>
      </c>
      <c r="L250" t="s">
        <v>23</v>
      </c>
      <c r="M250">
        <v>0.1515</v>
      </c>
      <c r="N250">
        <v>0.86</v>
      </c>
      <c r="O250" t="s">
        <v>30</v>
      </c>
      <c r="P250">
        <v>0.22389999999999999</v>
      </c>
      <c r="Q250">
        <v>6</v>
      </c>
      <c r="R250">
        <v>130</v>
      </c>
      <c r="S250">
        <v>136</v>
      </c>
    </row>
    <row r="251" spans="1:19" x14ac:dyDescent="0.3">
      <c r="A251">
        <v>250</v>
      </c>
      <c r="B251" s="46">
        <v>40554</v>
      </c>
      <c r="C251">
        <v>1</v>
      </c>
      <c r="D251">
        <v>18</v>
      </c>
      <c r="E251" t="b">
        <v>0</v>
      </c>
      <c r="F251">
        <v>2</v>
      </c>
      <c r="G251" t="s">
        <v>35</v>
      </c>
      <c r="H251" t="s">
        <v>37</v>
      </c>
      <c r="I251">
        <v>3</v>
      </c>
      <c r="J251" t="s">
        <v>32</v>
      </c>
      <c r="K251">
        <v>0.16</v>
      </c>
      <c r="L251" t="s">
        <v>23</v>
      </c>
      <c r="M251">
        <v>0.18179999999999999</v>
      </c>
      <c r="N251">
        <v>0.93</v>
      </c>
      <c r="O251" t="s">
        <v>30</v>
      </c>
      <c r="P251">
        <v>0.1045</v>
      </c>
      <c r="Q251">
        <v>1</v>
      </c>
      <c r="R251">
        <v>94</v>
      </c>
      <c r="S251">
        <v>95</v>
      </c>
    </row>
    <row r="252" spans="1:19" x14ac:dyDescent="0.3">
      <c r="A252">
        <v>251</v>
      </c>
      <c r="B252" s="46">
        <v>40554</v>
      </c>
      <c r="C252">
        <v>1</v>
      </c>
      <c r="D252">
        <v>19</v>
      </c>
      <c r="E252" t="b">
        <v>0</v>
      </c>
      <c r="F252">
        <v>2</v>
      </c>
      <c r="G252" t="s">
        <v>35</v>
      </c>
      <c r="H252" t="s">
        <v>37</v>
      </c>
      <c r="I252">
        <v>3</v>
      </c>
      <c r="J252" t="s">
        <v>32</v>
      </c>
      <c r="K252">
        <v>0.16</v>
      </c>
      <c r="L252" t="s">
        <v>23</v>
      </c>
      <c r="M252">
        <v>0.2273</v>
      </c>
      <c r="N252">
        <v>0.93</v>
      </c>
      <c r="O252" t="s">
        <v>30</v>
      </c>
      <c r="P252">
        <v>0</v>
      </c>
      <c r="Q252">
        <v>0</v>
      </c>
      <c r="R252">
        <v>51</v>
      </c>
      <c r="S252">
        <v>51</v>
      </c>
    </row>
    <row r="253" spans="1:19" x14ac:dyDescent="0.3">
      <c r="A253">
        <v>252</v>
      </c>
      <c r="B253" s="46">
        <v>40554</v>
      </c>
      <c r="C253">
        <v>1</v>
      </c>
      <c r="D253">
        <v>20</v>
      </c>
      <c r="E253" t="b">
        <v>0</v>
      </c>
      <c r="F253">
        <v>2</v>
      </c>
      <c r="G253" t="s">
        <v>35</v>
      </c>
      <c r="H253" t="s">
        <v>37</v>
      </c>
      <c r="I253">
        <v>3</v>
      </c>
      <c r="J253" t="s">
        <v>32</v>
      </c>
      <c r="K253">
        <v>0.16</v>
      </c>
      <c r="L253" t="s">
        <v>23</v>
      </c>
      <c r="M253">
        <v>0.1515</v>
      </c>
      <c r="N253">
        <v>0.93</v>
      </c>
      <c r="O253" t="s">
        <v>30</v>
      </c>
      <c r="P253">
        <v>0.19400000000000001</v>
      </c>
      <c r="Q253">
        <v>0</v>
      </c>
      <c r="R253">
        <v>32</v>
      </c>
      <c r="S253">
        <v>32</v>
      </c>
    </row>
    <row r="254" spans="1:19" x14ac:dyDescent="0.3">
      <c r="A254">
        <v>253</v>
      </c>
      <c r="B254" s="46">
        <v>40554</v>
      </c>
      <c r="C254">
        <v>1</v>
      </c>
      <c r="D254">
        <v>21</v>
      </c>
      <c r="E254" t="b">
        <v>0</v>
      </c>
      <c r="F254">
        <v>2</v>
      </c>
      <c r="G254" t="s">
        <v>35</v>
      </c>
      <c r="H254" t="s">
        <v>37</v>
      </c>
      <c r="I254">
        <v>3</v>
      </c>
      <c r="J254" t="s">
        <v>32</v>
      </c>
      <c r="K254">
        <v>0.16</v>
      </c>
      <c r="L254" t="s">
        <v>23</v>
      </c>
      <c r="M254">
        <v>0.19700000000000001</v>
      </c>
      <c r="N254">
        <v>0.86</v>
      </c>
      <c r="O254" t="s">
        <v>30</v>
      </c>
      <c r="P254">
        <v>8.9599999999999999E-2</v>
      </c>
      <c r="Q254">
        <v>0</v>
      </c>
      <c r="R254">
        <v>20</v>
      </c>
      <c r="S254">
        <v>20</v>
      </c>
    </row>
    <row r="255" spans="1:19" x14ac:dyDescent="0.3">
      <c r="A255">
        <v>254</v>
      </c>
      <c r="B255" s="46">
        <v>40554</v>
      </c>
      <c r="C255">
        <v>1</v>
      </c>
      <c r="D255">
        <v>22</v>
      </c>
      <c r="E255" t="b">
        <v>0</v>
      </c>
      <c r="F255">
        <v>2</v>
      </c>
      <c r="G255" t="s">
        <v>35</v>
      </c>
      <c r="H255" t="s">
        <v>37</v>
      </c>
      <c r="I255">
        <v>3</v>
      </c>
      <c r="J255" t="s">
        <v>32</v>
      </c>
      <c r="K255">
        <v>0.16</v>
      </c>
      <c r="L255" t="s">
        <v>23</v>
      </c>
      <c r="M255">
        <v>0.18179999999999999</v>
      </c>
      <c r="N255">
        <v>0.93</v>
      </c>
      <c r="O255" t="s">
        <v>30</v>
      </c>
      <c r="P255">
        <v>0.1045</v>
      </c>
      <c r="Q255">
        <v>1</v>
      </c>
      <c r="R255">
        <v>28</v>
      </c>
      <c r="S255">
        <v>29</v>
      </c>
    </row>
    <row r="256" spans="1:19" x14ac:dyDescent="0.3">
      <c r="A256">
        <v>255</v>
      </c>
      <c r="B256" s="46">
        <v>40554</v>
      </c>
      <c r="C256">
        <v>1</v>
      </c>
      <c r="D256">
        <v>23</v>
      </c>
      <c r="E256" t="b">
        <v>0</v>
      </c>
      <c r="F256">
        <v>2</v>
      </c>
      <c r="G256" t="s">
        <v>35</v>
      </c>
      <c r="H256" t="s">
        <v>37</v>
      </c>
      <c r="I256">
        <v>3</v>
      </c>
      <c r="J256" t="s">
        <v>32</v>
      </c>
      <c r="K256">
        <v>0.16</v>
      </c>
      <c r="L256" t="s">
        <v>23</v>
      </c>
      <c r="M256">
        <v>0.19700000000000001</v>
      </c>
      <c r="N256">
        <v>0.93</v>
      </c>
      <c r="O256" t="s">
        <v>30</v>
      </c>
      <c r="P256">
        <v>8.9599999999999999E-2</v>
      </c>
      <c r="Q256">
        <v>1</v>
      </c>
      <c r="R256">
        <v>18</v>
      </c>
      <c r="S256">
        <v>19</v>
      </c>
    </row>
    <row r="257" spans="1:19" x14ac:dyDescent="0.3">
      <c r="A257">
        <v>256</v>
      </c>
      <c r="B257" s="46">
        <v>40555</v>
      </c>
      <c r="C257">
        <v>1</v>
      </c>
      <c r="D257">
        <v>0</v>
      </c>
      <c r="E257" t="b">
        <v>0</v>
      </c>
      <c r="F257">
        <v>3</v>
      </c>
      <c r="G257" t="s">
        <v>35</v>
      </c>
      <c r="H257" t="s">
        <v>38</v>
      </c>
      <c r="I257">
        <v>2</v>
      </c>
      <c r="J257" t="s">
        <v>31</v>
      </c>
      <c r="K257">
        <v>0.16</v>
      </c>
      <c r="L257" t="s">
        <v>23</v>
      </c>
      <c r="M257">
        <v>0.19700000000000001</v>
      </c>
      <c r="N257">
        <v>0.86</v>
      </c>
      <c r="O257" t="s">
        <v>30</v>
      </c>
      <c r="P257">
        <v>8.9599999999999999E-2</v>
      </c>
      <c r="Q257">
        <v>0</v>
      </c>
      <c r="R257">
        <v>7</v>
      </c>
      <c r="S257">
        <v>7</v>
      </c>
    </row>
    <row r="258" spans="1:19" x14ac:dyDescent="0.3">
      <c r="A258">
        <v>257</v>
      </c>
      <c r="B258" s="46">
        <v>40555</v>
      </c>
      <c r="C258">
        <v>1</v>
      </c>
      <c r="D258">
        <v>1</v>
      </c>
      <c r="E258" t="b">
        <v>0</v>
      </c>
      <c r="F258">
        <v>3</v>
      </c>
      <c r="G258" t="s">
        <v>35</v>
      </c>
      <c r="H258" t="s">
        <v>38</v>
      </c>
      <c r="I258">
        <v>2</v>
      </c>
      <c r="J258" t="s">
        <v>31</v>
      </c>
      <c r="K258">
        <v>0.16</v>
      </c>
      <c r="L258" t="s">
        <v>23</v>
      </c>
      <c r="M258">
        <v>0.18179999999999999</v>
      </c>
      <c r="N258">
        <v>0.86</v>
      </c>
      <c r="O258" t="s">
        <v>30</v>
      </c>
      <c r="P258">
        <v>0.1045</v>
      </c>
      <c r="Q258">
        <v>0</v>
      </c>
      <c r="R258">
        <v>6</v>
      </c>
      <c r="S258">
        <v>6</v>
      </c>
    </row>
    <row r="259" spans="1:19" x14ac:dyDescent="0.3">
      <c r="A259">
        <v>258</v>
      </c>
      <c r="B259" s="46">
        <v>40555</v>
      </c>
      <c r="C259">
        <v>1</v>
      </c>
      <c r="D259">
        <v>2</v>
      </c>
      <c r="E259" t="b">
        <v>0</v>
      </c>
      <c r="F259">
        <v>3</v>
      </c>
      <c r="G259" t="s">
        <v>35</v>
      </c>
      <c r="H259" t="s">
        <v>38</v>
      </c>
      <c r="I259">
        <v>1</v>
      </c>
      <c r="J259" t="s">
        <v>29</v>
      </c>
      <c r="K259">
        <v>0.14000000000000001</v>
      </c>
      <c r="L259" t="s">
        <v>23</v>
      </c>
      <c r="M259">
        <v>0.1515</v>
      </c>
      <c r="N259">
        <v>0.86</v>
      </c>
      <c r="O259" t="s">
        <v>30</v>
      </c>
      <c r="P259">
        <v>0.1343</v>
      </c>
      <c r="Q259">
        <v>0</v>
      </c>
      <c r="R259">
        <v>1</v>
      </c>
      <c r="S259">
        <v>1</v>
      </c>
    </row>
    <row r="260" spans="1:19" x14ac:dyDescent="0.3">
      <c r="A260">
        <v>259</v>
      </c>
      <c r="B260" s="46">
        <v>40555</v>
      </c>
      <c r="C260">
        <v>1</v>
      </c>
      <c r="D260">
        <v>5</v>
      </c>
      <c r="E260" t="b">
        <v>0</v>
      </c>
      <c r="F260">
        <v>3</v>
      </c>
      <c r="G260" t="s">
        <v>35</v>
      </c>
      <c r="H260" t="s">
        <v>38</v>
      </c>
      <c r="I260">
        <v>1</v>
      </c>
      <c r="J260" t="s">
        <v>29</v>
      </c>
      <c r="K260">
        <v>0.14000000000000001</v>
      </c>
      <c r="L260" t="s">
        <v>23</v>
      </c>
      <c r="M260">
        <v>0.1515</v>
      </c>
      <c r="N260">
        <v>0.86</v>
      </c>
      <c r="O260" t="s">
        <v>30</v>
      </c>
      <c r="P260">
        <v>0.16420000000000001</v>
      </c>
      <c r="Q260">
        <v>0</v>
      </c>
      <c r="R260">
        <v>5</v>
      </c>
      <c r="S260">
        <v>5</v>
      </c>
    </row>
    <row r="261" spans="1:19" x14ac:dyDescent="0.3">
      <c r="A261">
        <v>260</v>
      </c>
      <c r="B261" s="46">
        <v>40555</v>
      </c>
      <c r="C261">
        <v>1</v>
      </c>
      <c r="D261">
        <v>6</v>
      </c>
      <c r="E261" t="b">
        <v>0</v>
      </c>
      <c r="F261">
        <v>3</v>
      </c>
      <c r="G261" t="s">
        <v>35</v>
      </c>
      <c r="H261" t="s">
        <v>38</v>
      </c>
      <c r="I261">
        <v>1</v>
      </c>
      <c r="J261" t="s">
        <v>29</v>
      </c>
      <c r="K261">
        <v>0.12</v>
      </c>
      <c r="L261" t="s">
        <v>23</v>
      </c>
      <c r="M261">
        <v>0.1515</v>
      </c>
      <c r="N261">
        <v>0.93</v>
      </c>
      <c r="O261" t="s">
        <v>30</v>
      </c>
      <c r="P261">
        <v>0.1343</v>
      </c>
      <c r="Q261">
        <v>0</v>
      </c>
      <c r="R261">
        <v>16</v>
      </c>
      <c r="S261">
        <v>16</v>
      </c>
    </row>
    <row r="262" spans="1:19" x14ac:dyDescent="0.3">
      <c r="A262">
        <v>261</v>
      </c>
      <c r="B262" s="46">
        <v>40555</v>
      </c>
      <c r="C262">
        <v>1</v>
      </c>
      <c r="D262">
        <v>7</v>
      </c>
      <c r="E262" t="b">
        <v>0</v>
      </c>
      <c r="F262">
        <v>3</v>
      </c>
      <c r="G262" t="s">
        <v>35</v>
      </c>
      <c r="H262" t="s">
        <v>38</v>
      </c>
      <c r="I262">
        <v>1</v>
      </c>
      <c r="J262" t="s">
        <v>29</v>
      </c>
      <c r="K262">
        <v>0.14000000000000001</v>
      </c>
      <c r="L262" t="s">
        <v>23</v>
      </c>
      <c r="M262">
        <v>0.1515</v>
      </c>
      <c r="N262">
        <v>0.69</v>
      </c>
      <c r="O262" t="s">
        <v>34</v>
      </c>
      <c r="P262">
        <v>0.1343</v>
      </c>
      <c r="Q262">
        <v>0</v>
      </c>
      <c r="R262">
        <v>54</v>
      </c>
      <c r="S262">
        <v>54</v>
      </c>
    </row>
    <row r="263" spans="1:19" x14ac:dyDescent="0.3">
      <c r="A263">
        <v>262</v>
      </c>
      <c r="B263" s="46">
        <v>40555</v>
      </c>
      <c r="C263">
        <v>1</v>
      </c>
      <c r="D263">
        <v>8</v>
      </c>
      <c r="E263" t="b">
        <v>0</v>
      </c>
      <c r="F263">
        <v>3</v>
      </c>
      <c r="G263" t="s">
        <v>35</v>
      </c>
      <c r="H263" t="s">
        <v>38</v>
      </c>
      <c r="I263">
        <v>1</v>
      </c>
      <c r="J263" t="s">
        <v>29</v>
      </c>
      <c r="K263">
        <v>0.16</v>
      </c>
      <c r="L263" t="s">
        <v>23</v>
      </c>
      <c r="M263">
        <v>0.16669999999999999</v>
      </c>
      <c r="N263">
        <v>0.59</v>
      </c>
      <c r="O263" t="s">
        <v>34</v>
      </c>
      <c r="P263">
        <v>0.16420000000000001</v>
      </c>
      <c r="Q263">
        <v>3</v>
      </c>
      <c r="R263">
        <v>125</v>
      </c>
      <c r="S263">
        <v>128</v>
      </c>
    </row>
    <row r="264" spans="1:19" x14ac:dyDescent="0.3">
      <c r="A264">
        <v>263</v>
      </c>
      <c r="B264" s="46">
        <v>40555</v>
      </c>
      <c r="C264">
        <v>1</v>
      </c>
      <c r="D264">
        <v>9</v>
      </c>
      <c r="E264" t="b">
        <v>0</v>
      </c>
      <c r="F264">
        <v>3</v>
      </c>
      <c r="G264" t="s">
        <v>35</v>
      </c>
      <c r="H264" t="s">
        <v>38</v>
      </c>
      <c r="I264">
        <v>1</v>
      </c>
      <c r="J264" t="s">
        <v>29</v>
      </c>
      <c r="K264">
        <v>0.16</v>
      </c>
      <c r="L264" t="s">
        <v>23</v>
      </c>
      <c r="M264">
        <v>0.13639999999999999</v>
      </c>
      <c r="N264">
        <v>0.59</v>
      </c>
      <c r="O264" t="s">
        <v>34</v>
      </c>
      <c r="P264">
        <v>0.32840000000000003</v>
      </c>
      <c r="Q264">
        <v>3</v>
      </c>
      <c r="R264">
        <v>78</v>
      </c>
      <c r="S264">
        <v>81</v>
      </c>
    </row>
    <row r="265" spans="1:19" x14ac:dyDescent="0.3">
      <c r="A265">
        <v>264</v>
      </c>
      <c r="B265" s="46">
        <v>40555</v>
      </c>
      <c r="C265">
        <v>1</v>
      </c>
      <c r="D265">
        <v>10</v>
      </c>
      <c r="E265" t="b">
        <v>0</v>
      </c>
      <c r="F265">
        <v>3</v>
      </c>
      <c r="G265" t="s">
        <v>35</v>
      </c>
      <c r="H265" t="s">
        <v>38</v>
      </c>
      <c r="I265">
        <v>1</v>
      </c>
      <c r="J265" t="s">
        <v>29</v>
      </c>
      <c r="K265">
        <v>0.18</v>
      </c>
      <c r="L265" t="s">
        <v>23</v>
      </c>
      <c r="M265">
        <v>0.18179999999999999</v>
      </c>
      <c r="N265">
        <v>0.55000000000000004</v>
      </c>
      <c r="O265" t="s">
        <v>34</v>
      </c>
      <c r="P265">
        <v>0.22389999999999999</v>
      </c>
      <c r="Q265">
        <v>0</v>
      </c>
      <c r="R265">
        <v>39</v>
      </c>
      <c r="S265">
        <v>39</v>
      </c>
    </row>
    <row r="266" spans="1:19" x14ac:dyDescent="0.3">
      <c r="A266">
        <v>265</v>
      </c>
      <c r="B266" s="46">
        <v>40555</v>
      </c>
      <c r="C266">
        <v>1</v>
      </c>
      <c r="D266">
        <v>11</v>
      </c>
      <c r="E266" t="b">
        <v>0</v>
      </c>
      <c r="F266">
        <v>3</v>
      </c>
      <c r="G266" t="s">
        <v>35</v>
      </c>
      <c r="H266" t="s">
        <v>38</v>
      </c>
      <c r="I266">
        <v>1</v>
      </c>
      <c r="J266" t="s">
        <v>29</v>
      </c>
      <c r="K266">
        <v>0.2</v>
      </c>
      <c r="L266" t="s">
        <v>23</v>
      </c>
      <c r="M266">
        <v>0.18179999999999999</v>
      </c>
      <c r="N266">
        <v>0.51</v>
      </c>
      <c r="O266" t="s">
        <v>34</v>
      </c>
      <c r="P266">
        <v>0.3881</v>
      </c>
      <c r="Q266">
        <v>3</v>
      </c>
      <c r="R266">
        <v>32</v>
      </c>
      <c r="S266">
        <v>35</v>
      </c>
    </row>
    <row r="267" spans="1:19" x14ac:dyDescent="0.3">
      <c r="A267">
        <v>266</v>
      </c>
      <c r="B267" s="46">
        <v>40555</v>
      </c>
      <c r="C267">
        <v>1</v>
      </c>
      <c r="D267">
        <v>12</v>
      </c>
      <c r="E267" t="b">
        <v>0</v>
      </c>
      <c r="F267">
        <v>3</v>
      </c>
      <c r="G267" t="s">
        <v>35</v>
      </c>
      <c r="H267" t="s">
        <v>38</v>
      </c>
      <c r="I267">
        <v>1</v>
      </c>
      <c r="J267" t="s">
        <v>29</v>
      </c>
      <c r="K267">
        <v>0.2</v>
      </c>
      <c r="L267" t="s">
        <v>23</v>
      </c>
      <c r="M267">
        <v>0.1515</v>
      </c>
      <c r="N267">
        <v>0.47</v>
      </c>
      <c r="O267" t="s">
        <v>34</v>
      </c>
      <c r="P267">
        <v>0.58209999999999995</v>
      </c>
      <c r="Q267">
        <v>3</v>
      </c>
      <c r="R267">
        <v>52</v>
      </c>
      <c r="S267">
        <v>55</v>
      </c>
    </row>
    <row r="268" spans="1:19" x14ac:dyDescent="0.3">
      <c r="A268">
        <v>267</v>
      </c>
      <c r="B268" s="46">
        <v>40555</v>
      </c>
      <c r="C268">
        <v>1</v>
      </c>
      <c r="D268">
        <v>13</v>
      </c>
      <c r="E268" t="b">
        <v>0</v>
      </c>
      <c r="F268">
        <v>3</v>
      </c>
      <c r="G268" t="s">
        <v>35</v>
      </c>
      <c r="H268" t="s">
        <v>38</v>
      </c>
      <c r="I268">
        <v>1</v>
      </c>
      <c r="J268" t="s">
        <v>29</v>
      </c>
      <c r="K268">
        <v>0.22</v>
      </c>
      <c r="L268" t="s">
        <v>23</v>
      </c>
      <c r="M268">
        <v>0.19700000000000001</v>
      </c>
      <c r="N268">
        <v>0.44</v>
      </c>
      <c r="O268" t="s">
        <v>34</v>
      </c>
      <c r="P268">
        <v>0.35820000000000002</v>
      </c>
      <c r="Q268">
        <v>0</v>
      </c>
      <c r="R268">
        <v>49</v>
      </c>
      <c r="S268">
        <v>49</v>
      </c>
    </row>
    <row r="269" spans="1:19" x14ac:dyDescent="0.3">
      <c r="A269">
        <v>268</v>
      </c>
      <c r="B269" s="46">
        <v>40555</v>
      </c>
      <c r="C269">
        <v>1</v>
      </c>
      <c r="D269">
        <v>14</v>
      </c>
      <c r="E269" t="b">
        <v>0</v>
      </c>
      <c r="F269">
        <v>3</v>
      </c>
      <c r="G269" t="s">
        <v>35</v>
      </c>
      <c r="H269" t="s">
        <v>38</v>
      </c>
      <c r="I269">
        <v>1</v>
      </c>
      <c r="J269" t="s">
        <v>29</v>
      </c>
      <c r="K269">
        <v>0.2</v>
      </c>
      <c r="L269" t="s">
        <v>23</v>
      </c>
      <c r="M269">
        <v>0.18179999999999999</v>
      </c>
      <c r="N269">
        <v>0.47</v>
      </c>
      <c r="O269" t="s">
        <v>34</v>
      </c>
      <c r="P269">
        <v>0.32840000000000003</v>
      </c>
      <c r="Q269">
        <v>0</v>
      </c>
      <c r="R269">
        <v>44</v>
      </c>
      <c r="S269">
        <v>44</v>
      </c>
    </row>
    <row r="270" spans="1:19" x14ac:dyDescent="0.3">
      <c r="A270">
        <v>269</v>
      </c>
      <c r="B270" s="46">
        <v>40555</v>
      </c>
      <c r="C270">
        <v>1</v>
      </c>
      <c r="D270">
        <v>15</v>
      </c>
      <c r="E270" t="b">
        <v>0</v>
      </c>
      <c r="F270">
        <v>3</v>
      </c>
      <c r="G270" t="s">
        <v>35</v>
      </c>
      <c r="H270" t="s">
        <v>38</v>
      </c>
      <c r="I270">
        <v>1</v>
      </c>
      <c r="J270" t="s">
        <v>29</v>
      </c>
      <c r="K270">
        <v>0.2</v>
      </c>
      <c r="L270" t="s">
        <v>23</v>
      </c>
      <c r="M270">
        <v>0.16669999999999999</v>
      </c>
      <c r="N270">
        <v>0.47</v>
      </c>
      <c r="O270" t="s">
        <v>34</v>
      </c>
      <c r="P270">
        <v>0.41789999999999999</v>
      </c>
      <c r="Q270">
        <v>1</v>
      </c>
      <c r="R270">
        <v>48</v>
      </c>
      <c r="S270">
        <v>49</v>
      </c>
    </row>
    <row r="271" spans="1:19" x14ac:dyDescent="0.3">
      <c r="A271">
        <v>270</v>
      </c>
      <c r="B271" s="46">
        <v>40555</v>
      </c>
      <c r="C271">
        <v>1</v>
      </c>
      <c r="D271">
        <v>16</v>
      </c>
      <c r="E271" t="b">
        <v>0</v>
      </c>
      <c r="F271">
        <v>3</v>
      </c>
      <c r="G271" t="s">
        <v>35</v>
      </c>
      <c r="H271" t="s">
        <v>38</v>
      </c>
      <c r="I271">
        <v>1</v>
      </c>
      <c r="J271" t="s">
        <v>29</v>
      </c>
      <c r="K271">
        <v>0.22</v>
      </c>
      <c r="L271" t="s">
        <v>23</v>
      </c>
      <c r="M271">
        <v>0.19700000000000001</v>
      </c>
      <c r="N271">
        <v>0.44</v>
      </c>
      <c r="O271" t="s">
        <v>34</v>
      </c>
      <c r="P271">
        <v>0.32840000000000003</v>
      </c>
      <c r="Q271">
        <v>5</v>
      </c>
      <c r="R271">
        <v>63</v>
      </c>
      <c r="S271">
        <v>68</v>
      </c>
    </row>
    <row r="272" spans="1:19" x14ac:dyDescent="0.3">
      <c r="A272">
        <v>271</v>
      </c>
      <c r="B272" s="46">
        <v>40555</v>
      </c>
      <c r="C272">
        <v>1</v>
      </c>
      <c r="D272">
        <v>17</v>
      </c>
      <c r="E272" t="b">
        <v>0</v>
      </c>
      <c r="F272">
        <v>3</v>
      </c>
      <c r="G272" t="s">
        <v>35</v>
      </c>
      <c r="H272" t="s">
        <v>38</v>
      </c>
      <c r="I272">
        <v>1</v>
      </c>
      <c r="J272" t="s">
        <v>29</v>
      </c>
      <c r="K272">
        <v>0.2</v>
      </c>
      <c r="L272" t="s">
        <v>23</v>
      </c>
      <c r="M272">
        <v>0.18179999999999999</v>
      </c>
      <c r="N272">
        <v>0.47</v>
      </c>
      <c r="O272" t="s">
        <v>34</v>
      </c>
      <c r="P272">
        <v>0.35820000000000002</v>
      </c>
      <c r="Q272">
        <v>0</v>
      </c>
      <c r="R272">
        <v>139</v>
      </c>
      <c r="S272">
        <v>139</v>
      </c>
    </row>
    <row r="273" spans="1:19" x14ac:dyDescent="0.3">
      <c r="A273">
        <v>272</v>
      </c>
      <c r="B273" s="46">
        <v>40555</v>
      </c>
      <c r="C273">
        <v>1</v>
      </c>
      <c r="D273">
        <v>18</v>
      </c>
      <c r="E273" t="b">
        <v>0</v>
      </c>
      <c r="F273">
        <v>3</v>
      </c>
      <c r="G273" t="s">
        <v>35</v>
      </c>
      <c r="H273" t="s">
        <v>38</v>
      </c>
      <c r="I273">
        <v>1</v>
      </c>
      <c r="J273" t="s">
        <v>29</v>
      </c>
      <c r="K273">
        <v>0.2</v>
      </c>
      <c r="L273" t="s">
        <v>23</v>
      </c>
      <c r="M273">
        <v>0.1515</v>
      </c>
      <c r="N273">
        <v>0.47</v>
      </c>
      <c r="O273" t="s">
        <v>34</v>
      </c>
      <c r="P273">
        <v>0.52239999999999998</v>
      </c>
      <c r="Q273">
        <v>2</v>
      </c>
      <c r="R273">
        <v>135</v>
      </c>
      <c r="S273">
        <v>137</v>
      </c>
    </row>
    <row r="274" spans="1:19" x14ac:dyDescent="0.3">
      <c r="A274">
        <v>273</v>
      </c>
      <c r="B274" s="46">
        <v>40555</v>
      </c>
      <c r="C274">
        <v>1</v>
      </c>
      <c r="D274">
        <v>19</v>
      </c>
      <c r="E274" t="b">
        <v>0</v>
      </c>
      <c r="F274">
        <v>3</v>
      </c>
      <c r="G274" t="s">
        <v>35</v>
      </c>
      <c r="H274" t="s">
        <v>38</v>
      </c>
      <c r="I274">
        <v>1</v>
      </c>
      <c r="J274" t="s">
        <v>29</v>
      </c>
      <c r="K274">
        <v>0.18</v>
      </c>
      <c r="L274" t="s">
        <v>23</v>
      </c>
      <c r="M274">
        <v>0.1515</v>
      </c>
      <c r="N274">
        <v>0.47</v>
      </c>
      <c r="O274" t="s">
        <v>34</v>
      </c>
      <c r="P274">
        <v>0.41789999999999999</v>
      </c>
      <c r="Q274">
        <v>1</v>
      </c>
      <c r="R274">
        <v>82</v>
      </c>
      <c r="S274">
        <v>83</v>
      </c>
    </row>
    <row r="275" spans="1:19" x14ac:dyDescent="0.3">
      <c r="A275">
        <v>274</v>
      </c>
      <c r="B275" s="46">
        <v>40555</v>
      </c>
      <c r="C275">
        <v>1</v>
      </c>
      <c r="D275">
        <v>20</v>
      </c>
      <c r="E275" t="b">
        <v>0</v>
      </c>
      <c r="F275">
        <v>3</v>
      </c>
      <c r="G275" t="s">
        <v>35</v>
      </c>
      <c r="H275" t="s">
        <v>38</v>
      </c>
      <c r="I275">
        <v>1</v>
      </c>
      <c r="J275" t="s">
        <v>29</v>
      </c>
      <c r="K275">
        <v>0.16</v>
      </c>
      <c r="L275" t="s">
        <v>23</v>
      </c>
      <c r="M275">
        <v>0.13639999999999999</v>
      </c>
      <c r="N275">
        <v>0.5</v>
      </c>
      <c r="O275" t="s">
        <v>34</v>
      </c>
      <c r="P275">
        <v>0.32840000000000003</v>
      </c>
      <c r="Q275">
        <v>2</v>
      </c>
      <c r="R275">
        <v>54</v>
      </c>
      <c r="S275">
        <v>56</v>
      </c>
    </row>
    <row r="276" spans="1:19" x14ac:dyDescent="0.3">
      <c r="A276">
        <v>275</v>
      </c>
      <c r="B276" s="46">
        <v>40555</v>
      </c>
      <c r="C276">
        <v>1</v>
      </c>
      <c r="D276">
        <v>21</v>
      </c>
      <c r="E276" t="b">
        <v>0</v>
      </c>
      <c r="F276">
        <v>3</v>
      </c>
      <c r="G276" t="s">
        <v>35</v>
      </c>
      <c r="H276" t="s">
        <v>38</v>
      </c>
      <c r="I276">
        <v>1</v>
      </c>
      <c r="J276" t="s">
        <v>29</v>
      </c>
      <c r="K276">
        <v>0.16</v>
      </c>
      <c r="L276" t="s">
        <v>23</v>
      </c>
      <c r="M276">
        <v>0.13639999999999999</v>
      </c>
      <c r="N276">
        <v>0.55000000000000004</v>
      </c>
      <c r="O276" t="s">
        <v>34</v>
      </c>
      <c r="P276">
        <v>0.32840000000000003</v>
      </c>
      <c r="Q276">
        <v>0</v>
      </c>
      <c r="R276">
        <v>57</v>
      </c>
      <c r="S276">
        <v>57</v>
      </c>
    </row>
    <row r="277" spans="1:19" x14ac:dyDescent="0.3">
      <c r="A277">
        <v>276</v>
      </c>
      <c r="B277" s="46">
        <v>40555</v>
      </c>
      <c r="C277">
        <v>1</v>
      </c>
      <c r="D277">
        <v>22</v>
      </c>
      <c r="E277" t="b">
        <v>0</v>
      </c>
      <c r="F277">
        <v>3</v>
      </c>
      <c r="G277" t="s">
        <v>35</v>
      </c>
      <c r="H277" t="s">
        <v>38</v>
      </c>
      <c r="I277">
        <v>1</v>
      </c>
      <c r="J277" t="s">
        <v>29</v>
      </c>
      <c r="K277">
        <v>0.16</v>
      </c>
      <c r="L277" t="s">
        <v>23</v>
      </c>
      <c r="M277">
        <v>0.1212</v>
      </c>
      <c r="N277">
        <v>0.55000000000000004</v>
      </c>
      <c r="O277" t="s">
        <v>34</v>
      </c>
      <c r="P277">
        <v>0.44779999999999998</v>
      </c>
      <c r="Q277">
        <v>1</v>
      </c>
      <c r="R277">
        <v>32</v>
      </c>
      <c r="S277">
        <v>33</v>
      </c>
    </row>
    <row r="278" spans="1:19" x14ac:dyDescent="0.3">
      <c r="A278">
        <v>277</v>
      </c>
      <c r="B278" s="46">
        <v>40555</v>
      </c>
      <c r="C278">
        <v>1</v>
      </c>
      <c r="D278">
        <v>23</v>
      </c>
      <c r="E278" t="b">
        <v>0</v>
      </c>
      <c r="F278">
        <v>3</v>
      </c>
      <c r="G278" t="s">
        <v>35</v>
      </c>
      <c r="H278" t="s">
        <v>38</v>
      </c>
      <c r="I278">
        <v>1</v>
      </c>
      <c r="J278" t="s">
        <v>29</v>
      </c>
      <c r="K278">
        <v>0.14000000000000001</v>
      </c>
      <c r="L278" t="s">
        <v>23</v>
      </c>
      <c r="M278">
        <v>0.1061</v>
      </c>
      <c r="N278">
        <v>0.59</v>
      </c>
      <c r="O278" t="s">
        <v>34</v>
      </c>
      <c r="P278">
        <v>0.41789999999999999</v>
      </c>
      <c r="Q278">
        <v>1</v>
      </c>
      <c r="R278">
        <v>19</v>
      </c>
      <c r="S278">
        <v>20</v>
      </c>
    </row>
    <row r="279" spans="1:19" x14ac:dyDescent="0.3">
      <c r="A279">
        <v>278</v>
      </c>
      <c r="B279" s="46">
        <v>40556</v>
      </c>
      <c r="C279">
        <v>1</v>
      </c>
      <c r="D279">
        <v>0</v>
      </c>
      <c r="E279" t="b">
        <v>0</v>
      </c>
      <c r="F279">
        <v>4</v>
      </c>
      <c r="G279" t="s">
        <v>35</v>
      </c>
      <c r="H279" t="s">
        <v>39</v>
      </c>
      <c r="I279">
        <v>1</v>
      </c>
      <c r="J279" t="s">
        <v>29</v>
      </c>
      <c r="K279">
        <v>0.14000000000000001</v>
      </c>
      <c r="L279" t="s">
        <v>23</v>
      </c>
      <c r="M279">
        <v>0.1212</v>
      </c>
      <c r="N279">
        <v>0.59</v>
      </c>
      <c r="O279" t="s">
        <v>34</v>
      </c>
      <c r="P279">
        <v>0.28360000000000002</v>
      </c>
      <c r="Q279">
        <v>1</v>
      </c>
      <c r="R279">
        <v>6</v>
      </c>
      <c r="S279">
        <v>7</v>
      </c>
    </row>
    <row r="280" spans="1:19" x14ac:dyDescent="0.3">
      <c r="A280">
        <v>279</v>
      </c>
      <c r="B280" s="46">
        <v>40556</v>
      </c>
      <c r="C280">
        <v>1</v>
      </c>
      <c r="D280">
        <v>1</v>
      </c>
      <c r="E280" t="b">
        <v>0</v>
      </c>
      <c r="F280">
        <v>4</v>
      </c>
      <c r="G280" t="s">
        <v>35</v>
      </c>
      <c r="H280" t="s">
        <v>39</v>
      </c>
      <c r="I280">
        <v>1</v>
      </c>
      <c r="J280" t="s">
        <v>29</v>
      </c>
      <c r="K280">
        <v>0.14000000000000001</v>
      </c>
      <c r="L280" t="s">
        <v>23</v>
      </c>
      <c r="M280">
        <v>0.1212</v>
      </c>
      <c r="N280">
        <v>0.5</v>
      </c>
      <c r="O280" t="s">
        <v>34</v>
      </c>
      <c r="P280">
        <v>0.28360000000000002</v>
      </c>
      <c r="Q280">
        <v>0</v>
      </c>
      <c r="R280">
        <v>2</v>
      </c>
      <c r="S280">
        <v>2</v>
      </c>
    </row>
    <row r="281" spans="1:19" x14ac:dyDescent="0.3">
      <c r="A281">
        <v>280</v>
      </c>
      <c r="B281" s="46">
        <v>40556</v>
      </c>
      <c r="C281">
        <v>1</v>
      </c>
      <c r="D281">
        <v>2</v>
      </c>
      <c r="E281" t="b">
        <v>0</v>
      </c>
      <c r="F281">
        <v>4</v>
      </c>
      <c r="G281" t="s">
        <v>35</v>
      </c>
      <c r="H281" t="s">
        <v>39</v>
      </c>
      <c r="I281">
        <v>1</v>
      </c>
      <c r="J281" t="s">
        <v>29</v>
      </c>
      <c r="K281">
        <v>0.14000000000000001</v>
      </c>
      <c r="L281" t="s">
        <v>23</v>
      </c>
      <c r="M281">
        <v>0.1212</v>
      </c>
      <c r="N281">
        <v>0.5</v>
      </c>
      <c r="O281" t="s">
        <v>34</v>
      </c>
      <c r="P281">
        <v>0.35820000000000002</v>
      </c>
      <c r="Q281">
        <v>0</v>
      </c>
      <c r="R281">
        <v>2</v>
      </c>
      <c r="S281">
        <v>2</v>
      </c>
    </row>
    <row r="282" spans="1:19" x14ac:dyDescent="0.3">
      <c r="A282">
        <v>281</v>
      </c>
      <c r="B282" s="46">
        <v>40556</v>
      </c>
      <c r="C282">
        <v>1</v>
      </c>
      <c r="D282">
        <v>3</v>
      </c>
      <c r="E282" t="b">
        <v>0</v>
      </c>
      <c r="F282">
        <v>4</v>
      </c>
      <c r="G282" t="s">
        <v>35</v>
      </c>
      <c r="H282" t="s">
        <v>39</v>
      </c>
      <c r="I282">
        <v>1</v>
      </c>
      <c r="J282" t="s">
        <v>29</v>
      </c>
      <c r="K282">
        <v>0.14000000000000001</v>
      </c>
      <c r="L282" t="s">
        <v>23</v>
      </c>
      <c r="M282">
        <v>0.1212</v>
      </c>
      <c r="N282">
        <v>0.5</v>
      </c>
      <c r="O282" t="s">
        <v>34</v>
      </c>
      <c r="P282">
        <v>0.32840000000000003</v>
      </c>
      <c r="Q282">
        <v>0</v>
      </c>
      <c r="R282">
        <v>3</v>
      </c>
      <c r="S282">
        <v>3</v>
      </c>
    </row>
    <row r="283" spans="1:19" x14ac:dyDescent="0.3">
      <c r="A283">
        <v>282</v>
      </c>
      <c r="B283" s="46">
        <v>40556</v>
      </c>
      <c r="C283">
        <v>1</v>
      </c>
      <c r="D283">
        <v>4</v>
      </c>
      <c r="E283" t="b">
        <v>0</v>
      </c>
      <c r="F283">
        <v>4</v>
      </c>
      <c r="G283" t="s">
        <v>35</v>
      </c>
      <c r="H283" t="s">
        <v>39</v>
      </c>
      <c r="I283">
        <v>1</v>
      </c>
      <c r="J283" t="s">
        <v>29</v>
      </c>
      <c r="K283">
        <v>0.14000000000000001</v>
      </c>
      <c r="L283" t="s">
        <v>23</v>
      </c>
      <c r="M283">
        <v>0.1212</v>
      </c>
      <c r="N283">
        <v>0.5</v>
      </c>
      <c r="O283" t="s">
        <v>34</v>
      </c>
      <c r="P283">
        <v>0.25369999999999998</v>
      </c>
      <c r="Q283">
        <v>0</v>
      </c>
      <c r="R283">
        <v>4</v>
      </c>
      <c r="S283">
        <v>4</v>
      </c>
    </row>
    <row r="284" spans="1:19" x14ac:dyDescent="0.3">
      <c r="A284">
        <v>283</v>
      </c>
      <c r="B284" s="46">
        <v>40556</v>
      </c>
      <c r="C284">
        <v>1</v>
      </c>
      <c r="D284">
        <v>5</v>
      </c>
      <c r="E284" t="b">
        <v>0</v>
      </c>
      <c r="F284">
        <v>4</v>
      </c>
      <c r="G284" t="s">
        <v>35</v>
      </c>
      <c r="H284" t="s">
        <v>39</v>
      </c>
      <c r="I284">
        <v>1</v>
      </c>
      <c r="J284" t="s">
        <v>29</v>
      </c>
      <c r="K284">
        <v>0.14000000000000001</v>
      </c>
      <c r="L284" t="s">
        <v>23</v>
      </c>
      <c r="M284">
        <v>0.1212</v>
      </c>
      <c r="N284">
        <v>0.5</v>
      </c>
      <c r="O284" t="s">
        <v>34</v>
      </c>
      <c r="P284">
        <v>0.29849999999999999</v>
      </c>
      <c r="Q284">
        <v>0</v>
      </c>
      <c r="R284">
        <v>3</v>
      </c>
      <c r="S284">
        <v>3</v>
      </c>
    </row>
    <row r="285" spans="1:19" x14ac:dyDescent="0.3">
      <c r="A285">
        <v>284</v>
      </c>
      <c r="B285" s="46">
        <v>40556</v>
      </c>
      <c r="C285">
        <v>1</v>
      </c>
      <c r="D285">
        <v>6</v>
      </c>
      <c r="E285" t="b">
        <v>0</v>
      </c>
      <c r="F285">
        <v>4</v>
      </c>
      <c r="G285" t="s">
        <v>35</v>
      </c>
      <c r="H285" t="s">
        <v>39</v>
      </c>
      <c r="I285">
        <v>1</v>
      </c>
      <c r="J285" t="s">
        <v>29</v>
      </c>
      <c r="K285">
        <v>0.12</v>
      </c>
      <c r="L285" t="s">
        <v>23</v>
      </c>
      <c r="M285">
        <v>0.1515</v>
      </c>
      <c r="N285">
        <v>0.54</v>
      </c>
      <c r="O285" t="s">
        <v>34</v>
      </c>
      <c r="P285">
        <v>0.1343</v>
      </c>
      <c r="Q285">
        <v>0</v>
      </c>
      <c r="R285">
        <v>28</v>
      </c>
      <c r="S285">
        <v>28</v>
      </c>
    </row>
    <row r="286" spans="1:19" x14ac:dyDescent="0.3">
      <c r="A286">
        <v>285</v>
      </c>
      <c r="B286" s="46">
        <v>40556</v>
      </c>
      <c r="C286">
        <v>1</v>
      </c>
      <c r="D286">
        <v>7</v>
      </c>
      <c r="E286" t="b">
        <v>0</v>
      </c>
      <c r="F286">
        <v>4</v>
      </c>
      <c r="G286" t="s">
        <v>35</v>
      </c>
      <c r="H286" t="s">
        <v>39</v>
      </c>
      <c r="I286">
        <v>1</v>
      </c>
      <c r="J286" t="s">
        <v>29</v>
      </c>
      <c r="K286">
        <v>0.12</v>
      </c>
      <c r="L286" t="s">
        <v>23</v>
      </c>
      <c r="M286">
        <v>0.1515</v>
      </c>
      <c r="N286">
        <v>0.54</v>
      </c>
      <c r="O286" t="s">
        <v>34</v>
      </c>
      <c r="P286">
        <v>0.1343</v>
      </c>
      <c r="Q286">
        <v>0</v>
      </c>
      <c r="R286">
        <v>72</v>
      </c>
      <c r="S286">
        <v>72</v>
      </c>
    </row>
    <row r="287" spans="1:19" x14ac:dyDescent="0.3">
      <c r="A287">
        <v>286</v>
      </c>
      <c r="B287" s="46">
        <v>40556</v>
      </c>
      <c r="C287">
        <v>1</v>
      </c>
      <c r="D287">
        <v>8</v>
      </c>
      <c r="E287" t="b">
        <v>0</v>
      </c>
      <c r="F287">
        <v>4</v>
      </c>
      <c r="G287" t="s">
        <v>35</v>
      </c>
      <c r="H287" t="s">
        <v>39</v>
      </c>
      <c r="I287">
        <v>1</v>
      </c>
      <c r="J287" t="s">
        <v>29</v>
      </c>
      <c r="K287">
        <v>0.14000000000000001</v>
      </c>
      <c r="L287" t="s">
        <v>23</v>
      </c>
      <c r="M287">
        <v>0.13639999999999999</v>
      </c>
      <c r="N287">
        <v>0.5</v>
      </c>
      <c r="O287" t="s">
        <v>34</v>
      </c>
      <c r="P287">
        <v>0.19400000000000001</v>
      </c>
      <c r="Q287">
        <v>5</v>
      </c>
      <c r="R287">
        <v>197</v>
      </c>
      <c r="S287">
        <v>202</v>
      </c>
    </row>
    <row r="288" spans="1:19" x14ac:dyDescent="0.3">
      <c r="A288">
        <v>287</v>
      </c>
      <c r="B288" s="46">
        <v>40556</v>
      </c>
      <c r="C288">
        <v>1</v>
      </c>
      <c r="D288">
        <v>9</v>
      </c>
      <c r="E288" t="b">
        <v>0</v>
      </c>
      <c r="F288">
        <v>4</v>
      </c>
      <c r="G288" t="s">
        <v>35</v>
      </c>
      <c r="H288" t="s">
        <v>39</v>
      </c>
      <c r="I288">
        <v>1</v>
      </c>
      <c r="J288" t="s">
        <v>29</v>
      </c>
      <c r="K288">
        <v>0.14000000000000001</v>
      </c>
      <c r="L288" t="s">
        <v>23</v>
      </c>
      <c r="M288">
        <v>0.1212</v>
      </c>
      <c r="N288">
        <v>0.5</v>
      </c>
      <c r="O288" t="s">
        <v>34</v>
      </c>
      <c r="P288">
        <v>0.32840000000000003</v>
      </c>
      <c r="Q288">
        <v>2</v>
      </c>
      <c r="R288">
        <v>137</v>
      </c>
      <c r="S288">
        <v>139</v>
      </c>
    </row>
    <row r="289" spans="1:19" x14ac:dyDescent="0.3">
      <c r="A289">
        <v>288</v>
      </c>
      <c r="B289" s="46">
        <v>40556</v>
      </c>
      <c r="C289">
        <v>1</v>
      </c>
      <c r="D289">
        <v>10</v>
      </c>
      <c r="E289" t="b">
        <v>0</v>
      </c>
      <c r="F289">
        <v>4</v>
      </c>
      <c r="G289" t="s">
        <v>35</v>
      </c>
      <c r="H289" t="s">
        <v>39</v>
      </c>
      <c r="I289">
        <v>2</v>
      </c>
      <c r="J289" t="s">
        <v>31</v>
      </c>
      <c r="K289">
        <v>0.16</v>
      </c>
      <c r="L289" t="s">
        <v>23</v>
      </c>
      <c r="M289">
        <v>0.13639999999999999</v>
      </c>
      <c r="N289">
        <v>0.5</v>
      </c>
      <c r="O289" t="s">
        <v>34</v>
      </c>
      <c r="P289">
        <v>0.35820000000000002</v>
      </c>
      <c r="Q289">
        <v>2</v>
      </c>
      <c r="R289">
        <v>36</v>
      </c>
      <c r="S289">
        <v>38</v>
      </c>
    </row>
    <row r="290" spans="1:19" x14ac:dyDescent="0.3">
      <c r="A290">
        <v>289</v>
      </c>
      <c r="B290" s="46">
        <v>40556</v>
      </c>
      <c r="C290">
        <v>1</v>
      </c>
      <c r="D290">
        <v>11</v>
      </c>
      <c r="E290" t="b">
        <v>0</v>
      </c>
      <c r="F290">
        <v>4</v>
      </c>
      <c r="G290" t="s">
        <v>35</v>
      </c>
      <c r="H290" t="s">
        <v>39</v>
      </c>
      <c r="I290">
        <v>2</v>
      </c>
      <c r="J290" t="s">
        <v>31</v>
      </c>
      <c r="K290">
        <v>0.2</v>
      </c>
      <c r="L290" t="s">
        <v>23</v>
      </c>
      <c r="M290">
        <v>0.16669999999999999</v>
      </c>
      <c r="N290">
        <v>0.44</v>
      </c>
      <c r="O290" t="s">
        <v>34</v>
      </c>
      <c r="P290">
        <v>0.44779999999999998</v>
      </c>
      <c r="Q290">
        <v>4</v>
      </c>
      <c r="R290">
        <v>33</v>
      </c>
      <c r="S290">
        <v>37</v>
      </c>
    </row>
    <row r="291" spans="1:19" x14ac:dyDescent="0.3">
      <c r="A291">
        <v>290</v>
      </c>
      <c r="B291" s="46">
        <v>40556</v>
      </c>
      <c r="C291">
        <v>1</v>
      </c>
      <c r="D291">
        <v>12</v>
      </c>
      <c r="E291" t="b">
        <v>0</v>
      </c>
      <c r="F291">
        <v>4</v>
      </c>
      <c r="G291" t="s">
        <v>35</v>
      </c>
      <c r="H291" t="s">
        <v>39</v>
      </c>
      <c r="I291">
        <v>1</v>
      </c>
      <c r="J291" t="s">
        <v>29</v>
      </c>
      <c r="K291">
        <v>0.2</v>
      </c>
      <c r="L291" t="s">
        <v>23</v>
      </c>
      <c r="M291">
        <v>0.16669999999999999</v>
      </c>
      <c r="N291">
        <v>0.44</v>
      </c>
      <c r="O291" t="s">
        <v>34</v>
      </c>
      <c r="P291">
        <v>0.41789999999999999</v>
      </c>
      <c r="Q291">
        <v>3</v>
      </c>
      <c r="R291">
        <v>49</v>
      </c>
      <c r="S291">
        <v>52</v>
      </c>
    </row>
    <row r="292" spans="1:19" x14ac:dyDescent="0.3">
      <c r="A292">
        <v>291</v>
      </c>
      <c r="B292" s="46">
        <v>40556</v>
      </c>
      <c r="C292">
        <v>1</v>
      </c>
      <c r="D292">
        <v>13</v>
      </c>
      <c r="E292" t="b">
        <v>0</v>
      </c>
      <c r="F292">
        <v>4</v>
      </c>
      <c r="G292" t="s">
        <v>35</v>
      </c>
      <c r="H292" t="s">
        <v>39</v>
      </c>
      <c r="I292">
        <v>1</v>
      </c>
      <c r="J292" t="s">
        <v>29</v>
      </c>
      <c r="K292">
        <v>0.22</v>
      </c>
      <c r="L292" t="s">
        <v>23</v>
      </c>
      <c r="M292">
        <v>0.19700000000000001</v>
      </c>
      <c r="N292">
        <v>0.41</v>
      </c>
      <c r="O292" t="s">
        <v>34</v>
      </c>
      <c r="P292">
        <v>0.44779999999999998</v>
      </c>
      <c r="Q292">
        <v>2</v>
      </c>
      <c r="R292">
        <v>81</v>
      </c>
      <c r="S292">
        <v>83</v>
      </c>
    </row>
    <row r="293" spans="1:19" x14ac:dyDescent="0.3">
      <c r="A293">
        <v>292</v>
      </c>
      <c r="B293" s="46">
        <v>40556</v>
      </c>
      <c r="C293">
        <v>1</v>
      </c>
      <c r="D293">
        <v>14</v>
      </c>
      <c r="E293" t="b">
        <v>0</v>
      </c>
      <c r="F293">
        <v>4</v>
      </c>
      <c r="G293" t="s">
        <v>35</v>
      </c>
      <c r="H293" t="s">
        <v>39</v>
      </c>
      <c r="I293">
        <v>1</v>
      </c>
      <c r="J293" t="s">
        <v>29</v>
      </c>
      <c r="K293">
        <v>0.22</v>
      </c>
      <c r="L293" t="s">
        <v>23</v>
      </c>
      <c r="M293">
        <v>0.19700000000000001</v>
      </c>
      <c r="N293">
        <v>0.41</v>
      </c>
      <c r="O293" t="s">
        <v>34</v>
      </c>
      <c r="P293">
        <v>0.3881</v>
      </c>
      <c r="Q293">
        <v>3</v>
      </c>
      <c r="R293">
        <v>39</v>
      </c>
      <c r="S293">
        <v>42</v>
      </c>
    </row>
    <row r="294" spans="1:19" x14ac:dyDescent="0.3">
      <c r="A294">
        <v>293</v>
      </c>
      <c r="B294" s="46">
        <v>40556</v>
      </c>
      <c r="C294">
        <v>1</v>
      </c>
      <c r="D294">
        <v>15</v>
      </c>
      <c r="E294" t="b">
        <v>0</v>
      </c>
      <c r="F294">
        <v>4</v>
      </c>
      <c r="G294" t="s">
        <v>35</v>
      </c>
      <c r="H294" t="s">
        <v>39</v>
      </c>
      <c r="I294">
        <v>1</v>
      </c>
      <c r="J294" t="s">
        <v>29</v>
      </c>
      <c r="K294">
        <v>0.24</v>
      </c>
      <c r="L294" t="s">
        <v>23</v>
      </c>
      <c r="M294">
        <v>0.21210000000000001</v>
      </c>
      <c r="N294">
        <v>0.38</v>
      </c>
      <c r="O294" t="s">
        <v>34</v>
      </c>
      <c r="P294">
        <v>0.29849999999999999</v>
      </c>
      <c r="Q294">
        <v>5</v>
      </c>
      <c r="R294">
        <v>55</v>
      </c>
      <c r="S294">
        <v>60</v>
      </c>
    </row>
    <row r="295" spans="1:19" x14ac:dyDescent="0.3">
      <c r="A295">
        <v>294</v>
      </c>
      <c r="B295" s="46">
        <v>40556</v>
      </c>
      <c r="C295">
        <v>1</v>
      </c>
      <c r="D295">
        <v>16</v>
      </c>
      <c r="E295" t="b">
        <v>0</v>
      </c>
      <c r="F295">
        <v>4</v>
      </c>
      <c r="G295" t="s">
        <v>35</v>
      </c>
      <c r="H295" t="s">
        <v>39</v>
      </c>
      <c r="I295">
        <v>1</v>
      </c>
      <c r="J295" t="s">
        <v>29</v>
      </c>
      <c r="K295">
        <v>0.24</v>
      </c>
      <c r="L295" t="s">
        <v>23</v>
      </c>
      <c r="M295">
        <v>0.21210000000000001</v>
      </c>
      <c r="N295">
        <v>0.38</v>
      </c>
      <c r="O295" t="s">
        <v>34</v>
      </c>
      <c r="P295">
        <v>0.35820000000000002</v>
      </c>
      <c r="Q295">
        <v>2</v>
      </c>
      <c r="R295">
        <v>76</v>
      </c>
      <c r="S295">
        <v>78</v>
      </c>
    </row>
    <row r="296" spans="1:19" x14ac:dyDescent="0.3">
      <c r="A296">
        <v>295</v>
      </c>
      <c r="B296" s="46">
        <v>40556</v>
      </c>
      <c r="C296">
        <v>1</v>
      </c>
      <c r="D296">
        <v>17</v>
      </c>
      <c r="E296" t="b">
        <v>0</v>
      </c>
      <c r="F296">
        <v>4</v>
      </c>
      <c r="G296" t="s">
        <v>35</v>
      </c>
      <c r="H296" t="s">
        <v>39</v>
      </c>
      <c r="I296">
        <v>1</v>
      </c>
      <c r="J296" t="s">
        <v>29</v>
      </c>
      <c r="K296">
        <v>0.2</v>
      </c>
      <c r="L296" t="s">
        <v>23</v>
      </c>
      <c r="M296">
        <v>0.18179999999999999</v>
      </c>
      <c r="N296">
        <v>0.4</v>
      </c>
      <c r="O296" t="s">
        <v>34</v>
      </c>
      <c r="P296">
        <v>0.28360000000000002</v>
      </c>
      <c r="Q296">
        <v>4</v>
      </c>
      <c r="R296">
        <v>158</v>
      </c>
      <c r="S296">
        <v>162</v>
      </c>
    </row>
    <row r="297" spans="1:19" x14ac:dyDescent="0.3">
      <c r="A297">
        <v>296</v>
      </c>
      <c r="B297" s="46">
        <v>40556</v>
      </c>
      <c r="C297">
        <v>1</v>
      </c>
      <c r="D297">
        <v>18</v>
      </c>
      <c r="E297" t="b">
        <v>0</v>
      </c>
      <c r="F297">
        <v>4</v>
      </c>
      <c r="G297" t="s">
        <v>35</v>
      </c>
      <c r="H297" t="s">
        <v>39</v>
      </c>
      <c r="I297">
        <v>1</v>
      </c>
      <c r="J297" t="s">
        <v>29</v>
      </c>
      <c r="K297">
        <v>0.2</v>
      </c>
      <c r="L297" t="s">
        <v>23</v>
      </c>
      <c r="M297">
        <v>0.18179999999999999</v>
      </c>
      <c r="N297">
        <v>0.4</v>
      </c>
      <c r="O297" t="s">
        <v>34</v>
      </c>
      <c r="P297">
        <v>0.32840000000000003</v>
      </c>
      <c r="Q297">
        <v>3</v>
      </c>
      <c r="R297">
        <v>141</v>
      </c>
      <c r="S297">
        <v>144</v>
      </c>
    </row>
    <row r="298" spans="1:19" x14ac:dyDescent="0.3">
      <c r="A298">
        <v>297</v>
      </c>
      <c r="B298" s="46">
        <v>40556</v>
      </c>
      <c r="C298">
        <v>1</v>
      </c>
      <c r="D298">
        <v>19</v>
      </c>
      <c r="E298" t="b">
        <v>0</v>
      </c>
      <c r="F298">
        <v>4</v>
      </c>
      <c r="G298" t="s">
        <v>35</v>
      </c>
      <c r="H298" t="s">
        <v>39</v>
      </c>
      <c r="I298">
        <v>1</v>
      </c>
      <c r="J298" t="s">
        <v>29</v>
      </c>
      <c r="K298">
        <v>0.16</v>
      </c>
      <c r="L298" t="s">
        <v>23</v>
      </c>
      <c r="M298">
        <v>0.1515</v>
      </c>
      <c r="N298">
        <v>0.47</v>
      </c>
      <c r="O298" t="s">
        <v>34</v>
      </c>
      <c r="P298">
        <v>0.25369999999999998</v>
      </c>
      <c r="Q298">
        <v>1</v>
      </c>
      <c r="R298">
        <v>98</v>
      </c>
      <c r="S298">
        <v>99</v>
      </c>
    </row>
    <row r="299" spans="1:19" x14ac:dyDescent="0.3">
      <c r="A299">
        <v>298</v>
      </c>
      <c r="B299" s="46">
        <v>40556</v>
      </c>
      <c r="C299">
        <v>1</v>
      </c>
      <c r="D299">
        <v>20</v>
      </c>
      <c r="E299" t="b">
        <v>0</v>
      </c>
      <c r="F299">
        <v>4</v>
      </c>
      <c r="G299" t="s">
        <v>35</v>
      </c>
      <c r="H299" t="s">
        <v>39</v>
      </c>
      <c r="I299">
        <v>1</v>
      </c>
      <c r="J299" t="s">
        <v>29</v>
      </c>
      <c r="K299">
        <v>0.16</v>
      </c>
      <c r="L299" t="s">
        <v>23</v>
      </c>
      <c r="M299">
        <v>0.1515</v>
      </c>
      <c r="N299">
        <v>0.47</v>
      </c>
      <c r="O299" t="s">
        <v>34</v>
      </c>
      <c r="P299">
        <v>0.22389999999999999</v>
      </c>
      <c r="Q299">
        <v>0</v>
      </c>
      <c r="R299">
        <v>64</v>
      </c>
      <c r="S299">
        <v>64</v>
      </c>
    </row>
    <row r="300" spans="1:19" x14ac:dyDescent="0.3">
      <c r="A300">
        <v>299</v>
      </c>
      <c r="B300" s="46">
        <v>40556</v>
      </c>
      <c r="C300">
        <v>1</v>
      </c>
      <c r="D300">
        <v>21</v>
      </c>
      <c r="E300" t="b">
        <v>0</v>
      </c>
      <c r="F300">
        <v>4</v>
      </c>
      <c r="G300" t="s">
        <v>35</v>
      </c>
      <c r="H300" t="s">
        <v>39</v>
      </c>
      <c r="I300">
        <v>1</v>
      </c>
      <c r="J300" t="s">
        <v>29</v>
      </c>
      <c r="K300">
        <v>0.14000000000000001</v>
      </c>
      <c r="L300" t="s">
        <v>23</v>
      </c>
      <c r="M300">
        <v>0.1212</v>
      </c>
      <c r="N300">
        <v>0.46</v>
      </c>
      <c r="O300" t="s">
        <v>34</v>
      </c>
      <c r="P300">
        <v>0.29849999999999999</v>
      </c>
      <c r="Q300">
        <v>0</v>
      </c>
      <c r="R300">
        <v>40</v>
      </c>
      <c r="S300">
        <v>40</v>
      </c>
    </row>
    <row r="301" spans="1:19" x14ac:dyDescent="0.3">
      <c r="A301">
        <v>300</v>
      </c>
      <c r="B301" s="46">
        <v>40556</v>
      </c>
      <c r="C301">
        <v>1</v>
      </c>
      <c r="D301">
        <v>22</v>
      </c>
      <c r="E301" t="b">
        <v>0</v>
      </c>
      <c r="F301">
        <v>4</v>
      </c>
      <c r="G301" t="s">
        <v>35</v>
      </c>
      <c r="H301" t="s">
        <v>39</v>
      </c>
      <c r="I301">
        <v>1</v>
      </c>
      <c r="J301" t="s">
        <v>29</v>
      </c>
      <c r="K301">
        <v>0.14000000000000001</v>
      </c>
      <c r="L301" t="s">
        <v>23</v>
      </c>
      <c r="M301">
        <v>0.1212</v>
      </c>
      <c r="N301">
        <v>0.46</v>
      </c>
      <c r="O301" t="s">
        <v>34</v>
      </c>
      <c r="P301">
        <v>0.32840000000000003</v>
      </c>
      <c r="Q301">
        <v>0</v>
      </c>
      <c r="R301">
        <v>30</v>
      </c>
      <c r="S301">
        <v>30</v>
      </c>
    </row>
    <row r="302" spans="1:19" x14ac:dyDescent="0.3">
      <c r="A302">
        <v>301</v>
      </c>
      <c r="B302" s="46">
        <v>40556</v>
      </c>
      <c r="C302">
        <v>1</v>
      </c>
      <c r="D302">
        <v>23</v>
      </c>
      <c r="E302" t="b">
        <v>0</v>
      </c>
      <c r="F302">
        <v>4</v>
      </c>
      <c r="G302" t="s">
        <v>35</v>
      </c>
      <c r="H302" t="s">
        <v>39</v>
      </c>
      <c r="I302">
        <v>1</v>
      </c>
      <c r="J302" t="s">
        <v>29</v>
      </c>
      <c r="K302">
        <v>0.12</v>
      </c>
      <c r="L302" t="s">
        <v>23</v>
      </c>
      <c r="M302">
        <v>0.13639999999999999</v>
      </c>
      <c r="N302">
        <v>0.5</v>
      </c>
      <c r="O302" t="s">
        <v>34</v>
      </c>
      <c r="P302">
        <v>0.19400000000000001</v>
      </c>
      <c r="Q302">
        <v>1</v>
      </c>
      <c r="R302">
        <v>14</v>
      </c>
      <c r="S302">
        <v>15</v>
      </c>
    </row>
    <row r="303" spans="1:19" x14ac:dyDescent="0.3">
      <c r="A303">
        <v>302</v>
      </c>
      <c r="B303" s="46">
        <v>40557</v>
      </c>
      <c r="C303">
        <v>1</v>
      </c>
      <c r="D303">
        <v>0</v>
      </c>
      <c r="E303" t="b">
        <v>0</v>
      </c>
      <c r="F303">
        <v>5</v>
      </c>
      <c r="G303" t="s">
        <v>35</v>
      </c>
      <c r="H303" t="s">
        <v>40</v>
      </c>
      <c r="I303">
        <v>1</v>
      </c>
      <c r="J303" t="s">
        <v>29</v>
      </c>
      <c r="K303">
        <v>0.12</v>
      </c>
      <c r="L303" t="s">
        <v>23</v>
      </c>
      <c r="M303">
        <v>0.13639999999999999</v>
      </c>
      <c r="N303">
        <v>0.5</v>
      </c>
      <c r="O303" t="s">
        <v>34</v>
      </c>
      <c r="P303">
        <v>0.19400000000000001</v>
      </c>
      <c r="Q303">
        <v>0</v>
      </c>
      <c r="R303">
        <v>14</v>
      </c>
      <c r="S303">
        <v>14</v>
      </c>
    </row>
    <row r="304" spans="1:19" x14ac:dyDescent="0.3">
      <c r="A304">
        <v>303</v>
      </c>
      <c r="B304" s="46">
        <v>40557</v>
      </c>
      <c r="C304">
        <v>1</v>
      </c>
      <c r="D304">
        <v>1</v>
      </c>
      <c r="E304" t="b">
        <v>0</v>
      </c>
      <c r="F304">
        <v>5</v>
      </c>
      <c r="G304" t="s">
        <v>35</v>
      </c>
      <c r="H304" t="s">
        <v>40</v>
      </c>
      <c r="I304">
        <v>1</v>
      </c>
      <c r="J304" t="s">
        <v>29</v>
      </c>
      <c r="K304">
        <v>0.1</v>
      </c>
      <c r="L304" t="s">
        <v>23</v>
      </c>
      <c r="M304">
        <v>0.1212</v>
      </c>
      <c r="N304">
        <v>0.54</v>
      </c>
      <c r="O304" t="s">
        <v>34</v>
      </c>
      <c r="P304">
        <v>0.16420000000000001</v>
      </c>
      <c r="Q304">
        <v>0</v>
      </c>
      <c r="R304">
        <v>5</v>
      </c>
      <c r="S304">
        <v>5</v>
      </c>
    </row>
    <row r="305" spans="1:19" x14ac:dyDescent="0.3">
      <c r="A305">
        <v>304</v>
      </c>
      <c r="B305" s="46">
        <v>40557</v>
      </c>
      <c r="C305">
        <v>1</v>
      </c>
      <c r="D305">
        <v>2</v>
      </c>
      <c r="E305" t="b">
        <v>0</v>
      </c>
      <c r="F305">
        <v>5</v>
      </c>
      <c r="G305" t="s">
        <v>35</v>
      </c>
      <c r="H305" t="s">
        <v>40</v>
      </c>
      <c r="I305">
        <v>1</v>
      </c>
      <c r="J305" t="s">
        <v>29</v>
      </c>
      <c r="K305">
        <v>0.1</v>
      </c>
      <c r="L305" t="s">
        <v>23</v>
      </c>
      <c r="M305">
        <v>0.1212</v>
      </c>
      <c r="N305">
        <v>0.54</v>
      </c>
      <c r="O305" t="s">
        <v>34</v>
      </c>
      <c r="P305">
        <v>0.1343</v>
      </c>
      <c r="Q305">
        <v>0</v>
      </c>
      <c r="R305">
        <v>1</v>
      </c>
      <c r="S305">
        <v>1</v>
      </c>
    </row>
    <row r="306" spans="1:19" x14ac:dyDescent="0.3">
      <c r="A306">
        <v>305</v>
      </c>
      <c r="B306" s="46">
        <v>40557</v>
      </c>
      <c r="C306">
        <v>1</v>
      </c>
      <c r="D306">
        <v>3</v>
      </c>
      <c r="E306" t="b">
        <v>0</v>
      </c>
      <c r="F306">
        <v>5</v>
      </c>
      <c r="G306" t="s">
        <v>35</v>
      </c>
      <c r="H306" t="s">
        <v>40</v>
      </c>
      <c r="I306">
        <v>1</v>
      </c>
      <c r="J306" t="s">
        <v>29</v>
      </c>
      <c r="K306">
        <v>0.1</v>
      </c>
      <c r="L306" t="s">
        <v>23</v>
      </c>
      <c r="M306">
        <v>0.13639999999999999</v>
      </c>
      <c r="N306">
        <v>0.54</v>
      </c>
      <c r="O306" t="s">
        <v>34</v>
      </c>
      <c r="P306">
        <v>0.1045</v>
      </c>
      <c r="Q306">
        <v>0</v>
      </c>
      <c r="R306">
        <v>1</v>
      </c>
      <c r="S306">
        <v>1</v>
      </c>
    </row>
    <row r="307" spans="1:19" x14ac:dyDescent="0.3">
      <c r="A307">
        <v>306</v>
      </c>
      <c r="B307" s="46">
        <v>40557</v>
      </c>
      <c r="C307">
        <v>1</v>
      </c>
      <c r="D307">
        <v>5</v>
      </c>
      <c r="E307" t="b">
        <v>0</v>
      </c>
      <c r="F307">
        <v>5</v>
      </c>
      <c r="G307" t="s">
        <v>35</v>
      </c>
      <c r="H307" t="s">
        <v>40</v>
      </c>
      <c r="I307">
        <v>1</v>
      </c>
      <c r="J307" t="s">
        <v>29</v>
      </c>
      <c r="K307">
        <v>0.1</v>
      </c>
      <c r="L307" t="s">
        <v>23</v>
      </c>
      <c r="M307">
        <v>0.13639999999999999</v>
      </c>
      <c r="N307">
        <v>0.54</v>
      </c>
      <c r="O307" t="s">
        <v>34</v>
      </c>
      <c r="P307">
        <v>8.9599999999999999E-2</v>
      </c>
      <c r="Q307">
        <v>0</v>
      </c>
      <c r="R307">
        <v>8</v>
      </c>
      <c r="S307">
        <v>8</v>
      </c>
    </row>
    <row r="308" spans="1:19" x14ac:dyDescent="0.3">
      <c r="A308">
        <v>307</v>
      </c>
      <c r="B308" s="46">
        <v>40557</v>
      </c>
      <c r="C308">
        <v>1</v>
      </c>
      <c r="D308">
        <v>6</v>
      </c>
      <c r="E308" t="b">
        <v>0</v>
      </c>
      <c r="F308">
        <v>5</v>
      </c>
      <c r="G308" t="s">
        <v>35</v>
      </c>
      <c r="H308" t="s">
        <v>40</v>
      </c>
      <c r="I308">
        <v>1</v>
      </c>
      <c r="J308" t="s">
        <v>29</v>
      </c>
      <c r="K308">
        <v>0.1</v>
      </c>
      <c r="L308" t="s">
        <v>23</v>
      </c>
      <c r="M308">
        <v>0.18179999999999999</v>
      </c>
      <c r="N308">
        <v>0.54</v>
      </c>
      <c r="O308" t="s">
        <v>34</v>
      </c>
      <c r="P308">
        <v>0</v>
      </c>
      <c r="Q308">
        <v>0</v>
      </c>
      <c r="R308">
        <v>17</v>
      </c>
      <c r="S308">
        <v>17</v>
      </c>
    </row>
    <row r="309" spans="1:19" x14ac:dyDescent="0.3">
      <c r="A309">
        <v>308</v>
      </c>
      <c r="B309" s="46">
        <v>40557</v>
      </c>
      <c r="C309">
        <v>1</v>
      </c>
      <c r="D309">
        <v>7</v>
      </c>
      <c r="E309" t="b">
        <v>0</v>
      </c>
      <c r="F309">
        <v>5</v>
      </c>
      <c r="G309" t="s">
        <v>35</v>
      </c>
      <c r="H309" t="s">
        <v>40</v>
      </c>
      <c r="I309">
        <v>1</v>
      </c>
      <c r="J309" t="s">
        <v>29</v>
      </c>
      <c r="K309">
        <v>0.1</v>
      </c>
      <c r="L309" t="s">
        <v>23</v>
      </c>
      <c r="M309">
        <v>0.1212</v>
      </c>
      <c r="N309">
        <v>0.74</v>
      </c>
      <c r="O309" t="s">
        <v>30</v>
      </c>
      <c r="P309">
        <v>0.16420000000000001</v>
      </c>
      <c r="Q309">
        <v>0</v>
      </c>
      <c r="R309">
        <v>70</v>
      </c>
      <c r="S309">
        <v>70</v>
      </c>
    </row>
    <row r="310" spans="1:19" x14ac:dyDescent="0.3">
      <c r="A310">
        <v>309</v>
      </c>
      <c r="B310" s="46">
        <v>40557</v>
      </c>
      <c r="C310">
        <v>1</v>
      </c>
      <c r="D310">
        <v>8</v>
      </c>
      <c r="E310" t="b">
        <v>0</v>
      </c>
      <c r="F310">
        <v>5</v>
      </c>
      <c r="G310" t="s">
        <v>35</v>
      </c>
      <c r="H310" t="s">
        <v>40</v>
      </c>
      <c r="I310">
        <v>1</v>
      </c>
      <c r="J310" t="s">
        <v>29</v>
      </c>
      <c r="K310">
        <v>0.12</v>
      </c>
      <c r="L310" t="s">
        <v>23</v>
      </c>
      <c r="M310">
        <v>0.16669999999999999</v>
      </c>
      <c r="N310">
        <v>0.68</v>
      </c>
      <c r="O310" t="s">
        <v>34</v>
      </c>
      <c r="P310">
        <v>0</v>
      </c>
      <c r="Q310">
        <v>2</v>
      </c>
      <c r="R310">
        <v>156</v>
      </c>
      <c r="S310">
        <v>158</v>
      </c>
    </row>
    <row r="311" spans="1:19" x14ac:dyDescent="0.3">
      <c r="A311">
        <v>310</v>
      </c>
      <c r="B311" s="46">
        <v>40557</v>
      </c>
      <c r="C311">
        <v>1</v>
      </c>
      <c r="D311">
        <v>9</v>
      </c>
      <c r="E311" t="b">
        <v>0</v>
      </c>
      <c r="F311">
        <v>5</v>
      </c>
      <c r="G311" t="s">
        <v>35</v>
      </c>
      <c r="H311" t="s">
        <v>40</v>
      </c>
      <c r="I311">
        <v>1</v>
      </c>
      <c r="J311" t="s">
        <v>29</v>
      </c>
      <c r="K311">
        <v>0.14000000000000001</v>
      </c>
      <c r="L311" t="s">
        <v>23</v>
      </c>
      <c r="M311">
        <v>0.1515</v>
      </c>
      <c r="N311">
        <v>0.69</v>
      </c>
      <c r="O311" t="s">
        <v>34</v>
      </c>
      <c r="P311">
        <v>0.1343</v>
      </c>
      <c r="Q311">
        <v>0</v>
      </c>
      <c r="R311">
        <v>117</v>
      </c>
      <c r="S311">
        <v>117</v>
      </c>
    </row>
    <row r="312" spans="1:19" x14ac:dyDescent="0.3">
      <c r="A312">
        <v>311</v>
      </c>
      <c r="B312" s="46">
        <v>40557</v>
      </c>
      <c r="C312">
        <v>1</v>
      </c>
      <c r="D312">
        <v>10</v>
      </c>
      <c r="E312" t="b">
        <v>0</v>
      </c>
      <c r="F312">
        <v>5</v>
      </c>
      <c r="G312" t="s">
        <v>35</v>
      </c>
      <c r="H312" t="s">
        <v>40</v>
      </c>
      <c r="I312">
        <v>1</v>
      </c>
      <c r="J312" t="s">
        <v>29</v>
      </c>
      <c r="K312">
        <v>0.18</v>
      </c>
      <c r="L312" t="s">
        <v>23</v>
      </c>
      <c r="M312">
        <v>0.18179999999999999</v>
      </c>
      <c r="N312">
        <v>0.55000000000000004</v>
      </c>
      <c r="O312" t="s">
        <v>34</v>
      </c>
      <c r="P312">
        <v>0.19400000000000001</v>
      </c>
      <c r="Q312">
        <v>4</v>
      </c>
      <c r="R312">
        <v>40</v>
      </c>
      <c r="S312">
        <v>44</v>
      </c>
    </row>
    <row r="313" spans="1:19" x14ac:dyDescent="0.3">
      <c r="A313">
        <v>312</v>
      </c>
      <c r="B313" s="46">
        <v>40557</v>
      </c>
      <c r="C313">
        <v>1</v>
      </c>
      <c r="D313">
        <v>11</v>
      </c>
      <c r="E313" t="b">
        <v>0</v>
      </c>
      <c r="F313">
        <v>5</v>
      </c>
      <c r="G313" t="s">
        <v>35</v>
      </c>
      <c r="H313" t="s">
        <v>40</v>
      </c>
      <c r="I313">
        <v>1</v>
      </c>
      <c r="J313" t="s">
        <v>29</v>
      </c>
      <c r="K313">
        <v>0.18</v>
      </c>
      <c r="L313" t="s">
        <v>23</v>
      </c>
      <c r="M313">
        <v>0.16669999999999999</v>
      </c>
      <c r="N313">
        <v>0.51</v>
      </c>
      <c r="O313" t="s">
        <v>34</v>
      </c>
      <c r="P313">
        <v>0.28360000000000002</v>
      </c>
      <c r="Q313">
        <v>6</v>
      </c>
      <c r="R313">
        <v>47</v>
      </c>
      <c r="S313">
        <v>53</v>
      </c>
    </row>
    <row r="314" spans="1:19" x14ac:dyDescent="0.3">
      <c r="A314">
        <v>313</v>
      </c>
      <c r="B314" s="46">
        <v>40557</v>
      </c>
      <c r="C314">
        <v>1</v>
      </c>
      <c r="D314">
        <v>12</v>
      </c>
      <c r="E314" t="b">
        <v>0</v>
      </c>
      <c r="F314">
        <v>5</v>
      </c>
      <c r="G314" t="s">
        <v>35</v>
      </c>
      <c r="H314" t="s">
        <v>40</v>
      </c>
      <c r="I314">
        <v>1</v>
      </c>
      <c r="J314" t="s">
        <v>29</v>
      </c>
      <c r="K314">
        <v>0.2</v>
      </c>
      <c r="L314" t="s">
        <v>23</v>
      </c>
      <c r="M314">
        <v>0.19700000000000001</v>
      </c>
      <c r="N314">
        <v>0.44</v>
      </c>
      <c r="O314" t="s">
        <v>34</v>
      </c>
      <c r="P314">
        <v>0.25369999999999998</v>
      </c>
      <c r="Q314">
        <v>2</v>
      </c>
      <c r="R314">
        <v>59</v>
      </c>
      <c r="S314">
        <v>61</v>
      </c>
    </row>
    <row r="315" spans="1:19" x14ac:dyDescent="0.3">
      <c r="A315">
        <v>314</v>
      </c>
      <c r="B315" s="46">
        <v>40557</v>
      </c>
      <c r="C315">
        <v>1</v>
      </c>
      <c r="D315">
        <v>13</v>
      </c>
      <c r="E315" t="b">
        <v>0</v>
      </c>
      <c r="F315">
        <v>5</v>
      </c>
      <c r="G315" t="s">
        <v>35</v>
      </c>
      <c r="H315" t="s">
        <v>40</v>
      </c>
      <c r="I315">
        <v>1</v>
      </c>
      <c r="J315" t="s">
        <v>29</v>
      </c>
      <c r="K315">
        <v>0.22</v>
      </c>
      <c r="L315" t="s">
        <v>23</v>
      </c>
      <c r="M315">
        <v>0.19700000000000001</v>
      </c>
      <c r="N315">
        <v>0.37</v>
      </c>
      <c r="O315" t="s">
        <v>34</v>
      </c>
      <c r="P315">
        <v>0.3881</v>
      </c>
      <c r="Q315">
        <v>4</v>
      </c>
      <c r="R315">
        <v>73</v>
      </c>
      <c r="S315">
        <v>77</v>
      </c>
    </row>
    <row r="316" spans="1:19" x14ac:dyDescent="0.3">
      <c r="A316">
        <v>315</v>
      </c>
      <c r="B316" s="46">
        <v>40557</v>
      </c>
      <c r="C316">
        <v>1</v>
      </c>
      <c r="D316">
        <v>14</v>
      </c>
      <c r="E316" t="b">
        <v>0</v>
      </c>
      <c r="F316">
        <v>5</v>
      </c>
      <c r="G316" t="s">
        <v>35</v>
      </c>
      <c r="H316" t="s">
        <v>40</v>
      </c>
      <c r="I316">
        <v>1</v>
      </c>
      <c r="J316" t="s">
        <v>29</v>
      </c>
      <c r="K316">
        <v>0.22</v>
      </c>
      <c r="L316" t="s">
        <v>23</v>
      </c>
      <c r="M316">
        <v>0.21210000000000001</v>
      </c>
      <c r="N316">
        <v>0.41</v>
      </c>
      <c r="O316" t="s">
        <v>34</v>
      </c>
      <c r="P316">
        <v>0.28360000000000002</v>
      </c>
      <c r="Q316">
        <v>5</v>
      </c>
      <c r="R316">
        <v>59</v>
      </c>
      <c r="S316">
        <v>64</v>
      </c>
    </row>
    <row r="317" spans="1:19" x14ac:dyDescent="0.3">
      <c r="A317">
        <v>316</v>
      </c>
      <c r="B317" s="46">
        <v>40557</v>
      </c>
      <c r="C317">
        <v>1</v>
      </c>
      <c r="D317">
        <v>15</v>
      </c>
      <c r="E317" t="b">
        <v>0</v>
      </c>
      <c r="F317">
        <v>5</v>
      </c>
      <c r="G317" t="s">
        <v>35</v>
      </c>
      <c r="H317" t="s">
        <v>40</v>
      </c>
      <c r="I317">
        <v>1</v>
      </c>
      <c r="J317" t="s">
        <v>29</v>
      </c>
      <c r="K317">
        <v>0.24</v>
      </c>
      <c r="L317" t="s">
        <v>23</v>
      </c>
      <c r="M317">
        <v>0.2424</v>
      </c>
      <c r="N317">
        <v>0.38</v>
      </c>
      <c r="O317" t="s">
        <v>34</v>
      </c>
      <c r="P317">
        <v>0.16420000000000001</v>
      </c>
      <c r="Q317">
        <v>9</v>
      </c>
      <c r="R317">
        <v>59</v>
      </c>
      <c r="S317">
        <v>68</v>
      </c>
    </row>
    <row r="318" spans="1:19" x14ac:dyDescent="0.3">
      <c r="A318">
        <v>317</v>
      </c>
      <c r="B318" s="46">
        <v>40557</v>
      </c>
      <c r="C318">
        <v>1</v>
      </c>
      <c r="D318">
        <v>16</v>
      </c>
      <c r="E318" t="b">
        <v>0</v>
      </c>
      <c r="F318">
        <v>5</v>
      </c>
      <c r="G318" t="s">
        <v>35</v>
      </c>
      <c r="H318" t="s">
        <v>40</v>
      </c>
      <c r="I318">
        <v>1</v>
      </c>
      <c r="J318" t="s">
        <v>29</v>
      </c>
      <c r="K318">
        <v>0.22</v>
      </c>
      <c r="L318" t="s">
        <v>23</v>
      </c>
      <c r="M318">
        <v>0.2424</v>
      </c>
      <c r="N318">
        <v>0.41</v>
      </c>
      <c r="O318" t="s">
        <v>34</v>
      </c>
      <c r="P318">
        <v>0.1045</v>
      </c>
      <c r="Q318">
        <v>3</v>
      </c>
      <c r="R318">
        <v>87</v>
      </c>
      <c r="S318">
        <v>90</v>
      </c>
    </row>
    <row r="319" spans="1:19" x14ac:dyDescent="0.3">
      <c r="A319">
        <v>318</v>
      </c>
      <c r="B319" s="46">
        <v>40557</v>
      </c>
      <c r="C319">
        <v>1</v>
      </c>
      <c r="D319">
        <v>17</v>
      </c>
      <c r="E319" t="b">
        <v>0</v>
      </c>
      <c r="F319">
        <v>5</v>
      </c>
      <c r="G319" t="s">
        <v>35</v>
      </c>
      <c r="H319" t="s">
        <v>40</v>
      </c>
      <c r="I319">
        <v>1</v>
      </c>
      <c r="J319" t="s">
        <v>29</v>
      </c>
      <c r="K319">
        <v>0.22</v>
      </c>
      <c r="L319" t="s">
        <v>23</v>
      </c>
      <c r="M319">
        <v>0.2273</v>
      </c>
      <c r="N319">
        <v>0.41</v>
      </c>
      <c r="O319" t="s">
        <v>34</v>
      </c>
      <c r="P319">
        <v>0.16420000000000001</v>
      </c>
      <c r="Q319">
        <v>4</v>
      </c>
      <c r="R319">
        <v>155</v>
      </c>
      <c r="S319">
        <v>159</v>
      </c>
    </row>
    <row r="320" spans="1:19" x14ac:dyDescent="0.3">
      <c r="A320">
        <v>319</v>
      </c>
      <c r="B320" s="46">
        <v>40557</v>
      </c>
      <c r="C320">
        <v>1</v>
      </c>
      <c r="D320">
        <v>18</v>
      </c>
      <c r="E320" t="b">
        <v>0</v>
      </c>
      <c r="F320">
        <v>5</v>
      </c>
      <c r="G320" t="s">
        <v>35</v>
      </c>
      <c r="H320" t="s">
        <v>40</v>
      </c>
      <c r="I320">
        <v>1</v>
      </c>
      <c r="J320" t="s">
        <v>29</v>
      </c>
      <c r="K320">
        <v>0.2</v>
      </c>
      <c r="L320" t="s">
        <v>23</v>
      </c>
      <c r="M320">
        <v>0.2576</v>
      </c>
      <c r="N320">
        <v>0.47</v>
      </c>
      <c r="O320" t="s">
        <v>34</v>
      </c>
      <c r="P320">
        <v>0</v>
      </c>
      <c r="Q320">
        <v>5</v>
      </c>
      <c r="R320">
        <v>134</v>
      </c>
      <c r="S320">
        <v>139</v>
      </c>
    </row>
    <row r="321" spans="1:19" x14ac:dyDescent="0.3">
      <c r="A321">
        <v>320</v>
      </c>
      <c r="B321" s="46">
        <v>40557</v>
      </c>
      <c r="C321">
        <v>1</v>
      </c>
      <c r="D321">
        <v>19</v>
      </c>
      <c r="E321" t="b">
        <v>0</v>
      </c>
      <c r="F321">
        <v>5</v>
      </c>
      <c r="G321" t="s">
        <v>35</v>
      </c>
      <c r="H321" t="s">
        <v>40</v>
      </c>
      <c r="I321">
        <v>1</v>
      </c>
      <c r="J321" t="s">
        <v>29</v>
      </c>
      <c r="K321">
        <v>0.16</v>
      </c>
      <c r="L321" t="s">
        <v>23</v>
      </c>
      <c r="M321">
        <v>0.19700000000000001</v>
      </c>
      <c r="N321">
        <v>0.59</v>
      </c>
      <c r="O321" t="s">
        <v>34</v>
      </c>
      <c r="P321">
        <v>8.9599999999999999E-2</v>
      </c>
      <c r="Q321">
        <v>3</v>
      </c>
      <c r="R321">
        <v>89</v>
      </c>
      <c r="S321">
        <v>92</v>
      </c>
    </row>
    <row r="322" spans="1:19" x14ac:dyDescent="0.3">
      <c r="A322">
        <v>321</v>
      </c>
      <c r="B322" s="46">
        <v>40557</v>
      </c>
      <c r="C322">
        <v>1</v>
      </c>
      <c r="D322">
        <v>20</v>
      </c>
      <c r="E322" t="b">
        <v>0</v>
      </c>
      <c r="F322">
        <v>5</v>
      </c>
      <c r="G322" t="s">
        <v>35</v>
      </c>
      <c r="H322" t="s">
        <v>40</v>
      </c>
      <c r="I322">
        <v>1</v>
      </c>
      <c r="J322" t="s">
        <v>29</v>
      </c>
      <c r="K322">
        <v>0.18</v>
      </c>
      <c r="L322" t="s">
        <v>23</v>
      </c>
      <c r="M322">
        <v>0.2424</v>
      </c>
      <c r="N322">
        <v>0.59</v>
      </c>
      <c r="O322" t="s">
        <v>34</v>
      </c>
      <c r="P322">
        <v>0</v>
      </c>
      <c r="Q322">
        <v>0</v>
      </c>
      <c r="R322">
        <v>68</v>
      </c>
      <c r="S322">
        <v>68</v>
      </c>
    </row>
    <row r="323" spans="1:19" x14ac:dyDescent="0.3">
      <c r="A323">
        <v>322</v>
      </c>
      <c r="B323" s="46">
        <v>40557</v>
      </c>
      <c r="C323">
        <v>1</v>
      </c>
      <c r="D323">
        <v>21</v>
      </c>
      <c r="E323" t="b">
        <v>0</v>
      </c>
      <c r="F323">
        <v>5</v>
      </c>
      <c r="G323" t="s">
        <v>35</v>
      </c>
      <c r="H323" t="s">
        <v>40</v>
      </c>
      <c r="I323">
        <v>1</v>
      </c>
      <c r="J323" t="s">
        <v>29</v>
      </c>
      <c r="K323">
        <v>0.16</v>
      </c>
      <c r="L323" t="s">
        <v>23</v>
      </c>
      <c r="M323">
        <v>0.2273</v>
      </c>
      <c r="N323">
        <v>0.69</v>
      </c>
      <c r="O323" t="s">
        <v>34</v>
      </c>
      <c r="P323">
        <v>0</v>
      </c>
      <c r="Q323">
        <v>4</v>
      </c>
      <c r="R323">
        <v>48</v>
      </c>
      <c r="S323">
        <v>52</v>
      </c>
    </row>
    <row r="324" spans="1:19" x14ac:dyDescent="0.3">
      <c r="A324">
        <v>323</v>
      </c>
      <c r="B324" s="46">
        <v>40557</v>
      </c>
      <c r="C324">
        <v>1</v>
      </c>
      <c r="D324">
        <v>22</v>
      </c>
      <c r="E324" t="b">
        <v>0</v>
      </c>
      <c r="F324">
        <v>5</v>
      </c>
      <c r="G324" t="s">
        <v>35</v>
      </c>
      <c r="H324" t="s">
        <v>40</v>
      </c>
      <c r="I324">
        <v>2</v>
      </c>
      <c r="J324" t="s">
        <v>31</v>
      </c>
      <c r="K324">
        <v>0.16</v>
      </c>
      <c r="L324" t="s">
        <v>23</v>
      </c>
      <c r="M324">
        <v>0.2273</v>
      </c>
      <c r="N324">
        <v>0.69</v>
      </c>
      <c r="O324" t="s">
        <v>34</v>
      </c>
      <c r="P324">
        <v>0</v>
      </c>
      <c r="Q324">
        <v>2</v>
      </c>
      <c r="R324">
        <v>34</v>
      </c>
      <c r="S324">
        <v>36</v>
      </c>
    </row>
    <row r="325" spans="1:19" x14ac:dyDescent="0.3">
      <c r="A325">
        <v>324</v>
      </c>
      <c r="B325" s="46">
        <v>40557</v>
      </c>
      <c r="C325">
        <v>1</v>
      </c>
      <c r="D325">
        <v>23</v>
      </c>
      <c r="E325" t="b">
        <v>0</v>
      </c>
      <c r="F325">
        <v>5</v>
      </c>
      <c r="G325" t="s">
        <v>35</v>
      </c>
      <c r="H325" t="s">
        <v>40</v>
      </c>
      <c r="I325">
        <v>2</v>
      </c>
      <c r="J325" t="s">
        <v>31</v>
      </c>
      <c r="K325">
        <v>0.18</v>
      </c>
      <c r="L325" t="s">
        <v>23</v>
      </c>
      <c r="M325">
        <v>0.2424</v>
      </c>
      <c r="N325">
        <v>0.55000000000000004</v>
      </c>
      <c r="O325" t="s">
        <v>34</v>
      </c>
      <c r="P325">
        <v>0</v>
      </c>
      <c r="Q325">
        <v>1</v>
      </c>
      <c r="R325">
        <v>26</v>
      </c>
      <c r="S325">
        <v>27</v>
      </c>
    </row>
    <row r="326" spans="1:19" x14ac:dyDescent="0.3">
      <c r="A326">
        <v>325</v>
      </c>
      <c r="B326" s="46">
        <v>40558</v>
      </c>
      <c r="C326">
        <v>1</v>
      </c>
      <c r="D326">
        <v>0</v>
      </c>
      <c r="E326" t="b">
        <v>0</v>
      </c>
      <c r="F326">
        <v>6</v>
      </c>
      <c r="G326" t="s">
        <v>27</v>
      </c>
      <c r="H326" t="s">
        <v>28</v>
      </c>
      <c r="I326">
        <v>1</v>
      </c>
      <c r="J326" t="s">
        <v>29</v>
      </c>
      <c r="K326">
        <v>0.18</v>
      </c>
      <c r="L326" t="s">
        <v>23</v>
      </c>
      <c r="M326">
        <v>0.2424</v>
      </c>
      <c r="N326">
        <v>0.55000000000000004</v>
      </c>
      <c r="O326" t="s">
        <v>34</v>
      </c>
      <c r="P326">
        <v>0</v>
      </c>
      <c r="Q326">
        <v>3</v>
      </c>
      <c r="R326">
        <v>25</v>
      </c>
      <c r="S326">
        <v>28</v>
      </c>
    </row>
    <row r="327" spans="1:19" x14ac:dyDescent="0.3">
      <c r="A327">
        <v>326</v>
      </c>
      <c r="B327" s="46">
        <v>40558</v>
      </c>
      <c r="C327">
        <v>1</v>
      </c>
      <c r="D327">
        <v>1</v>
      </c>
      <c r="E327" t="b">
        <v>0</v>
      </c>
      <c r="F327">
        <v>6</v>
      </c>
      <c r="G327" t="s">
        <v>27</v>
      </c>
      <c r="H327" t="s">
        <v>28</v>
      </c>
      <c r="I327">
        <v>2</v>
      </c>
      <c r="J327" t="s">
        <v>31</v>
      </c>
      <c r="K327">
        <v>0.16</v>
      </c>
      <c r="L327" t="s">
        <v>23</v>
      </c>
      <c r="M327">
        <v>0.19700000000000001</v>
      </c>
      <c r="N327">
        <v>0.59</v>
      </c>
      <c r="O327" t="s">
        <v>34</v>
      </c>
      <c r="P327">
        <v>8.9599999999999999E-2</v>
      </c>
      <c r="Q327">
        <v>2</v>
      </c>
      <c r="R327">
        <v>18</v>
      </c>
      <c r="S327">
        <v>20</v>
      </c>
    </row>
    <row r="328" spans="1:19" x14ac:dyDescent="0.3">
      <c r="A328">
        <v>327</v>
      </c>
      <c r="B328" s="46">
        <v>40558</v>
      </c>
      <c r="C328">
        <v>1</v>
      </c>
      <c r="D328">
        <v>2</v>
      </c>
      <c r="E328" t="b">
        <v>0</v>
      </c>
      <c r="F328">
        <v>6</v>
      </c>
      <c r="G328" t="s">
        <v>27</v>
      </c>
      <c r="H328" t="s">
        <v>28</v>
      </c>
      <c r="I328">
        <v>2</v>
      </c>
      <c r="J328" t="s">
        <v>31</v>
      </c>
      <c r="K328">
        <v>0.16</v>
      </c>
      <c r="L328" t="s">
        <v>23</v>
      </c>
      <c r="M328">
        <v>0.19700000000000001</v>
      </c>
      <c r="N328">
        <v>0.59</v>
      </c>
      <c r="O328" t="s">
        <v>34</v>
      </c>
      <c r="P328">
        <v>8.9599999999999999E-2</v>
      </c>
      <c r="Q328">
        <v>0</v>
      </c>
      <c r="R328">
        <v>12</v>
      </c>
      <c r="S328">
        <v>12</v>
      </c>
    </row>
    <row r="329" spans="1:19" x14ac:dyDescent="0.3">
      <c r="A329">
        <v>328</v>
      </c>
      <c r="B329" s="46">
        <v>40558</v>
      </c>
      <c r="C329">
        <v>1</v>
      </c>
      <c r="D329">
        <v>3</v>
      </c>
      <c r="E329" t="b">
        <v>0</v>
      </c>
      <c r="F329">
        <v>6</v>
      </c>
      <c r="G329" t="s">
        <v>27</v>
      </c>
      <c r="H329" t="s">
        <v>28</v>
      </c>
      <c r="I329">
        <v>2</v>
      </c>
      <c r="J329" t="s">
        <v>31</v>
      </c>
      <c r="K329">
        <v>0.16</v>
      </c>
      <c r="L329" t="s">
        <v>23</v>
      </c>
      <c r="M329">
        <v>0.2273</v>
      </c>
      <c r="N329">
        <v>0.59</v>
      </c>
      <c r="O329" t="s">
        <v>34</v>
      </c>
      <c r="P329">
        <v>0</v>
      </c>
      <c r="Q329">
        <v>1</v>
      </c>
      <c r="R329">
        <v>7</v>
      </c>
      <c r="S329">
        <v>8</v>
      </c>
    </row>
    <row r="330" spans="1:19" x14ac:dyDescent="0.3">
      <c r="A330">
        <v>329</v>
      </c>
      <c r="B330" s="46">
        <v>40558</v>
      </c>
      <c r="C330">
        <v>1</v>
      </c>
      <c r="D330">
        <v>4</v>
      </c>
      <c r="E330" t="b">
        <v>0</v>
      </c>
      <c r="F330">
        <v>6</v>
      </c>
      <c r="G330" t="s">
        <v>27</v>
      </c>
      <c r="H330" t="s">
        <v>28</v>
      </c>
      <c r="I330">
        <v>2</v>
      </c>
      <c r="J330" t="s">
        <v>31</v>
      </c>
      <c r="K330">
        <v>0.16</v>
      </c>
      <c r="L330" t="s">
        <v>23</v>
      </c>
      <c r="M330">
        <v>0.2273</v>
      </c>
      <c r="N330">
        <v>0.59</v>
      </c>
      <c r="O330" t="s">
        <v>34</v>
      </c>
      <c r="P330">
        <v>0</v>
      </c>
      <c r="Q330">
        <v>0</v>
      </c>
      <c r="R330">
        <v>5</v>
      </c>
      <c r="S330">
        <v>5</v>
      </c>
    </row>
    <row r="331" spans="1:19" x14ac:dyDescent="0.3">
      <c r="A331">
        <v>330</v>
      </c>
      <c r="B331" s="46">
        <v>40558</v>
      </c>
      <c r="C331">
        <v>1</v>
      </c>
      <c r="D331">
        <v>5</v>
      </c>
      <c r="E331" t="b">
        <v>0</v>
      </c>
      <c r="F331">
        <v>6</v>
      </c>
      <c r="G331" t="s">
        <v>27</v>
      </c>
      <c r="H331" t="s">
        <v>28</v>
      </c>
      <c r="I331">
        <v>1</v>
      </c>
      <c r="J331" t="s">
        <v>29</v>
      </c>
      <c r="K331">
        <v>0.16</v>
      </c>
      <c r="L331" t="s">
        <v>23</v>
      </c>
      <c r="M331">
        <v>0.2273</v>
      </c>
      <c r="N331">
        <v>0.59</v>
      </c>
      <c r="O331" t="s">
        <v>34</v>
      </c>
      <c r="P331">
        <v>0</v>
      </c>
      <c r="Q331">
        <v>0</v>
      </c>
      <c r="R331">
        <v>1</v>
      </c>
      <c r="S331">
        <v>1</v>
      </c>
    </row>
    <row r="332" spans="1:19" x14ac:dyDescent="0.3">
      <c r="A332">
        <v>331</v>
      </c>
      <c r="B332" s="46">
        <v>40558</v>
      </c>
      <c r="C332">
        <v>1</v>
      </c>
      <c r="D332">
        <v>6</v>
      </c>
      <c r="E332" t="b">
        <v>0</v>
      </c>
      <c r="F332">
        <v>6</v>
      </c>
      <c r="G332" t="s">
        <v>27</v>
      </c>
      <c r="H332" t="s">
        <v>28</v>
      </c>
      <c r="I332">
        <v>1</v>
      </c>
      <c r="J332" t="s">
        <v>29</v>
      </c>
      <c r="K332">
        <v>0.14000000000000001</v>
      </c>
      <c r="L332" t="s">
        <v>23</v>
      </c>
      <c r="M332">
        <v>0.16669999999999999</v>
      </c>
      <c r="N332">
        <v>0.63</v>
      </c>
      <c r="O332" t="s">
        <v>34</v>
      </c>
      <c r="P332">
        <v>0.1045</v>
      </c>
      <c r="Q332">
        <v>1</v>
      </c>
      <c r="R332">
        <v>2</v>
      </c>
      <c r="S332">
        <v>3</v>
      </c>
    </row>
    <row r="333" spans="1:19" x14ac:dyDescent="0.3">
      <c r="A333">
        <v>332</v>
      </c>
      <c r="B333" s="46">
        <v>40558</v>
      </c>
      <c r="C333">
        <v>1</v>
      </c>
      <c r="D333">
        <v>7</v>
      </c>
      <c r="E333" t="b">
        <v>0</v>
      </c>
      <c r="F333">
        <v>6</v>
      </c>
      <c r="G333" t="s">
        <v>27</v>
      </c>
      <c r="H333" t="s">
        <v>28</v>
      </c>
      <c r="I333">
        <v>1</v>
      </c>
      <c r="J333" t="s">
        <v>29</v>
      </c>
      <c r="K333">
        <v>0.14000000000000001</v>
      </c>
      <c r="L333" t="s">
        <v>23</v>
      </c>
      <c r="M333">
        <v>0.21210000000000001</v>
      </c>
      <c r="N333">
        <v>0.63</v>
      </c>
      <c r="O333" t="s">
        <v>34</v>
      </c>
      <c r="P333">
        <v>0</v>
      </c>
      <c r="Q333">
        <v>1</v>
      </c>
      <c r="R333">
        <v>9</v>
      </c>
      <c r="S333">
        <v>10</v>
      </c>
    </row>
    <row r="334" spans="1:19" x14ac:dyDescent="0.3">
      <c r="A334">
        <v>333</v>
      </c>
      <c r="B334" s="46">
        <v>40558</v>
      </c>
      <c r="C334">
        <v>1</v>
      </c>
      <c r="D334">
        <v>8</v>
      </c>
      <c r="E334" t="b">
        <v>0</v>
      </c>
      <c r="F334">
        <v>6</v>
      </c>
      <c r="G334" t="s">
        <v>27</v>
      </c>
      <c r="H334" t="s">
        <v>28</v>
      </c>
      <c r="I334">
        <v>1</v>
      </c>
      <c r="J334" t="s">
        <v>29</v>
      </c>
      <c r="K334">
        <v>0.14000000000000001</v>
      </c>
      <c r="L334" t="s">
        <v>23</v>
      </c>
      <c r="M334">
        <v>0.1515</v>
      </c>
      <c r="N334">
        <v>0.63</v>
      </c>
      <c r="O334" t="s">
        <v>34</v>
      </c>
      <c r="P334">
        <v>0.1343</v>
      </c>
      <c r="Q334">
        <v>1</v>
      </c>
      <c r="R334">
        <v>22</v>
      </c>
      <c r="S334">
        <v>23</v>
      </c>
    </row>
    <row r="335" spans="1:19" x14ac:dyDescent="0.3">
      <c r="A335">
        <v>334</v>
      </c>
      <c r="B335" s="46">
        <v>40558</v>
      </c>
      <c r="C335">
        <v>1</v>
      </c>
      <c r="D335">
        <v>9</v>
      </c>
      <c r="E335" t="b">
        <v>0</v>
      </c>
      <c r="F335">
        <v>6</v>
      </c>
      <c r="G335" t="s">
        <v>27</v>
      </c>
      <c r="H335" t="s">
        <v>28</v>
      </c>
      <c r="I335">
        <v>1</v>
      </c>
      <c r="J335" t="s">
        <v>29</v>
      </c>
      <c r="K335">
        <v>0.16</v>
      </c>
      <c r="L335" t="s">
        <v>23</v>
      </c>
      <c r="M335">
        <v>0.18179999999999999</v>
      </c>
      <c r="N335">
        <v>0.64</v>
      </c>
      <c r="O335" t="s">
        <v>34</v>
      </c>
      <c r="P335">
        <v>0.1343</v>
      </c>
      <c r="Q335">
        <v>2</v>
      </c>
      <c r="R335">
        <v>31</v>
      </c>
      <c r="S335">
        <v>33</v>
      </c>
    </row>
    <row r="336" spans="1:19" x14ac:dyDescent="0.3">
      <c r="A336">
        <v>335</v>
      </c>
      <c r="B336" s="46">
        <v>40558</v>
      </c>
      <c r="C336">
        <v>1</v>
      </c>
      <c r="D336">
        <v>10</v>
      </c>
      <c r="E336" t="b">
        <v>0</v>
      </c>
      <c r="F336">
        <v>6</v>
      </c>
      <c r="G336" t="s">
        <v>27</v>
      </c>
      <c r="H336" t="s">
        <v>28</v>
      </c>
      <c r="I336">
        <v>1</v>
      </c>
      <c r="J336" t="s">
        <v>29</v>
      </c>
      <c r="K336">
        <v>0.18</v>
      </c>
      <c r="L336" t="s">
        <v>23</v>
      </c>
      <c r="M336">
        <v>0.19700000000000001</v>
      </c>
      <c r="N336">
        <v>0.59</v>
      </c>
      <c r="O336" t="s">
        <v>34</v>
      </c>
      <c r="P336">
        <v>0.16420000000000001</v>
      </c>
      <c r="Q336">
        <v>2</v>
      </c>
      <c r="R336">
        <v>57</v>
      </c>
      <c r="S336">
        <v>59</v>
      </c>
    </row>
    <row r="337" spans="1:19" x14ac:dyDescent="0.3">
      <c r="A337">
        <v>336</v>
      </c>
      <c r="B337" s="46">
        <v>40558</v>
      </c>
      <c r="C337">
        <v>1</v>
      </c>
      <c r="D337">
        <v>11</v>
      </c>
      <c r="E337" t="b">
        <v>0</v>
      </c>
      <c r="F337">
        <v>6</v>
      </c>
      <c r="G337" t="s">
        <v>27</v>
      </c>
      <c r="H337" t="s">
        <v>28</v>
      </c>
      <c r="I337">
        <v>1</v>
      </c>
      <c r="J337" t="s">
        <v>29</v>
      </c>
      <c r="K337">
        <v>0.2</v>
      </c>
      <c r="L337" t="s">
        <v>23</v>
      </c>
      <c r="M337">
        <v>0.19700000000000001</v>
      </c>
      <c r="N337">
        <v>0.55000000000000004</v>
      </c>
      <c r="O337" t="s">
        <v>34</v>
      </c>
      <c r="P337">
        <v>0.22389999999999999</v>
      </c>
      <c r="Q337">
        <v>18</v>
      </c>
      <c r="R337">
        <v>54</v>
      </c>
      <c r="S337">
        <v>72</v>
      </c>
    </row>
    <row r="338" spans="1:19" x14ac:dyDescent="0.3">
      <c r="A338">
        <v>337</v>
      </c>
      <c r="B338" s="46">
        <v>40558</v>
      </c>
      <c r="C338">
        <v>1</v>
      </c>
      <c r="D338">
        <v>12</v>
      </c>
      <c r="E338" t="b">
        <v>0</v>
      </c>
      <c r="F338">
        <v>6</v>
      </c>
      <c r="G338" t="s">
        <v>27</v>
      </c>
      <c r="H338" t="s">
        <v>28</v>
      </c>
      <c r="I338">
        <v>1</v>
      </c>
      <c r="J338" t="s">
        <v>29</v>
      </c>
      <c r="K338">
        <v>0.24</v>
      </c>
      <c r="L338" t="s">
        <v>23</v>
      </c>
      <c r="M338">
        <v>0.2273</v>
      </c>
      <c r="N338">
        <v>0.48</v>
      </c>
      <c r="O338" t="s">
        <v>34</v>
      </c>
      <c r="P338">
        <v>0.22389999999999999</v>
      </c>
      <c r="Q338">
        <v>15</v>
      </c>
      <c r="R338">
        <v>74</v>
      </c>
      <c r="S338">
        <v>89</v>
      </c>
    </row>
    <row r="339" spans="1:19" x14ac:dyDescent="0.3">
      <c r="A339">
        <v>338</v>
      </c>
      <c r="B339" s="46">
        <v>40558</v>
      </c>
      <c r="C339">
        <v>1</v>
      </c>
      <c r="D339">
        <v>13</v>
      </c>
      <c r="E339" t="b">
        <v>0</v>
      </c>
      <c r="F339">
        <v>6</v>
      </c>
      <c r="G339" t="s">
        <v>27</v>
      </c>
      <c r="H339" t="s">
        <v>28</v>
      </c>
      <c r="I339">
        <v>1</v>
      </c>
      <c r="J339" t="s">
        <v>29</v>
      </c>
      <c r="K339">
        <v>0.28000000000000003</v>
      </c>
      <c r="L339" t="s">
        <v>23</v>
      </c>
      <c r="M339">
        <v>0.2576</v>
      </c>
      <c r="N339">
        <v>0.38</v>
      </c>
      <c r="O339" t="s">
        <v>34</v>
      </c>
      <c r="P339">
        <v>0.29849999999999999</v>
      </c>
      <c r="Q339">
        <v>21</v>
      </c>
      <c r="R339">
        <v>80</v>
      </c>
      <c r="S339">
        <v>101</v>
      </c>
    </row>
    <row r="340" spans="1:19" x14ac:dyDescent="0.3">
      <c r="A340">
        <v>339</v>
      </c>
      <c r="B340" s="46">
        <v>40558</v>
      </c>
      <c r="C340">
        <v>1</v>
      </c>
      <c r="D340">
        <v>14</v>
      </c>
      <c r="E340" t="b">
        <v>0</v>
      </c>
      <c r="F340">
        <v>6</v>
      </c>
      <c r="G340" t="s">
        <v>27</v>
      </c>
      <c r="H340" t="s">
        <v>28</v>
      </c>
      <c r="I340">
        <v>1</v>
      </c>
      <c r="J340" t="s">
        <v>29</v>
      </c>
      <c r="K340">
        <v>0.3</v>
      </c>
      <c r="L340" t="s">
        <v>23</v>
      </c>
      <c r="M340">
        <v>0.28789999999999999</v>
      </c>
      <c r="N340">
        <v>0.39</v>
      </c>
      <c r="O340" t="s">
        <v>34</v>
      </c>
      <c r="P340">
        <v>0.28360000000000002</v>
      </c>
      <c r="Q340">
        <v>26</v>
      </c>
      <c r="R340">
        <v>92</v>
      </c>
      <c r="S340">
        <v>118</v>
      </c>
    </row>
    <row r="341" spans="1:19" x14ac:dyDescent="0.3">
      <c r="A341">
        <v>340</v>
      </c>
      <c r="B341" s="46">
        <v>40558</v>
      </c>
      <c r="C341">
        <v>1</v>
      </c>
      <c r="D341">
        <v>15</v>
      </c>
      <c r="E341" t="b">
        <v>0</v>
      </c>
      <c r="F341">
        <v>6</v>
      </c>
      <c r="G341" t="s">
        <v>27</v>
      </c>
      <c r="H341" t="s">
        <v>28</v>
      </c>
      <c r="I341">
        <v>2</v>
      </c>
      <c r="J341" t="s">
        <v>31</v>
      </c>
      <c r="K341">
        <v>0.32</v>
      </c>
      <c r="L341" t="s">
        <v>23</v>
      </c>
      <c r="M341">
        <v>0.31819999999999998</v>
      </c>
      <c r="N341">
        <v>0.36</v>
      </c>
      <c r="O341" t="s">
        <v>34</v>
      </c>
      <c r="P341">
        <v>0.19400000000000001</v>
      </c>
      <c r="Q341">
        <v>21</v>
      </c>
      <c r="R341">
        <v>108</v>
      </c>
      <c r="S341">
        <v>129</v>
      </c>
    </row>
    <row r="342" spans="1:19" x14ac:dyDescent="0.3">
      <c r="A342">
        <v>341</v>
      </c>
      <c r="B342" s="46">
        <v>40558</v>
      </c>
      <c r="C342">
        <v>1</v>
      </c>
      <c r="D342">
        <v>16</v>
      </c>
      <c r="E342" t="b">
        <v>0</v>
      </c>
      <c r="F342">
        <v>6</v>
      </c>
      <c r="G342" t="s">
        <v>27</v>
      </c>
      <c r="H342" t="s">
        <v>28</v>
      </c>
      <c r="I342">
        <v>2</v>
      </c>
      <c r="J342" t="s">
        <v>31</v>
      </c>
      <c r="K342">
        <v>0.34</v>
      </c>
      <c r="L342" t="s">
        <v>23</v>
      </c>
      <c r="M342">
        <v>0.33329999999999999</v>
      </c>
      <c r="N342">
        <v>0.34</v>
      </c>
      <c r="O342" t="s">
        <v>34</v>
      </c>
      <c r="P342">
        <v>0.19400000000000001</v>
      </c>
      <c r="Q342">
        <v>33</v>
      </c>
      <c r="R342">
        <v>95</v>
      </c>
      <c r="S342">
        <v>128</v>
      </c>
    </row>
    <row r="343" spans="1:19" x14ac:dyDescent="0.3">
      <c r="A343">
        <v>342</v>
      </c>
      <c r="B343" s="46">
        <v>40558</v>
      </c>
      <c r="C343">
        <v>1</v>
      </c>
      <c r="D343">
        <v>17</v>
      </c>
      <c r="E343" t="b">
        <v>0</v>
      </c>
      <c r="F343">
        <v>6</v>
      </c>
      <c r="G343" t="s">
        <v>27</v>
      </c>
      <c r="H343" t="s">
        <v>28</v>
      </c>
      <c r="I343">
        <v>2</v>
      </c>
      <c r="J343" t="s">
        <v>31</v>
      </c>
      <c r="K343">
        <v>0.32</v>
      </c>
      <c r="L343" t="s">
        <v>23</v>
      </c>
      <c r="M343">
        <v>0.30299999999999999</v>
      </c>
      <c r="N343">
        <v>0.36</v>
      </c>
      <c r="O343" t="s">
        <v>34</v>
      </c>
      <c r="P343">
        <v>0.28360000000000002</v>
      </c>
      <c r="Q343">
        <v>29</v>
      </c>
      <c r="R343">
        <v>54</v>
      </c>
      <c r="S343">
        <v>83</v>
      </c>
    </row>
    <row r="344" spans="1:19" x14ac:dyDescent="0.3">
      <c r="A344">
        <v>343</v>
      </c>
      <c r="B344" s="46">
        <v>40558</v>
      </c>
      <c r="C344">
        <v>1</v>
      </c>
      <c r="D344">
        <v>18</v>
      </c>
      <c r="E344" t="b">
        <v>0</v>
      </c>
      <c r="F344">
        <v>6</v>
      </c>
      <c r="G344" t="s">
        <v>27</v>
      </c>
      <c r="H344" t="s">
        <v>28</v>
      </c>
      <c r="I344">
        <v>2</v>
      </c>
      <c r="J344" t="s">
        <v>31</v>
      </c>
      <c r="K344">
        <v>0.3</v>
      </c>
      <c r="L344" t="s">
        <v>23</v>
      </c>
      <c r="M344">
        <v>0.28789999999999999</v>
      </c>
      <c r="N344">
        <v>0.45</v>
      </c>
      <c r="O344" t="s">
        <v>34</v>
      </c>
      <c r="P344">
        <v>0.25369999999999998</v>
      </c>
      <c r="Q344">
        <v>15</v>
      </c>
      <c r="R344">
        <v>69</v>
      </c>
      <c r="S344">
        <v>84</v>
      </c>
    </row>
    <row r="345" spans="1:19" x14ac:dyDescent="0.3">
      <c r="A345">
        <v>344</v>
      </c>
      <c r="B345" s="46">
        <v>40558</v>
      </c>
      <c r="C345">
        <v>1</v>
      </c>
      <c r="D345">
        <v>19</v>
      </c>
      <c r="E345" t="b">
        <v>0</v>
      </c>
      <c r="F345">
        <v>6</v>
      </c>
      <c r="G345" t="s">
        <v>27</v>
      </c>
      <c r="H345" t="s">
        <v>28</v>
      </c>
      <c r="I345">
        <v>2</v>
      </c>
      <c r="J345" t="s">
        <v>31</v>
      </c>
      <c r="K345">
        <v>0.32</v>
      </c>
      <c r="L345" t="s">
        <v>23</v>
      </c>
      <c r="M345">
        <v>0.30299999999999999</v>
      </c>
      <c r="N345">
        <v>0.39</v>
      </c>
      <c r="O345" t="s">
        <v>34</v>
      </c>
      <c r="P345">
        <v>0.25369999999999998</v>
      </c>
      <c r="Q345">
        <v>14</v>
      </c>
      <c r="R345">
        <v>60</v>
      </c>
      <c r="S345">
        <v>74</v>
      </c>
    </row>
    <row r="346" spans="1:19" x14ac:dyDescent="0.3">
      <c r="A346">
        <v>345</v>
      </c>
      <c r="B346" s="46">
        <v>40558</v>
      </c>
      <c r="C346">
        <v>1</v>
      </c>
      <c r="D346">
        <v>20</v>
      </c>
      <c r="E346" t="b">
        <v>0</v>
      </c>
      <c r="F346">
        <v>6</v>
      </c>
      <c r="G346" t="s">
        <v>27</v>
      </c>
      <c r="H346" t="s">
        <v>28</v>
      </c>
      <c r="I346">
        <v>2</v>
      </c>
      <c r="J346" t="s">
        <v>31</v>
      </c>
      <c r="K346">
        <v>0.32</v>
      </c>
      <c r="L346" t="s">
        <v>23</v>
      </c>
      <c r="M346">
        <v>0.30299999999999999</v>
      </c>
      <c r="N346">
        <v>0.39</v>
      </c>
      <c r="O346" t="s">
        <v>34</v>
      </c>
      <c r="P346">
        <v>0.25369999999999998</v>
      </c>
      <c r="Q346">
        <v>6</v>
      </c>
      <c r="R346">
        <v>35</v>
      </c>
      <c r="S346">
        <v>41</v>
      </c>
    </row>
    <row r="347" spans="1:19" x14ac:dyDescent="0.3">
      <c r="A347">
        <v>346</v>
      </c>
      <c r="B347" s="46">
        <v>40558</v>
      </c>
      <c r="C347">
        <v>1</v>
      </c>
      <c r="D347">
        <v>21</v>
      </c>
      <c r="E347" t="b">
        <v>0</v>
      </c>
      <c r="F347">
        <v>6</v>
      </c>
      <c r="G347" t="s">
        <v>27</v>
      </c>
      <c r="H347" t="s">
        <v>28</v>
      </c>
      <c r="I347">
        <v>2</v>
      </c>
      <c r="J347" t="s">
        <v>31</v>
      </c>
      <c r="K347">
        <v>0.32</v>
      </c>
      <c r="L347" t="s">
        <v>23</v>
      </c>
      <c r="M347">
        <v>0.30299999999999999</v>
      </c>
      <c r="N347">
        <v>0.39</v>
      </c>
      <c r="O347" t="s">
        <v>34</v>
      </c>
      <c r="P347">
        <v>0.22389999999999999</v>
      </c>
      <c r="Q347">
        <v>6</v>
      </c>
      <c r="R347">
        <v>51</v>
      </c>
      <c r="S347">
        <v>57</v>
      </c>
    </row>
    <row r="348" spans="1:19" x14ac:dyDescent="0.3">
      <c r="A348">
        <v>347</v>
      </c>
      <c r="B348" s="46">
        <v>40558</v>
      </c>
      <c r="C348">
        <v>1</v>
      </c>
      <c r="D348">
        <v>22</v>
      </c>
      <c r="E348" t="b">
        <v>0</v>
      </c>
      <c r="F348">
        <v>6</v>
      </c>
      <c r="G348" t="s">
        <v>27</v>
      </c>
      <c r="H348" t="s">
        <v>28</v>
      </c>
      <c r="I348">
        <v>2</v>
      </c>
      <c r="J348" t="s">
        <v>31</v>
      </c>
      <c r="K348">
        <v>0.3</v>
      </c>
      <c r="L348" t="s">
        <v>23</v>
      </c>
      <c r="M348">
        <v>0.31819999999999998</v>
      </c>
      <c r="N348">
        <v>0.42</v>
      </c>
      <c r="O348" t="s">
        <v>34</v>
      </c>
      <c r="P348">
        <v>0.1045</v>
      </c>
      <c r="Q348">
        <v>0</v>
      </c>
      <c r="R348">
        <v>26</v>
      </c>
      <c r="S348">
        <v>26</v>
      </c>
    </row>
    <row r="349" spans="1:19" x14ac:dyDescent="0.3">
      <c r="A349">
        <v>348</v>
      </c>
      <c r="B349" s="46">
        <v>40558</v>
      </c>
      <c r="C349">
        <v>1</v>
      </c>
      <c r="D349">
        <v>23</v>
      </c>
      <c r="E349" t="b">
        <v>0</v>
      </c>
      <c r="F349">
        <v>6</v>
      </c>
      <c r="G349" t="s">
        <v>27</v>
      </c>
      <c r="H349" t="s">
        <v>28</v>
      </c>
      <c r="I349">
        <v>1</v>
      </c>
      <c r="J349" t="s">
        <v>29</v>
      </c>
      <c r="K349">
        <v>0.3</v>
      </c>
      <c r="L349" t="s">
        <v>23</v>
      </c>
      <c r="M349">
        <v>0.28789999999999999</v>
      </c>
      <c r="N349">
        <v>0.45</v>
      </c>
      <c r="O349" t="s">
        <v>34</v>
      </c>
      <c r="P349">
        <v>0.28360000000000002</v>
      </c>
      <c r="Q349">
        <v>5</v>
      </c>
      <c r="R349">
        <v>39</v>
      </c>
      <c r="S349">
        <v>44</v>
      </c>
    </row>
    <row r="350" spans="1:19" x14ac:dyDescent="0.3">
      <c r="A350">
        <v>349</v>
      </c>
      <c r="B350" s="46">
        <v>40559</v>
      </c>
      <c r="C350">
        <v>1</v>
      </c>
      <c r="D350">
        <v>0</v>
      </c>
      <c r="E350" t="b">
        <v>0</v>
      </c>
      <c r="F350">
        <v>0</v>
      </c>
      <c r="G350" t="s">
        <v>27</v>
      </c>
      <c r="H350" t="s">
        <v>33</v>
      </c>
      <c r="I350">
        <v>1</v>
      </c>
      <c r="J350" t="s">
        <v>29</v>
      </c>
      <c r="K350">
        <v>0.26</v>
      </c>
      <c r="L350" t="s">
        <v>23</v>
      </c>
      <c r="M350">
        <v>0.30299999999999999</v>
      </c>
      <c r="N350">
        <v>0.56000000000000005</v>
      </c>
      <c r="O350" t="s">
        <v>34</v>
      </c>
      <c r="P350">
        <v>0</v>
      </c>
      <c r="Q350">
        <v>6</v>
      </c>
      <c r="R350">
        <v>33</v>
      </c>
      <c r="S350">
        <v>39</v>
      </c>
    </row>
    <row r="351" spans="1:19" x14ac:dyDescent="0.3">
      <c r="A351">
        <v>350</v>
      </c>
      <c r="B351" s="46">
        <v>40559</v>
      </c>
      <c r="C351">
        <v>1</v>
      </c>
      <c r="D351">
        <v>1</v>
      </c>
      <c r="E351" t="b">
        <v>0</v>
      </c>
      <c r="F351">
        <v>0</v>
      </c>
      <c r="G351" t="s">
        <v>27</v>
      </c>
      <c r="H351" t="s">
        <v>33</v>
      </c>
      <c r="I351">
        <v>1</v>
      </c>
      <c r="J351" t="s">
        <v>29</v>
      </c>
      <c r="K351">
        <v>0.26</v>
      </c>
      <c r="L351" t="s">
        <v>23</v>
      </c>
      <c r="M351">
        <v>0.2727</v>
      </c>
      <c r="N351">
        <v>0.56000000000000005</v>
      </c>
      <c r="O351" t="s">
        <v>34</v>
      </c>
      <c r="P351">
        <v>0.1343</v>
      </c>
      <c r="Q351">
        <v>4</v>
      </c>
      <c r="R351">
        <v>19</v>
      </c>
      <c r="S351">
        <v>23</v>
      </c>
    </row>
    <row r="352" spans="1:19" x14ac:dyDescent="0.3">
      <c r="A352">
        <v>351</v>
      </c>
      <c r="B352" s="46">
        <v>40559</v>
      </c>
      <c r="C352">
        <v>1</v>
      </c>
      <c r="D352">
        <v>2</v>
      </c>
      <c r="E352" t="b">
        <v>0</v>
      </c>
      <c r="F352">
        <v>0</v>
      </c>
      <c r="G352" t="s">
        <v>27</v>
      </c>
      <c r="H352" t="s">
        <v>33</v>
      </c>
      <c r="I352">
        <v>1</v>
      </c>
      <c r="J352" t="s">
        <v>29</v>
      </c>
      <c r="K352">
        <v>0.26</v>
      </c>
      <c r="L352" t="s">
        <v>23</v>
      </c>
      <c r="M352">
        <v>0.28789999999999999</v>
      </c>
      <c r="N352">
        <v>0.56000000000000005</v>
      </c>
      <c r="O352" t="s">
        <v>34</v>
      </c>
      <c r="P352">
        <v>8.9599999999999999E-2</v>
      </c>
      <c r="Q352">
        <v>3</v>
      </c>
      <c r="R352">
        <v>13</v>
      </c>
      <c r="S352">
        <v>16</v>
      </c>
    </row>
    <row r="353" spans="1:19" x14ac:dyDescent="0.3">
      <c r="A353">
        <v>352</v>
      </c>
      <c r="B353" s="46">
        <v>40559</v>
      </c>
      <c r="C353">
        <v>1</v>
      </c>
      <c r="D353">
        <v>3</v>
      </c>
      <c r="E353" t="b">
        <v>0</v>
      </c>
      <c r="F353">
        <v>0</v>
      </c>
      <c r="G353" t="s">
        <v>27</v>
      </c>
      <c r="H353" t="s">
        <v>33</v>
      </c>
      <c r="I353">
        <v>1</v>
      </c>
      <c r="J353" t="s">
        <v>29</v>
      </c>
      <c r="K353">
        <v>0.22</v>
      </c>
      <c r="L353" t="s">
        <v>23</v>
      </c>
      <c r="M353">
        <v>0.2727</v>
      </c>
      <c r="N353">
        <v>0.69</v>
      </c>
      <c r="O353" t="s">
        <v>34</v>
      </c>
      <c r="P353">
        <v>0</v>
      </c>
      <c r="Q353">
        <v>9</v>
      </c>
      <c r="R353">
        <v>6</v>
      </c>
      <c r="S353">
        <v>15</v>
      </c>
    </row>
    <row r="354" spans="1:19" x14ac:dyDescent="0.3">
      <c r="A354">
        <v>353</v>
      </c>
      <c r="B354" s="46">
        <v>40559</v>
      </c>
      <c r="C354">
        <v>1</v>
      </c>
      <c r="D354">
        <v>4</v>
      </c>
      <c r="E354" t="b">
        <v>0</v>
      </c>
      <c r="F354">
        <v>0</v>
      </c>
      <c r="G354" t="s">
        <v>27</v>
      </c>
      <c r="H354" t="s">
        <v>33</v>
      </c>
      <c r="I354">
        <v>1</v>
      </c>
      <c r="J354" t="s">
        <v>29</v>
      </c>
      <c r="K354">
        <v>0.26</v>
      </c>
      <c r="L354" t="s">
        <v>23</v>
      </c>
      <c r="M354">
        <v>0.2576</v>
      </c>
      <c r="N354">
        <v>0.56000000000000005</v>
      </c>
      <c r="O354" t="s">
        <v>34</v>
      </c>
      <c r="P354">
        <v>0.16420000000000001</v>
      </c>
      <c r="Q354">
        <v>0</v>
      </c>
      <c r="R354">
        <v>1</v>
      </c>
      <c r="S354">
        <v>1</v>
      </c>
    </row>
    <row r="355" spans="1:19" x14ac:dyDescent="0.3">
      <c r="A355">
        <v>354</v>
      </c>
      <c r="B355" s="46">
        <v>40559</v>
      </c>
      <c r="C355">
        <v>1</v>
      </c>
      <c r="D355">
        <v>5</v>
      </c>
      <c r="E355" t="b">
        <v>0</v>
      </c>
      <c r="F355">
        <v>0</v>
      </c>
      <c r="G355" t="s">
        <v>27</v>
      </c>
      <c r="H355" t="s">
        <v>33</v>
      </c>
      <c r="I355">
        <v>2</v>
      </c>
      <c r="J355" t="s">
        <v>31</v>
      </c>
      <c r="K355">
        <v>0.26</v>
      </c>
      <c r="L355" t="s">
        <v>23</v>
      </c>
      <c r="M355">
        <v>0.2576</v>
      </c>
      <c r="N355">
        <v>0.56000000000000005</v>
      </c>
      <c r="O355" t="s">
        <v>34</v>
      </c>
      <c r="P355">
        <v>0.16420000000000001</v>
      </c>
      <c r="Q355">
        <v>1</v>
      </c>
      <c r="R355">
        <v>1</v>
      </c>
      <c r="S355">
        <v>2</v>
      </c>
    </row>
    <row r="356" spans="1:19" x14ac:dyDescent="0.3">
      <c r="A356">
        <v>355</v>
      </c>
      <c r="B356" s="46">
        <v>40559</v>
      </c>
      <c r="C356">
        <v>1</v>
      </c>
      <c r="D356">
        <v>6</v>
      </c>
      <c r="E356" t="b">
        <v>0</v>
      </c>
      <c r="F356">
        <v>0</v>
      </c>
      <c r="G356" t="s">
        <v>27</v>
      </c>
      <c r="H356" t="s">
        <v>33</v>
      </c>
      <c r="I356">
        <v>2</v>
      </c>
      <c r="J356" t="s">
        <v>31</v>
      </c>
      <c r="K356">
        <v>0.26</v>
      </c>
      <c r="L356" t="s">
        <v>23</v>
      </c>
      <c r="M356">
        <v>0.2576</v>
      </c>
      <c r="N356">
        <v>0.56000000000000005</v>
      </c>
      <c r="O356" t="s">
        <v>34</v>
      </c>
      <c r="P356">
        <v>0.16420000000000001</v>
      </c>
      <c r="Q356">
        <v>0</v>
      </c>
      <c r="R356">
        <v>1</v>
      </c>
      <c r="S356">
        <v>1</v>
      </c>
    </row>
    <row r="357" spans="1:19" x14ac:dyDescent="0.3">
      <c r="A357">
        <v>356</v>
      </c>
      <c r="B357" s="46">
        <v>40559</v>
      </c>
      <c r="C357">
        <v>1</v>
      </c>
      <c r="D357">
        <v>7</v>
      </c>
      <c r="E357" t="b">
        <v>0</v>
      </c>
      <c r="F357">
        <v>0</v>
      </c>
      <c r="G357" t="s">
        <v>27</v>
      </c>
      <c r="H357" t="s">
        <v>33</v>
      </c>
      <c r="I357">
        <v>2</v>
      </c>
      <c r="J357" t="s">
        <v>31</v>
      </c>
      <c r="K357">
        <v>0.24</v>
      </c>
      <c r="L357" t="s">
        <v>23</v>
      </c>
      <c r="M357">
        <v>0.21210000000000001</v>
      </c>
      <c r="N357">
        <v>0.56000000000000005</v>
      </c>
      <c r="O357" t="s">
        <v>34</v>
      </c>
      <c r="P357">
        <v>0.29849999999999999</v>
      </c>
      <c r="Q357">
        <v>0</v>
      </c>
      <c r="R357">
        <v>3</v>
      </c>
      <c r="S357">
        <v>3</v>
      </c>
    </row>
    <row r="358" spans="1:19" x14ac:dyDescent="0.3">
      <c r="A358">
        <v>357</v>
      </c>
      <c r="B358" s="46">
        <v>40559</v>
      </c>
      <c r="C358">
        <v>1</v>
      </c>
      <c r="D358">
        <v>8</v>
      </c>
      <c r="E358" t="b">
        <v>0</v>
      </c>
      <c r="F358">
        <v>0</v>
      </c>
      <c r="G358" t="s">
        <v>27</v>
      </c>
      <c r="H358" t="s">
        <v>33</v>
      </c>
      <c r="I358">
        <v>1</v>
      </c>
      <c r="J358" t="s">
        <v>29</v>
      </c>
      <c r="K358">
        <v>0.22</v>
      </c>
      <c r="L358" t="s">
        <v>23</v>
      </c>
      <c r="M358">
        <v>0.21210000000000001</v>
      </c>
      <c r="N358">
        <v>0.55000000000000004</v>
      </c>
      <c r="O358" t="s">
        <v>34</v>
      </c>
      <c r="P358">
        <v>0.28360000000000002</v>
      </c>
      <c r="Q358">
        <v>0</v>
      </c>
      <c r="R358">
        <v>18</v>
      </c>
      <c r="S358">
        <v>18</v>
      </c>
    </row>
    <row r="359" spans="1:19" x14ac:dyDescent="0.3">
      <c r="A359">
        <v>358</v>
      </c>
      <c r="B359" s="46">
        <v>40559</v>
      </c>
      <c r="C359">
        <v>1</v>
      </c>
      <c r="D359">
        <v>9</v>
      </c>
      <c r="E359" t="b">
        <v>0</v>
      </c>
      <c r="F359">
        <v>0</v>
      </c>
      <c r="G359" t="s">
        <v>27</v>
      </c>
      <c r="H359" t="s">
        <v>33</v>
      </c>
      <c r="I359">
        <v>1</v>
      </c>
      <c r="J359" t="s">
        <v>29</v>
      </c>
      <c r="K359">
        <v>0.22</v>
      </c>
      <c r="L359" t="s">
        <v>23</v>
      </c>
      <c r="M359">
        <v>0.21210000000000001</v>
      </c>
      <c r="N359">
        <v>0.51</v>
      </c>
      <c r="O359" t="s">
        <v>34</v>
      </c>
      <c r="P359">
        <v>0.25369999999999998</v>
      </c>
      <c r="Q359">
        <v>3</v>
      </c>
      <c r="R359">
        <v>29</v>
      </c>
      <c r="S359">
        <v>32</v>
      </c>
    </row>
    <row r="360" spans="1:19" x14ac:dyDescent="0.3">
      <c r="A360">
        <v>359</v>
      </c>
      <c r="B360" s="46">
        <v>40559</v>
      </c>
      <c r="C360">
        <v>1</v>
      </c>
      <c r="D360">
        <v>10</v>
      </c>
      <c r="E360" t="b">
        <v>0</v>
      </c>
      <c r="F360">
        <v>0</v>
      </c>
      <c r="G360" t="s">
        <v>27</v>
      </c>
      <c r="H360" t="s">
        <v>33</v>
      </c>
      <c r="I360">
        <v>1</v>
      </c>
      <c r="J360" t="s">
        <v>29</v>
      </c>
      <c r="K360">
        <v>0.22</v>
      </c>
      <c r="L360" t="s">
        <v>23</v>
      </c>
      <c r="M360">
        <v>0.21210000000000001</v>
      </c>
      <c r="N360">
        <v>0.51</v>
      </c>
      <c r="O360" t="s">
        <v>34</v>
      </c>
      <c r="P360">
        <v>0.28360000000000002</v>
      </c>
      <c r="Q360">
        <v>8</v>
      </c>
      <c r="R360">
        <v>71</v>
      </c>
      <c r="S360">
        <v>79</v>
      </c>
    </row>
    <row r="361" spans="1:19" x14ac:dyDescent="0.3">
      <c r="A361">
        <v>360</v>
      </c>
      <c r="B361" s="46">
        <v>40559</v>
      </c>
      <c r="C361">
        <v>1</v>
      </c>
      <c r="D361">
        <v>11</v>
      </c>
      <c r="E361" t="b">
        <v>0</v>
      </c>
      <c r="F361">
        <v>0</v>
      </c>
      <c r="G361" t="s">
        <v>27</v>
      </c>
      <c r="H361" t="s">
        <v>33</v>
      </c>
      <c r="I361">
        <v>1</v>
      </c>
      <c r="J361" t="s">
        <v>29</v>
      </c>
      <c r="K361">
        <v>0.24</v>
      </c>
      <c r="L361" t="s">
        <v>23</v>
      </c>
      <c r="M361">
        <v>0.2273</v>
      </c>
      <c r="N361">
        <v>0.44</v>
      </c>
      <c r="O361" t="s">
        <v>34</v>
      </c>
      <c r="P361">
        <v>0.25369999999999998</v>
      </c>
      <c r="Q361">
        <v>23</v>
      </c>
      <c r="R361">
        <v>70</v>
      </c>
      <c r="S361">
        <v>93</v>
      </c>
    </row>
    <row r="362" spans="1:19" x14ac:dyDescent="0.3">
      <c r="A362">
        <v>361</v>
      </c>
      <c r="B362" s="46">
        <v>40559</v>
      </c>
      <c r="C362">
        <v>1</v>
      </c>
      <c r="D362">
        <v>12</v>
      </c>
      <c r="E362" t="b">
        <v>0</v>
      </c>
      <c r="F362">
        <v>0</v>
      </c>
      <c r="G362" t="s">
        <v>27</v>
      </c>
      <c r="H362" t="s">
        <v>33</v>
      </c>
      <c r="I362">
        <v>1</v>
      </c>
      <c r="J362" t="s">
        <v>29</v>
      </c>
      <c r="K362">
        <v>0.24</v>
      </c>
      <c r="L362" t="s">
        <v>23</v>
      </c>
      <c r="M362">
        <v>0.21210000000000001</v>
      </c>
      <c r="N362">
        <v>0.41</v>
      </c>
      <c r="O362" t="s">
        <v>34</v>
      </c>
      <c r="P362">
        <v>0.28360000000000002</v>
      </c>
      <c r="Q362">
        <v>29</v>
      </c>
      <c r="R362">
        <v>75</v>
      </c>
      <c r="S362">
        <v>104</v>
      </c>
    </row>
    <row r="363" spans="1:19" x14ac:dyDescent="0.3">
      <c r="A363">
        <v>362</v>
      </c>
      <c r="B363" s="46">
        <v>40559</v>
      </c>
      <c r="C363">
        <v>1</v>
      </c>
      <c r="D363">
        <v>13</v>
      </c>
      <c r="E363" t="b">
        <v>0</v>
      </c>
      <c r="F363">
        <v>0</v>
      </c>
      <c r="G363" t="s">
        <v>27</v>
      </c>
      <c r="H363" t="s">
        <v>33</v>
      </c>
      <c r="I363">
        <v>1</v>
      </c>
      <c r="J363" t="s">
        <v>29</v>
      </c>
      <c r="K363">
        <v>0.26</v>
      </c>
      <c r="L363" t="s">
        <v>23</v>
      </c>
      <c r="M363">
        <v>0.2273</v>
      </c>
      <c r="N363">
        <v>0.35</v>
      </c>
      <c r="O363" t="s">
        <v>34</v>
      </c>
      <c r="P363">
        <v>0.29849999999999999</v>
      </c>
      <c r="Q363">
        <v>23</v>
      </c>
      <c r="R363">
        <v>95</v>
      </c>
      <c r="S363">
        <v>118</v>
      </c>
    </row>
    <row r="364" spans="1:19" x14ac:dyDescent="0.3">
      <c r="A364">
        <v>363</v>
      </c>
      <c r="B364" s="46">
        <v>40559</v>
      </c>
      <c r="C364">
        <v>1</v>
      </c>
      <c r="D364">
        <v>14</v>
      </c>
      <c r="E364" t="b">
        <v>0</v>
      </c>
      <c r="F364">
        <v>0</v>
      </c>
      <c r="G364" t="s">
        <v>27</v>
      </c>
      <c r="H364" t="s">
        <v>33</v>
      </c>
      <c r="I364">
        <v>1</v>
      </c>
      <c r="J364" t="s">
        <v>29</v>
      </c>
      <c r="K364">
        <v>0.28000000000000003</v>
      </c>
      <c r="L364" t="s">
        <v>23</v>
      </c>
      <c r="M364">
        <v>0.2727</v>
      </c>
      <c r="N364">
        <v>0.36</v>
      </c>
      <c r="O364" t="s">
        <v>34</v>
      </c>
      <c r="P364">
        <v>0.25369999999999998</v>
      </c>
      <c r="Q364">
        <v>22</v>
      </c>
      <c r="R364">
        <v>69</v>
      </c>
      <c r="S364">
        <v>91</v>
      </c>
    </row>
    <row r="365" spans="1:19" x14ac:dyDescent="0.3">
      <c r="A365">
        <v>364</v>
      </c>
      <c r="B365" s="46">
        <v>40559</v>
      </c>
      <c r="C365">
        <v>1</v>
      </c>
      <c r="D365">
        <v>15</v>
      </c>
      <c r="E365" t="b">
        <v>0</v>
      </c>
      <c r="F365">
        <v>0</v>
      </c>
      <c r="G365" t="s">
        <v>27</v>
      </c>
      <c r="H365" t="s">
        <v>33</v>
      </c>
      <c r="I365">
        <v>1</v>
      </c>
      <c r="J365" t="s">
        <v>29</v>
      </c>
      <c r="K365">
        <v>0.26</v>
      </c>
      <c r="L365" t="s">
        <v>23</v>
      </c>
      <c r="M365">
        <v>0.2424</v>
      </c>
      <c r="N365">
        <v>0.38</v>
      </c>
      <c r="O365" t="s">
        <v>34</v>
      </c>
      <c r="P365">
        <v>0.25369999999999998</v>
      </c>
      <c r="Q365">
        <v>35</v>
      </c>
      <c r="R365">
        <v>78</v>
      </c>
      <c r="S365">
        <v>113</v>
      </c>
    </row>
    <row r="366" spans="1:19" x14ac:dyDescent="0.3">
      <c r="A366">
        <v>365</v>
      </c>
      <c r="B366" s="46">
        <v>40559</v>
      </c>
      <c r="C366">
        <v>1</v>
      </c>
      <c r="D366">
        <v>16</v>
      </c>
      <c r="E366" t="b">
        <v>0</v>
      </c>
      <c r="F366">
        <v>0</v>
      </c>
      <c r="G366" t="s">
        <v>27</v>
      </c>
      <c r="H366" t="s">
        <v>33</v>
      </c>
      <c r="I366">
        <v>1</v>
      </c>
      <c r="J366" t="s">
        <v>29</v>
      </c>
      <c r="K366">
        <v>0.24</v>
      </c>
      <c r="L366" t="s">
        <v>23</v>
      </c>
      <c r="M366">
        <v>0.2273</v>
      </c>
      <c r="N366">
        <v>0.38</v>
      </c>
      <c r="O366" t="s">
        <v>34</v>
      </c>
      <c r="P366">
        <v>0.22389999999999999</v>
      </c>
      <c r="Q366">
        <v>22</v>
      </c>
      <c r="R366">
        <v>77</v>
      </c>
      <c r="S366">
        <v>99</v>
      </c>
    </row>
    <row r="367" spans="1:19" x14ac:dyDescent="0.3">
      <c r="A367">
        <v>366</v>
      </c>
      <c r="B367" s="46">
        <v>40559</v>
      </c>
      <c r="C367">
        <v>1</v>
      </c>
      <c r="D367">
        <v>17</v>
      </c>
      <c r="E367" t="b">
        <v>0</v>
      </c>
      <c r="F367">
        <v>0</v>
      </c>
      <c r="G367" t="s">
        <v>27</v>
      </c>
      <c r="H367" t="s">
        <v>33</v>
      </c>
      <c r="I367">
        <v>1</v>
      </c>
      <c r="J367" t="s">
        <v>29</v>
      </c>
      <c r="K367">
        <v>0.22</v>
      </c>
      <c r="L367" t="s">
        <v>23</v>
      </c>
      <c r="M367">
        <v>0.21210000000000001</v>
      </c>
      <c r="N367">
        <v>0.37</v>
      </c>
      <c r="O367" t="s">
        <v>34</v>
      </c>
      <c r="P367">
        <v>0.25369999999999998</v>
      </c>
      <c r="Q367">
        <v>23</v>
      </c>
      <c r="R367">
        <v>82</v>
      </c>
      <c r="S367">
        <v>105</v>
      </c>
    </row>
    <row r="368" spans="1:19" x14ac:dyDescent="0.3">
      <c r="A368">
        <v>367</v>
      </c>
      <c r="B368" s="46">
        <v>40559</v>
      </c>
      <c r="C368">
        <v>1</v>
      </c>
      <c r="D368">
        <v>18</v>
      </c>
      <c r="E368" t="b">
        <v>0</v>
      </c>
      <c r="F368">
        <v>0</v>
      </c>
      <c r="G368" t="s">
        <v>27</v>
      </c>
      <c r="H368" t="s">
        <v>33</v>
      </c>
      <c r="I368">
        <v>1</v>
      </c>
      <c r="J368" t="s">
        <v>29</v>
      </c>
      <c r="K368">
        <v>0.2</v>
      </c>
      <c r="L368" t="s">
        <v>23</v>
      </c>
      <c r="M368">
        <v>0.21210000000000001</v>
      </c>
      <c r="N368">
        <v>0.4</v>
      </c>
      <c r="O368" t="s">
        <v>34</v>
      </c>
      <c r="P368">
        <v>0.16420000000000001</v>
      </c>
      <c r="Q368">
        <v>11</v>
      </c>
      <c r="R368">
        <v>56</v>
      </c>
      <c r="S368">
        <v>67</v>
      </c>
    </row>
    <row r="369" spans="1:19" x14ac:dyDescent="0.3">
      <c r="A369">
        <v>368</v>
      </c>
      <c r="B369" s="46">
        <v>40559</v>
      </c>
      <c r="C369">
        <v>1</v>
      </c>
      <c r="D369">
        <v>19</v>
      </c>
      <c r="E369" t="b">
        <v>0</v>
      </c>
      <c r="F369">
        <v>0</v>
      </c>
      <c r="G369" t="s">
        <v>27</v>
      </c>
      <c r="H369" t="s">
        <v>33</v>
      </c>
      <c r="I369">
        <v>1</v>
      </c>
      <c r="J369" t="s">
        <v>29</v>
      </c>
      <c r="K369">
        <v>0.18</v>
      </c>
      <c r="L369" t="s">
        <v>23</v>
      </c>
      <c r="M369">
        <v>0.19700000000000001</v>
      </c>
      <c r="N369">
        <v>0.47</v>
      </c>
      <c r="O369" t="s">
        <v>34</v>
      </c>
      <c r="P369">
        <v>0.1343</v>
      </c>
      <c r="Q369">
        <v>14</v>
      </c>
      <c r="R369">
        <v>47</v>
      </c>
      <c r="S369">
        <v>61</v>
      </c>
    </row>
    <row r="370" spans="1:19" x14ac:dyDescent="0.3">
      <c r="A370">
        <v>369</v>
      </c>
      <c r="B370" s="46">
        <v>40559</v>
      </c>
      <c r="C370">
        <v>1</v>
      </c>
      <c r="D370">
        <v>20</v>
      </c>
      <c r="E370" t="b">
        <v>0</v>
      </c>
      <c r="F370">
        <v>0</v>
      </c>
      <c r="G370" t="s">
        <v>27</v>
      </c>
      <c r="H370" t="s">
        <v>33</v>
      </c>
      <c r="I370">
        <v>1</v>
      </c>
      <c r="J370" t="s">
        <v>29</v>
      </c>
      <c r="K370">
        <v>0.18</v>
      </c>
      <c r="L370" t="s">
        <v>23</v>
      </c>
      <c r="M370">
        <v>0.19700000000000001</v>
      </c>
      <c r="N370">
        <v>0.47</v>
      </c>
      <c r="O370" t="s">
        <v>34</v>
      </c>
      <c r="P370">
        <v>0.16420000000000001</v>
      </c>
      <c r="Q370">
        <v>7</v>
      </c>
      <c r="R370">
        <v>50</v>
      </c>
      <c r="S370">
        <v>57</v>
      </c>
    </row>
    <row r="371" spans="1:19" x14ac:dyDescent="0.3">
      <c r="A371">
        <v>370</v>
      </c>
      <c r="B371" s="46">
        <v>40559</v>
      </c>
      <c r="C371">
        <v>1</v>
      </c>
      <c r="D371">
        <v>21</v>
      </c>
      <c r="E371" t="b">
        <v>0</v>
      </c>
      <c r="F371">
        <v>0</v>
      </c>
      <c r="G371" t="s">
        <v>27</v>
      </c>
      <c r="H371" t="s">
        <v>33</v>
      </c>
      <c r="I371">
        <v>1</v>
      </c>
      <c r="J371" t="s">
        <v>29</v>
      </c>
      <c r="K371">
        <v>0.18</v>
      </c>
      <c r="L371" t="s">
        <v>23</v>
      </c>
      <c r="M371">
        <v>0.19700000000000001</v>
      </c>
      <c r="N371">
        <v>0.51</v>
      </c>
      <c r="O371" t="s">
        <v>34</v>
      </c>
      <c r="P371">
        <v>0.16420000000000001</v>
      </c>
      <c r="Q371">
        <v>6</v>
      </c>
      <c r="R371">
        <v>22</v>
      </c>
      <c r="S371">
        <v>28</v>
      </c>
    </row>
    <row r="372" spans="1:19" x14ac:dyDescent="0.3">
      <c r="A372">
        <v>371</v>
      </c>
      <c r="B372" s="46">
        <v>40559</v>
      </c>
      <c r="C372">
        <v>1</v>
      </c>
      <c r="D372">
        <v>22</v>
      </c>
      <c r="E372" t="b">
        <v>0</v>
      </c>
      <c r="F372">
        <v>0</v>
      </c>
      <c r="G372" t="s">
        <v>27</v>
      </c>
      <c r="H372" t="s">
        <v>33</v>
      </c>
      <c r="I372">
        <v>2</v>
      </c>
      <c r="J372" t="s">
        <v>31</v>
      </c>
      <c r="K372">
        <v>0.2</v>
      </c>
      <c r="L372" t="s">
        <v>23</v>
      </c>
      <c r="M372">
        <v>0.21210000000000001</v>
      </c>
      <c r="N372">
        <v>0.49</v>
      </c>
      <c r="O372" t="s">
        <v>34</v>
      </c>
      <c r="P372">
        <v>0.1343</v>
      </c>
      <c r="Q372">
        <v>2</v>
      </c>
      <c r="R372">
        <v>19</v>
      </c>
      <c r="S372">
        <v>21</v>
      </c>
    </row>
    <row r="373" spans="1:19" x14ac:dyDescent="0.3">
      <c r="A373">
        <v>372</v>
      </c>
      <c r="B373" s="46">
        <v>40559</v>
      </c>
      <c r="C373">
        <v>1</v>
      </c>
      <c r="D373">
        <v>23</v>
      </c>
      <c r="E373" t="b">
        <v>0</v>
      </c>
      <c r="F373">
        <v>0</v>
      </c>
      <c r="G373" t="s">
        <v>27</v>
      </c>
      <c r="H373" t="s">
        <v>33</v>
      </c>
      <c r="I373">
        <v>2</v>
      </c>
      <c r="J373" t="s">
        <v>31</v>
      </c>
      <c r="K373">
        <v>0.2</v>
      </c>
      <c r="L373" t="s">
        <v>23</v>
      </c>
      <c r="M373">
        <v>0.2273</v>
      </c>
      <c r="N373">
        <v>0.4</v>
      </c>
      <c r="O373" t="s">
        <v>34</v>
      </c>
      <c r="P373">
        <v>0.1045</v>
      </c>
      <c r="Q373">
        <v>0</v>
      </c>
      <c r="R373">
        <v>18</v>
      </c>
      <c r="S373">
        <v>18</v>
      </c>
    </row>
    <row r="374" spans="1:19" x14ac:dyDescent="0.3">
      <c r="A374">
        <v>373</v>
      </c>
      <c r="B374" s="46">
        <v>40560</v>
      </c>
      <c r="C374">
        <v>1</v>
      </c>
      <c r="D374">
        <v>0</v>
      </c>
      <c r="E374" t="b">
        <v>1</v>
      </c>
      <c r="F374">
        <v>1</v>
      </c>
      <c r="G374" t="s">
        <v>35</v>
      </c>
      <c r="H374" t="s">
        <v>36</v>
      </c>
      <c r="I374">
        <v>2</v>
      </c>
      <c r="J374" t="s">
        <v>31</v>
      </c>
      <c r="K374">
        <v>0.2</v>
      </c>
      <c r="L374" t="s">
        <v>23</v>
      </c>
      <c r="M374">
        <v>0.19700000000000001</v>
      </c>
      <c r="N374">
        <v>0.47</v>
      </c>
      <c r="O374" t="s">
        <v>34</v>
      </c>
      <c r="P374">
        <v>0.22389999999999999</v>
      </c>
      <c r="Q374">
        <v>1</v>
      </c>
      <c r="R374">
        <v>16</v>
      </c>
      <c r="S374">
        <v>17</v>
      </c>
    </row>
    <row r="375" spans="1:19" x14ac:dyDescent="0.3">
      <c r="A375">
        <v>374</v>
      </c>
      <c r="B375" s="46">
        <v>40560</v>
      </c>
      <c r="C375">
        <v>1</v>
      </c>
      <c r="D375">
        <v>1</v>
      </c>
      <c r="E375" t="b">
        <v>1</v>
      </c>
      <c r="F375">
        <v>1</v>
      </c>
      <c r="G375" t="s">
        <v>35</v>
      </c>
      <c r="H375" t="s">
        <v>36</v>
      </c>
      <c r="I375">
        <v>2</v>
      </c>
      <c r="J375" t="s">
        <v>31</v>
      </c>
      <c r="K375">
        <v>0.2</v>
      </c>
      <c r="L375" t="s">
        <v>23</v>
      </c>
      <c r="M375">
        <v>0.19700000000000001</v>
      </c>
      <c r="N375">
        <v>0.44</v>
      </c>
      <c r="O375" t="s">
        <v>34</v>
      </c>
      <c r="P375">
        <v>0.19400000000000001</v>
      </c>
      <c r="Q375">
        <v>1</v>
      </c>
      <c r="R375">
        <v>15</v>
      </c>
      <c r="S375">
        <v>16</v>
      </c>
    </row>
    <row r="376" spans="1:19" x14ac:dyDescent="0.3">
      <c r="A376">
        <v>375</v>
      </c>
      <c r="B376" s="46">
        <v>40560</v>
      </c>
      <c r="C376">
        <v>1</v>
      </c>
      <c r="D376">
        <v>2</v>
      </c>
      <c r="E376" t="b">
        <v>1</v>
      </c>
      <c r="F376">
        <v>1</v>
      </c>
      <c r="G376" t="s">
        <v>35</v>
      </c>
      <c r="H376" t="s">
        <v>36</v>
      </c>
      <c r="I376">
        <v>2</v>
      </c>
      <c r="J376" t="s">
        <v>31</v>
      </c>
      <c r="K376">
        <v>0.18</v>
      </c>
      <c r="L376" t="s">
        <v>23</v>
      </c>
      <c r="M376">
        <v>0.16669999999999999</v>
      </c>
      <c r="N376">
        <v>0.43</v>
      </c>
      <c r="O376" t="s">
        <v>34</v>
      </c>
      <c r="P376">
        <v>0.25369999999999998</v>
      </c>
      <c r="Q376">
        <v>0</v>
      </c>
      <c r="R376">
        <v>8</v>
      </c>
      <c r="S376">
        <v>8</v>
      </c>
    </row>
    <row r="377" spans="1:19" x14ac:dyDescent="0.3">
      <c r="A377">
        <v>376</v>
      </c>
      <c r="B377" s="46">
        <v>40560</v>
      </c>
      <c r="C377">
        <v>1</v>
      </c>
      <c r="D377">
        <v>3</v>
      </c>
      <c r="E377" t="b">
        <v>1</v>
      </c>
      <c r="F377">
        <v>1</v>
      </c>
      <c r="G377" t="s">
        <v>35</v>
      </c>
      <c r="H377" t="s">
        <v>36</v>
      </c>
      <c r="I377">
        <v>2</v>
      </c>
      <c r="J377" t="s">
        <v>31</v>
      </c>
      <c r="K377">
        <v>0.18</v>
      </c>
      <c r="L377" t="s">
        <v>23</v>
      </c>
      <c r="M377">
        <v>0.18179999999999999</v>
      </c>
      <c r="N377">
        <v>0.43</v>
      </c>
      <c r="O377" t="s">
        <v>34</v>
      </c>
      <c r="P377">
        <v>0.19400000000000001</v>
      </c>
      <c r="Q377">
        <v>0</v>
      </c>
      <c r="R377">
        <v>2</v>
      </c>
      <c r="S377">
        <v>2</v>
      </c>
    </row>
    <row r="378" spans="1:19" x14ac:dyDescent="0.3">
      <c r="A378">
        <v>377</v>
      </c>
      <c r="B378" s="46">
        <v>40560</v>
      </c>
      <c r="C378">
        <v>1</v>
      </c>
      <c r="D378">
        <v>4</v>
      </c>
      <c r="E378" t="b">
        <v>1</v>
      </c>
      <c r="F378">
        <v>1</v>
      </c>
      <c r="G378" t="s">
        <v>35</v>
      </c>
      <c r="H378" t="s">
        <v>36</v>
      </c>
      <c r="I378">
        <v>2</v>
      </c>
      <c r="J378" t="s">
        <v>31</v>
      </c>
      <c r="K378">
        <v>0.18</v>
      </c>
      <c r="L378" t="s">
        <v>23</v>
      </c>
      <c r="M378">
        <v>0.19700000000000001</v>
      </c>
      <c r="N378">
        <v>0.43</v>
      </c>
      <c r="O378" t="s">
        <v>34</v>
      </c>
      <c r="P378">
        <v>0.1343</v>
      </c>
      <c r="Q378">
        <v>1</v>
      </c>
      <c r="R378">
        <v>2</v>
      </c>
      <c r="S378">
        <v>3</v>
      </c>
    </row>
    <row r="379" spans="1:19" x14ac:dyDescent="0.3">
      <c r="A379">
        <v>378</v>
      </c>
      <c r="B379" s="46">
        <v>40560</v>
      </c>
      <c r="C379">
        <v>1</v>
      </c>
      <c r="D379">
        <v>5</v>
      </c>
      <c r="E379" t="b">
        <v>1</v>
      </c>
      <c r="F379">
        <v>1</v>
      </c>
      <c r="G379" t="s">
        <v>35</v>
      </c>
      <c r="H379" t="s">
        <v>36</v>
      </c>
      <c r="I379">
        <v>2</v>
      </c>
      <c r="J379" t="s">
        <v>31</v>
      </c>
      <c r="K379">
        <v>0.18</v>
      </c>
      <c r="L379" t="s">
        <v>23</v>
      </c>
      <c r="M379">
        <v>0.19700000000000001</v>
      </c>
      <c r="N379">
        <v>0.43</v>
      </c>
      <c r="O379" t="s">
        <v>34</v>
      </c>
      <c r="P379">
        <v>0.16420000000000001</v>
      </c>
      <c r="Q379">
        <v>0</v>
      </c>
      <c r="R379">
        <v>1</v>
      </c>
      <c r="S379">
        <v>1</v>
      </c>
    </row>
    <row r="380" spans="1:19" x14ac:dyDescent="0.3">
      <c r="A380">
        <v>379</v>
      </c>
      <c r="B380" s="46">
        <v>40560</v>
      </c>
      <c r="C380">
        <v>1</v>
      </c>
      <c r="D380">
        <v>6</v>
      </c>
      <c r="E380" t="b">
        <v>1</v>
      </c>
      <c r="F380">
        <v>1</v>
      </c>
      <c r="G380" t="s">
        <v>35</v>
      </c>
      <c r="H380" t="s">
        <v>36</v>
      </c>
      <c r="I380">
        <v>2</v>
      </c>
      <c r="J380" t="s">
        <v>31</v>
      </c>
      <c r="K380">
        <v>0.18</v>
      </c>
      <c r="L380" t="s">
        <v>23</v>
      </c>
      <c r="M380">
        <v>0.18179999999999999</v>
      </c>
      <c r="N380">
        <v>0.43</v>
      </c>
      <c r="O380" t="s">
        <v>34</v>
      </c>
      <c r="P380">
        <v>0.19400000000000001</v>
      </c>
      <c r="Q380">
        <v>0</v>
      </c>
      <c r="R380">
        <v>5</v>
      </c>
      <c r="S380">
        <v>5</v>
      </c>
    </row>
    <row r="381" spans="1:19" x14ac:dyDescent="0.3">
      <c r="A381">
        <v>380</v>
      </c>
      <c r="B381" s="46">
        <v>40560</v>
      </c>
      <c r="C381">
        <v>1</v>
      </c>
      <c r="D381">
        <v>7</v>
      </c>
      <c r="E381" t="b">
        <v>1</v>
      </c>
      <c r="F381">
        <v>1</v>
      </c>
      <c r="G381" t="s">
        <v>35</v>
      </c>
      <c r="H381" t="s">
        <v>36</v>
      </c>
      <c r="I381">
        <v>2</v>
      </c>
      <c r="J381" t="s">
        <v>31</v>
      </c>
      <c r="K381">
        <v>0.16</v>
      </c>
      <c r="L381" t="s">
        <v>23</v>
      </c>
      <c r="M381">
        <v>0.18179999999999999</v>
      </c>
      <c r="N381">
        <v>0.5</v>
      </c>
      <c r="O381" t="s">
        <v>34</v>
      </c>
      <c r="P381">
        <v>0.1343</v>
      </c>
      <c r="Q381">
        <v>4</v>
      </c>
      <c r="R381">
        <v>9</v>
      </c>
      <c r="S381">
        <v>13</v>
      </c>
    </row>
    <row r="382" spans="1:19" x14ac:dyDescent="0.3">
      <c r="A382">
        <v>381</v>
      </c>
      <c r="B382" s="46">
        <v>40560</v>
      </c>
      <c r="C382">
        <v>1</v>
      </c>
      <c r="D382">
        <v>8</v>
      </c>
      <c r="E382" t="b">
        <v>1</v>
      </c>
      <c r="F382">
        <v>1</v>
      </c>
      <c r="G382" t="s">
        <v>35</v>
      </c>
      <c r="H382" t="s">
        <v>36</v>
      </c>
      <c r="I382">
        <v>2</v>
      </c>
      <c r="J382" t="s">
        <v>31</v>
      </c>
      <c r="K382">
        <v>0.16</v>
      </c>
      <c r="L382" t="s">
        <v>23</v>
      </c>
      <c r="M382">
        <v>0.1515</v>
      </c>
      <c r="N382">
        <v>0.47</v>
      </c>
      <c r="O382" t="s">
        <v>34</v>
      </c>
      <c r="P382">
        <v>0.22389999999999999</v>
      </c>
      <c r="Q382">
        <v>3</v>
      </c>
      <c r="R382">
        <v>30</v>
      </c>
      <c r="S382">
        <v>33</v>
      </c>
    </row>
    <row r="383" spans="1:19" x14ac:dyDescent="0.3">
      <c r="A383">
        <v>382</v>
      </c>
      <c r="B383" s="46">
        <v>40560</v>
      </c>
      <c r="C383">
        <v>1</v>
      </c>
      <c r="D383">
        <v>9</v>
      </c>
      <c r="E383" t="b">
        <v>1</v>
      </c>
      <c r="F383">
        <v>1</v>
      </c>
      <c r="G383" t="s">
        <v>35</v>
      </c>
      <c r="H383" t="s">
        <v>36</v>
      </c>
      <c r="I383">
        <v>2</v>
      </c>
      <c r="J383" t="s">
        <v>31</v>
      </c>
      <c r="K383">
        <v>0.16</v>
      </c>
      <c r="L383" t="s">
        <v>23</v>
      </c>
      <c r="M383">
        <v>0.1515</v>
      </c>
      <c r="N383">
        <v>0.47</v>
      </c>
      <c r="O383" t="s">
        <v>34</v>
      </c>
      <c r="P383">
        <v>0.22389999999999999</v>
      </c>
      <c r="Q383">
        <v>8</v>
      </c>
      <c r="R383">
        <v>39</v>
      </c>
      <c r="S383">
        <v>47</v>
      </c>
    </row>
    <row r="384" spans="1:19" x14ac:dyDescent="0.3">
      <c r="A384">
        <v>383</v>
      </c>
      <c r="B384" s="46">
        <v>40560</v>
      </c>
      <c r="C384">
        <v>1</v>
      </c>
      <c r="D384">
        <v>10</v>
      </c>
      <c r="E384" t="b">
        <v>1</v>
      </c>
      <c r="F384">
        <v>1</v>
      </c>
      <c r="G384" t="s">
        <v>35</v>
      </c>
      <c r="H384" t="s">
        <v>36</v>
      </c>
      <c r="I384">
        <v>2</v>
      </c>
      <c r="J384" t="s">
        <v>31</v>
      </c>
      <c r="K384">
        <v>0.16</v>
      </c>
      <c r="L384" t="s">
        <v>23</v>
      </c>
      <c r="M384">
        <v>0.1515</v>
      </c>
      <c r="N384">
        <v>0.5</v>
      </c>
      <c r="O384" t="s">
        <v>34</v>
      </c>
      <c r="P384">
        <v>0.25369999999999998</v>
      </c>
      <c r="Q384">
        <v>7</v>
      </c>
      <c r="R384">
        <v>50</v>
      </c>
      <c r="S384">
        <v>57</v>
      </c>
    </row>
    <row r="385" spans="1:19" x14ac:dyDescent="0.3">
      <c r="A385">
        <v>384</v>
      </c>
      <c r="B385" s="46">
        <v>40560</v>
      </c>
      <c r="C385">
        <v>1</v>
      </c>
      <c r="D385">
        <v>11</v>
      </c>
      <c r="E385" t="b">
        <v>1</v>
      </c>
      <c r="F385">
        <v>1</v>
      </c>
      <c r="G385" t="s">
        <v>35</v>
      </c>
      <c r="H385" t="s">
        <v>36</v>
      </c>
      <c r="I385">
        <v>2</v>
      </c>
      <c r="J385" t="s">
        <v>31</v>
      </c>
      <c r="K385">
        <v>0.16</v>
      </c>
      <c r="L385" t="s">
        <v>23</v>
      </c>
      <c r="M385">
        <v>0.1515</v>
      </c>
      <c r="N385">
        <v>0.55000000000000004</v>
      </c>
      <c r="O385" t="s">
        <v>34</v>
      </c>
      <c r="P385">
        <v>0.19400000000000001</v>
      </c>
      <c r="Q385">
        <v>9</v>
      </c>
      <c r="R385">
        <v>55</v>
      </c>
      <c r="S385">
        <v>64</v>
      </c>
    </row>
    <row r="386" spans="1:19" x14ac:dyDescent="0.3">
      <c r="A386">
        <v>385</v>
      </c>
      <c r="B386" s="46">
        <v>40560</v>
      </c>
      <c r="C386">
        <v>1</v>
      </c>
      <c r="D386">
        <v>12</v>
      </c>
      <c r="E386" t="b">
        <v>1</v>
      </c>
      <c r="F386">
        <v>1</v>
      </c>
      <c r="G386" t="s">
        <v>35</v>
      </c>
      <c r="H386" t="s">
        <v>36</v>
      </c>
      <c r="I386">
        <v>2</v>
      </c>
      <c r="J386" t="s">
        <v>31</v>
      </c>
      <c r="K386">
        <v>0.18</v>
      </c>
      <c r="L386" t="s">
        <v>23</v>
      </c>
      <c r="M386">
        <v>0.19700000000000001</v>
      </c>
      <c r="N386">
        <v>0.47</v>
      </c>
      <c r="O386" t="s">
        <v>34</v>
      </c>
      <c r="P386">
        <v>0.1343</v>
      </c>
      <c r="Q386">
        <v>10</v>
      </c>
      <c r="R386">
        <v>70</v>
      </c>
      <c r="S386">
        <v>80</v>
      </c>
    </row>
    <row r="387" spans="1:19" x14ac:dyDescent="0.3">
      <c r="A387">
        <v>386</v>
      </c>
      <c r="B387" s="46">
        <v>40560</v>
      </c>
      <c r="C387">
        <v>1</v>
      </c>
      <c r="D387">
        <v>13</v>
      </c>
      <c r="E387" t="b">
        <v>1</v>
      </c>
      <c r="F387">
        <v>1</v>
      </c>
      <c r="G387" t="s">
        <v>35</v>
      </c>
      <c r="H387" t="s">
        <v>36</v>
      </c>
      <c r="I387">
        <v>2</v>
      </c>
      <c r="J387" t="s">
        <v>31</v>
      </c>
      <c r="K387">
        <v>0.18</v>
      </c>
      <c r="L387" t="s">
        <v>23</v>
      </c>
      <c r="M387">
        <v>0.19700000000000001</v>
      </c>
      <c r="N387">
        <v>0.47</v>
      </c>
      <c r="O387" t="s">
        <v>34</v>
      </c>
      <c r="P387">
        <v>0.1343</v>
      </c>
      <c r="Q387">
        <v>13</v>
      </c>
      <c r="R387">
        <v>80</v>
      </c>
      <c r="S387">
        <v>93</v>
      </c>
    </row>
    <row r="388" spans="1:19" x14ac:dyDescent="0.3">
      <c r="A388">
        <v>387</v>
      </c>
      <c r="B388" s="46">
        <v>40560</v>
      </c>
      <c r="C388">
        <v>1</v>
      </c>
      <c r="D388">
        <v>14</v>
      </c>
      <c r="E388" t="b">
        <v>1</v>
      </c>
      <c r="F388">
        <v>1</v>
      </c>
      <c r="G388" t="s">
        <v>35</v>
      </c>
      <c r="H388" t="s">
        <v>36</v>
      </c>
      <c r="I388">
        <v>2</v>
      </c>
      <c r="J388" t="s">
        <v>31</v>
      </c>
      <c r="K388">
        <v>0.18</v>
      </c>
      <c r="L388" t="s">
        <v>23</v>
      </c>
      <c r="M388">
        <v>0.21210000000000001</v>
      </c>
      <c r="N388">
        <v>0.43</v>
      </c>
      <c r="O388" t="s">
        <v>34</v>
      </c>
      <c r="P388">
        <v>0.1045</v>
      </c>
      <c r="Q388">
        <v>12</v>
      </c>
      <c r="R388">
        <v>74</v>
      </c>
      <c r="S388">
        <v>86</v>
      </c>
    </row>
    <row r="389" spans="1:19" x14ac:dyDescent="0.3">
      <c r="A389">
        <v>388</v>
      </c>
      <c r="B389" s="46">
        <v>40560</v>
      </c>
      <c r="C389">
        <v>1</v>
      </c>
      <c r="D389">
        <v>15</v>
      </c>
      <c r="E389" t="b">
        <v>1</v>
      </c>
      <c r="F389">
        <v>1</v>
      </c>
      <c r="G389" t="s">
        <v>35</v>
      </c>
      <c r="H389" t="s">
        <v>36</v>
      </c>
      <c r="I389">
        <v>2</v>
      </c>
      <c r="J389" t="s">
        <v>31</v>
      </c>
      <c r="K389">
        <v>0.2</v>
      </c>
      <c r="L389" t="s">
        <v>23</v>
      </c>
      <c r="M389">
        <v>0.21210000000000001</v>
      </c>
      <c r="N389">
        <v>0.47</v>
      </c>
      <c r="O389" t="s">
        <v>34</v>
      </c>
      <c r="P389">
        <v>0.16420000000000001</v>
      </c>
      <c r="Q389">
        <v>21</v>
      </c>
      <c r="R389">
        <v>72</v>
      </c>
      <c r="S389">
        <v>93</v>
      </c>
    </row>
    <row r="390" spans="1:19" x14ac:dyDescent="0.3">
      <c r="A390">
        <v>389</v>
      </c>
      <c r="B390" s="46">
        <v>40560</v>
      </c>
      <c r="C390">
        <v>1</v>
      </c>
      <c r="D390">
        <v>16</v>
      </c>
      <c r="E390" t="b">
        <v>1</v>
      </c>
      <c r="F390">
        <v>1</v>
      </c>
      <c r="G390" t="s">
        <v>35</v>
      </c>
      <c r="H390" t="s">
        <v>36</v>
      </c>
      <c r="I390">
        <v>2</v>
      </c>
      <c r="J390" t="s">
        <v>31</v>
      </c>
      <c r="K390">
        <v>0.2</v>
      </c>
      <c r="L390" t="s">
        <v>23</v>
      </c>
      <c r="M390">
        <v>0.21210000000000001</v>
      </c>
      <c r="N390">
        <v>0.47</v>
      </c>
      <c r="O390" t="s">
        <v>34</v>
      </c>
      <c r="P390">
        <v>0.16420000000000001</v>
      </c>
      <c r="Q390">
        <v>6</v>
      </c>
      <c r="R390">
        <v>76</v>
      </c>
      <c r="S390">
        <v>82</v>
      </c>
    </row>
    <row r="391" spans="1:19" x14ac:dyDescent="0.3">
      <c r="A391">
        <v>390</v>
      </c>
      <c r="B391" s="46">
        <v>40560</v>
      </c>
      <c r="C391">
        <v>1</v>
      </c>
      <c r="D391">
        <v>17</v>
      </c>
      <c r="E391" t="b">
        <v>1</v>
      </c>
      <c r="F391">
        <v>1</v>
      </c>
      <c r="G391" t="s">
        <v>35</v>
      </c>
      <c r="H391" t="s">
        <v>36</v>
      </c>
      <c r="I391">
        <v>1</v>
      </c>
      <c r="J391" t="s">
        <v>29</v>
      </c>
      <c r="K391">
        <v>0.2</v>
      </c>
      <c r="L391" t="s">
        <v>23</v>
      </c>
      <c r="M391">
        <v>0.19700000000000001</v>
      </c>
      <c r="N391">
        <v>0.51</v>
      </c>
      <c r="O391" t="s">
        <v>34</v>
      </c>
      <c r="P391">
        <v>0.19400000000000001</v>
      </c>
      <c r="Q391">
        <v>4</v>
      </c>
      <c r="R391">
        <v>67</v>
      </c>
      <c r="S391">
        <v>71</v>
      </c>
    </row>
    <row r="392" spans="1:19" x14ac:dyDescent="0.3">
      <c r="A392">
        <v>391</v>
      </c>
      <c r="B392" s="46">
        <v>40560</v>
      </c>
      <c r="C392">
        <v>1</v>
      </c>
      <c r="D392">
        <v>18</v>
      </c>
      <c r="E392" t="b">
        <v>1</v>
      </c>
      <c r="F392">
        <v>1</v>
      </c>
      <c r="G392" t="s">
        <v>35</v>
      </c>
      <c r="H392" t="s">
        <v>36</v>
      </c>
      <c r="I392">
        <v>2</v>
      </c>
      <c r="J392" t="s">
        <v>31</v>
      </c>
      <c r="K392">
        <v>0.18</v>
      </c>
      <c r="L392" t="s">
        <v>23</v>
      </c>
      <c r="M392">
        <v>0.16669999999999999</v>
      </c>
      <c r="N392">
        <v>0.55000000000000004</v>
      </c>
      <c r="O392" t="s">
        <v>34</v>
      </c>
      <c r="P392">
        <v>0.25369999999999998</v>
      </c>
      <c r="Q392">
        <v>7</v>
      </c>
      <c r="R392">
        <v>85</v>
      </c>
      <c r="S392">
        <v>92</v>
      </c>
    </row>
    <row r="393" spans="1:19" x14ac:dyDescent="0.3">
      <c r="A393">
        <v>392</v>
      </c>
      <c r="B393" s="46">
        <v>40560</v>
      </c>
      <c r="C393">
        <v>1</v>
      </c>
      <c r="D393">
        <v>19</v>
      </c>
      <c r="E393" t="b">
        <v>1</v>
      </c>
      <c r="F393">
        <v>1</v>
      </c>
      <c r="G393" t="s">
        <v>35</v>
      </c>
      <c r="H393" t="s">
        <v>36</v>
      </c>
      <c r="I393">
        <v>3</v>
      </c>
      <c r="J393" t="s">
        <v>32</v>
      </c>
      <c r="K393">
        <v>0.18</v>
      </c>
      <c r="L393" t="s">
        <v>23</v>
      </c>
      <c r="M393">
        <v>0.18179999999999999</v>
      </c>
      <c r="N393">
        <v>0.59</v>
      </c>
      <c r="O393" t="s">
        <v>34</v>
      </c>
      <c r="P393">
        <v>0.19400000000000001</v>
      </c>
      <c r="Q393">
        <v>2</v>
      </c>
      <c r="R393">
        <v>58</v>
      </c>
      <c r="S393">
        <v>60</v>
      </c>
    </row>
    <row r="394" spans="1:19" x14ac:dyDescent="0.3">
      <c r="A394">
        <v>393</v>
      </c>
      <c r="B394" s="46">
        <v>40560</v>
      </c>
      <c r="C394">
        <v>1</v>
      </c>
      <c r="D394">
        <v>20</v>
      </c>
      <c r="E394" t="b">
        <v>1</v>
      </c>
      <c r="F394">
        <v>1</v>
      </c>
      <c r="G394" t="s">
        <v>35</v>
      </c>
      <c r="H394" t="s">
        <v>36</v>
      </c>
      <c r="I394">
        <v>3</v>
      </c>
      <c r="J394" t="s">
        <v>32</v>
      </c>
      <c r="K394">
        <v>0.16</v>
      </c>
      <c r="L394" t="s">
        <v>23</v>
      </c>
      <c r="M394">
        <v>0.1515</v>
      </c>
      <c r="N394">
        <v>0.8</v>
      </c>
      <c r="O394" t="s">
        <v>30</v>
      </c>
      <c r="P394">
        <v>0.19400000000000001</v>
      </c>
      <c r="Q394">
        <v>4</v>
      </c>
      <c r="R394">
        <v>29</v>
      </c>
      <c r="S394">
        <v>33</v>
      </c>
    </row>
    <row r="395" spans="1:19" x14ac:dyDescent="0.3">
      <c r="A395">
        <v>394</v>
      </c>
      <c r="B395" s="46">
        <v>40560</v>
      </c>
      <c r="C395">
        <v>1</v>
      </c>
      <c r="D395">
        <v>21</v>
      </c>
      <c r="E395" t="b">
        <v>1</v>
      </c>
      <c r="F395">
        <v>1</v>
      </c>
      <c r="G395" t="s">
        <v>35</v>
      </c>
      <c r="H395" t="s">
        <v>36</v>
      </c>
      <c r="I395">
        <v>3</v>
      </c>
      <c r="J395" t="s">
        <v>32</v>
      </c>
      <c r="K395">
        <v>0.16</v>
      </c>
      <c r="L395" t="s">
        <v>23</v>
      </c>
      <c r="M395">
        <v>0.1515</v>
      </c>
      <c r="N395">
        <v>0.8</v>
      </c>
      <c r="O395" t="s">
        <v>30</v>
      </c>
      <c r="P395">
        <v>0.19400000000000001</v>
      </c>
      <c r="Q395">
        <v>3</v>
      </c>
      <c r="R395">
        <v>24</v>
      </c>
      <c r="S395">
        <v>27</v>
      </c>
    </row>
    <row r="396" spans="1:19" x14ac:dyDescent="0.3">
      <c r="A396">
        <v>395</v>
      </c>
      <c r="B396" s="46">
        <v>40560</v>
      </c>
      <c r="C396">
        <v>1</v>
      </c>
      <c r="D396">
        <v>22</v>
      </c>
      <c r="E396" t="b">
        <v>1</v>
      </c>
      <c r="F396">
        <v>1</v>
      </c>
      <c r="G396" t="s">
        <v>35</v>
      </c>
      <c r="H396" t="s">
        <v>36</v>
      </c>
      <c r="I396">
        <v>3</v>
      </c>
      <c r="J396" t="s">
        <v>32</v>
      </c>
      <c r="K396">
        <v>0.14000000000000001</v>
      </c>
      <c r="L396" t="s">
        <v>23</v>
      </c>
      <c r="M396">
        <v>0.1212</v>
      </c>
      <c r="N396">
        <v>0.93</v>
      </c>
      <c r="O396" t="s">
        <v>30</v>
      </c>
      <c r="P396">
        <v>0.25369999999999998</v>
      </c>
      <c r="Q396">
        <v>0</v>
      </c>
      <c r="R396">
        <v>13</v>
      </c>
      <c r="S396">
        <v>13</v>
      </c>
    </row>
    <row r="397" spans="1:19" x14ac:dyDescent="0.3">
      <c r="A397">
        <v>396</v>
      </c>
      <c r="B397" s="46">
        <v>40560</v>
      </c>
      <c r="C397">
        <v>1</v>
      </c>
      <c r="D397">
        <v>23</v>
      </c>
      <c r="E397" t="b">
        <v>1</v>
      </c>
      <c r="F397">
        <v>1</v>
      </c>
      <c r="G397" t="s">
        <v>35</v>
      </c>
      <c r="H397" t="s">
        <v>36</v>
      </c>
      <c r="I397">
        <v>3</v>
      </c>
      <c r="J397" t="s">
        <v>32</v>
      </c>
      <c r="K397">
        <v>0.16</v>
      </c>
      <c r="L397" t="s">
        <v>23</v>
      </c>
      <c r="M397">
        <v>0.13639999999999999</v>
      </c>
      <c r="N397">
        <v>0.86</v>
      </c>
      <c r="O397" t="s">
        <v>30</v>
      </c>
      <c r="P397">
        <v>0.28360000000000002</v>
      </c>
      <c r="Q397">
        <v>1</v>
      </c>
      <c r="R397">
        <v>3</v>
      </c>
      <c r="S397">
        <v>4</v>
      </c>
    </row>
    <row r="398" spans="1:19" x14ac:dyDescent="0.3">
      <c r="A398">
        <v>397</v>
      </c>
      <c r="B398" s="46">
        <v>40561</v>
      </c>
      <c r="C398">
        <v>1</v>
      </c>
      <c r="D398">
        <v>12</v>
      </c>
      <c r="E398" t="b">
        <v>0</v>
      </c>
      <c r="F398">
        <v>2</v>
      </c>
      <c r="G398" t="s">
        <v>35</v>
      </c>
      <c r="H398" t="s">
        <v>37</v>
      </c>
      <c r="I398">
        <v>2</v>
      </c>
      <c r="J398" t="s">
        <v>31</v>
      </c>
      <c r="K398">
        <v>0.2</v>
      </c>
      <c r="L398" t="s">
        <v>23</v>
      </c>
      <c r="M398">
        <v>0.18179999999999999</v>
      </c>
      <c r="N398">
        <v>0.86</v>
      </c>
      <c r="O398" t="s">
        <v>30</v>
      </c>
      <c r="P398">
        <v>0.32840000000000003</v>
      </c>
      <c r="Q398">
        <v>0</v>
      </c>
      <c r="R398">
        <v>3</v>
      </c>
      <c r="S398">
        <v>3</v>
      </c>
    </row>
    <row r="399" spans="1:19" x14ac:dyDescent="0.3">
      <c r="A399">
        <v>398</v>
      </c>
      <c r="B399" s="46">
        <v>40561</v>
      </c>
      <c r="C399">
        <v>1</v>
      </c>
      <c r="D399">
        <v>13</v>
      </c>
      <c r="E399" t="b">
        <v>0</v>
      </c>
      <c r="F399">
        <v>2</v>
      </c>
      <c r="G399" t="s">
        <v>35</v>
      </c>
      <c r="H399" t="s">
        <v>37</v>
      </c>
      <c r="I399">
        <v>2</v>
      </c>
      <c r="J399" t="s">
        <v>31</v>
      </c>
      <c r="K399">
        <v>0.2</v>
      </c>
      <c r="L399" t="s">
        <v>23</v>
      </c>
      <c r="M399">
        <v>0.19700000000000001</v>
      </c>
      <c r="N399">
        <v>0.86</v>
      </c>
      <c r="O399" t="s">
        <v>30</v>
      </c>
      <c r="P399">
        <v>0.22389999999999999</v>
      </c>
      <c r="Q399">
        <v>0</v>
      </c>
      <c r="R399">
        <v>22</v>
      </c>
      <c r="S399">
        <v>22</v>
      </c>
    </row>
    <row r="400" spans="1:19" x14ac:dyDescent="0.3">
      <c r="A400">
        <v>399</v>
      </c>
      <c r="B400" s="46">
        <v>40561</v>
      </c>
      <c r="C400">
        <v>1</v>
      </c>
      <c r="D400">
        <v>14</v>
      </c>
      <c r="E400" t="b">
        <v>0</v>
      </c>
      <c r="F400">
        <v>2</v>
      </c>
      <c r="G400" t="s">
        <v>35</v>
      </c>
      <c r="H400" t="s">
        <v>37</v>
      </c>
      <c r="I400">
        <v>2</v>
      </c>
      <c r="J400" t="s">
        <v>31</v>
      </c>
      <c r="K400">
        <v>0.22</v>
      </c>
      <c r="L400" t="s">
        <v>23</v>
      </c>
      <c r="M400">
        <v>0.2273</v>
      </c>
      <c r="N400">
        <v>0.8</v>
      </c>
      <c r="O400" t="s">
        <v>30</v>
      </c>
      <c r="P400">
        <v>0.16420000000000001</v>
      </c>
      <c r="Q400">
        <v>2</v>
      </c>
      <c r="R400">
        <v>26</v>
      </c>
      <c r="S400">
        <v>28</v>
      </c>
    </row>
    <row r="401" spans="1:19" x14ac:dyDescent="0.3">
      <c r="A401">
        <v>400</v>
      </c>
      <c r="B401" s="46">
        <v>40561</v>
      </c>
      <c r="C401">
        <v>1</v>
      </c>
      <c r="D401">
        <v>15</v>
      </c>
      <c r="E401" t="b">
        <v>0</v>
      </c>
      <c r="F401">
        <v>2</v>
      </c>
      <c r="G401" t="s">
        <v>35</v>
      </c>
      <c r="H401" t="s">
        <v>37</v>
      </c>
      <c r="I401">
        <v>2</v>
      </c>
      <c r="J401" t="s">
        <v>31</v>
      </c>
      <c r="K401">
        <v>0.22</v>
      </c>
      <c r="L401" t="s">
        <v>23</v>
      </c>
      <c r="M401">
        <v>0.2273</v>
      </c>
      <c r="N401">
        <v>0.87</v>
      </c>
      <c r="O401" t="s">
        <v>30</v>
      </c>
      <c r="P401">
        <v>0.16420000000000001</v>
      </c>
      <c r="Q401">
        <v>3</v>
      </c>
      <c r="R401">
        <v>32</v>
      </c>
      <c r="S401">
        <v>35</v>
      </c>
    </row>
    <row r="402" spans="1:19" x14ac:dyDescent="0.3">
      <c r="A402">
        <v>401</v>
      </c>
      <c r="B402" s="46">
        <v>40561</v>
      </c>
      <c r="C402">
        <v>1</v>
      </c>
      <c r="D402">
        <v>16</v>
      </c>
      <c r="E402" t="b">
        <v>0</v>
      </c>
      <c r="F402">
        <v>2</v>
      </c>
      <c r="G402" t="s">
        <v>35</v>
      </c>
      <c r="H402" t="s">
        <v>37</v>
      </c>
      <c r="I402">
        <v>2</v>
      </c>
      <c r="J402" t="s">
        <v>31</v>
      </c>
      <c r="K402">
        <v>0.22</v>
      </c>
      <c r="L402" t="s">
        <v>23</v>
      </c>
      <c r="M402">
        <v>0.2273</v>
      </c>
      <c r="N402">
        <v>0.87</v>
      </c>
      <c r="O402" t="s">
        <v>30</v>
      </c>
      <c r="P402">
        <v>0.19400000000000001</v>
      </c>
      <c r="Q402">
        <v>0</v>
      </c>
      <c r="R402">
        <v>61</v>
      </c>
      <c r="S402">
        <v>61</v>
      </c>
    </row>
    <row r="403" spans="1:19" x14ac:dyDescent="0.3">
      <c r="A403">
        <v>402</v>
      </c>
      <c r="B403" s="46">
        <v>40561</v>
      </c>
      <c r="C403">
        <v>1</v>
      </c>
      <c r="D403">
        <v>17</v>
      </c>
      <c r="E403" t="b">
        <v>0</v>
      </c>
      <c r="F403">
        <v>2</v>
      </c>
      <c r="G403" t="s">
        <v>35</v>
      </c>
      <c r="H403" t="s">
        <v>37</v>
      </c>
      <c r="I403">
        <v>2</v>
      </c>
      <c r="J403" t="s">
        <v>31</v>
      </c>
      <c r="K403">
        <v>0.22</v>
      </c>
      <c r="L403" t="s">
        <v>23</v>
      </c>
      <c r="M403">
        <v>0.2273</v>
      </c>
      <c r="N403">
        <v>0.82</v>
      </c>
      <c r="O403" t="s">
        <v>30</v>
      </c>
      <c r="P403">
        <v>0.19400000000000001</v>
      </c>
      <c r="Q403">
        <v>1</v>
      </c>
      <c r="R403">
        <v>124</v>
      </c>
      <c r="S403">
        <v>125</v>
      </c>
    </row>
    <row r="404" spans="1:19" x14ac:dyDescent="0.3">
      <c r="A404">
        <v>403</v>
      </c>
      <c r="B404" s="46">
        <v>40561</v>
      </c>
      <c r="C404">
        <v>1</v>
      </c>
      <c r="D404">
        <v>18</v>
      </c>
      <c r="E404" t="b">
        <v>0</v>
      </c>
      <c r="F404">
        <v>2</v>
      </c>
      <c r="G404" t="s">
        <v>35</v>
      </c>
      <c r="H404" t="s">
        <v>37</v>
      </c>
      <c r="I404">
        <v>2</v>
      </c>
      <c r="J404" t="s">
        <v>31</v>
      </c>
      <c r="K404">
        <v>0.22</v>
      </c>
      <c r="L404" t="s">
        <v>23</v>
      </c>
      <c r="M404">
        <v>0.2273</v>
      </c>
      <c r="N404">
        <v>0.8</v>
      </c>
      <c r="O404" t="s">
        <v>30</v>
      </c>
      <c r="P404">
        <v>0.16420000000000001</v>
      </c>
      <c r="Q404">
        <v>1</v>
      </c>
      <c r="R404">
        <v>132</v>
      </c>
      <c r="S404">
        <v>133</v>
      </c>
    </row>
    <row r="405" spans="1:19" x14ac:dyDescent="0.3">
      <c r="A405">
        <v>404</v>
      </c>
      <c r="B405" s="46">
        <v>40561</v>
      </c>
      <c r="C405">
        <v>1</v>
      </c>
      <c r="D405">
        <v>19</v>
      </c>
      <c r="E405" t="b">
        <v>0</v>
      </c>
      <c r="F405">
        <v>2</v>
      </c>
      <c r="G405" t="s">
        <v>35</v>
      </c>
      <c r="H405" t="s">
        <v>37</v>
      </c>
      <c r="I405">
        <v>2</v>
      </c>
      <c r="J405" t="s">
        <v>31</v>
      </c>
      <c r="K405">
        <v>0.22</v>
      </c>
      <c r="L405" t="s">
        <v>23</v>
      </c>
      <c r="M405">
        <v>0.2273</v>
      </c>
      <c r="N405">
        <v>0.8</v>
      </c>
      <c r="O405" t="s">
        <v>30</v>
      </c>
      <c r="P405">
        <v>0.1343</v>
      </c>
      <c r="Q405">
        <v>1</v>
      </c>
      <c r="R405">
        <v>98</v>
      </c>
      <c r="S405">
        <v>99</v>
      </c>
    </row>
    <row r="406" spans="1:19" x14ac:dyDescent="0.3">
      <c r="A406">
        <v>405</v>
      </c>
      <c r="B406" s="46">
        <v>40561</v>
      </c>
      <c r="C406">
        <v>1</v>
      </c>
      <c r="D406">
        <v>20</v>
      </c>
      <c r="E406" t="b">
        <v>0</v>
      </c>
      <c r="F406">
        <v>2</v>
      </c>
      <c r="G406" t="s">
        <v>35</v>
      </c>
      <c r="H406" t="s">
        <v>37</v>
      </c>
      <c r="I406">
        <v>2</v>
      </c>
      <c r="J406" t="s">
        <v>31</v>
      </c>
      <c r="K406">
        <v>0.22</v>
      </c>
      <c r="L406" t="s">
        <v>23</v>
      </c>
      <c r="M406">
        <v>0.2727</v>
      </c>
      <c r="N406">
        <v>0.87</v>
      </c>
      <c r="O406" t="s">
        <v>30</v>
      </c>
      <c r="P406">
        <v>0</v>
      </c>
      <c r="Q406">
        <v>0</v>
      </c>
      <c r="R406">
        <v>83</v>
      </c>
      <c r="S406">
        <v>83</v>
      </c>
    </row>
    <row r="407" spans="1:19" x14ac:dyDescent="0.3">
      <c r="A407">
        <v>406</v>
      </c>
      <c r="B407" s="46">
        <v>40561</v>
      </c>
      <c r="C407">
        <v>1</v>
      </c>
      <c r="D407">
        <v>21</v>
      </c>
      <c r="E407" t="b">
        <v>0</v>
      </c>
      <c r="F407">
        <v>2</v>
      </c>
      <c r="G407" t="s">
        <v>35</v>
      </c>
      <c r="H407" t="s">
        <v>37</v>
      </c>
      <c r="I407">
        <v>2</v>
      </c>
      <c r="J407" t="s">
        <v>31</v>
      </c>
      <c r="K407">
        <v>0.22</v>
      </c>
      <c r="L407" t="s">
        <v>23</v>
      </c>
      <c r="M407">
        <v>0.2424</v>
      </c>
      <c r="N407">
        <v>0.93</v>
      </c>
      <c r="O407" t="s">
        <v>30</v>
      </c>
      <c r="P407">
        <v>0.1045</v>
      </c>
      <c r="Q407">
        <v>0</v>
      </c>
      <c r="R407">
        <v>41</v>
      </c>
      <c r="S407">
        <v>41</v>
      </c>
    </row>
    <row r="408" spans="1:19" x14ac:dyDescent="0.3">
      <c r="A408">
        <v>407</v>
      </c>
      <c r="B408" s="46">
        <v>40561</v>
      </c>
      <c r="C408">
        <v>1</v>
      </c>
      <c r="D408">
        <v>22</v>
      </c>
      <c r="E408" t="b">
        <v>0</v>
      </c>
      <c r="F408">
        <v>2</v>
      </c>
      <c r="G408" t="s">
        <v>35</v>
      </c>
      <c r="H408" t="s">
        <v>37</v>
      </c>
      <c r="I408">
        <v>2</v>
      </c>
      <c r="J408" t="s">
        <v>31</v>
      </c>
      <c r="K408">
        <v>0.22</v>
      </c>
      <c r="L408" t="s">
        <v>23</v>
      </c>
      <c r="M408">
        <v>0.2576</v>
      </c>
      <c r="N408">
        <v>0.93</v>
      </c>
      <c r="O408" t="s">
        <v>30</v>
      </c>
      <c r="P408">
        <v>8.9599999999999999E-2</v>
      </c>
      <c r="Q408">
        <v>0</v>
      </c>
      <c r="R408">
        <v>33</v>
      </c>
      <c r="S408">
        <v>33</v>
      </c>
    </row>
    <row r="409" spans="1:19" x14ac:dyDescent="0.3">
      <c r="A409">
        <v>408</v>
      </c>
      <c r="B409" s="46">
        <v>40561</v>
      </c>
      <c r="C409">
        <v>1</v>
      </c>
      <c r="D409">
        <v>23</v>
      </c>
      <c r="E409" t="b">
        <v>0</v>
      </c>
      <c r="F409">
        <v>2</v>
      </c>
      <c r="G409" t="s">
        <v>35</v>
      </c>
      <c r="H409" t="s">
        <v>37</v>
      </c>
      <c r="I409">
        <v>2</v>
      </c>
      <c r="J409" t="s">
        <v>31</v>
      </c>
      <c r="K409">
        <v>0.22</v>
      </c>
      <c r="L409" t="s">
        <v>23</v>
      </c>
      <c r="M409">
        <v>0.2727</v>
      </c>
      <c r="N409">
        <v>0.93</v>
      </c>
      <c r="O409" t="s">
        <v>30</v>
      </c>
      <c r="P409">
        <v>0</v>
      </c>
      <c r="Q409">
        <v>1</v>
      </c>
      <c r="R409">
        <v>19</v>
      </c>
      <c r="S409">
        <v>20</v>
      </c>
    </row>
    <row r="410" spans="1:19" x14ac:dyDescent="0.3">
      <c r="A410">
        <v>409</v>
      </c>
      <c r="B410" s="46">
        <v>40562</v>
      </c>
      <c r="C410">
        <v>1</v>
      </c>
      <c r="D410">
        <v>0</v>
      </c>
      <c r="E410" t="b">
        <v>0</v>
      </c>
      <c r="F410">
        <v>3</v>
      </c>
      <c r="G410" t="s">
        <v>35</v>
      </c>
      <c r="H410" t="s">
        <v>38</v>
      </c>
      <c r="I410">
        <v>2</v>
      </c>
      <c r="J410" t="s">
        <v>31</v>
      </c>
      <c r="K410">
        <v>0.22</v>
      </c>
      <c r="L410" t="s">
        <v>23</v>
      </c>
      <c r="M410">
        <v>0.2727</v>
      </c>
      <c r="N410">
        <v>0.93</v>
      </c>
      <c r="O410" t="s">
        <v>30</v>
      </c>
      <c r="P410">
        <v>0</v>
      </c>
      <c r="Q410">
        <v>0</v>
      </c>
      <c r="R410">
        <v>3</v>
      </c>
      <c r="S410">
        <v>3</v>
      </c>
    </row>
    <row r="411" spans="1:19" x14ac:dyDescent="0.3">
      <c r="A411">
        <v>410</v>
      </c>
      <c r="B411" s="46">
        <v>40562</v>
      </c>
      <c r="C411">
        <v>1</v>
      </c>
      <c r="D411">
        <v>1</v>
      </c>
      <c r="E411" t="b">
        <v>0</v>
      </c>
      <c r="F411">
        <v>3</v>
      </c>
      <c r="G411" t="s">
        <v>35</v>
      </c>
      <c r="H411" t="s">
        <v>38</v>
      </c>
      <c r="I411">
        <v>3</v>
      </c>
      <c r="J411" t="s">
        <v>32</v>
      </c>
      <c r="K411">
        <v>0.22</v>
      </c>
      <c r="L411" t="s">
        <v>23</v>
      </c>
      <c r="M411">
        <v>0.2273</v>
      </c>
      <c r="N411">
        <v>0.93</v>
      </c>
      <c r="O411" t="s">
        <v>30</v>
      </c>
      <c r="P411">
        <v>0.1343</v>
      </c>
      <c r="Q411">
        <v>1</v>
      </c>
      <c r="R411">
        <v>6</v>
      </c>
      <c r="S411">
        <v>7</v>
      </c>
    </row>
    <row r="412" spans="1:19" x14ac:dyDescent="0.3">
      <c r="A412">
        <v>411</v>
      </c>
      <c r="B412" s="46">
        <v>40562</v>
      </c>
      <c r="C412">
        <v>1</v>
      </c>
      <c r="D412">
        <v>2</v>
      </c>
      <c r="E412" t="b">
        <v>0</v>
      </c>
      <c r="F412">
        <v>3</v>
      </c>
      <c r="G412" t="s">
        <v>35</v>
      </c>
      <c r="H412" t="s">
        <v>38</v>
      </c>
      <c r="I412">
        <v>3</v>
      </c>
      <c r="J412" t="s">
        <v>32</v>
      </c>
      <c r="K412">
        <v>0.22</v>
      </c>
      <c r="L412" t="s">
        <v>23</v>
      </c>
      <c r="M412">
        <v>0.2273</v>
      </c>
      <c r="N412">
        <v>0.93</v>
      </c>
      <c r="O412" t="s">
        <v>30</v>
      </c>
      <c r="P412">
        <v>0.1343</v>
      </c>
      <c r="Q412">
        <v>0</v>
      </c>
      <c r="R412">
        <v>3</v>
      </c>
      <c r="S412">
        <v>3</v>
      </c>
    </row>
    <row r="413" spans="1:19" x14ac:dyDescent="0.3">
      <c r="A413">
        <v>412</v>
      </c>
      <c r="B413" s="46">
        <v>40562</v>
      </c>
      <c r="C413">
        <v>1</v>
      </c>
      <c r="D413">
        <v>4</v>
      </c>
      <c r="E413" t="b">
        <v>0</v>
      </c>
      <c r="F413">
        <v>3</v>
      </c>
      <c r="G413" t="s">
        <v>35</v>
      </c>
      <c r="H413" t="s">
        <v>38</v>
      </c>
      <c r="I413">
        <v>3</v>
      </c>
      <c r="J413" t="s">
        <v>32</v>
      </c>
      <c r="K413">
        <v>0.22</v>
      </c>
      <c r="L413" t="s">
        <v>23</v>
      </c>
      <c r="M413">
        <v>0.2273</v>
      </c>
      <c r="N413">
        <v>0.93</v>
      </c>
      <c r="O413" t="s">
        <v>30</v>
      </c>
      <c r="P413">
        <v>0.1343</v>
      </c>
      <c r="Q413">
        <v>1</v>
      </c>
      <c r="R413">
        <v>1</v>
      </c>
      <c r="S413">
        <v>2</v>
      </c>
    </row>
    <row r="414" spans="1:19" x14ac:dyDescent="0.3">
      <c r="A414">
        <v>413</v>
      </c>
      <c r="B414" s="46">
        <v>40562</v>
      </c>
      <c r="C414">
        <v>1</v>
      </c>
      <c r="D414">
        <v>5</v>
      </c>
      <c r="E414" t="b">
        <v>0</v>
      </c>
      <c r="F414">
        <v>3</v>
      </c>
      <c r="G414" t="s">
        <v>35</v>
      </c>
      <c r="H414" t="s">
        <v>38</v>
      </c>
      <c r="I414">
        <v>2</v>
      </c>
      <c r="J414" t="s">
        <v>31</v>
      </c>
      <c r="K414">
        <v>0.22</v>
      </c>
      <c r="L414" t="s">
        <v>23</v>
      </c>
      <c r="M414">
        <v>0.2576</v>
      </c>
      <c r="N414">
        <v>0.93</v>
      </c>
      <c r="O414" t="s">
        <v>30</v>
      </c>
      <c r="P414">
        <v>8.9599999999999999E-2</v>
      </c>
      <c r="Q414">
        <v>0</v>
      </c>
      <c r="R414">
        <v>7</v>
      </c>
      <c r="S414">
        <v>7</v>
      </c>
    </row>
    <row r="415" spans="1:19" x14ac:dyDescent="0.3">
      <c r="A415">
        <v>414</v>
      </c>
      <c r="B415" s="46">
        <v>40562</v>
      </c>
      <c r="C415">
        <v>1</v>
      </c>
      <c r="D415">
        <v>6</v>
      </c>
      <c r="E415" t="b">
        <v>0</v>
      </c>
      <c r="F415">
        <v>3</v>
      </c>
      <c r="G415" t="s">
        <v>35</v>
      </c>
      <c r="H415" t="s">
        <v>38</v>
      </c>
      <c r="I415">
        <v>2</v>
      </c>
      <c r="J415" t="s">
        <v>31</v>
      </c>
      <c r="K415">
        <v>0.22</v>
      </c>
      <c r="L415" t="s">
        <v>23</v>
      </c>
      <c r="M415">
        <v>0.2576</v>
      </c>
      <c r="N415">
        <v>0.93</v>
      </c>
      <c r="O415" t="s">
        <v>30</v>
      </c>
      <c r="P415">
        <v>8.9599999999999999E-2</v>
      </c>
      <c r="Q415">
        <v>0</v>
      </c>
      <c r="R415">
        <v>32</v>
      </c>
      <c r="S415">
        <v>32</v>
      </c>
    </row>
    <row r="416" spans="1:19" x14ac:dyDescent="0.3">
      <c r="A416">
        <v>415</v>
      </c>
      <c r="B416" s="46">
        <v>40562</v>
      </c>
      <c r="C416">
        <v>1</v>
      </c>
      <c r="D416">
        <v>7</v>
      </c>
      <c r="E416" t="b">
        <v>0</v>
      </c>
      <c r="F416">
        <v>3</v>
      </c>
      <c r="G416" t="s">
        <v>35</v>
      </c>
      <c r="H416" t="s">
        <v>38</v>
      </c>
      <c r="I416">
        <v>2</v>
      </c>
      <c r="J416" t="s">
        <v>31</v>
      </c>
      <c r="K416">
        <v>0.24</v>
      </c>
      <c r="L416" t="s">
        <v>23</v>
      </c>
      <c r="M416">
        <v>0.2576</v>
      </c>
      <c r="N416">
        <v>0.92</v>
      </c>
      <c r="O416" t="s">
        <v>30</v>
      </c>
      <c r="P416">
        <v>0.1045</v>
      </c>
      <c r="Q416">
        <v>1</v>
      </c>
      <c r="R416">
        <v>89</v>
      </c>
      <c r="S416">
        <v>90</v>
      </c>
    </row>
    <row r="417" spans="1:19" x14ac:dyDescent="0.3">
      <c r="A417">
        <v>416</v>
      </c>
      <c r="B417" s="46">
        <v>40562</v>
      </c>
      <c r="C417">
        <v>1</v>
      </c>
      <c r="D417">
        <v>8</v>
      </c>
      <c r="E417" t="b">
        <v>0</v>
      </c>
      <c r="F417">
        <v>3</v>
      </c>
      <c r="G417" t="s">
        <v>35</v>
      </c>
      <c r="H417" t="s">
        <v>38</v>
      </c>
      <c r="I417">
        <v>2</v>
      </c>
      <c r="J417" t="s">
        <v>31</v>
      </c>
      <c r="K417">
        <v>0.24</v>
      </c>
      <c r="L417" t="s">
        <v>23</v>
      </c>
      <c r="M417">
        <v>0.2576</v>
      </c>
      <c r="N417">
        <v>0.93</v>
      </c>
      <c r="O417" t="s">
        <v>30</v>
      </c>
      <c r="P417">
        <v>0.1045</v>
      </c>
      <c r="Q417">
        <v>1</v>
      </c>
      <c r="R417">
        <v>196</v>
      </c>
      <c r="S417">
        <v>197</v>
      </c>
    </row>
    <row r="418" spans="1:19" x14ac:dyDescent="0.3">
      <c r="A418">
        <v>417</v>
      </c>
      <c r="B418" s="46">
        <v>40562</v>
      </c>
      <c r="C418">
        <v>1</v>
      </c>
      <c r="D418">
        <v>9</v>
      </c>
      <c r="E418" t="b">
        <v>0</v>
      </c>
      <c r="F418">
        <v>3</v>
      </c>
      <c r="G418" t="s">
        <v>35</v>
      </c>
      <c r="H418" t="s">
        <v>38</v>
      </c>
      <c r="I418">
        <v>2</v>
      </c>
      <c r="J418" t="s">
        <v>31</v>
      </c>
      <c r="K418">
        <v>0.24</v>
      </c>
      <c r="L418" t="s">
        <v>23</v>
      </c>
      <c r="M418">
        <v>0.2576</v>
      </c>
      <c r="N418">
        <v>0.93</v>
      </c>
      <c r="O418" t="s">
        <v>30</v>
      </c>
      <c r="P418">
        <v>0.1045</v>
      </c>
      <c r="Q418">
        <v>2</v>
      </c>
      <c r="R418">
        <v>107</v>
      </c>
      <c r="S418">
        <v>109</v>
      </c>
    </row>
    <row r="419" spans="1:19" x14ac:dyDescent="0.3">
      <c r="A419">
        <v>418</v>
      </c>
      <c r="B419" s="46">
        <v>40562</v>
      </c>
      <c r="C419">
        <v>1</v>
      </c>
      <c r="D419">
        <v>10</v>
      </c>
      <c r="E419" t="b">
        <v>0</v>
      </c>
      <c r="F419">
        <v>3</v>
      </c>
      <c r="G419" t="s">
        <v>35</v>
      </c>
      <c r="H419" t="s">
        <v>38</v>
      </c>
      <c r="I419">
        <v>2</v>
      </c>
      <c r="J419" t="s">
        <v>31</v>
      </c>
      <c r="K419">
        <v>0.26</v>
      </c>
      <c r="L419" t="s">
        <v>23</v>
      </c>
      <c r="M419">
        <v>0.2727</v>
      </c>
      <c r="N419">
        <v>0.93</v>
      </c>
      <c r="O419" t="s">
        <v>30</v>
      </c>
      <c r="P419">
        <v>0.1343</v>
      </c>
      <c r="Q419">
        <v>1</v>
      </c>
      <c r="R419">
        <v>46</v>
      </c>
      <c r="S419">
        <v>47</v>
      </c>
    </row>
    <row r="420" spans="1:19" x14ac:dyDescent="0.3">
      <c r="A420">
        <v>419</v>
      </c>
      <c r="B420" s="46">
        <v>40562</v>
      </c>
      <c r="C420">
        <v>1</v>
      </c>
      <c r="D420">
        <v>11</v>
      </c>
      <c r="E420" t="b">
        <v>0</v>
      </c>
      <c r="F420">
        <v>3</v>
      </c>
      <c r="G420" t="s">
        <v>35</v>
      </c>
      <c r="H420" t="s">
        <v>38</v>
      </c>
      <c r="I420">
        <v>2</v>
      </c>
      <c r="J420" t="s">
        <v>31</v>
      </c>
      <c r="K420">
        <v>0.28000000000000003</v>
      </c>
      <c r="L420" t="s">
        <v>23</v>
      </c>
      <c r="M420">
        <v>0.30299999999999999</v>
      </c>
      <c r="N420">
        <v>0.87</v>
      </c>
      <c r="O420" t="s">
        <v>30</v>
      </c>
      <c r="P420">
        <v>8.9599999999999999E-2</v>
      </c>
      <c r="Q420">
        <v>5</v>
      </c>
      <c r="R420">
        <v>47</v>
      </c>
      <c r="S420">
        <v>52</v>
      </c>
    </row>
    <row r="421" spans="1:19" x14ac:dyDescent="0.3">
      <c r="A421">
        <v>420</v>
      </c>
      <c r="B421" s="46">
        <v>40562</v>
      </c>
      <c r="C421">
        <v>1</v>
      </c>
      <c r="D421">
        <v>12</v>
      </c>
      <c r="E421" t="b">
        <v>0</v>
      </c>
      <c r="F421">
        <v>3</v>
      </c>
      <c r="G421" t="s">
        <v>35</v>
      </c>
      <c r="H421" t="s">
        <v>38</v>
      </c>
      <c r="I421">
        <v>2</v>
      </c>
      <c r="J421" t="s">
        <v>31</v>
      </c>
      <c r="K421">
        <v>0.3</v>
      </c>
      <c r="L421" t="s">
        <v>23</v>
      </c>
      <c r="M421">
        <v>0.31819999999999998</v>
      </c>
      <c r="N421">
        <v>0.81</v>
      </c>
      <c r="O421" t="s">
        <v>30</v>
      </c>
      <c r="P421">
        <v>8.9599999999999999E-2</v>
      </c>
      <c r="Q421">
        <v>5</v>
      </c>
      <c r="R421">
        <v>65</v>
      </c>
      <c r="S421">
        <v>70</v>
      </c>
    </row>
    <row r="422" spans="1:19" x14ac:dyDescent="0.3">
      <c r="A422">
        <v>421</v>
      </c>
      <c r="B422" s="46">
        <v>40562</v>
      </c>
      <c r="C422">
        <v>1</v>
      </c>
      <c r="D422">
        <v>13</v>
      </c>
      <c r="E422" t="b">
        <v>0</v>
      </c>
      <c r="F422">
        <v>3</v>
      </c>
      <c r="G422" t="s">
        <v>35</v>
      </c>
      <c r="H422" t="s">
        <v>38</v>
      </c>
      <c r="I422">
        <v>1</v>
      </c>
      <c r="J422" t="s">
        <v>29</v>
      </c>
      <c r="K422">
        <v>0.4</v>
      </c>
      <c r="L422" t="s">
        <v>30</v>
      </c>
      <c r="M422">
        <v>0.40910000000000002</v>
      </c>
      <c r="N422">
        <v>0.62</v>
      </c>
      <c r="O422" t="s">
        <v>34</v>
      </c>
      <c r="P422">
        <v>0.28360000000000002</v>
      </c>
      <c r="Q422">
        <v>11</v>
      </c>
      <c r="R422">
        <v>67</v>
      </c>
      <c r="S422">
        <v>78</v>
      </c>
    </row>
    <row r="423" spans="1:19" x14ac:dyDescent="0.3">
      <c r="A423">
        <v>422</v>
      </c>
      <c r="B423" s="46">
        <v>40562</v>
      </c>
      <c r="C423">
        <v>1</v>
      </c>
      <c r="D423">
        <v>14</v>
      </c>
      <c r="E423" t="b">
        <v>0</v>
      </c>
      <c r="F423">
        <v>3</v>
      </c>
      <c r="G423" t="s">
        <v>35</v>
      </c>
      <c r="H423" t="s">
        <v>38</v>
      </c>
      <c r="I423">
        <v>1</v>
      </c>
      <c r="J423" t="s">
        <v>29</v>
      </c>
      <c r="K423">
        <v>0.4</v>
      </c>
      <c r="L423" t="s">
        <v>30</v>
      </c>
      <c r="M423">
        <v>0.40910000000000002</v>
      </c>
      <c r="N423">
        <v>0.57999999999999996</v>
      </c>
      <c r="O423" t="s">
        <v>34</v>
      </c>
      <c r="P423">
        <v>0.25369999999999998</v>
      </c>
      <c r="Q423">
        <v>7</v>
      </c>
      <c r="R423">
        <v>68</v>
      </c>
      <c r="S423">
        <v>75</v>
      </c>
    </row>
    <row r="424" spans="1:19" x14ac:dyDescent="0.3">
      <c r="A424">
        <v>423</v>
      </c>
      <c r="B424" s="46">
        <v>40562</v>
      </c>
      <c r="C424">
        <v>1</v>
      </c>
      <c r="D424">
        <v>15</v>
      </c>
      <c r="E424" t="b">
        <v>0</v>
      </c>
      <c r="F424">
        <v>3</v>
      </c>
      <c r="G424" t="s">
        <v>35</v>
      </c>
      <c r="H424" t="s">
        <v>38</v>
      </c>
      <c r="I424">
        <v>1</v>
      </c>
      <c r="J424" t="s">
        <v>29</v>
      </c>
      <c r="K424">
        <v>0.4</v>
      </c>
      <c r="L424" t="s">
        <v>30</v>
      </c>
      <c r="M424">
        <v>0.40910000000000002</v>
      </c>
      <c r="N424">
        <v>0.54</v>
      </c>
      <c r="O424" t="s">
        <v>34</v>
      </c>
      <c r="P424">
        <v>0.28360000000000002</v>
      </c>
      <c r="Q424">
        <v>4</v>
      </c>
      <c r="R424">
        <v>78</v>
      </c>
      <c r="S424">
        <v>82</v>
      </c>
    </row>
    <row r="425" spans="1:19" x14ac:dyDescent="0.3">
      <c r="A425">
        <v>424</v>
      </c>
      <c r="B425" s="46">
        <v>40562</v>
      </c>
      <c r="C425">
        <v>1</v>
      </c>
      <c r="D425">
        <v>16</v>
      </c>
      <c r="E425" t="b">
        <v>0</v>
      </c>
      <c r="F425">
        <v>3</v>
      </c>
      <c r="G425" t="s">
        <v>35</v>
      </c>
      <c r="H425" t="s">
        <v>38</v>
      </c>
      <c r="I425">
        <v>1</v>
      </c>
      <c r="J425" t="s">
        <v>29</v>
      </c>
      <c r="K425">
        <v>0.38</v>
      </c>
      <c r="L425" t="s">
        <v>30</v>
      </c>
      <c r="M425">
        <v>0.39389999999999997</v>
      </c>
      <c r="N425">
        <v>0.57999999999999996</v>
      </c>
      <c r="O425" t="s">
        <v>34</v>
      </c>
      <c r="P425">
        <v>0.3881</v>
      </c>
      <c r="Q425">
        <v>10</v>
      </c>
      <c r="R425">
        <v>94</v>
      </c>
      <c r="S425">
        <v>104</v>
      </c>
    </row>
    <row r="426" spans="1:19" x14ac:dyDescent="0.3">
      <c r="A426">
        <v>425</v>
      </c>
      <c r="B426" s="46">
        <v>40562</v>
      </c>
      <c r="C426">
        <v>1</v>
      </c>
      <c r="D426">
        <v>17</v>
      </c>
      <c r="E426" t="b">
        <v>0</v>
      </c>
      <c r="F426">
        <v>3</v>
      </c>
      <c r="G426" t="s">
        <v>35</v>
      </c>
      <c r="H426" t="s">
        <v>38</v>
      </c>
      <c r="I426">
        <v>1</v>
      </c>
      <c r="J426" t="s">
        <v>29</v>
      </c>
      <c r="K426">
        <v>0.36</v>
      </c>
      <c r="L426" t="s">
        <v>30</v>
      </c>
      <c r="M426">
        <v>0.33329999999999999</v>
      </c>
      <c r="N426">
        <v>0.56999999999999995</v>
      </c>
      <c r="O426" t="s">
        <v>34</v>
      </c>
      <c r="P426">
        <v>0.32840000000000003</v>
      </c>
      <c r="Q426">
        <v>7</v>
      </c>
      <c r="R426">
        <v>190</v>
      </c>
      <c r="S426">
        <v>197</v>
      </c>
    </row>
    <row r="427" spans="1:19" x14ac:dyDescent="0.3">
      <c r="A427">
        <v>426</v>
      </c>
      <c r="B427" s="46">
        <v>40562</v>
      </c>
      <c r="C427">
        <v>1</v>
      </c>
      <c r="D427">
        <v>18</v>
      </c>
      <c r="E427" t="b">
        <v>0</v>
      </c>
      <c r="F427">
        <v>3</v>
      </c>
      <c r="G427" t="s">
        <v>35</v>
      </c>
      <c r="H427" t="s">
        <v>38</v>
      </c>
      <c r="I427">
        <v>1</v>
      </c>
      <c r="J427" t="s">
        <v>29</v>
      </c>
      <c r="K427">
        <v>0.34</v>
      </c>
      <c r="L427" t="s">
        <v>23</v>
      </c>
      <c r="M427">
        <v>0.31819999999999998</v>
      </c>
      <c r="N427">
        <v>0.61</v>
      </c>
      <c r="O427" t="s">
        <v>34</v>
      </c>
      <c r="P427">
        <v>0.28360000000000002</v>
      </c>
      <c r="Q427">
        <v>5</v>
      </c>
      <c r="R427">
        <v>156</v>
      </c>
      <c r="S427">
        <v>161</v>
      </c>
    </row>
    <row r="428" spans="1:19" x14ac:dyDescent="0.3">
      <c r="A428">
        <v>427</v>
      </c>
      <c r="B428" s="46">
        <v>40562</v>
      </c>
      <c r="C428">
        <v>1</v>
      </c>
      <c r="D428">
        <v>19</v>
      </c>
      <c r="E428" t="b">
        <v>0</v>
      </c>
      <c r="F428">
        <v>3</v>
      </c>
      <c r="G428" t="s">
        <v>35</v>
      </c>
      <c r="H428" t="s">
        <v>38</v>
      </c>
      <c r="I428">
        <v>1</v>
      </c>
      <c r="J428" t="s">
        <v>29</v>
      </c>
      <c r="K428">
        <v>0.32</v>
      </c>
      <c r="L428" t="s">
        <v>23</v>
      </c>
      <c r="M428">
        <v>0.28789999999999999</v>
      </c>
      <c r="N428">
        <v>0.56999999999999995</v>
      </c>
      <c r="O428" t="s">
        <v>34</v>
      </c>
      <c r="P428">
        <v>0.41789999999999999</v>
      </c>
      <c r="Q428">
        <v>4</v>
      </c>
      <c r="R428">
        <v>108</v>
      </c>
      <c r="S428">
        <v>112</v>
      </c>
    </row>
    <row r="429" spans="1:19" x14ac:dyDescent="0.3">
      <c r="A429">
        <v>428</v>
      </c>
      <c r="B429" s="46">
        <v>40562</v>
      </c>
      <c r="C429">
        <v>1</v>
      </c>
      <c r="D429">
        <v>20</v>
      </c>
      <c r="E429" t="b">
        <v>0</v>
      </c>
      <c r="F429">
        <v>3</v>
      </c>
      <c r="G429" t="s">
        <v>35</v>
      </c>
      <c r="H429" t="s">
        <v>38</v>
      </c>
      <c r="I429">
        <v>1</v>
      </c>
      <c r="J429" t="s">
        <v>29</v>
      </c>
      <c r="K429">
        <v>0.32</v>
      </c>
      <c r="L429" t="s">
        <v>23</v>
      </c>
      <c r="M429">
        <v>0.30299999999999999</v>
      </c>
      <c r="N429">
        <v>0.49</v>
      </c>
      <c r="O429" t="s">
        <v>34</v>
      </c>
      <c r="P429">
        <v>0.29849999999999999</v>
      </c>
      <c r="Q429">
        <v>2</v>
      </c>
      <c r="R429">
        <v>74</v>
      </c>
      <c r="S429">
        <v>76</v>
      </c>
    </row>
    <row r="430" spans="1:19" x14ac:dyDescent="0.3">
      <c r="A430">
        <v>429</v>
      </c>
      <c r="B430" s="46">
        <v>40562</v>
      </c>
      <c r="C430">
        <v>1</v>
      </c>
      <c r="D430">
        <v>21</v>
      </c>
      <c r="E430" t="b">
        <v>0</v>
      </c>
      <c r="F430">
        <v>3</v>
      </c>
      <c r="G430" t="s">
        <v>35</v>
      </c>
      <c r="H430" t="s">
        <v>38</v>
      </c>
      <c r="I430">
        <v>1</v>
      </c>
      <c r="J430" t="s">
        <v>29</v>
      </c>
      <c r="K430">
        <v>0.32</v>
      </c>
      <c r="L430" t="s">
        <v>23</v>
      </c>
      <c r="M430">
        <v>0.28789999999999999</v>
      </c>
      <c r="N430">
        <v>0.49</v>
      </c>
      <c r="O430" t="s">
        <v>34</v>
      </c>
      <c r="P430">
        <v>0.41789999999999999</v>
      </c>
      <c r="Q430">
        <v>4</v>
      </c>
      <c r="R430">
        <v>55</v>
      </c>
      <c r="S430">
        <v>59</v>
      </c>
    </row>
    <row r="431" spans="1:19" x14ac:dyDescent="0.3">
      <c r="A431">
        <v>430</v>
      </c>
      <c r="B431" s="46">
        <v>40562</v>
      </c>
      <c r="C431">
        <v>1</v>
      </c>
      <c r="D431">
        <v>22</v>
      </c>
      <c r="E431" t="b">
        <v>0</v>
      </c>
      <c r="F431">
        <v>3</v>
      </c>
      <c r="G431" t="s">
        <v>35</v>
      </c>
      <c r="H431" t="s">
        <v>38</v>
      </c>
      <c r="I431">
        <v>1</v>
      </c>
      <c r="J431" t="s">
        <v>29</v>
      </c>
      <c r="K431">
        <v>0.3</v>
      </c>
      <c r="L431" t="s">
        <v>23</v>
      </c>
      <c r="M431">
        <v>0.30299999999999999</v>
      </c>
      <c r="N431">
        <v>0.52</v>
      </c>
      <c r="O431" t="s">
        <v>34</v>
      </c>
      <c r="P431">
        <v>0.16420000000000001</v>
      </c>
      <c r="Q431">
        <v>6</v>
      </c>
      <c r="R431">
        <v>53</v>
      </c>
      <c r="S431">
        <v>59</v>
      </c>
    </row>
    <row r="432" spans="1:19" x14ac:dyDescent="0.3">
      <c r="A432">
        <v>431</v>
      </c>
      <c r="B432" s="46">
        <v>40562</v>
      </c>
      <c r="C432">
        <v>1</v>
      </c>
      <c r="D432">
        <v>23</v>
      </c>
      <c r="E432" t="b">
        <v>0</v>
      </c>
      <c r="F432">
        <v>3</v>
      </c>
      <c r="G432" t="s">
        <v>35</v>
      </c>
      <c r="H432" t="s">
        <v>38</v>
      </c>
      <c r="I432">
        <v>1</v>
      </c>
      <c r="J432" t="s">
        <v>29</v>
      </c>
      <c r="K432">
        <v>0.3</v>
      </c>
      <c r="L432" t="s">
        <v>23</v>
      </c>
      <c r="M432">
        <v>0.2727</v>
      </c>
      <c r="N432">
        <v>0.52</v>
      </c>
      <c r="O432" t="s">
        <v>34</v>
      </c>
      <c r="P432">
        <v>0.4627</v>
      </c>
      <c r="Q432">
        <v>1</v>
      </c>
      <c r="R432">
        <v>27</v>
      </c>
      <c r="S432">
        <v>28</v>
      </c>
    </row>
    <row r="433" spans="1:19" x14ac:dyDescent="0.3">
      <c r="A433">
        <v>432</v>
      </c>
      <c r="B433" s="46">
        <v>40563</v>
      </c>
      <c r="C433">
        <v>1</v>
      </c>
      <c r="D433">
        <v>0</v>
      </c>
      <c r="E433" t="b">
        <v>0</v>
      </c>
      <c r="F433">
        <v>4</v>
      </c>
      <c r="G433" t="s">
        <v>35</v>
      </c>
      <c r="H433" t="s">
        <v>39</v>
      </c>
      <c r="I433">
        <v>1</v>
      </c>
      <c r="J433" t="s">
        <v>29</v>
      </c>
      <c r="K433">
        <v>0.26</v>
      </c>
      <c r="L433" t="s">
        <v>23</v>
      </c>
      <c r="M433">
        <v>0.2273</v>
      </c>
      <c r="N433">
        <v>0.56000000000000005</v>
      </c>
      <c r="O433" t="s">
        <v>34</v>
      </c>
      <c r="P433">
        <v>0.3881</v>
      </c>
      <c r="Q433">
        <v>5</v>
      </c>
      <c r="R433">
        <v>8</v>
      </c>
      <c r="S433">
        <v>13</v>
      </c>
    </row>
    <row r="434" spans="1:19" x14ac:dyDescent="0.3">
      <c r="A434">
        <v>433</v>
      </c>
      <c r="B434" s="46">
        <v>40563</v>
      </c>
      <c r="C434">
        <v>1</v>
      </c>
      <c r="D434">
        <v>1</v>
      </c>
      <c r="E434" t="b">
        <v>0</v>
      </c>
      <c r="F434">
        <v>4</v>
      </c>
      <c r="G434" t="s">
        <v>35</v>
      </c>
      <c r="H434" t="s">
        <v>39</v>
      </c>
      <c r="I434">
        <v>1</v>
      </c>
      <c r="J434" t="s">
        <v>29</v>
      </c>
      <c r="K434">
        <v>0.26</v>
      </c>
      <c r="L434" t="s">
        <v>23</v>
      </c>
      <c r="M434">
        <v>0.2727</v>
      </c>
      <c r="N434">
        <v>0.56000000000000005</v>
      </c>
      <c r="O434" t="s">
        <v>34</v>
      </c>
      <c r="P434">
        <v>0</v>
      </c>
      <c r="Q434">
        <v>2</v>
      </c>
      <c r="R434">
        <v>3</v>
      </c>
      <c r="S434">
        <v>5</v>
      </c>
    </row>
    <row r="435" spans="1:19" x14ac:dyDescent="0.3">
      <c r="A435">
        <v>434</v>
      </c>
      <c r="B435" s="46">
        <v>40563</v>
      </c>
      <c r="C435">
        <v>1</v>
      </c>
      <c r="D435">
        <v>2</v>
      </c>
      <c r="E435" t="b">
        <v>0</v>
      </c>
      <c r="F435">
        <v>4</v>
      </c>
      <c r="G435" t="s">
        <v>35</v>
      </c>
      <c r="H435" t="s">
        <v>39</v>
      </c>
      <c r="I435">
        <v>1</v>
      </c>
      <c r="J435" t="s">
        <v>29</v>
      </c>
      <c r="K435">
        <v>0.26</v>
      </c>
      <c r="L435" t="s">
        <v>23</v>
      </c>
      <c r="M435">
        <v>0.2727</v>
      </c>
      <c r="N435">
        <v>0.56000000000000005</v>
      </c>
      <c r="O435" t="s">
        <v>34</v>
      </c>
      <c r="P435">
        <v>0</v>
      </c>
      <c r="Q435">
        <v>0</v>
      </c>
      <c r="R435">
        <v>2</v>
      </c>
      <c r="S435">
        <v>2</v>
      </c>
    </row>
    <row r="436" spans="1:19" x14ac:dyDescent="0.3">
      <c r="A436">
        <v>435</v>
      </c>
      <c r="B436" s="46">
        <v>40563</v>
      </c>
      <c r="C436">
        <v>1</v>
      </c>
      <c r="D436">
        <v>3</v>
      </c>
      <c r="E436" t="b">
        <v>0</v>
      </c>
      <c r="F436">
        <v>4</v>
      </c>
      <c r="G436" t="s">
        <v>35</v>
      </c>
      <c r="H436" t="s">
        <v>39</v>
      </c>
      <c r="I436">
        <v>1</v>
      </c>
      <c r="J436" t="s">
        <v>29</v>
      </c>
      <c r="K436">
        <v>0.26</v>
      </c>
      <c r="L436" t="s">
        <v>23</v>
      </c>
      <c r="M436">
        <v>0.2576</v>
      </c>
      <c r="N436">
        <v>0.56000000000000005</v>
      </c>
      <c r="O436" t="s">
        <v>34</v>
      </c>
      <c r="P436">
        <v>0.16420000000000001</v>
      </c>
      <c r="Q436">
        <v>0</v>
      </c>
      <c r="R436">
        <v>1</v>
      </c>
      <c r="S436">
        <v>1</v>
      </c>
    </row>
    <row r="437" spans="1:19" x14ac:dyDescent="0.3">
      <c r="A437">
        <v>436</v>
      </c>
      <c r="B437" s="46">
        <v>40563</v>
      </c>
      <c r="C437">
        <v>1</v>
      </c>
      <c r="D437">
        <v>4</v>
      </c>
      <c r="E437" t="b">
        <v>0</v>
      </c>
      <c r="F437">
        <v>4</v>
      </c>
      <c r="G437" t="s">
        <v>35</v>
      </c>
      <c r="H437" t="s">
        <v>39</v>
      </c>
      <c r="I437">
        <v>1</v>
      </c>
      <c r="J437" t="s">
        <v>29</v>
      </c>
      <c r="K437">
        <v>0.26</v>
      </c>
      <c r="L437" t="s">
        <v>23</v>
      </c>
      <c r="M437">
        <v>0.2576</v>
      </c>
      <c r="N437">
        <v>0.56000000000000005</v>
      </c>
      <c r="O437" t="s">
        <v>34</v>
      </c>
      <c r="P437">
        <v>0.16420000000000001</v>
      </c>
      <c r="Q437">
        <v>0</v>
      </c>
      <c r="R437">
        <v>1</v>
      </c>
      <c r="S437">
        <v>1</v>
      </c>
    </row>
    <row r="438" spans="1:19" x14ac:dyDescent="0.3">
      <c r="A438">
        <v>437</v>
      </c>
      <c r="B438" s="46">
        <v>40563</v>
      </c>
      <c r="C438">
        <v>1</v>
      </c>
      <c r="D438">
        <v>5</v>
      </c>
      <c r="E438" t="b">
        <v>0</v>
      </c>
      <c r="F438">
        <v>4</v>
      </c>
      <c r="G438" t="s">
        <v>35</v>
      </c>
      <c r="H438" t="s">
        <v>39</v>
      </c>
      <c r="I438">
        <v>1</v>
      </c>
      <c r="J438" t="s">
        <v>29</v>
      </c>
      <c r="K438">
        <v>0.24</v>
      </c>
      <c r="L438" t="s">
        <v>23</v>
      </c>
      <c r="M438">
        <v>0.2273</v>
      </c>
      <c r="N438">
        <v>0.6</v>
      </c>
      <c r="O438" t="s">
        <v>34</v>
      </c>
      <c r="P438">
        <v>0.22389999999999999</v>
      </c>
      <c r="Q438">
        <v>0</v>
      </c>
      <c r="R438">
        <v>6</v>
      </c>
      <c r="S438">
        <v>6</v>
      </c>
    </row>
    <row r="439" spans="1:19" x14ac:dyDescent="0.3">
      <c r="A439">
        <v>438</v>
      </c>
      <c r="B439" s="46">
        <v>40563</v>
      </c>
      <c r="C439">
        <v>1</v>
      </c>
      <c r="D439">
        <v>6</v>
      </c>
      <c r="E439" t="b">
        <v>0</v>
      </c>
      <c r="F439">
        <v>4</v>
      </c>
      <c r="G439" t="s">
        <v>35</v>
      </c>
      <c r="H439" t="s">
        <v>39</v>
      </c>
      <c r="I439">
        <v>1</v>
      </c>
      <c r="J439" t="s">
        <v>29</v>
      </c>
      <c r="K439">
        <v>0.22</v>
      </c>
      <c r="L439" t="s">
        <v>23</v>
      </c>
      <c r="M439">
        <v>0.21210000000000001</v>
      </c>
      <c r="N439">
        <v>0.6</v>
      </c>
      <c r="O439" t="s">
        <v>34</v>
      </c>
      <c r="P439">
        <v>0.22389999999999999</v>
      </c>
      <c r="Q439">
        <v>0</v>
      </c>
      <c r="R439">
        <v>35</v>
      </c>
      <c r="S439">
        <v>35</v>
      </c>
    </row>
    <row r="440" spans="1:19" x14ac:dyDescent="0.3">
      <c r="A440">
        <v>439</v>
      </c>
      <c r="B440" s="46">
        <v>40563</v>
      </c>
      <c r="C440">
        <v>1</v>
      </c>
      <c r="D440">
        <v>7</v>
      </c>
      <c r="E440" t="b">
        <v>0</v>
      </c>
      <c r="F440">
        <v>4</v>
      </c>
      <c r="G440" t="s">
        <v>35</v>
      </c>
      <c r="H440" t="s">
        <v>39</v>
      </c>
      <c r="I440">
        <v>1</v>
      </c>
      <c r="J440" t="s">
        <v>29</v>
      </c>
      <c r="K440">
        <v>0.22</v>
      </c>
      <c r="L440" t="s">
        <v>23</v>
      </c>
      <c r="M440">
        <v>0.21210000000000001</v>
      </c>
      <c r="N440">
        <v>0.55000000000000004</v>
      </c>
      <c r="O440" t="s">
        <v>34</v>
      </c>
      <c r="P440">
        <v>0.22389999999999999</v>
      </c>
      <c r="Q440">
        <v>1</v>
      </c>
      <c r="R440">
        <v>100</v>
      </c>
      <c r="S440">
        <v>101</v>
      </c>
    </row>
    <row r="441" spans="1:19" x14ac:dyDescent="0.3">
      <c r="A441">
        <v>440</v>
      </c>
      <c r="B441" s="46">
        <v>40563</v>
      </c>
      <c r="C441">
        <v>1</v>
      </c>
      <c r="D441">
        <v>8</v>
      </c>
      <c r="E441" t="b">
        <v>0</v>
      </c>
      <c r="F441">
        <v>4</v>
      </c>
      <c r="G441" t="s">
        <v>35</v>
      </c>
      <c r="H441" t="s">
        <v>39</v>
      </c>
      <c r="I441">
        <v>1</v>
      </c>
      <c r="J441" t="s">
        <v>29</v>
      </c>
      <c r="K441">
        <v>0.22</v>
      </c>
      <c r="L441" t="s">
        <v>23</v>
      </c>
      <c r="M441">
        <v>0.21210000000000001</v>
      </c>
      <c r="N441">
        <v>0.55000000000000004</v>
      </c>
      <c r="O441" t="s">
        <v>34</v>
      </c>
      <c r="P441">
        <v>0.28360000000000002</v>
      </c>
      <c r="Q441">
        <v>2</v>
      </c>
      <c r="R441">
        <v>247</v>
      </c>
      <c r="S441">
        <v>249</v>
      </c>
    </row>
    <row r="442" spans="1:19" x14ac:dyDescent="0.3">
      <c r="A442">
        <v>441</v>
      </c>
      <c r="B442" s="46">
        <v>40563</v>
      </c>
      <c r="C442">
        <v>1</v>
      </c>
      <c r="D442">
        <v>9</v>
      </c>
      <c r="E442" t="b">
        <v>0</v>
      </c>
      <c r="F442">
        <v>4</v>
      </c>
      <c r="G442" t="s">
        <v>35</v>
      </c>
      <c r="H442" t="s">
        <v>39</v>
      </c>
      <c r="I442">
        <v>2</v>
      </c>
      <c r="J442" t="s">
        <v>31</v>
      </c>
      <c r="K442">
        <v>0.24</v>
      </c>
      <c r="L442" t="s">
        <v>23</v>
      </c>
      <c r="M442">
        <v>0.2273</v>
      </c>
      <c r="N442">
        <v>0.52</v>
      </c>
      <c r="O442" t="s">
        <v>34</v>
      </c>
      <c r="P442">
        <v>0.22389999999999999</v>
      </c>
      <c r="Q442">
        <v>3</v>
      </c>
      <c r="R442">
        <v>140</v>
      </c>
      <c r="S442">
        <v>143</v>
      </c>
    </row>
    <row r="443" spans="1:19" x14ac:dyDescent="0.3">
      <c r="A443">
        <v>442</v>
      </c>
      <c r="B443" s="46">
        <v>40563</v>
      </c>
      <c r="C443">
        <v>1</v>
      </c>
      <c r="D443">
        <v>10</v>
      </c>
      <c r="E443" t="b">
        <v>0</v>
      </c>
      <c r="F443">
        <v>4</v>
      </c>
      <c r="G443" t="s">
        <v>35</v>
      </c>
      <c r="H443" t="s">
        <v>39</v>
      </c>
      <c r="I443">
        <v>1</v>
      </c>
      <c r="J443" t="s">
        <v>29</v>
      </c>
      <c r="K443">
        <v>0.26</v>
      </c>
      <c r="L443" t="s">
        <v>23</v>
      </c>
      <c r="M443">
        <v>0.2273</v>
      </c>
      <c r="N443">
        <v>0.48</v>
      </c>
      <c r="O443" t="s">
        <v>34</v>
      </c>
      <c r="P443">
        <v>0.29849999999999999</v>
      </c>
      <c r="Q443">
        <v>1</v>
      </c>
      <c r="R443">
        <v>56</v>
      </c>
      <c r="S443">
        <v>57</v>
      </c>
    </row>
    <row r="444" spans="1:19" x14ac:dyDescent="0.3">
      <c r="A444">
        <v>443</v>
      </c>
      <c r="B444" s="46">
        <v>40563</v>
      </c>
      <c r="C444">
        <v>1</v>
      </c>
      <c r="D444">
        <v>11</v>
      </c>
      <c r="E444" t="b">
        <v>0</v>
      </c>
      <c r="F444">
        <v>4</v>
      </c>
      <c r="G444" t="s">
        <v>35</v>
      </c>
      <c r="H444" t="s">
        <v>39</v>
      </c>
      <c r="I444">
        <v>2</v>
      </c>
      <c r="J444" t="s">
        <v>31</v>
      </c>
      <c r="K444">
        <v>0.28000000000000003</v>
      </c>
      <c r="L444" t="s">
        <v>23</v>
      </c>
      <c r="M444">
        <v>0.2727</v>
      </c>
      <c r="N444">
        <v>0.45</v>
      </c>
      <c r="O444" t="s">
        <v>34</v>
      </c>
      <c r="P444">
        <v>0.16420000000000001</v>
      </c>
      <c r="Q444">
        <v>5</v>
      </c>
      <c r="R444">
        <v>63</v>
      </c>
      <c r="S444">
        <v>68</v>
      </c>
    </row>
    <row r="445" spans="1:19" x14ac:dyDescent="0.3">
      <c r="A445">
        <v>444</v>
      </c>
      <c r="B445" s="46">
        <v>40563</v>
      </c>
      <c r="C445">
        <v>1</v>
      </c>
      <c r="D445">
        <v>12</v>
      </c>
      <c r="E445" t="b">
        <v>0</v>
      </c>
      <c r="F445">
        <v>4</v>
      </c>
      <c r="G445" t="s">
        <v>35</v>
      </c>
      <c r="H445" t="s">
        <v>39</v>
      </c>
      <c r="I445">
        <v>2</v>
      </c>
      <c r="J445" t="s">
        <v>31</v>
      </c>
      <c r="K445">
        <v>0.3</v>
      </c>
      <c r="L445" t="s">
        <v>23</v>
      </c>
      <c r="M445">
        <v>0.33329999999999999</v>
      </c>
      <c r="N445">
        <v>0.42</v>
      </c>
      <c r="O445" t="s">
        <v>34</v>
      </c>
      <c r="P445">
        <v>0</v>
      </c>
      <c r="Q445">
        <v>7</v>
      </c>
      <c r="R445">
        <v>77</v>
      </c>
      <c r="S445">
        <v>84</v>
      </c>
    </row>
    <row r="446" spans="1:19" x14ac:dyDescent="0.3">
      <c r="A446">
        <v>445</v>
      </c>
      <c r="B446" s="46">
        <v>40563</v>
      </c>
      <c r="C446">
        <v>1</v>
      </c>
      <c r="D446">
        <v>13</v>
      </c>
      <c r="E446" t="b">
        <v>0</v>
      </c>
      <c r="F446">
        <v>4</v>
      </c>
      <c r="G446" t="s">
        <v>35</v>
      </c>
      <c r="H446" t="s">
        <v>39</v>
      </c>
      <c r="I446">
        <v>2</v>
      </c>
      <c r="J446" t="s">
        <v>31</v>
      </c>
      <c r="K446">
        <v>0.28000000000000003</v>
      </c>
      <c r="L446" t="s">
        <v>23</v>
      </c>
      <c r="M446">
        <v>0.28789999999999999</v>
      </c>
      <c r="N446">
        <v>0.45</v>
      </c>
      <c r="O446" t="s">
        <v>34</v>
      </c>
      <c r="P446">
        <v>0.1045</v>
      </c>
      <c r="Q446">
        <v>12</v>
      </c>
      <c r="R446">
        <v>86</v>
      </c>
      <c r="S446">
        <v>98</v>
      </c>
    </row>
    <row r="447" spans="1:19" x14ac:dyDescent="0.3">
      <c r="A447">
        <v>446</v>
      </c>
      <c r="B447" s="46">
        <v>40563</v>
      </c>
      <c r="C447">
        <v>1</v>
      </c>
      <c r="D447">
        <v>14</v>
      </c>
      <c r="E447" t="b">
        <v>0</v>
      </c>
      <c r="F447">
        <v>4</v>
      </c>
      <c r="G447" t="s">
        <v>35</v>
      </c>
      <c r="H447" t="s">
        <v>39</v>
      </c>
      <c r="I447">
        <v>2</v>
      </c>
      <c r="J447" t="s">
        <v>31</v>
      </c>
      <c r="K447">
        <v>0.3</v>
      </c>
      <c r="L447" t="s">
        <v>23</v>
      </c>
      <c r="M447">
        <v>0.30299999999999999</v>
      </c>
      <c r="N447">
        <v>0.45</v>
      </c>
      <c r="O447" t="s">
        <v>34</v>
      </c>
      <c r="P447">
        <v>0.1343</v>
      </c>
      <c r="Q447">
        <v>6</v>
      </c>
      <c r="R447">
        <v>75</v>
      </c>
      <c r="S447">
        <v>81</v>
      </c>
    </row>
    <row r="448" spans="1:19" x14ac:dyDescent="0.3">
      <c r="A448">
        <v>447</v>
      </c>
      <c r="B448" s="46">
        <v>40563</v>
      </c>
      <c r="C448">
        <v>1</v>
      </c>
      <c r="D448">
        <v>15</v>
      </c>
      <c r="E448" t="b">
        <v>0</v>
      </c>
      <c r="F448">
        <v>4</v>
      </c>
      <c r="G448" t="s">
        <v>35</v>
      </c>
      <c r="H448" t="s">
        <v>39</v>
      </c>
      <c r="I448">
        <v>2</v>
      </c>
      <c r="J448" t="s">
        <v>31</v>
      </c>
      <c r="K448">
        <v>0.32</v>
      </c>
      <c r="L448" t="s">
        <v>23</v>
      </c>
      <c r="M448">
        <v>0.31819999999999998</v>
      </c>
      <c r="N448">
        <v>0.45</v>
      </c>
      <c r="O448" t="s">
        <v>34</v>
      </c>
      <c r="P448">
        <v>0.19400000000000001</v>
      </c>
      <c r="Q448">
        <v>8</v>
      </c>
      <c r="R448">
        <v>62</v>
      </c>
      <c r="S448">
        <v>70</v>
      </c>
    </row>
    <row r="449" spans="1:19" x14ac:dyDescent="0.3">
      <c r="A449">
        <v>448</v>
      </c>
      <c r="B449" s="46">
        <v>40563</v>
      </c>
      <c r="C449">
        <v>1</v>
      </c>
      <c r="D449">
        <v>16</v>
      </c>
      <c r="E449" t="b">
        <v>0</v>
      </c>
      <c r="F449">
        <v>4</v>
      </c>
      <c r="G449" t="s">
        <v>35</v>
      </c>
      <c r="H449" t="s">
        <v>39</v>
      </c>
      <c r="I449">
        <v>2</v>
      </c>
      <c r="J449" t="s">
        <v>31</v>
      </c>
      <c r="K449">
        <v>0.3</v>
      </c>
      <c r="L449" t="s">
        <v>23</v>
      </c>
      <c r="M449">
        <v>0.30299999999999999</v>
      </c>
      <c r="N449">
        <v>0.49</v>
      </c>
      <c r="O449" t="s">
        <v>34</v>
      </c>
      <c r="P449">
        <v>0.1343</v>
      </c>
      <c r="Q449">
        <v>8</v>
      </c>
      <c r="R449">
        <v>83</v>
      </c>
      <c r="S449">
        <v>91</v>
      </c>
    </row>
    <row r="450" spans="1:19" x14ac:dyDescent="0.3">
      <c r="A450">
        <v>449</v>
      </c>
      <c r="B450" s="46">
        <v>40563</v>
      </c>
      <c r="C450">
        <v>1</v>
      </c>
      <c r="D450">
        <v>17</v>
      </c>
      <c r="E450" t="b">
        <v>0</v>
      </c>
      <c r="F450">
        <v>4</v>
      </c>
      <c r="G450" t="s">
        <v>35</v>
      </c>
      <c r="H450" t="s">
        <v>39</v>
      </c>
      <c r="I450">
        <v>2</v>
      </c>
      <c r="J450" t="s">
        <v>31</v>
      </c>
      <c r="K450">
        <v>0.3</v>
      </c>
      <c r="L450" t="s">
        <v>23</v>
      </c>
      <c r="M450">
        <v>0.31819999999999998</v>
      </c>
      <c r="N450">
        <v>0.49</v>
      </c>
      <c r="O450" t="s">
        <v>34</v>
      </c>
      <c r="P450">
        <v>0.1045</v>
      </c>
      <c r="Q450">
        <v>8</v>
      </c>
      <c r="R450">
        <v>207</v>
      </c>
      <c r="S450">
        <v>215</v>
      </c>
    </row>
    <row r="451" spans="1:19" x14ac:dyDescent="0.3">
      <c r="A451">
        <v>450</v>
      </c>
      <c r="B451" s="46">
        <v>40563</v>
      </c>
      <c r="C451">
        <v>1</v>
      </c>
      <c r="D451">
        <v>18</v>
      </c>
      <c r="E451" t="b">
        <v>0</v>
      </c>
      <c r="F451">
        <v>4</v>
      </c>
      <c r="G451" t="s">
        <v>35</v>
      </c>
      <c r="H451" t="s">
        <v>39</v>
      </c>
      <c r="I451">
        <v>2</v>
      </c>
      <c r="J451" t="s">
        <v>31</v>
      </c>
      <c r="K451">
        <v>0.26</v>
      </c>
      <c r="L451" t="s">
        <v>23</v>
      </c>
      <c r="M451">
        <v>0.2576</v>
      </c>
      <c r="N451">
        <v>0.56000000000000005</v>
      </c>
      <c r="O451" t="s">
        <v>34</v>
      </c>
      <c r="P451">
        <v>0.19400000000000001</v>
      </c>
      <c r="Q451">
        <v>1</v>
      </c>
      <c r="R451">
        <v>184</v>
      </c>
      <c r="S451">
        <v>185</v>
      </c>
    </row>
    <row r="452" spans="1:19" x14ac:dyDescent="0.3">
      <c r="A452">
        <v>451</v>
      </c>
      <c r="B452" s="46">
        <v>40563</v>
      </c>
      <c r="C452">
        <v>1</v>
      </c>
      <c r="D452">
        <v>19</v>
      </c>
      <c r="E452" t="b">
        <v>0</v>
      </c>
      <c r="F452">
        <v>4</v>
      </c>
      <c r="G452" t="s">
        <v>35</v>
      </c>
      <c r="H452" t="s">
        <v>39</v>
      </c>
      <c r="I452">
        <v>1</v>
      </c>
      <c r="J452" t="s">
        <v>29</v>
      </c>
      <c r="K452">
        <v>0.26</v>
      </c>
      <c r="L452" t="s">
        <v>23</v>
      </c>
      <c r="M452">
        <v>0.2273</v>
      </c>
      <c r="N452">
        <v>0.56000000000000005</v>
      </c>
      <c r="O452" t="s">
        <v>34</v>
      </c>
      <c r="P452">
        <v>0.32840000000000003</v>
      </c>
      <c r="Q452">
        <v>6</v>
      </c>
      <c r="R452">
        <v>146</v>
      </c>
      <c r="S452">
        <v>152</v>
      </c>
    </row>
    <row r="453" spans="1:19" x14ac:dyDescent="0.3">
      <c r="A453">
        <v>452</v>
      </c>
      <c r="B453" s="46">
        <v>40563</v>
      </c>
      <c r="C453">
        <v>1</v>
      </c>
      <c r="D453">
        <v>20</v>
      </c>
      <c r="E453" t="b">
        <v>0</v>
      </c>
      <c r="F453">
        <v>4</v>
      </c>
      <c r="G453" t="s">
        <v>35</v>
      </c>
      <c r="H453" t="s">
        <v>39</v>
      </c>
      <c r="I453">
        <v>2</v>
      </c>
      <c r="J453" t="s">
        <v>31</v>
      </c>
      <c r="K453">
        <v>0.26</v>
      </c>
      <c r="L453" t="s">
        <v>23</v>
      </c>
      <c r="M453">
        <v>0.2424</v>
      </c>
      <c r="N453">
        <v>0.6</v>
      </c>
      <c r="O453" t="s">
        <v>34</v>
      </c>
      <c r="P453">
        <v>0.28360000000000002</v>
      </c>
      <c r="Q453">
        <v>2</v>
      </c>
      <c r="R453">
        <v>124</v>
      </c>
      <c r="S453">
        <v>126</v>
      </c>
    </row>
    <row r="454" spans="1:19" x14ac:dyDescent="0.3">
      <c r="A454">
        <v>453</v>
      </c>
      <c r="B454" s="46">
        <v>40563</v>
      </c>
      <c r="C454">
        <v>1</v>
      </c>
      <c r="D454">
        <v>21</v>
      </c>
      <c r="E454" t="b">
        <v>0</v>
      </c>
      <c r="F454">
        <v>4</v>
      </c>
      <c r="G454" t="s">
        <v>35</v>
      </c>
      <c r="H454" t="s">
        <v>39</v>
      </c>
      <c r="I454">
        <v>2</v>
      </c>
      <c r="J454" t="s">
        <v>31</v>
      </c>
      <c r="K454">
        <v>0.24</v>
      </c>
      <c r="L454" t="s">
        <v>23</v>
      </c>
      <c r="M454">
        <v>0.2273</v>
      </c>
      <c r="N454">
        <v>0.6</v>
      </c>
      <c r="O454" t="s">
        <v>34</v>
      </c>
      <c r="P454">
        <v>0.25369999999999998</v>
      </c>
      <c r="Q454">
        <v>3</v>
      </c>
      <c r="R454">
        <v>54</v>
      </c>
      <c r="S454">
        <v>57</v>
      </c>
    </row>
    <row r="455" spans="1:19" x14ac:dyDescent="0.3">
      <c r="A455">
        <v>454</v>
      </c>
      <c r="B455" s="46">
        <v>40563</v>
      </c>
      <c r="C455">
        <v>1</v>
      </c>
      <c r="D455">
        <v>22</v>
      </c>
      <c r="E455" t="b">
        <v>0</v>
      </c>
      <c r="F455">
        <v>4</v>
      </c>
      <c r="G455" t="s">
        <v>35</v>
      </c>
      <c r="H455" t="s">
        <v>39</v>
      </c>
      <c r="I455">
        <v>2</v>
      </c>
      <c r="J455" t="s">
        <v>31</v>
      </c>
      <c r="K455">
        <v>0.24</v>
      </c>
      <c r="L455" t="s">
        <v>23</v>
      </c>
      <c r="M455">
        <v>0.21210000000000001</v>
      </c>
      <c r="N455">
        <v>0.65</v>
      </c>
      <c r="O455" t="s">
        <v>34</v>
      </c>
      <c r="P455">
        <v>0.28360000000000002</v>
      </c>
      <c r="Q455">
        <v>0</v>
      </c>
      <c r="R455">
        <v>56</v>
      </c>
      <c r="S455">
        <v>56</v>
      </c>
    </row>
    <row r="456" spans="1:19" x14ac:dyDescent="0.3">
      <c r="A456">
        <v>455</v>
      </c>
      <c r="B456" s="46">
        <v>40563</v>
      </c>
      <c r="C456">
        <v>1</v>
      </c>
      <c r="D456">
        <v>23</v>
      </c>
      <c r="E456" t="b">
        <v>0</v>
      </c>
      <c r="F456">
        <v>4</v>
      </c>
      <c r="G456" t="s">
        <v>35</v>
      </c>
      <c r="H456" t="s">
        <v>39</v>
      </c>
      <c r="I456">
        <v>2</v>
      </c>
      <c r="J456" t="s">
        <v>31</v>
      </c>
      <c r="K456">
        <v>0.24</v>
      </c>
      <c r="L456" t="s">
        <v>23</v>
      </c>
      <c r="M456">
        <v>0.21210000000000001</v>
      </c>
      <c r="N456">
        <v>0.65</v>
      </c>
      <c r="O456" t="s">
        <v>34</v>
      </c>
      <c r="P456">
        <v>0.32840000000000003</v>
      </c>
      <c r="Q456">
        <v>3</v>
      </c>
      <c r="R456">
        <v>28</v>
      </c>
      <c r="S456">
        <v>31</v>
      </c>
    </row>
    <row r="457" spans="1:19" x14ac:dyDescent="0.3">
      <c r="A457">
        <v>456</v>
      </c>
      <c r="B457" s="46">
        <v>40564</v>
      </c>
      <c r="C457">
        <v>1</v>
      </c>
      <c r="D457">
        <v>0</v>
      </c>
      <c r="E457" t="b">
        <v>0</v>
      </c>
      <c r="F457">
        <v>5</v>
      </c>
      <c r="G457" t="s">
        <v>35</v>
      </c>
      <c r="H457" t="s">
        <v>40</v>
      </c>
      <c r="I457">
        <v>2</v>
      </c>
      <c r="J457" t="s">
        <v>31</v>
      </c>
      <c r="K457">
        <v>0.24</v>
      </c>
      <c r="L457" t="s">
        <v>23</v>
      </c>
      <c r="M457">
        <v>0.2273</v>
      </c>
      <c r="N457">
        <v>0.7</v>
      </c>
      <c r="O457" t="s">
        <v>30</v>
      </c>
      <c r="P457">
        <v>0.25369999999999998</v>
      </c>
      <c r="Q457">
        <v>1</v>
      </c>
      <c r="R457">
        <v>20</v>
      </c>
      <c r="S457">
        <v>21</v>
      </c>
    </row>
    <row r="458" spans="1:19" x14ac:dyDescent="0.3">
      <c r="A458">
        <v>457</v>
      </c>
      <c r="B458" s="46">
        <v>40564</v>
      </c>
      <c r="C458">
        <v>1</v>
      </c>
      <c r="D458">
        <v>1</v>
      </c>
      <c r="E458" t="b">
        <v>0</v>
      </c>
      <c r="F458">
        <v>5</v>
      </c>
      <c r="G458" t="s">
        <v>35</v>
      </c>
      <c r="H458" t="s">
        <v>40</v>
      </c>
      <c r="I458">
        <v>2</v>
      </c>
      <c r="J458" t="s">
        <v>31</v>
      </c>
      <c r="K458">
        <v>0.24</v>
      </c>
      <c r="L458" t="s">
        <v>23</v>
      </c>
      <c r="M458">
        <v>0.2273</v>
      </c>
      <c r="N458">
        <v>0.7</v>
      </c>
      <c r="O458" t="s">
        <v>30</v>
      </c>
      <c r="P458">
        <v>0.25369999999999998</v>
      </c>
      <c r="Q458">
        <v>0</v>
      </c>
      <c r="R458">
        <v>6</v>
      </c>
      <c r="S458">
        <v>6</v>
      </c>
    </row>
    <row r="459" spans="1:19" x14ac:dyDescent="0.3">
      <c r="A459">
        <v>458</v>
      </c>
      <c r="B459" s="46">
        <v>40564</v>
      </c>
      <c r="C459">
        <v>1</v>
      </c>
      <c r="D459">
        <v>2</v>
      </c>
      <c r="E459" t="b">
        <v>0</v>
      </c>
      <c r="F459">
        <v>5</v>
      </c>
      <c r="G459" t="s">
        <v>35</v>
      </c>
      <c r="H459" t="s">
        <v>40</v>
      </c>
      <c r="I459">
        <v>3</v>
      </c>
      <c r="J459" t="s">
        <v>32</v>
      </c>
      <c r="K459">
        <v>0.24</v>
      </c>
      <c r="L459" t="s">
        <v>23</v>
      </c>
      <c r="M459">
        <v>0.2424</v>
      </c>
      <c r="N459">
        <v>0.75</v>
      </c>
      <c r="O459" t="s">
        <v>30</v>
      </c>
      <c r="P459">
        <v>0.16420000000000001</v>
      </c>
      <c r="Q459">
        <v>0</v>
      </c>
      <c r="R459">
        <v>2</v>
      </c>
      <c r="S459">
        <v>2</v>
      </c>
    </row>
    <row r="460" spans="1:19" x14ac:dyDescent="0.3">
      <c r="A460">
        <v>459</v>
      </c>
      <c r="B460" s="46">
        <v>40564</v>
      </c>
      <c r="C460">
        <v>1</v>
      </c>
      <c r="D460">
        <v>3</v>
      </c>
      <c r="E460" t="b">
        <v>0</v>
      </c>
      <c r="F460">
        <v>5</v>
      </c>
      <c r="G460" t="s">
        <v>35</v>
      </c>
      <c r="H460" t="s">
        <v>40</v>
      </c>
      <c r="I460">
        <v>3</v>
      </c>
      <c r="J460" t="s">
        <v>32</v>
      </c>
      <c r="K460">
        <v>0.22</v>
      </c>
      <c r="L460" t="s">
        <v>23</v>
      </c>
      <c r="M460">
        <v>0.21210000000000001</v>
      </c>
      <c r="N460">
        <v>0.8</v>
      </c>
      <c r="O460" t="s">
        <v>30</v>
      </c>
      <c r="P460">
        <v>0.29849999999999999</v>
      </c>
      <c r="Q460">
        <v>0</v>
      </c>
      <c r="R460">
        <v>1</v>
      </c>
      <c r="S460">
        <v>1</v>
      </c>
    </row>
    <row r="461" spans="1:19" x14ac:dyDescent="0.3">
      <c r="A461">
        <v>460</v>
      </c>
      <c r="B461" s="46">
        <v>40564</v>
      </c>
      <c r="C461">
        <v>1</v>
      </c>
      <c r="D461">
        <v>4</v>
      </c>
      <c r="E461" t="b">
        <v>0</v>
      </c>
      <c r="F461">
        <v>5</v>
      </c>
      <c r="G461" t="s">
        <v>35</v>
      </c>
      <c r="H461" t="s">
        <v>40</v>
      </c>
      <c r="I461">
        <v>2</v>
      </c>
      <c r="J461" t="s">
        <v>31</v>
      </c>
      <c r="K461">
        <v>0.22</v>
      </c>
      <c r="L461" t="s">
        <v>23</v>
      </c>
      <c r="M461">
        <v>0.2576</v>
      </c>
      <c r="N461">
        <v>0.87</v>
      </c>
      <c r="O461" t="s">
        <v>30</v>
      </c>
      <c r="P461">
        <v>8.9599999999999999E-2</v>
      </c>
      <c r="Q461">
        <v>0</v>
      </c>
      <c r="R461">
        <v>1</v>
      </c>
      <c r="S461">
        <v>1</v>
      </c>
    </row>
    <row r="462" spans="1:19" x14ac:dyDescent="0.3">
      <c r="A462">
        <v>461</v>
      </c>
      <c r="B462" s="46">
        <v>40564</v>
      </c>
      <c r="C462">
        <v>1</v>
      </c>
      <c r="D462">
        <v>5</v>
      </c>
      <c r="E462" t="b">
        <v>0</v>
      </c>
      <c r="F462">
        <v>5</v>
      </c>
      <c r="G462" t="s">
        <v>35</v>
      </c>
      <c r="H462" t="s">
        <v>40</v>
      </c>
      <c r="I462">
        <v>1</v>
      </c>
      <c r="J462" t="s">
        <v>29</v>
      </c>
      <c r="K462">
        <v>0.24</v>
      </c>
      <c r="L462" t="s">
        <v>23</v>
      </c>
      <c r="M462">
        <v>0.19700000000000001</v>
      </c>
      <c r="N462">
        <v>0.6</v>
      </c>
      <c r="O462" t="s">
        <v>34</v>
      </c>
      <c r="P462">
        <v>0.41789999999999999</v>
      </c>
      <c r="Q462">
        <v>1</v>
      </c>
      <c r="R462">
        <v>4</v>
      </c>
      <c r="S462">
        <v>5</v>
      </c>
    </row>
    <row r="463" spans="1:19" x14ac:dyDescent="0.3">
      <c r="A463">
        <v>462</v>
      </c>
      <c r="B463" s="46">
        <v>40564</v>
      </c>
      <c r="C463">
        <v>1</v>
      </c>
      <c r="D463">
        <v>6</v>
      </c>
      <c r="E463" t="b">
        <v>0</v>
      </c>
      <c r="F463">
        <v>5</v>
      </c>
      <c r="G463" t="s">
        <v>35</v>
      </c>
      <c r="H463" t="s">
        <v>40</v>
      </c>
      <c r="I463">
        <v>1</v>
      </c>
      <c r="J463" t="s">
        <v>29</v>
      </c>
      <c r="K463">
        <v>0.22</v>
      </c>
      <c r="L463" t="s">
        <v>23</v>
      </c>
      <c r="M463">
        <v>0.21210000000000001</v>
      </c>
      <c r="N463">
        <v>0.55000000000000004</v>
      </c>
      <c r="O463" t="s">
        <v>34</v>
      </c>
      <c r="P463">
        <v>0.25369999999999998</v>
      </c>
      <c r="Q463">
        <v>0</v>
      </c>
      <c r="R463">
        <v>27</v>
      </c>
      <c r="S463">
        <v>27</v>
      </c>
    </row>
    <row r="464" spans="1:19" x14ac:dyDescent="0.3">
      <c r="A464">
        <v>463</v>
      </c>
      <c r="B464" s="46">
        <v>40564</v>
      </c>
      <c r="C464">
        <v>1</v>
      </c>
      <c r="D464">
        <v>7</v>
      </c>
      <c r="E464" t="b">
        <v>0</v>
      </c>
      <c r="F464">
        <v>5</v>
      </c>
      <c r="G464" t="s">
        <v>35</v>
      </c>
      <c r="H464" t="s">
        <v>40</v>
      </c>
      <c r="I464">
        <v>1</v>
      </c>
      <c r="J464" t="s">
        <v>29</v>
      </c>
      <c r="K464">
        <v>0.2</v>
      </c>
      <c r="L464" t="s">
        <v>23</v>
      </c>
      <c r="M464">
        <v>0.18179999999999999</v>
      </c>
      <c r="N464">
        <v>0.51</v>
      </c>
      <c r="O464" t="s">
        <v>34</v>
      </c>
      <c r="P464">
        <v>0.28360000000000002</v>
      </c>
      <c r="Q464">
        <v>2</v>
      </c>
      <c r="R464">
        <v>66</v>
      </c>
      <c r="S464">
        <v>68</v>
      </c>
    </row>
    <row r="465" spans="1:19" x14ac:dyDescent="0.3">
      <c r="A465">
        <v>464</v>
      </c>
      <c r="B465" s="46">
        <v>40564</v>
      </c>
      <c r="C465">
        <v>1</v>
      </c>
      <c r="D465">
        <v>8</v>
      </c>
      <c r="E465" t="b">
        <v>0</v>
      </c>
      <c r="F465">
        <v>5</v>
      </c>
      <c r="G465" t="s">
        <v>35</v>
      </c>
      <c r="H465" t="s">
        <v>40</v>
      </c>
      <c r="I465">
        <v>1</v>
      </c>
      <c r="J465" t="s">
        <v>29</v>
      </c>
      <c r="K465">
        <v>0.2</v>
      </c>
      <c r="L465" t="s">
        <v>23</v>
      </c>
      <c r="M465">
        <v>0.18179999999999999</v>
      </c>
      <c r="N465">
        <v>0.47</v>
      </c>
      <c r="O465" t="s">
        <v>34</v>
      </c>
      <c r="P465">
        <v>0.32840000000000003</v>
      </c>
      <c r="Q465">
        <v>7</v>
      </c>
      <c r="R465">
        <v>210</v>
      </c>
      <c r="S465">
        <v>217</v>
      </c>
    </row>
    <row r="466" spans="1:19" x14ac:dyDescent="0.3">
      <c r="A466">
        <v>465</v>
      </c>
      <c r="B466" s="46">
        <v>40564</v>
      </c>
      <c r="C466">
        <v>1</v>
      </c>
      <c r="D466">
        <v>9</v>
      </c>
      <c r="E466" t="b">
        <v>0</v>
      </c>
      <c r="F466">
        <v>5</v>
      </c>
      <c r="G466" t="s">
        <v>35</v>
      </c>
      <c r="H466" t="s">
        <v>40</v>
      </c>
      <c r="I466">
        <v>1</v>
      </c>
      <c r="J466" t="s">
        <v>29</v>
      </c>
      <c r="K466">
        <v>0.2</v>
      </c>
      <c r="L466" t="s">
        <v>23</v>
      </c>
      <c r="M466">
        <v>0.18179999999999999</v>
      </c>
      <c r="N466">
        <v>0.51</v>
      </c>
      <c r="O466" t="s">
        <v>34</v>
      </c>
      <c r="P466">
        <v>0.35820000000000002</v>
      </c>
      <c r="Q466">
        <v>7</v>
      </c>
      <c r="R466">
        <v>159</v>
      </c>
      <c r="S466">
        <v>166</v>
      </c>
    </row>
    <row r="467" spans="1:19" x14ac:dyDescent="0.3">
      <c r="A467">
        <v>466</v>
      </c>
      <c r="B467" s="46">
        <v>40564</v>
      </c>
      <c r="C467">
        <v>1</v>
      </c>
      <c r="D467">
        <v>10</v>
      </c>
      <c r="E467" t="b">
        <v>0</v>
      </c>
      <c r="F467">
        <v>5</v>
      </c>
      <c r="G467" t="s">
        <v>35</v>
      </c>
      <c r="H467" t="s">
        <v>40</v>
      </c>
      <c r="I467">
        <v>1</v>
      </c>
      <c r="J467" t="s">
        <v>29</v>
      </c>
      <c r="K467">
        <v>0.2</v>
      </c>
      <c r="L467" t="s">
        <v>23</v>
      </c>
      <c r="M467">
        <v>0.16669999999999999</v>
      </c>
      <c r="N467">
        <v>0.47</v>
      </c>
      <c r="O467" t="s">
        <v>34</v>
      </c>
      <c r="P467">
        <v>0.4627</v>
      </c>
      <c r="Q467">
        <v>6</v>
      </c>
      <c r="R467">
        <v>57</v>
      </c>
      <c r="S467">
        <v>63</v>
      </c>
    </row>
    <row r="468" spans="1:19" x14ac:dyDescent="0.3">
      <c r="A468">
        <v>467</v>
      </c>
      <c r="B468" s="46">
        <v>40564</v>
      </c>
      <c r="C468">
        <v>1</v>
      </c>
      <c r="D468">
        <v>11</v>
      </c>
      <c r="E468" t="b">
        <v>0</v>
      </c>
      <c r="F468">
        <v>5</v>
      </c>
      <c r="G468" t="s">
        <v>35</v>
      </c>
      <c r="H468" t="s">
        <v>40</v>
      </c>
      <c r="I468">
        <v>1</v>
      </c>
      <c r="J468" t="s">
        <v>29</v>
      </c>
      <c r="K468">
        <v>0.22</v>
      </c>
      <c r="L468" t="s">
        <v>23</v>
      </c>
      <c r="M468">
        <v>0.18179999999999999</v>
      </c>
      <c r="N468">
        <v>0.41</v>
      </c>
      <c r="O468" t="s">
        <v>34</v>
      </c>
      <c r="P468">
        <v>0.4627</v>
      </c>
      <c r="Q468">
        <v>6</v>
      </c>
      <c r="R468">
        <v>53</v>
      </c>
      <c r="S468">
        <v>59</v>
      </c>
    </row>
    <row r="469" spans="1:19" x14ac:dyDescent="0.3">
      <c r="A469">
        <v>468</v>
      </c>
      <c r="B469" s="46">
        <v>40564</v>
      </c>
      <c r="C469">
        <v>1</v>
      </c>
      <c r="D469">
        <v>12</v>
      </c>
      <c r="E469" t="b">
        <v>0</v>
      </c>
      <c r="F469">
        <v>5</v>
      </c>
      <c r="G469" t="s">
        <v>35</v>
      </c>
      <c r="H469" t="s">
        <v>40</v>
      </c>
      <c r="I469">
        <v>1</v>
      </c>
      <c r="J469" t="s">
        <v>29</v>
      </c>
      <c r="K469">
        <v>0.22</v>
      </c>
      <c r="L469" t="s">
        <v>23</v>
      </c>
      <c r="M469">
        <v>0.18179999999999999</v>
      </c>
      <c r="N469">
        <v>0.27</v>
      </c>
      <c r="O469" t="s">
        <v>34</v>
      </c>
      <c r="P469">
        <v>0.58209999999999995</v>
      </c>
      <c r="Q469">
        <v>11</v>
      </c>
      <c r="R469">
        <v>67</v>
      </c>
      <c r="S469">
        <v>78</v>
      </c>
    </row>
    <row r="470" spans="1:19" x14ac:dyDescent="0.3">
      <c r="A470">
        <v>469</v>
      </c>
      <c r="B470" s="46">
        <v>40564</v>
      </c>
      <c r="C470">
        <v>1</v>
      </c>
      <c r="D470">
        <v>13</v>
      </c>
      <c r="E470" t="b">
        <v>0</v>
      </c>
      <c r="F470">
        <v>5</v>
      </c>
      <c r="G470" t="s">
        <v>35</v>
      </c>
      <c r="H470" t="s">
        <v>40</v>
      </c>
      <c r="I470">
        <v>1</v>
      </c>
      <c r="J470" t="s">
        <v>29</v>
      </c>
      <c r="K470">
        <v>0.2</v>
      </c>
      <c r="L470" t="s">
        <v>23</v>
      </c>
      <c r="M470">
        <v>0.1515</v>
      </c>
      <c r="N470">
        <v>0.21</v>
      </c>
      <c r="O470" t="s">
        <v>34</v>
      </c>
      <c r="P470">
        <v>0.58209999999999995</v>
      </c>
      <c r="Q470">
        <v>8</v>
      </c>
      <c r="R470">
        <v>65</v>
      </c>
      <c r="S470">
        <v>73</v>
      </c>
    </row>
    <row r="471" spans="1:19" x14ac:dyDescent="0.3">
      <c r="A471">
        <v>470</v>
      </c>
      <c r="B471" s="46">
        <v>40564</v>
      </c>
      <c r="C471">
        <v>1</v>
      </c>
      <c r="D471">
        <v>14</v>
      </c>
      <c r="E471" t="b">
        <v>0</v>
      </c>
      <c r="F471">
        <v>5</v>
      </c>
      <c r="G471" t="s">
        <v>35</v>
      </c>
      <c r="H471" t="s">
        <v>40</v>
      </c>
      <c r="I471">
        <v>1</v>
      </c>
      <c r="J471" t="s">
        <v>29</v>
      </c>
      <c r="K471">
        <v>0.2</v>
      </c>
      <c r="L471" t="s">
        <v>23</v>
      </c>
      <c r="M471">
        <v>0.1515</v>
      </c>
      <c r="N471">
        <v>0.25</v>
      </c>
      <c r="O471" t="s">
        <v>34</v>
      </c>
      <c r="P471">
        <v>0.52239999999999998</v>
      </c>
      <c r="Q471">
        <v>6</v>
      </c>
      <c r="R471">
        <v>56</v>
      </c>
      <c r="S471">
        <v>62</v>
      </c>
    </row>
    <row r="472" spans="1:19" x14ac:dyDescent="0.3">
      <c r="A472">
        <v>471</v>
      </c>
      <c r="B472" s="46">
        <v>40564</v>
      </c>
      <c r="C472">
        <v>1</v>
      </c>
      <c r="D472">
        <v>15</v>
      </c>
      <c r="E472" t="b">
        <v>0</v>
      </c>
      <c r="F472">
        <v>5</v>
      </c>
      <c r="G472" t="s">
        <v>35</v>
      </c>
      <c r="H472" t="s">
        <v>40</v>
      </c>
      <c r="I472">
        <v>1</v>
      </c>
      <c r="J472" t="s">
        <v>29</v>
      </c>
      <c r="K472">
        <v>0.16</v>
      </c>
      <c r="L472" t="s">
        <v>23</v>
      </c>
      <c r="M472">
        <v>0.1212</v>
      </c>
      <c r="N472">
        <v>0.26</v>
      </c>
      <c r="O472" t="s">
        <v>34</v>
      </c>
      <c r="P472">
        <v>0.44779999999999998</v>
      </c>
      <c r="Q472">
        <v>4</v>
      </c>
      <c r="R472">
        <v>61</v>
      </c>
      <c r="S472">
        <v>65</v>
      </c>
    </row>
    <row r="473" spans="1:19" x14ac:dyDescent="0.3">
      <c r="A473">
        <v>472</v>
      </c>
      <c r="B473" s="46">
        <v>40564</v>
      </c>
      <c r="C473">
        <v>1</v>
      </c>
      <c r="D473">
        <v>16</v>
      </c>
      <c r="E473" t="b">
        <v>0</v>
      </c>
      <c r="F473">
        <v>5</v>
      </c>
      <c r="G473" t="s">
        <v>35</v>
      </c>
      <c r="H473" t="s">
        <v>40</v>
      </c>
      <c r="I473">
        <v>1</v>
      </c>
      <c r="J473" t="s">
        <v>29</v>
      </c>
      <c r="K473">
        <v>0.16</v>
      </c>
      <c r="L473" t="s">
        <v>23</v>
      </c>
      <c r="M473">
        <v>0.13639999999999999</v>
      </c>
      <c r="N473">
        <v>0.26</v>
      </c>
      <c r="O473" t="s">
        <v>34</v>
      </c>
      <c r="P473">
        <v>0.35820000000000002</v>
      </c>
      <c r="Q473">
        <v>0</v>
      </c>
      <c r="R473">
        <v>97</v>
      </c>
      <c r="S473">
        <v>97</v>
      </c>
    </row>
    <row r="474" spans="1:19" x14ac:dyDescent="0.3">
      <c r="A474">
        <v>473</v>
      </c>
      <c r="B474" s="46">
        <v>40564</v>
      </c>
      <c r="C474">
        <v>1</v>
      </c>
      <c r="D474">
        <v>17</v>
      </c>
      <c r="E474" t="b">
        <v>0</v>
      </c>
      <c r="F474">
        <v>5</v>
      </c>
      <c r="G474" t="s">
        <v>35</v>
      </c>
      <c r="H474" t="s">
        <v>40</v>
      </c>
      <c r="I474">
        <v>1</v>
      </c>
      <c r="J474" t="s">
        <v>29</v>
      </c>
      <c r="K474">
        <v>0.14000000000000001</v>
      </c>
      <c r="L474" t="s">
        <v>23</v>
      </c>
      <c r="M474">
        <v>0.1212</v>
      </c>
      <c r="N474">
        <v>0.28000000000000003</v>
      </c>
      <c r="O474" t="s">
        <v>34</v>
      </c>
      <c r="P474">
        <v>0.35820000000000002</v>
      </c>
      <c r="Q474">
        <v>10</v>
      </c>
      <c r="R474">
        <v>151</v>
      </c>
      <c r="S474">
        <v>161</v>
      </c>
    </row>
    <row r="475" spans="1:19" x14ac:dyDescent="0.3">
      <c r="A475">
        <v>474</v>
      </c>
      <c r="B475" s="46">
        <v>40564</v>
      </c>
      <c r="C475">
        <v>1</v>
      </c>
      <c r="D475">
        <v>18</v>
      </c>
      <c r="E475" t="b">
        <v>0</v>
      </c>
      <c r="F475">
        <v>5</v>
      </c>
      <c r="G475" t="s">
        <v>35</v>
      </c>
      <c r="H475" t="s">
        <v>40</v>
      </c>
      <c r="I475">
        <v>1</v>
      </c>
      <c r="J475" t="s">
        <v>29</v>
      </c>
      <c r="K475">
        <v>0.12</v>
      </c>
      <c r="L475" t="s">
        <v>23</v>
      </c>
      <c r="M475">
        <v>0.1212</v>
      </c>
      <c r="N475">
        <v>0.3</v>
      </c>
      <c r="O475" t="s">
        <v>34</v>
      </c>
      <c r="P475">
        <v>0.25369999999999998</v>
      </c>
      <c r="Q475">
        <v>1</v>
      </c>
      <c r="R475">
        <v>119</v>
      </c>
      <c r="S475">
        <v>120</v>
      </c>
    </row>
    <row r="476" spans="1:19" x14ac:dyDescent="0.3">
      <c r="A476">
        <v>475</v>
      </c>
      <c r="B476" s="46">
        <v>40564</v>
      </c>
      <c r="C476">
        <v>1</v>
      </c>
      <c r="D476">
        <v>19</v>
      </c>
      <c r="E476" t="b">
        <v>0</v>
      </c>
      <c r="F476">
        <v>5</v>
      </c>
      <c r="G476" t="s">
        <v>35</v>
      </c>
      <c r="H476" t="s">
        <v>40</v>
      </c>
      <c r="I476">
        <v>1</v>
      </c>
      <c r="J476" t="s">
        <v>29</v>
      </c>
      <c r="K476">
        <v>0.12</v>
      </c>
      <c r="L476" t="s">
        <v>23</v>
      </c>
      <c r="M476">
        <v>0.1061</v>
      </c>
      <c r="N476">
        <v>0.3</v>
      </c>
      <c r="O476" t="s">
        <v>34</v>
      </c>
      <c r="P476">
        <v>0.32840000000000003</v>
      </c>
      <c r="Q476">
        <v>3</v>
      </c>
      <c r="R476">
        <v>93</v>
      </c>
      <c r="S476">
        <v>96</v>
      </c>
    </row>
    <row r="477" spans="1:19" x14ac:dyDescent="0.3">
      <c r="A477">
        <v>476</v>
      </c>
      <c r="B477" s="46">
        <v>40564</v>
      </c>
      <c r="C477">
        <v>1</v>
      </c>
      <c r="D477">
        <v>20</v>
      </c>
      <c r="E477" t="b">
        <v>0</v>
      </c>
      <c r="F477">
        <v>5</v>
      </c>
      <c r="G477" t="s">
        <v>35</v>
      </c>
      <c r="H477" t="s">
        <v>40</v>
      </c>
      <c r="I477">
        <v>1</v>
      </c>
      <c r="J477" t="s">
        <v>29</v>
      </c>
      <c r="K477">
        <v>0.1</v>
      </c>
      <c r="L477" t="s">
        <v>23</v>
      </c>
      <c r="M477">
        <v>7.5800000000000006E-2</v>
      </c>
      <c r="N477">
        <v>0.33</v>
      </c>
      <c r="O477" t="s">
        <v>34</v>
      </c>
      <c r="P477">
        <v>0.41789999999999999</v>
      </c>
      <c r="Q477">
        <v>1</v>
      </c>
      <c r="R477">
        <v>52</v>
      </c>
      <c r="S477">
        <v>53</v>
      </c>
    </row>
    <row r="478" spans="1:19" x14ac:dyDescent="0.3">
      <c r="A478">
        <v>477</v>
      </c>
      <c r="B478" s="46">
        <v>40564</v>
      </c>
      <c r="C478">
        <v>1</v>
      </c>
      <c r="D478">
        <v>21</v>
      </c>
      <c r="E478" t="b">
        <v>0</v>
      </c>
      <c r="F478">
        <v>5</v>
      </c>
      <c r="G478" t="s">
        <v>35</v>
      </c>
      <c r="H478" t="s">
        <v>40</v>
      </c>
      <c r="I478">
        <v>1</v>
      </c>
      <c r="J478" t="s">
        <v>29</v>
      </c>
      <c r="K478">
        <v>0.08</v>
      </c>
      <c r="L478" t="s">
        <v>30</v>
      </c>
      <c r="M478">
        <v>7.5800000000000006E-2</v>
      </c>
      <c r="N478">
        <v>0.38</v>
      </c>
      <c r="O478" t="s">
        <v>34</v>
      </c>
      <c r="P478">
        <v>0.28360000000000002</v>
      </c>
      <c r="Q478">
        <v>0</v>
      </c>
      <c r="R478">
        <v>41</v>
      </c>
      <c r="S478">
        <v>41</v>
      </c>
    </row>
    <row r="479" spans="1:19" x14ac:dyDescent="0.3">
      <c r="A479">
        <v>478</v>
      </c>
      <c r="B479" s="46">
        <v>40564</v>
      </c>
      <c r="C479">
        <v>1</v>
      </c>
      <c r="D479">
        <v>22</v>
      </c>
      <c r="E479" t="b">
        <v>0</v>
      </c>
      <c r="F479">
        <v>5</v>
      </c>
      <c r="G479" t="s">
        <v>35</v>
      </c>
      <c r="H479" t="s">
        <v>40</v>
      </c>
      <c r="I479">
        <v>1</v>
      </c>
      <c r="J479" t="s">
        <v>29</v>
      </c>
      <c r="K479">
        <v>0.06</v>
      </c>
      <c r="L479" t="s">
        <v>30</v>
      </c>
      <c r="M479">
        <v>3.0300000000000001E-2</v>
      </c>
      <c r="N479">
        <v>0.41</v>
      </c>
      <c r="O479" t="s">
        <v>34</v>
      </c>
      <c r="P479">
        <v>0.3881</v>
      </c>
      <c r="Q479">
        <v>1</v>
      </c>
      <c r="R479">
        <v>33</v>
      </c>
      <c r="S479">
        <v>34</v>
      </c>
    </row>
    <row r="480" spans="1:19" x14ac:dyDescent="0.3">
      <c r="A480">
        <v>479</v>
      </c>
      <c r="B480" s="46">
        <v>40564</v>
      </c>
      <c r="C480">
        <v>1</v>
      </c>
      <c r="D480">
        <v>23</v>
      </c>
      <c r="E480" t="b">
        <v>0</v>
      </c>
      <c r="F480">
        <v>5</v>
      </c>
      <c r="G480" t="s">
        <v>35</v>
      </c>
      <c r="H480" t="s">
        <v>40</v>
      </c>
      <c r="I480">
        <v>1</v>
      </c>
      <c r="J480" t="s">
        <v>29</v>
      </c>
      <c r="K480">
        <v>0.06</v>
      </c>
      <c r="L480" t="s">
        <v>30</v>
      </c>
      <c r="M480">
        <v>4.5499999999999999E-2</v>
      </c>
      <c r="N480">
        <v>0.38</v>
      </c>
      <c r="O480" t="s">
        <v>34</v>
      </c>
      <c r="P480">
        <v>0.32840000000000003</v>
      </c>
      <c r="Q480">
        <v>0</v>
      </c>
      <c r="R480">
        <v>27</v>
      </c>
      <c r="S480">
        <v>27</v>
      </c>
    </row>
    <row r="481" spans="1:19" x14ac:dyDescent="0.3">
      <c r="A481">
        <v>480</v>
      </c>
      <c r="B481" s="46">
        <v>40565</v>
      </c>
      <c r="C481">
        <v>1</v>
      </c>
      <c r="D481">
        <v>0</v>
      </c>
      <c r="E481" t="b">
        <v>0</v>
      </c>
      <c r="F481">
        <v>6</v>
      </c>
      <c r="G481" t="s">
        <v>27</v>
      </c>
      <c r="H481" t="s">
        <v>28</v>
      </c>
      <c r="I481">
        <v>1</v>
      </c>
      <c r="J481" t="s">
        <v>29</v>
      </c>
      <c r="K481">
        <v>0.04</v>
      </c>
      <c r="L481" t="s">
        <v>30</v>
      </c>
      <c r="M481">
        <v>3.0300000000000001E-2</v>
      </c>
      <c r="N481">
        <v>0.45</v>
      </c>
      <c r="O481" t="s">
        <v>34</v>
      </c>
      <c r="P481">
        <v>0.25369999999999998</v>
      </c>
      <c r="Q481">
        <v>0</v>
      </c>
      <c r="R481">
        <v>13</v>
      </c>
      <c r="S481">
        <v>13</v>
      </c>
    </row>
    <row r="482" spans="1:19" x14ac:dyDescent="0.3">
      <c r="A482">
        <v>481</v>
      </c>
      <c r="B482" s="46">
        <v>40565</v>
      </c>
      <c r="C482">
        <v>1</v>
      </c>
      <c r="D482">
        <v>1</v>
      </c>
      <c r="E482" t="b">
        <v>0</v>
      </c>
      <c r="F482">
        <v>6</v>
      </c>
      <c r="G482" t="s">
        <v>27</v>
      </c>
      <c r="H482" t="s">
        <v>28</v>
      </c>
      <c r="I482">
        <v>2</v>
      </c>
      <c r="J482" t="s">
        <v>31</v>
      </c>
      <c r="K482">
        <v>0.04</v>
      </c>
      <c r="L482" t="s">
        <v>30</v>
      </c>
      <c r="M482">
        <v>0</v>
      </c>
      <c r="N482">
        <v>0.41</v>
      </c>
      <c r="O482" t="s">
        <v>34</v>
      </c>
      <c r="P482">
        <v>0.3881</v>
      </c>
      <c r="Q482">
        <v>3</v>
      </c>
      <c r="R482">
        <v>9</v>
      </c>
      <c r="S482">
        <v>12</v>
      </c>
    </row>
    <row r="483" spans="1:19" x14ac:dyDescent="0.3">
      <c r="A483">
        <v>482</v>
      </c>
      <c r="B483" s="46">
        <v>40565</v>
      </c>
      <c r="C483">
        <v>1</v>
      </c>
      <c r="D483">
        <v>2</v>
      </c>
      <c r="E483" t="b">
        <v>0</v>
      </c>
      <c r="F483">
        <v>6</v>
      </c>
      <c r="G483" t="s">
        <v>27</v>
      </c>
      <c r="H483" t="s">
        <v>28</v>
      </c>
      <c r="I483">
        <v>2</v>
      </c>
      <c r="J483" t="s">
        <v>31</v>
      </c>
      <c r="K483">
        <v>0.04</v>
      </c>
      <c r="L483" t="s">
        <v>30</v>
      </c>
      <c r="M483">
        <v>3.0300000000000001E-2</v>
      </c>
      <c r="N483">
        <v>0.41</v>
      </c>
      <c r="O483" t="s">
        <v>34</v>
      </c>
      <c r="P483">
        <v>0.25369999999999998</v>
      </c>
      <c r="Q483">
        <v>0</v>
      </c>
      <c r="R483">
        <v>11</v>
      </c>
      <c r="S483">
        <v>11</v>
      </c>
    </row>
    <row r="484" spans="1:19" x14ac:dyDescent="0.3">
      <c r="A484">
        <v>483</v>
      </c>
      <c r="B484" s="46">
        <v>40565</v>
      </c>
      <c r="C484">
        <v>1</v>
      </c>
      <c r="D484">
        <v>3</v>
      </c>
      <c r="E484" t="b">
        <v>0</v>
      </c>
      <c r="F484">
        <v>6</v>
      </c>
      <c r="G484" t="s">
        <v>27</v>
      </c>
      <c r="H484" t="s">
        <v>28</v>
      </c>
      <c r="I484">
        <v>2</v>
      </c>
      <c r="J484" t="s">
        <v>31</v>
      </c>
      <c r="K484">
        <v>0.04</v>
      </c>
      <c r="L484" t="s">
        <v>30</v>
      </c>
      <c r="M484">
        <v>3.0300000000000001E-2</v>
      </c>
      <c r="N484">
        <v>0.41</v>
      </c>
      <c r="O484" t="s">
        <v>34</v>
      </c>
      <c r="P484">
        <v>0.28360000000000002</v>
      </c>
      <c r="Q484">
        <v>1</v>
      </c>
      <c r="R484">
        <v>6</v>
      </c>
      <c r="S484">
        <v>7</v>
      </c>
    </row>
    <row r="485" spans="1:19" x14ac:dyDescent="0.3">
      <c r="A485">
        <v>484</v>
      </c>
      <c r="B485" s="46">
        <v>40565</v>
      </c>
      <c r="C485">
        <v>1</v>
      </c>
      <c r="D485">
        <v>4</v>
      </c>
      <c r="E485" t="b">
        <v>0</v>
      </c>
      <c r="F485">
        <v>6</v>
      </c>
      <c r="G485" t="s">
        <v>27</v>
      </c>
      <c r="H485" t="s">
        <v>28</v>
      </c>
      <c r="I485">
        <v>2</v>
      </c>
      <c r="J485" t="s">
        <v>31</v>
      </c>
      <c r="K485">
        <v>0.02</v>
      </c>
      <c r="L485" t="s">
        <v>30</v>
      </c>
      <c r="M485">
        <v>1.52E-2</v>
      </c>
      <c r="N485">
        <v>0.48</v>
      </c>
      <c r="O485" t="s">
        <v>34</v>
      </c>
      <c r="P485">
        <v>0.29849999999999999</v>
      </c>
      <c r="Q485">
        <v>0</v>
      </c>
      <c r="R485">
        <v>3</v>
      </c>
      <c r="S485">
        <v>3</v>
      </c>
    </row>
    <row r="486" spans="1:19" x14ac:dyDescent="0.3">
      <c r="A486">
        <v>485</v>
      </c>
      <c r="B486" s="46">
        <v>40565</v>
      </c>
      <c r="C486">
        <v>1</v>
      </c>
      <c r="D486">
        <v>6</v>
      </c>
      <c r="E486" t="b">
        <v>0</v>
      </c>
      <c r="F486">
        <v>6</v>
      </c>
      <c r="G486" t="s">
        <v>27</v>
      </c>
      <c r="H486" t="s">
        <v>28</v>
      </c>
      <c r="I486">
        <v>2</v>
      </c>
      <c r="J486" t="s">
        <v>31</v>
      </c>
      <c r="K486">
        <v>0.02</v>
      </c>
      <c r="L486" t="s">
        <v>30</v>
      </c>
      <c r="M486">
        <v>3.0300000000000001E-2</v>
      </c>
      <c r="N486">
        <v>0.44</v>
      </c>
      <c r="O486" t="s">
        <v>34</v>
      </c>
      <c r="P486">
        <v>0.22389999999999999</v>
      </c>
      <c r="Q486">
        <v>0</v>
      </c>
      <c r="R486">
        <v>2</v>
      </c>
      <c r="S486">
        <v>2</v>
      </c>
    </row>
    <row r="487" spans="1:19" x14ac:dyDescent="0.3">
      <c r="A487">
        <v>486</v>
      </c>
      <c r="B487" s="46">
        <v>40565</v>
      </c>
      <c r="C487">
        <v>1</v>
      </c>
      <c r="D487">
        <v>7</v>
      </c>
      <c r="E487" t="b">
        <v>0</v>
      </c>
      <c r="F487">
        <v>6</v>
      </c>
      <c r="G487" t="s">
        <v>27</v>
      </c>
      <c r="H487" t="s">
        <v>28</v>
      </c>
      <c r="I487">
        <v>1</v>
      </c>
      <c r="J487" t="s">
        <v>29</v>
      </c>
      <c r="K487">
        <v>0.02</v>
      </c>
      <c r="L487" t="s">
        <v>30</v>
      </c>
      <c r="M487">
        <v>1.52E-2</v>
      </c>
      <c r="N487">
        <v>0.44</v>
      </c>
      <c r="O487" t="s">
        <v>34</v>
      </c>
      <c r="P487">
        <v>0.28360000000000002</v>
      </c>
      <c r="Q487">
        <v>0</v>
      </c>
      <c r="R487">
        <v>8</v>
      </c>
      <c r="S487">
        <v>8</v>
      </c>
    </row>
    <row r="488" spans="1:19" x14ac:dyDescent="0.3">
      <c r="A488">
        <v>487</v>
      </c>
      <c r="B488" s="46">
        <v>40565</v>
      </c>
      <c r="C488">
        <v>1</v>
      </c>
      <c r="D488">
        <v>8</v>
      </c>
      <c r="E488" t="b">
        <v>0</v>
      </c>
      <c r="F488">
        <v>6</v>
      </c>
      <c r="G488" t="s">
        <v>27</v>
      </c>
      <c r="H488" t="s">
        <v>28</v>
      </c>
      <c r="I488">
        <v>1</v>
      </c>
      <c r="J488" t="s">
        <v>29</v>
      </c>
      <c r="K488">
        <v>0.02</v>
      </c>
      <c r="L488" t="s">
        <v>30</v>
      </c>
      <c r="M488">
        <v>0</v>
      </c>
      <c r="N488">
        <v>0.44</v>
      </c>
      <c r="O488" t="s">
        <v>34</v>
      </c>
      <c r="P488">
        <v>0.32840000000000003</v>
      </c>
      <c r="Q488">
        <v>1</v>
      </c>
      <c r="R488">
        <v>26</v>
      </c>
      <c r="S488">
        <v>27</v>
      </c>
    </row>
    <row r="489" spans="1:19" x14ac:dyDescent="0.3">
      <c r="A489">
        <v>488</v>
      </c>
      <c r="B489" s="46">
        <v>40565</v>
      </c>
      <c r="C489">
        <v>1</v>
      </c>
      <c r="D489">
        <v>9</v>
      </c>
      <c r="E489" t="b">
        <v>0</v>
      </c>
      <c r="F489">
        <v>6</v>
      </c>
      <c r="G489" t="s">
        <v>27</v>
      </c>
      <c r="H489" t="s">
        <v>28</v>
      </c>
      <c r="I489">
        <v>1</v>
      </c>
      <c r="J489" t="s">
        <v>29</v>
      </c>
      <c r="K489">
        <v>0.04</v>
      </c>
      <c r="L489" t="s">
        <v>30</v>
      </c>
      <c r="M489">
        <v>3.0300000000000001E-2</v>
      </c>
      <c r="N489">
        <v>0.41</v>
      </c>
      <c r="O489" t="s">
        <v>34</v>
      </c>
      <c r="P489">
        <v>0.25369999999999998</v>
      </c>
      <c r="Q489">
        <v>3</v>
      </c>
      <c r="R489">
        <v>37</v>
      </c>
      <c r="S489">
        <v>40</v>
      </c>
    </row>
    <row r="490" spans="1:19" x14ac:dyDescent="0.3">
      <c r="A490">
        <v>489</v>
      </c>
      <c r="B490" s="46">
        <v>40565</v>
      </c>
      <c r="C490">
        <v>1</v>
      </c>
      <c r="D490">
        <v>10</v>
      </c>
      <c r="E490" t="b">
        <v>0</v>
      </c>
      <c r="F490">
        <v>6</v>
      </c>
      <c r="G490" t="s">
        <v>27</v>
      </c>
      <c r="H490" t="s">
        <v>28</v>
      </c>
      <c r="I490">
        <v>2</v>
      </c>
      <c r="J490" t="s">
        <v>31</v>
      </c>
      <c r="K490">
        <v>0.04</v>
      </c>
      <c r="L490" t="s">
        <v>30</v>
      </c>
      <c r="M490">
        <v>6.0600000000000001E-2</v>
      </c>
      <c r="N490">
        <v>0.41</v>
      </c>
      <c r="O490" t="s">
        <v>34</v>
      </c>
      <c r="P490">
        <v>0.16420000000000001</v>
      </c>
      <c r="Q490">
        <v>3</v>
      </c>
      <c r="R490">
        <v>50</v>
      </c>
      <c r="S490">
        <v>53</v>
      </c>
    </row>
    <row r="491" spans="1:19" x14ac:dyDescent="0.3">
      <c r="A491">
        <v>490</v>
      </c>
      <c r="B491" s="46">
        <v>40565</v>
      </c>
      <c r="C491">
        <v>1</v>
      </c>
      <c r="D491">
        <v>11</v>
      </c>
      <c r="E491" t="b">
        <v>0</v>
      </c>
      <c r="F491">
        <v>6</v>
      </c>
      <c r="G491" t="s">
        <v>27</v>
      </c>
      <c r="H491" t="s">
        <v>28</v>
      </c>
      <c r="I491">
        <v>2</v>
      </c>
      <c r="J491" t="s">
        <v>31</v>
      </c>
      <c r="K491">
        <v>0.06</v>
      </c>
      <c r="L491" t="s">
        <v>30</v>
      </c>
      <c r="M491">
        <v>7.5800000000000006E-2</v>
      </c>
      <c r="N491">
        <v>0.38</v>
      </c>
      <c r="O491" t="s">
        <v>34</v>
      </c>
      <c r="P491">
        <v>0.1343</v>
      </c>
      <c r="Q491">
        <v>4</v>
      </c>
      <c r="R491">
        <v>59</v>
      </c>
      <c r="S491">
        <v>63</v>
      </c>
    </row>
    <row r="492" spans="1:19" x14ac:dyDescent="0.3">
      <c r="A492">
        <v>491</v>
      </c>
      <c r="B492" s="46">
        <v>40565</v>
      </c>
      <c r="C492">
        <v>1</v>
      </c>
      <c r="D492">
        <v>12</v>
      </c>
      <c r="E492" t="b">
        <v>0</v>
      </c>
      <c r="F492">
        <v>6</v>
      </c>
      <c r="G492" t="s">
        <v>27</v>
      </c>
      <c r="H492" t="s">
        <v>28</v>
      </c>
      <c r="I492">
        <v>2</v>
      </c>
      <c r="J492" t="s">
        <v>31</v>
      </c>
      <c r="K492">
        <v>0.06</v>
      </c>
      <c r="L492" t="s">
        <v>30</v>
      </c>
      <c r="M492">
        <v>0.1061</v>
      </c>
      <c r="N492">
        <v>0.38</v>
      </c>
      <c r="O492" t="s">
        <v>34</v>
      </c>
      <c r="P492">
        <v>0.1045</v>
      </c>
      <c r="Q492">
        <v>10</v>
      </c>
      <c r="R492">
        <v>60</v>
      </c>
      <c r="S492">
        <v>70</v>
      </c>
    </row>
    <row r="493" spans="1:19" x14ac:dyDescent="0.3">
      <c r="A493">
        <v>492</v>
      </c>
      <c r="B493" s="46">
        <v>40565</v>
      </c>
      <c r="C493">
        <v>1</v>
      </c>
      <c r="D493">
        <v>13</v>
      </c>
      <c r="E493" t="b">
        <v>0</v>
      </c>
      <c r="F493">
        <v>6</v>
      </c>
      <c r="G493" t="s">
        <v>27</v>
      </c>
      <c r="H493" t="s">
        <v>28</v>
      </c>
      <c r="I493">
        <v>1</v>
      </c>
      <c r="J493" t="s">
        <v>29</v>
      </c>
      <c r="K493">
        <v>0.08</v>
      </c>
      <c r="L493" t="s">
        <v>30</v>
      </c>
      <c r="M493">
        <v>0.16669999999999999</v>
      </c>
      <c r="N493">
        <v>0.35</v>
      </c>
      <c r="O493" t="s">
        <v>34</v>
      </c>
      <c r="P493">
        <v>0</v>
      </c>
      <c r="Q493">
        <v>12</v>
      </c>
      <c r="R493">
        <v>72</v>
      </c>
      <c r="S493">
        <v>84</v>
      </c>
    </row>
    <row r="494" spans="1:19" x14ac:dyDescent="0.3">
      <c r="A494">
        <v>493</v>
      </c>
      <c r="B494" s="46">
        <v>40565</v>
      </c>
      <c r="C494">
        <v>1</v>
      </c>
      <c r="D494">
        <v>14</v>
      </c>
      <c r="E494" t="b">
        <v>0</v>
      </c>
      <c r="F494">
        <v>6</v>
      </c>
      <c r="G494" t="s">
        <v>27</v>
      </c>
      <c r="H494" t="s">
        <v>28</v>
      </c>
      <c r="I494">
        <v>1</v>
      </c>
      <c r="J494" t="s">
        <v>29</v>
      </c>
      <c r="K494">
        <v>0.1</v>
      </c>
      <c r="L494" t="s">
        <v>23</v>
      </c>
      <c r="M494">
        <v>0.13639999999999999</v>
      </c>
      <c r="N494">
        <v>0.33</v>
      </c>
      <c r="O494" t="s">
        <v>34</v>
      </c>
      <c r="P494">
        <v>0.1045</v>
      </c>
      <c r="Q494">
        <v>11</v>
      </c>
      <c r="R494">
        <v>64</v>
      </c>
      <c r="S494">
        <v>75</v>
      </c>
    </row>
    <row r="495" spans="1:19" x14ac:dyDescent="0.3">
      <c r="A495">
        <v>494</v>
      </c>
      <c r="B495" s="46">
        <v>40565</v>
      </c>
      <c r="C495">
        <v>1</v>
      </c>
      <c r="D495">
        <v>15</v>
      </c>
      <c r="E495" t="b">
        <v>0</v>
      </c>
      <c r="F495">
        <v>6</v>
      </c>
      <c r="G495" t="s">
        <v>27</v>
      </c>
      <c r="H495" t="s">
        <v>28</v>
      </c>
      <c r="I495">
        <v>1</v>
      </c>
      <c r="J495" t="s">
        <v>29</v>
      </c>
      <c r="K495">
        <v>0.12</v>
      </c>
      <c r="L495" t="s">
        <v>23</v>
      </c>
      <c r="M495">
        <v>0.1515</v>
      </c>
      <c r="N495">
        <v>0.28000000000000003</v>
      </c>
      <c r="O495" t="s">
        <v>34</v>
      </c>
      <c r="P495">
        <v>0</v>
      </c>
      <c r="Q495">
        <v>10</v>
      </c>
      <c r="R495">
        <v>93</v>
      </c>
      <c r="S495">
        <v>103</v>
      </c>
    </row>
    <row r="496" spans="1:19" x14ac:dyDescent="0.3">
      <c r="A496">
        <v>495</v>
      </c>
      <c r="B496" s="46">
        <v>40565</v>
      </c>
      <c r="C496">
        <v>1</v>
      </c>
      <c r="D496">
        <v>16</v>
      </c>
      <c r="E496" t="b">
        <v>0</v>
      </c>
      <c r="F496">
        <v>6</v>
      </c>
      <c r="G496" t="s">
        <v>27</v>
      </c>
      <c r="H496" t="s">
        <v>28</v>
      </c>
      <c r="I496">
        <v>1</v>
      </c>
      <c r="J496" t="s">
        <v>29</v>
      </c>
      <c r="K496">
        <v>0.12</v>
      </c>
      <c r="L496" t="s">
        <v>23</v>
      </c>
      <c r="M496">
        <v>0.13639999999999999</v>
      </c>
      <c r="N496">
        <v>0.28000000000000003</v>
      </c>
      <c r="O496" t="s">
        <v>34</v>
      </c>
      <c r="P496">
        <v>0.19400000000000001</v>
      </c>
      <c r="Q496">
        <v>11</v>
      </c>
      <c r="R496">
        <v>72</v>
      </c>
      <c r="S496">
        <v>83</v>
      </c>
    </row>
    <row r="497" spans="1:19" x14ac:dyDescent="0.3">
      <c r="A497">
        <v>496</v>
      </c>
      <c r="B497" s="46">
        <v>40565</v>
      </c>
      <c r="C497">
        <v>1</v>
      </c>
      <c r="D497">
        <v>17</v>
      </c>
      <c r="E497" t="b">
        <v>0</v>
      </c>
      <c r="F497">
        <v>6</v>
      </c>
      <c r="G497" t="s">
        <v>27</v>
      </c>
      <c r="H497" t="s">
        <v>28</v>
      </c>
      <c r="I497">
        <v>1</v>
      </c>
      <c r="J497" t="s">
        <v>29</v>
      </c>
      <c r="K497">
        <v>0.12</v>
      </c>
      <c r="L497" t="s">
        <v>23</v>
      </c>
      <c r="M497">
        <v>0.19700000000000001</v>
      </c>
      <c r="N497">
        <v>0.28000000000000003</v>
      </c>
      <c r="O497" t="s">
        <v>34</v>
      </c>
      <c r="P497">
        <v>0</v>
      </c>
      <c r="Q497">
        <v>8</v>
      </c>
      <c r="R497">
        <v>59</v>
      </c>
      <c r="S497">
        <v>67</v>
      </c>
    </row>
    <row r="498" spans="1:19" x14ac:dyDescent="0.3">
      <c r="A498">
        <v>497</v>
      </c>
      <c r="B498" s="46">
        <v>40565</v>
      </c>
      <c r="C498">
        <v>1</v>
      </c>
      <c r="D498">
        <v>18</v>
      </c>
      <c r="E498" t="b">
        <v>0</v>
      </c>
      <c r="F498">
        <v>6</v>
      </c>
      <c r="G498" t="s">
        <v>27</v>
      </c>
      <c r="H498" t="s">
        <v>28</v>
      </c>
      <c r="I498">
        <v>1</v>
      </c>
      <c r="J498" t="s">
        <v>29</v>
      </c>
      <c r="K498">
        <v>0.08</v>
      </c>
      <c r="L498" t="s">
        <v>30</v>
      </c>
      <c r="M498">
        <v>9.0899999999999995E-2</v>
      </c>
      <c r="N498">
        <v>0.35</v>
      </c>
      <c r="O498" t="s">
        <v>34</v>
      </c>
      <c r="P498">
        <v>0.19400000000000001</v>
      </c>
      <c r="Q498">
        <v>0</v>
      </c>
      <c r="R498">
        <v>54</v>
      </c>
      <c r="S498">
        <v>54</v>
      </c>
    </row>
    <row r="499" spans="1:19" x14ac:dyDescent="0.3">
      <c r="A499">
        <v>498</v>
      </c>
      <c r="B499" s="46">
        <v>40565</v>
      </c>
      <c r="C499">
        <v>1</v>
      </c>
      <c r="D499">
        <v>19</v>
      </c>
      <c r="E499" t="b">
        <v>0</v>
      </c>
      <c r="F499">
        <v>6</v>
      </c>
      <c r="G499" t="s">
        <v>27</v>
      </c>
      <c r="H499" t="s">
        <v>28</v>
      </c>
      <c r="I499">
        <v>1</v>
      </c>
      <c r="J499" t="s">
        <v>29</v>
      </c>
      <c r="K499">
        <v>0.08</v>
      </c>
      <c r="L499" t="s">
        <v>30</v>
      </c>
      <c r="M499">
        <v>0.1061</v>
      </c>
      <c r="N499">
        <v>0.35</v>
      </c>
      <c r="O499" t="s">
        <v>34</v>
      </c>
      <c r="P499">
        <v>0.1343</v>
      </c>
      <c r="Q499">
        <v>6</v>
      </c>
      <c r="R499">
        <v>53</v>
      </c>
      <c r="S499">
        <v>59</v>
      </c>
    </row>
    <row r="500" spans="1:19" x14ac:dyDescent="0.3">
      <c r="A500">
        <v>499</v>
      </c>
      <c r="B500" s="46">
        <v>40565</v>
      </c>
      <c r="C500">
        <v>1</v>
      </c>
      <c r="D500">
        <v>20</v>
      </c>
      <c r="E500" t="b">
        <v>0</v>
      </c>
      <c r="F500">
        <v>6</v>
      </c>
      <c r="G500" t="s">
        <v>27</v>
      </c>
      <c r="H500" t="s">
        <v>28</v>
      </c>
      <c r="I500">
        <v>1</v>
      </c>
      <c r="J500" t="s">
        <v>29</v>
      </c>
      <c r="K500">
        <v>0.06</v>
      </c>
      <c r="L500" t="s">
        <v>30</v>
      </c>
      <c r="M500">
        <v>7.5800000000000006E-2</v>
      </c>
      <c r="N500">
        <v>0.45</v>
      </c>
      <c r="O500" t="s">
        <v>34</v>
      </c>
      <c r="P500">
        <v>0.16420000000000001</v>
      </c>
      <c r="Q500">
        <v>1</v>
      </c>
      <c r="R500">
        <v>44</v>
      </c>
      <c r="S500">
        <v>45</v>
      </c>
    </row>
    <row r="501" spans="1:19" x14ac:dyDescent="0.3">
      <c r="A501">
        <v>500</v>
      </c>
      <c r="B501" s="46">
        <v>40565</v>
      </c>
      <c r="C501">
        <v>1</v>
      </c>
      <c r="D501">
        <v>21</v>
      </c>
      <c r="E501" t="b">
        <v>0</v>
      </c>
      <c r="F501">
        <v>6</v>
      </c>
      <c r="G501" t="s">
        <v>27</v>
      </c>
      <c r="H501" t="s">
        <v>28</v>
      </c>
      <c r="I501">
        <v>1</v>
      </c>
      <c r="J501" t="s">
        <v>29</v>
      </c>
      <c r="K501">
        <v>0.06</v>
      </c>
      <c r="L501" t="s">
        <v>30</v>
      </c>
      <c r="M501">
        <v>0.1061</v>
      </c>
      <c r="N501">
        <v>0.41</v>
      </c>
      <c r="O501" t="s">
        <v>34</v>
      </c>
      <c r="P501">
        <v>8.9599999999999999E-2</v>
      </c>
      <c r="Q501">
        <v>0</v>
      </c>
      <c r="R501">
        <v>39</v>
      </c>
      <c r="S501">
        <v>39</v>
      </c>
    </row>
    <row r="502" spans="1:19" x14ac:dyDescent="0.3">
      <c r="A502">
        <v>501</v>
      </c>
      <c r="B502" s="46">
        <v>40565</v>
      </c>
      <c r="C502">
        <v>1</v>
      </c>
      <c r="D502">
        <v>22</v>
      </c>
      <c r="E502" t="b">
        <v>0</v>
      </c>
      <c r="F502">
        <v>6</v>
      </c>
      <c r="G502" t="s">
        <v>27</v>
      </c>
      <c r="H502" t="s">
        <v>28</v>
      </c>
      <c r="I502">
        <v>1</v>
      </c>
      <c r="J502" t="s">
        <v>29</v>
      </c>
      <c r="K502">
        <v>0.06</v>
      </c>
      <c r="L502" t="s">
        <v>30</v>
      </c>
      <c r="M502">
        <v>0.1515</v>
      </c>
      <c r="N502">
        <v>0.49</v>
      </c>
      <c r="O502" t="s">
        <v>34</v>
      </c>
      <c r="P502">
        <v>0</v>
      </c>
      <c r="Q502">
        <v>7</v>
      </c>
      <c r="R502">
        <v>23</v>
      </c>
      <c r="S502">
        <v>30</v>
      </c>
    </row>
    <row r="503" spans="1:19" x14ac:dyDescent="0.3">
      <c r="A503">
        <v>502</v>
      </c>
      <c r="B503" s="46">
        <v>40565</v>
      </c>
      <c r="C503">
        <v>1</v>
      </c>
      <c r="D503">
        <v>23</v>
      </c>
      <c r="E503" t="b">
        <v>0</v>
      </c>
      <c r="F503">
        <v>6</v>
      </c>
      <c r="G503" t="s">
        <v>27</v>
      </c>
      <c r="H503" t="s">
        <v>28</v>
      </c>
      <c r="I503">
        <v>1</v>
      </c>
      <c r="J503" t="s">
        <v>29</v>
      </c>
      <c r="K503">
        <v>0.04</v>
      </c>
      <c r="L503" t="s">
        <v>30</v>
      </c>
      <c r="M503">
        <v>7.5800000000000006E-2</v>
      </c>
      <c r="N503">
        <v>0.56999999999999995</v>
      </c>
      <c r="O503" t="s">
        <v>34</v>
      </c>
      <c r="P503">
        <v>0.1045</v>
      </c>
      <c r="Q503">
        <v>2</v>
      </c>
      <c r="R503">
        <v>31</v>
      </c>
      <c r="S503">
        <v>33</v>
      </c>
    </row>
    <row r="504" spans="1:19" x14ac:dyDescent="0.3">
      <c r="A504">
        <v>503</v>
      </c>
      <c r="B504" s="46">
        <v>40566</v>
      </c>
      <c r="C504">
        <v>1</v>
      </c>
      <c r="D504">
        <v>0</v>
      </c>
      <c r="E504" t="b">
        <v>0</v>
      </c>
      <c r="F504">
        <v>0</v>
      </c>
      <c r="G504" t="s">
        <v>27</v>
      </c>
      <c r="H504" t="s">
        <v>33</v>
      </c>
      <c r="I504">
        <v>1</v>
      </c>
      <c r="J504" t="s">
        <v>29</v>
      </c>
      <c r="K504">
        <v>0.04</v>
      </c>
      <c r="L504" t="s">
        <v>30</v>
      </c>
      <c r="M504">
        <v>7.5800000000000006E-2</v>
      </c>
      <c r="N504">
        <v>0.56999999999999995</v>
      </c>
      <c r="O504" t="s">
        <v>34</v>
      </c>
      <c r="P504">
        <v>0.1045</v>
      </c>
      <c r="Q504">
        <v>2</v>
      </c>
      <c r="R504">
        <v>20</v>
      </c>
      <c r="S504">
        <v>22</v>
      </c>
    </row>
    <row r="505" spans="1:19" x14ac:dyDescent="0.3">
      <c r="A505">
        <v>504</v>
      </c>
      <c r="B505" s="46">
        <v>40566</v>
      </c>
      <c r="C505">
        <v>1</v>
      </c>
      <c r="D505">
        <v>1</v>
      </c>
      <c r="E505" t="b">
        <v>0</v>
      </c>
      <c r="F505">
        <v>0</v>
      </c>
      <c r="G505" t="s">
        <v>27</v>
      </c>
      <c r="H505" t="s">
        <v>33</v>
      </c>
      <c r="I505">
        <v>1</v>
      </c>
      <c r="J505" t="s">
        <v>29</v>
      </c>
      <c r="K505">
        <v>0.04</v>
      </c>
      <c r="L505" t="s">
        <v>30</v>
      </c>
      <c r="M505">
        <v>7.5800000000000006E-2</v>
      </c>
      <c r="N505">
        <v>0.56999999999999995</v>
      </c>
      <c r="O505" t="s">
        <v>34</v>
      </c>
      <c r="P505">
        <v>0.1045</v>
      </c>
      <c r="Q505">
        <v>1</v>
      </c>
      <c r="R505">
        <v>12</v>
      </c>
      <c r="S505">
        <v>13</v>
      </c>
    </row>
    <row r="506" spans="1:19" x14ac:dyDescent="0.3">
      <c r="A506">
        <v>505</v>
      </c>
      <c r="B506" s="46">
        <v>40566</v>
      </c>
      <c r="C506">
        <v>1</v>
      </c>
      <c r="D506">
        <v>2</v>
      </c>
      <c r="E506" t="b">
        <v>0</v>
      </c>
      <c r="F506">
        <v>0</v>
      </c>
      <c r="G506" t="s">
        <v>27</v>
      </c>
      <c r="H506" t="s">
        <v>33</v>
      </c>
      <c r="I506">
        <v>1</v>
      </c>
      <c r="J506" t="s">
        <v>29</v>
      </c>
      <c r="K506">
        <v>0.02</v>
      </c>
      <c r="L506" t="s">
        <v>30</v>
      </c>
      <c r="M506">
        <v>6.0600000000000001E-2</v>
      </c>
      <c r="N506">
        <v>0.62</v>
      </c>
      <c r="O506" t="s">
        <v>34</v>
      </c>
      <c r="P506">
        <v>0.1343</v>
      </c>
      <c r="Q506">
        <v>3</v>
      </c>
      <c r="R506">
        <v>15</v>
      </c>
      <c r="S506">
        <v>18</v>
      </c>
    </row>
    <row r="507" spans="1:19" x14ac:dyDescent="0.3">
      <c r="A507">
        <v>506</v>
      </c>
      <c r="B507" s="46">
        <v>40566</v>
      </c>
      <c r="C507">
        <v>1</v>
      </c>
      <c r="D507">
        <v>3</v>
      </c>
      <c r="E507" t="b">
        <v>0</v>
      </c>
      <c r="F507">
        <v>0</v>
      </c>
      <c r="G507" t="s">
        <v>27</v>
      </c>
      <c r="H507" t="s">
        <v>33</v>
      </c>
      <c r="I507">
        <v>1</v>
      </c>
      <c r="J507" t="s">
        <v>29</v>
      </c>
      <c r="K507">
        <v>0.02</v>
      </c>
      <c r="L507" t="s">
        <v>30</v>
      </c>
      <c r="M507">
        <v>6.0600000000000001E-2</v>
      </c>
      <c r="N507">
        <v>0.62</v>
      </c>
      <c r="O507" t="s">
        <v>34</v>
      </c>
      <c r="P507">
        <v>0.1343</v>
      </c>
      <c r="Q507">
        <v>1</v>
      </c>
      <c r="R507">
        <v>4</v>
      </c>
      <c r="S507">
        <v>5</v>
      </c>
    </row>
    <row r="508" spans="1:19" x14ac:dyDescent="0.3">
      <c r="A508">
        <v>507</v>
      </c>
      <c r="B508" s="46">
        <v>40566</v>
      </c>
      <c r="C508">
        <v>1</v>
      </c>
      <c r="D508">
        <v>5</v>
      </c>
      <c r="E508" t="b">
        <v>0</v>
      </c>
      <c r="F508">
        <v>0</v>
      </c>
      <c r="G508" t="s">
        <v>27</v>
      </c>
      <c r="H508" t="s">
        <v>33</v>
      </c>
      <c r="I508">
        <v>2</v>
      </c>
      <c r="J508" t="s">
        <v>31</v>
      </c>
      <c r="K508">
        <v>0.04</v>
      </c>
      <c r="L508" t="s">
        <v>30</v>
      </c>
      <c r="M508">
        <v>7.5800000000000006E-2</v>
      </c>
      <c r="N508">
        <v>0.56999999999999995</v>
      </c>
      <c r="O508" t="s">
        <v>34</v>
      </c>
      <c r="P508">
        <v>0.1045</v>
      </c>
      <c r="Q508">
        <v>0</v>
      </c>
      <c r="R508">
        <v>3</v>
      </c>
      <c r="S508">
        <v>3</v>
      </c>
    </row>
    <row r="509" spans="1:19" x14ac:dyDescent="0.3">
      <c r="A509">
        <v>508</v>
      </c>
      <c r="B509" s="46">
        <v>40566</v>
      </c>
      <c r="C509">
        <v>1</v>
      </c>
      <c r="D509">
        <v>6</v>
      </c>
      <c r="E509" t="b">
        <v>0</v>
      </c>
      <c r="F509">
        <v>0</v>
      </c>
      <c r="G509" t="s">
        <v>27</v>
      </c>
      <c r="H509" t="s">
        <v>33</v>
      </c>
      <c r="I509">
        <v>2</v>
      </c>
      <c r="J509" t="s">
        <v>31</v>
      </c>
      <c r="K509">
        <v>0.04</v>
      </c>
      <c r="L509" t="s">
        <v>30</v>
      </c>
      <c r="M509">
        <v>7.5800000000000006E-2</v>
      </c>
      <c r="N509">
        <v>0.56999999999999995</v>
      </c>
      <c r="O509" t="s">
        <v>34</v>
      </c>
      <c r="P509">
        <v>0.1045</v>
      </c>
      <c r="Q509">
        <v>0</v>
      </c>
      <c r="R509">
        <v>1</v>
      </c>
      <c r="S509">
        <v>1</v>
      </c>
    </row>
    <row r="510" spans="1:19" x14ac:dyDescent="0.3">
      <c r="A510">
        <v>509</v>
      </c>
      <c r="B510" s="46">
        <v>40566</v>
      </c>
      <c r="C510">
        <v>1</v>
      </c>
      <c r="D510">
        <v>7</v>
      </c>
      <c r="E510" t="b">
        <v>0</v>
      </c>
      <c r="F510">
        <v>0</v>
      </c>
      <c r="G510" t="s">
        <v>27</v>
      </c>
      <c r="H510" t="s">
        <v>33</v>
      </c>
      <c r="I510">
        <v>1</v>
      </c>
      <c r="J510" t="s">
        <v>29</v>
      </c>
      <c r="K510">
        <v>0.08</v>
      </c>
      <c r="L510" t="s">
        <v>30</v>
      </c>
      <c r="M510">
        <v>0.1061</v>
      </c>
      <c r="N510">
        <v>0.57999999999999996</v>
      </c>
      <c r="O510" t="s">
        <v>34</v>
      </c>
      <c r="P510">
        <v>0.16420000000000001</v>
      </c>
      <c r="Q510">
        <v>1</v>
      </c>
      <c r="R510">
        <v>1</v>
      </c>
      <c r="S510">
        <v>2</v>
      </c>
    </row>
    <row r="511" spans="1:19" x14ac:dyDescent="0.3">
      <c r="A511">
        <v>510</v>
      </c>
      <c r="B511" s="46">
        <v>40566</v>
      </c>
      <c r="C511">
        <v>1</v>
      </c>
      <c r="D511">
        <v>8</v>
      </c>
      <c r="E511" t="b">
        <v>0</v>
      </c>
      <c r="F511">
        <v>0</v>
      </c>
      <c r="G511" t="s">
        <v>27</v>
      </c>
      <c r="H511" t="s">
        <v>33</v>
      </c>
      <c r="I511">
        <v>1</v>
      </c>
      <c r="J511" t="s">
        <v>29</v>
      </c>
      <c r="K511">
        <v>0.06</v>
      </c>
      <c r="L511" t="s">
        <v>30</v>
      </c>
      <c r="M511">
        <v>7.5800000000000006E-2</v>
      </c>
      <c r="N511">
        <v>0.62</v>
      </c>
      <c r="O511" t="s">
        <v>34</v>
      </c>
      <c r="P511">
        <v>0.16420000000000001</v>
      </c>
      <c r="Q511">
        <v>2</v>
      </c>
      <c r="R511">
        <v>17</v>
      </c>
      <c r="S511">
        <v>19</v>
      </c>
    </row>
    <row r="512" spans="1:19" x14ac:dyDescent="0.3">
      <c r="A512">
        <v>511</v>
      </c>
      <c r="B512" s="46">
        <v>40566</v>
      </c>
      <c r="C512">
        <v>1</v>
      </c>
      <c r="D512">
        <v>9</v>
      </c>
      <c r="E512" t="b">
        <v>0</v>
      </c>
      <c r="F512">
        <v>0</v>
      </c>
      <c r="G512" t="s">
        <v>27</v>
      </c>
      <c r="H512" t="s">
        <v>33</v>
      </c>
      <c r="I512">
        <v>1</v>
      </c>
      <c r="J512" t="s">
        <v>29</v>
      </c>
      <c r="K512">
        <v>0.1</v>
      </c>
      <c r="L512" t="s">
        <v>23</v>
      </c>
      <c r="M512">
        <v>7.5800000000000006E-2</v>
      </c>
      <c r="N512">
        <v>0.54</v>
      </c>
      <c r="O512" t="s">
        <v>34</v>
      </c>
      <c r="P512">
        <v>0.35820000000000002</v>
      </c>
      <c r="Q512">
        <v>3</v>
      </c>
      <c r="R512">
        <v>25</v>
      </c>
      <c r="S512">
        <v>28</v>
      </c>
    </row>
    <row r="513" spans="1:19" x14ac:dyDescent="0.3">
      <c r="A513">
        <v>512</v>
      </c>
      <c r="B513" s="46">
        <v>40566</v>
      </c>
      <c r="C513">
        <v>1</v>
      </c>
      <c r="D513">
        <v>10</v>
      </c>
      <c r="E513" t="b">
        <v>0</v>
      </c>
      <c r="F513">
        <v>0</v>
      </c>
      <c r="G513" t="s">
        <v>27</v>
      </c>
      <c r="H513" t="s">
        <v>33</v>
      </c>
      <c r="I513">
        <v>1</v>
      </c>
      <c r="J513" t="s">
        <v>29</v>
      </c>
      <c r="K513">
        <v>0.14000000000000001</v>
      </c>
      <c r="L513" t="s">
        <v>23</v>
      </c>
      <c r="M513">
        <v>0.1061</v>
      </c>
      <c r="N513">
        <v>0.46</v>
      </c>
      <c r="O513" t="s">
        <v>34</v>
      </c>
      <c r="P513">
        <v>0.3881</v>
      </c>
      <c r="Q513">
        <v>7</v>
      </c>
      <c r="R513">
        <v>51</v>
      </c>
      <c r="S513">
        <v>58</v>
      </c>
    </row>
    <row r="514" spans="1:19" x14ac:dyDescent="0.3">
      <c r="A514">
        <v>513</v>
      </c>
      <c r="B514" s="46">
        <v>40566</v>
      </c>
      <c r="C514">
        <v>1</v>
      </c>
      <c r="D514">
        <v>11</v>
      </c>
      <c r="E514" t="b">
        <v>0</v>
      </c>
      <c r="F514">
        <v>0</v>
      </c>
      <c r="G514" t="s">
        <v>27</v>
      </c>
      <c r="H514" t="s">
        <v>33</v>
      </c>
      <c r="I514">
        <v>1</v>
      </c>
      <c r="J514" t="s">
        <v>29</v>
      </c>
      <c r="K514">
        <v>0.14000000000000001</v>
      </c>
      <c r="L514" t="s">
        <v>23</v>
      </c>
      <c r="M514">
        <v>0.13639999999999999</v>
      </c>
      <c r="N514">
        <v>0.43</v>
      </c>
      <c r="O514" t="s">
        <v>34</v>
      </c>
      <c r="P514">
        <v>0.22389999999999999</v>
      </c>
      <c r="Q514">
        <v>22</v>
      </c>
      <c r="R514">
        <v>77</v>
      </c>
      <c r="S514">
        <v>99</v>
      </c>
    </row>
    <row r="515" spans="1:19" x14ac:dyDescent="0.3">
      <c r="A515">
        <v>514</v>
      </c>
      <c r="B515" s="46">
        <v>40566</v>
      </c>
      <c r="C515">
        <v>1</v>
      </c>
      <c r="D515">
        <v>12</v>
      </c>
      <c r="E515" t="b">
        <v>0</v>
      </c>
      <c r="F515">
        <v>0</v>
      </c>
      <c r="G515" t="s">
        <v>27</v>
      </c>
      <c r="H515" t="s">
        <v>33</v>
      </c>
      <c r="I515">
        <v>1</v>
      </c>
      <c r="J515" t="s">
        <v>29</v>
      </c>
      <c r="K515">
        <v>0.16</v>
      </c>
      <c r="L515" t="s">
        <v>23</v>
      </c>
      <c r="M515">
        <v>0.1212</v>
      </c>
      <c r="N515">
        <v>0.37</v>
      </c>
      <c r="O515" t="s">
        <v>34</v>
      </c>
      <c r="P515">
        <v>0.4627</v>
      </c>
      <c r="Q515">
        <v>24</v>
      </c>
      <c r="R515">
        <v>92</v>
      </c>
      <c r="S515">
        <v>116</v>
      </c>
    </row>
    <row r="516" spans="1:19" x14ac:dyDescent="0.3">
      <c r="A516">
        <v>515</v>
      </c>
      <c r="B516" s="46">
        <v>40566</v>
      </c>
      <c r="C516">
        <v>1</v>
      </c>
      <c r="D516">
        <v>13</v>
      </c>
      <c r="E516" t="b">
        <v>0</v>
      </c>
      <c r="F516">
        <v>0</v>
      </c>
      <c r="G516" t="s">
        <v>27</v>
      </c>
      <c r="H516" t="s">
        <v>33</v>
      </c>
      <c r="I516">
        <v>1</v>
      </c>
      <c r="J516" t="s">
        <v>29</v>
      </c>
      <c r="K516">
        <v>0.14000000000000001</v>
      </c>
      <c r="L516" t="s">
        <v>23</v>
      </c>
      <c r="M516">
        <v>0.1061</v>
      </c>
      <c r="N516">
        <v>0.33</v>
      </c>
      <c r="O516" t="s">
        <v>34</v>
      </c>
      <c r="P516">
        <v>0.3881</v>
      </c>
      <c r="Q516">
        <v>12</v>
      </c>
      <c r="R516">
        <v>75</v>
      </c>
      <c r="S516">
        <v>87</v>
      </c>
    </row>
    <row r="517" spans="1:19" x14ac:dyDescent="0.3">
      <c r="A517">
        <v>516</v>
      </c>
      <c r="B517" s="46">
        <v>40566</v>
      </c>
      <c r="C517">
        <v>1</v>
      </c>
      <c r="D517">
        <v>14</v>
      </c>
      <c r="E517" t="b">
        <v>0</v>
      </c>
      <c r="F517">
        <v>0</v>
      </c>
      <c r="G517" t="s">
        <v>27</v>
      </c>
      <c r="H517" t="s">
        <v>33</v>
      </c>
      <c r="I517">
        <v>1</v>
      </c>
      <c r="J517" t="s">
        <v>29</v>
      </c>
      <c r="K517">
        <v>0.16</v>
      </c>
      <c r="L517" t="s">
        <v>23</v>
      </c>
      <c r="M517">
        <v>0.13639999999999999</v>
      </c>
      <c r="N517">
        <v>0.28000000000000003</v>
      </c>
      <c r="O517" t="s">
        <v>34</v>
      </c>
      <c r="P517">
        <v>0.35820000000000002</v>
      </c>
      <c r="Q517">
        <v>17</v>
      </c>
      <c r="R517">
        <v>93</v>
      </c>
      <c r="S517">
        <v>110</v>
      </c>
    </row>
    <row r="518" spans="1:19" x14ac:dyDescent="0.3">
      <c r="A518">
        <v>517</v>
      </c>
      <c r="B518" s="46">
        <v>40566</v>
      </c>
      <c r="C518">
        <v>1</v>
      </c>
      <c r="D518">
        <v>15</v>
      </c>
      <c r="E518" t="b">
        <v>0</v>
      </c>
      <c r="F518">
        <v>0</v>
      </c>
      <c r="G518" t="s">
        <v>27</v>
      </c>
      <c r="H518" t="s">
        <v>33</v>
      </c>
      <c r="I518">
        <v>1</v>
      </c>
      <c r="J518" t="s">
        <v>29</v>
      </c>
      <c r="K518">
        <v>0.16</v>
      </c>
      <c r="L518" t="s">
        <v>23</v>
      </c>
      <c r="M518">
        <v>0.13639999999999999</v>
      </c>
      <c r="N518">
        <v>0.28000000000000003</v>
      </c>
      <c r="O518" t="s">
        <v>34</v>
      </c>
      <c r="P518">
        <v>0.35820000000000002</v>
      </c>
      <c r="Q518">
        <v>13</v>
      </c>
      <c r="R518">
        <v>64</v>
      </c>
      <c r="S518">
        <v>77</v>
      </c>
    </row>
    <row r="519" spans="1:19" x14ac:dyDescent="0.3">
      <c r="A519">
        <v>518</v>
      </c>
      <c r="B519" s="46">
        <v>40566</v>
      </c>
      <c r="C519">
        <v>1</v>
      </c>
      <c r="D519">
        <v>16</v>
      </c>
      <c r="E519" t="b">
        <v>0</v>
      </c>
      <c r="F519">
        <v>0</v>
      </c>
      <c r="G519" t="s">
        <v>27</v>
      </c>
      <c r="H519" t="s">
        <v>33</v>
      </c>
      <c r="I519">
        <v>1</v>
      </c>
      <c r="J519" t="s">
        <v>29</v>
      </c>
      <c r="K519">
        <v>0.16</v>
      </c>
      <c r="L519" t="s">
        <v>23</v>
      </c>
      <c r="M519">
        <v>0.13639999999999999</v>
      </c>
      <c r="N519">
        <v>0.26</v>
      </c>
      <c r="O519" t="s">
        <v>34</v>
      </c>
      <c r="P519">
        <v>0.32840000000000003</v>
      </c>
      <c r="Q519">
        <v>9</v>
      </c>
      <c r="R519">
        <v>56</v>
      </c>
      <c r="S519">
        <v>65</v>
      </c>
    </row>
    <row r="520" spans="1:19" x14ac:dyDescent="0.3">
      <c r="A520">
        <v>519</v>
      </c>
      <c r="B520" s="46">
        <v>40566</v>
      </c>
      <c r="C520">
        <v>1</v>
      </c>
      <c r="D520">
        <v>17</v>
      </c>
      <c r="E520" t="b">
        <v>0</v>
      </c>
      <c r="F520">
        <v>0</v>
      </c>
      <c r="G520" t="s">
        <v>27</v>
      </c>
      <c r="H520" t="s">
        <v>33</v>
      </c>
      <c r="I520">
        <v>1</v>
      </c>
      <c r="J520" t="s">
        <v>29</v>
      </c>
      <c r="K520">
        <v>0.14000000000000001</v>
      </c>
      <c r="L520" t="s">
        <v>23</v>
      </c>
      <c r="M520">
        <v>0.1061</v>
      </c>
      <c r="N520">
        <v>0.26</v>
      </c>
      <c r="O520" t="s">
        <v>34</v>
      </c>
      <c r="P520">
        <v>0.3881</v>
      </c>
      <c r="Q520">
        <v>5</v>
      </c>
      <c r="R520">
        <v>50</v>
      </c>
      <c r="S520">
        <v>55</v>
      </c>
    </row>
    <row r="521" spans="1:19" x14ac:dyDescent="0.3">
      <c r="A521">
        <v>520</v>
      </c>
      <c r="B521" s="46">
        <v>40566</v>
      </c>
      <c r="C521">
        <v>1</v>
      </c>
      <c r="D521">
        <v>18</v>
      </c>
      <c r="E521" t="b">
        <v>0</v>
      </c>
      <c r="F521">
        <v>0</v>
      </c>
      <c r="G521" t="s">
        <v>27</v>
      </c>
      <c r="H521" t="s">
        <v>33</v>
      </c>
      <c r="I521">
        <v>1</v>
      </c>
      <c r="J521" t="s">
        <v>29</v>
      </c>
      <c r="K521">
        <v>0.12</v>
      </c>
      <c r="L521" t="s">
        <v>23</v>
      </c>
      <c r="M521">
        <v>0.1212</v>
      </c>
      <c r="N521">
        <v>0.3</v>
      </c>
      <c r="O521" t="s">
        <v>34</v>
      </c>
      <c r="P521">
        <v>0.25369999999999998</v>
      </c>
      <c r="Q521">
        <v>5</v>
      </c>
      <c r="R521">
        <v>44</v>
      </c>
      <c r="S521">
        <v>49</v>
      </c>
    </row>
    <row r="522" spans="1:19" x14ac:dyDescent="0.3">
      <c r="A522">
        <v>521</v>
      </c>
      <c r="B522" s="46">
        <v>40566</v>
      </c>
      <c r="C522">
        <v>1</v>
      </c>
      <c r="D522">
        <v>19</v>
      </c>
      <c r="E522" t="b">
        <v>0</v>
      </c>
      <c r="F522">
        <v>0</v>
      </c>
      <c r="G522" t="s">
        <v>27</v>
      </c>
      <c r="H522" t="s">
        <v>33</v>
      </c>
      <c r="I522">
        <v>1</v>
      </c>
      <c r="J522" t="s">
        <v>29</v>
      </c>
      <c r="K522">
        <v>0.12</v>
      </c>
      <c r="L522" t="s">
        <v>23</v>
      </c>
      <c r="M522">
        <v>0.1212</v>
      </c>
      <c r="N522">
        <v>0.3</v>
      </c>
      <c r="O522" t="s">
        <v>34</v>
      </c>
      <c r="P522">
        <v>0.28360000000000002</v>
      </c>
      <c r="Q522">
        <v>5</v>
      </c>
      <c r="R522">
        <v>45</v>
      </c>
      <c r="S522">
        <v>50</v>
      </c>
    </row>
    <row r="523" spans="1:19" x14ac:dyDescent="0.3">
      <c r="A523">
        <v>522</v>
      </c>
      <c r="B523" s="46">
        <v>40566</v>
      </c>
      <c r="C523">
        <v>1</v>
      </c>
      <c r="D523">
        <v>20</v>
      </c>
      <c r="E523" t="b">
        <v>0</v>
      </c>
      <c r="F523">
        <v>0</v>
      </c>
      <c r="G523" t="s">
        <v>27</v>
      </c>
      <c r="H523" t="s">
        <v>33</v>
      </c>
      <c r="I523">
        <v>1</v>
      </c>
      <c r="J523" t="s">
        <v>29</v>
      </c>
      <c r="K523">
        <v>0.1</v>
      </c>
      <c r="L523" t="s">
        <v>23</v>
      </c>
      <c r="M523">
        <v>0.1061</v>
      </c>
      <c r="N523">
        <v>0.36</v>
      </c>
      <c r="O523" t="s">
        <v>34</v>
      </c>
      <c r="P523">
        <v>0.25369999999999998</v>
      </c>
      <c r="Q523">
        <v>4</v>
      </c>
      <c r="R523">
        <v>31</v>
      </c>
      <c r="S523">
        <v>35</v>
      </c>
    </row>
    <row r="524" spans="1:19" x14ac:dyDescent="0.3">
      <c r="A524">
        <v>523</v>
      </c>
      <c r="B524" s="46">
        <v>40566</v>
      </c>
      <c r="C524">
        <v>1</v>
      </c>
      <c r="D524">
        <v>21</v>
      </c>
      <c r="E524" t="b">
        <v>0</v>
      </c>
      <c r="F524">
        <v>0</v>
      </c>
      <c r="G524" t="s">
        <v>27</v>
      </c>
      <c r="H524" t="s">
        <v>33</v>
      </c>
      <c r="I524">
        <v>1</v>
      </c>
      <c r="J524" t="s">
        <v>29</v>
      </c>
      <c r="K524">
        <v>0.1</v>
      </c>
      <c r="L524" t="s">
        <v>23</v>
      </c>
      <c r="M524">
        <v>0.1061</v>
      </c>
      <c r="N524">
        <v>0.36</v>
      </c>
      <c r="O524" t="s">
        <v>34</v>
      </c>
      <c r="P524">
        <v>0.19400000000000001</v>
      </c>
      <c r="Q524">
        <v>5</v>
      </c>
      <c r="R524">
        <v>20</v>
      </c>
      <c r="S524">
        <v>25</v>
      </c>
    </row>
    <row r="525" spans="1:19" x14ac:dyDescent="0.3">
      <c r="A525">
        <v>524</v>
      </c>
      <c r="B525" s="46">
        <v>40566</v>
      </c>
      <c r="C525">
        <v>1</v>
      </c>
      <c r="D525">
        <v>22</v>
      </c>
      <c r="E525" t="b">
        <v>0</v>
      </c>
      <c r="F525">
        <v>0</v>
      </c>
      <c r="G525" t="s">
        <v>27</v>
      </c>
      <c r="H525" t="s">
        <v>33</v>
      </c>
      <c r="I525">
        <v>1</v>
      </c>
      <c r="J525" t="s">
        <v>29</v>
      </c>
      <c r="K525">
        <v>0.08</v>
      </c>
      <c r="L525" t="s">
        <v>30</v>
      </c>
      <c r="M525">
        <v>9.0899999999999995E-2</v>
      </c>
      <c r="N525">
        <v>0.38</v>
      </c>
      <c r="O525" t="s">
        <v>34</v>
      </c>
      <c r="P525">
        <v>0.19400000000000001</v>
      </c>
      <c r="Q525">
        <v>5</v>
      </c>
      <c r="R525">
        <v>23</v>
      </c>
      <c r="S525">
        <v>28</v>
      </c>
    </row>
    <row r="526" spans="1:19" x14ac:dyDescent="0.3">
      <c r="A526">
        <v>525</v>
      </c>
      <c r="B526" s="46">
        <v>40566</v>
      </c>
      <c r="C526">
        <v>1</v>
      </c>
      <c r="D526">
        <v>23</v>
      </c>
      <c r="E526" t="b">
        <v>0</v>
      </c>
      <c r="F526">
        <v>0</v>
      </c>
      <c r="G526" t="s">
        <v>27</v>
      </c>
      <c r="H526" t="s">
        <v>33</v>
      </c>
      <c r="I526">
        <v>1</v>
      </c>
      <c r="J526" t="s">
        <v>29</v>
      </c>
      <c r="K526">
        <v>0.06</v>
      </c>
      <c r="L526" t="s">
        <v>30</v>
      </c>
      <c r="M526">
        <v>6.0600000000000001E-2</v>
      </c>
      <c r="N526">
        <v>0.41</v>
      </c>
      <c r="O526" t="s">
        <v>34</v>
      </c>
      <c r="P526">
        <v>0.22389999999999999</v>
      </c>
      <c r="Q526">
        <v>4</v>
      </c>
      <c r="R526">
        <v>17</v>
      </c>
      <c r="S526">
        <v>21</v>
      </c>
    </row>
    <row r="527" spans="1:19" x14ac:dyDescent="0.3">
      <c r="A527">
        <v>526</v>
      </c>
      <c r="B527" s="46">
        <v>40567</v>
      </c>
      <c r="C527">
        <v>1</v>
      </c>
      <c r="D527">
        <v>0</v>
      </c>
      <c r="E527" t="b">
        <v>0</v>
      </c>
      <c r="F527">
        <v>1</v>
      </c>
      <c r="G527" t="s">
        <v>35</v>
      </c>
      <c r="H527" t="s">
        <v>36</v>
      </c>
      <c r="I527">
        <v>1</v>
      </c>
      <c r="J527" t="s">
        <v>29</v>
      </c>
      <c r="K527">
        <v>0.06</v>
      </c>
      <c r="L527" t="s">
        <v>30</v>
      </c>
      <c r="M527">
        <v>6.0600000000000001E-2</v>
      </c>
      <c r="N527">
        <v>0.41</v>
      </c>
      <c r="O527" t="s">
        <v>34</v>
      </c>
      <c r="P527">
        <v>0.19400000000000001</v>
      </c>
      <c r="Q527">
        <v>0</v>
      </c>
      <c r="R527">
        <v>7</v>
      </c>
      <c r="S527">
        <v>7</v>
      </c>
    </row>
    <row r="528" spans="1:19" x14ac:dyDescent="0.3">
      <c r="A528">
        <v>527</v>
      </c>
      <c r="B528" s="46">
        <v>40567</v>
      </c>
      <c r="C528">
        <v>1</v>
      </c>
      <c r="D528">
        <v>1</v>
      </c>
      <c r="E528" t="b">
        <v>0</v>
      </c>
      <c r="F528">
        <v>1</v>
      </c>
      <c r="G528" t="s">
        <v>35</v>
      </c>
      <c r="H528" t="s">
        <v>36</v>
      </c>
      <c r="I528">
        <v>1</v>
      </c>
      <c r="J528" t="s">
        <v>29</v>
      </c>
      <c r="K528">
        <v>0.04</v>
      </c>
      <c r="L528" t="s">
        <v>30</v>
      </c>
      <c r="M528">
        <v>4.5499999999999999E-2</v>
      </c>
      <c r="N528">
        <v>0.45</v>
      </c>
      <c r="O528" t="s">
        <v>34</v>
      </c>
      <c r="P528">
        <v>0.19400000000000001</v>
      </c>
      <c r="Q528">
        <v>0</v>
      </c>
      <c r="R528">
        <v>1</v>
      </c>
      <c r="S528">
        <v>1</v>
      </c>
    </row>
    <row r="529" spans="1:19" x14ac:dyDescent="0.3">
      <c r="A529">
        <v>528</v>
      </c>
      <c r="B529" s="46">
        <v>40567</v>
      </c>
      <c r="C529">
        <v>1</v>
      </c>
      <c r="D529">
        <v>3</v>
      </c>
      <c r="E529" t="b">
        <v>0</v>
      </c>
      <c r="F529">
        <v>1</v>
      </c>
      <c r="G529" t="s">
        <v>35</v>
      </c>
      <c r="H529" t="s">
        <v>36</v>
      </c>
      <c r="I529">
        <v>1</v>
      </c>
      <c r="J529" t="s">
        <v>29</v>
      </c>
      <c r="K529">
        <v>0.04</v>
      </c>
      <c r="L529" t="s">
        <v>30</v>
      </c>
      <c r="M529">
        <v>3.0300000000000001E-2</v>
      </c>
      <c r="N529">
        <v>0.45</v>
      </c>
      <c r="O529" t="s">
        <v>34</v>
      </c>
      <c r="P529">
        <v>0.25369999999999998</v>
      </c>
      <c r="Q529">
        <v>0</v>
      </c>
      <c r="R529">
        <v>1</v>
      </c>
      <c r="S529">
        <v>1</v>
      </c>
    </row>
    <row r="530" spans="1:19" x14ac:dyDescent="0.3">
      <c r="A530">
        <v>529</v>
      </c>
      <c r="B530" s="46">
        <v>40567</v>
      </c>
      <c r="C530">
        <v>1</v>
      </c>
      <c r="D530">
        <v>4</v>
      </c>
      <c r="E530" t="b">
        <v>0</v>
      </c>
      <c r="F530">
        <v>1</v>
      </c>
      <c r="G530" t="s">
        <v>35</v>
      </c>
      <c r="H530" t="s">
        <v>36</v>
      </c>
      <c r="I530">
        <v>1</v>
      </c>
      <c r="J530" t="s">
        <v>29</v>
      </c>
      <c r="K530">
        <v>0.02</v>
      </c>
      <c r="L530" t="s">
        <v>30</v>
      </c>
      <c r="M530">
        <v>6.0600000000000001E-2</v>
      </c>
      <c r="N530">
        <v>0.48</v>
      </c>
      <c r="O530" t="s">
        <v>34</v>
      </c>
      <c r="P530">
        <v>0.1343</v>
      </c>
      <c r="Q530">
        <v>0</v>
      </c>
      <c r="R530">
        <v>1</v>
      </c>
      <c r="S530">
        <v>1</v>
      </c>
    </row>
    <row r="531" spans="1:19" x14ac:dyDescent="0.3">
      <c r="A531">
        <v>530</v>
      </c>
      <c r="B531" s="46">
        <v>40567</v>
      </c>
      <c r="C531">
        <v>1</v>
      </c>
      <c r="D531">
        <v>5</v>
      </c>
      <c r="E531" t="b">
        <v>0</v>
      </c>
      <c r="F531">
        <v>1</v>
      </c>
      <c r="G531" t="s">
        <v>35</v>
      </c>
      <c r="H531" t="s">
        <v>36</v>
      </c>
      <c r="I531">
        <v>1</v>
      </c>
      <c r="J531" t="s">
        <v>29</v>
      </c>
      <c r="K531">
        <v>0.02</v>
      </c>
      <c r="L531" t="s">
        <v>30</v>
      </c>
      <c r="M531">
        <v>6.0600000000000001E-2</v>
      </c>
      <c r="N531">
        <v>0.48</v>
      </c>
      <c r="O531" t="s">
        <v>34</v>
      </c>
      <c r="P531">
        <v>0.1343</v>
      </c>
      <c r="Q531">
        <v>0</v>
      </c>
      <c r="R531">
        <v>5</v>
      </c>
      <c r="S531">
        <v>5</v>
      </c>
    </row>
    <row r="532" spans="1:19" x14ac:dyDescent="0.3">
      <c r="A532">
        <v>531</v>
      </c>
      <c r="B532" s="46">
        <v>40567</v>
      </c>
      <c r="C532">
        <v>1</v>
      </c>
      <c r="D532">
        <v>6</v>
      </c>
      <c r="E532" t="b">
        <v>0</v>
      </c>
      <c r="F532">
        <v>1</v>
      </c>
      <c r="G532" t="s">
        <v>35</v>
      </c>
      <c r="H532" t="s">
        <v>36</v>
      </c>
      <c r="I532">
        <v>1</v>
      </c>
      <c r="J532" t="s">
        <v>29</v>
      </c>
      <c r="K532">
        <v>0.02</v>
      </c>
      <c r="L532" t="s">
        <v>30</v>
      </c>
      <c r="M532">
        <v>7.5800000000000006E-2</v>
      </c>
      <c r="N532">
        <v>0.48</v>
      </c>
      <c r="O532" t="s">
        <v>34</v>
      </c>
      <c r="P532">
        <v>8.9599999999999999E-2</v>
      </c>
      <c r="Q532">
        <v>0</v>
      </c>
      <c r="R532">
        <v>15</v>
      </c>
      <c r="S532">
        <v>15</v>
      </c>
    </row>
    <row r="533" spans="1:19" x14ac:dyDescent="0.3">
      <c r="A533">
        <v>532</v>
      </c>
      <c r="B533" s="46">
        <v>40567</v>
      </c>
      <c r="C533">
        <v>1</v>
      </c>
      <c r="D533">
        <v>7</v>
      </c>
      <c r="E533" t="b">
        <v>0</v>
      </c>
      <c r="F533">
        <v>1</v>
      </c>
      <c r="G533" t="s">
        <v>35</v>
      </c>
      <c r="H533" t="s">
        <v>36</v>
      </c>
      <c r="I533">
        <v>1</v>
      </c>
      <c r="J533" t="s">
        <v>29</v>
      </c>
      <c r="K533">
        <v>0.02</v>
      </c>
      <c r="L533" t="s">
        <v>30</v>
      </c>
      <c r="M533">
        <v>0.1212</v>
      </c>
      <c r="N533">
        <v>0.48</v>
      </c>
      <c r="O533" t="s">
        <v>34</v>
      </c>
      <c r="P533">
        <v>0</v>
      </c>
      <c r="Q533">
        <v>5</v>
      </c>
      <c r="R533">
        <v>79</v>
      </c>
      <c r="S533">
        <v>84</v>
      </c>
    </row>
    <row r="534" spans="1:19" x14ac:dyDescent="0.3">
      <c r="A534">
        <v>533</v>
      </c>
      <c r="B534" s="46">
        <v>40567</v>
      </c>
      <c r="C534">
        <v>1</v>
      </c>
      <c r="D534">
        <v>8</v>
      </c>
      <c r="E534" t="b">
        <v>0</v>
      </c>
      <c r="F534">
        <v>1</v>
      </c>
      <c r="G534" t="s">
        <v>35</v>
      </c>
      <c r="H534" t="s">
        <v>36</v>
      </c>
      <c r="I534">
        <v>1</v>
      </c>
      <c r="J534" t="s">
        <v>29</v>
      </c>
      <c r="K534">
        <v>0.04</v>
      </c>
      <c r="L534" t="s">
        <v>30</v>
      </c>
      <c r="M534">
        <v>0.13639999999999999</v>
      </c>
      <c r="N534">
        <v>0.49</v>
      </c>
      <c r="O534" t="s">
        <v>34</v>
      </c>
      <c r="P534">
        <v>0</v>
      </c>
      <c r="Q534">
        <v>6</v>
      </c>
      <c r="R534">
        <v>171</v>
      </c>
      <c r="S534">
        <v>177</v>
      </c>
    </row>
    <row r="535" spans="1:19" x14ac:dyDescent="0.3">
      <c r="A535">
        <v>534</v>
      </c>
      <c r="B535" s="46">
        <v>40567</v>
      </c>
      <c r="C535">
        <v>1</v>
      </c>
      <c r="D535">
        <v>9</v>
      </c>
      <c r="E535" t="b">
        <v>0</v>
      </c>
      <c r="F535">
        <v>1</v>
      </c>
      <c r="G535" t="s">
        <v>35</v>
      </c>
      <c r="H535" t="s">
        <v>36</v>
      </c>
      <c r="I535">
        <v>1</v>
      </c>
      <c r="J535" t="s">
        <v>29</v>
      </c>
      <c r="K535">
        <v>0.06</v>
      </c>
      <c r="L535" t="s">
        <v>30</v>
      </c>
      <c r="M535">
        <v>0.1515</v>
      </c>
      <c r="N535">
        <v>0.41</v>
      </c>
      <c r="O535" t="s">
        <v>34</v>
      </c>
      <c r="P535">
        <v>0</v>
      </c>
      <c r="Q535">
        <v>4</v>
      </c>
      <c r="R535">
        <v>98</v>
      </c>
      <c r="S535">
        <v>102</v>
      </c>
    </row>
    <row r="536" spans="1:19" x14ac:dyDescent="0.3">
      <c r="A536">
        <v>535</v>
      </c>
      <c r="B536" s="46">
        <v>40567</v>
      </c>
      <c r="C536">
        <v>1</v>
      </c>
      <c r="D536">
        <v>10</v>
      </c>
      <c r="E536" t="b">
        <v>0</v>
      </c>
      <c r="F536">
        <v>1</v>
      </c>
      <c r="G536" t="s">
        <v>35</v>
      </c>
      <c r="H536" t="s">
        <v>36</v>
      </c>
      <c r="I536">
        <v>1</v>
      </c>
      <c r="J536" t="s">
        <v>29</v>
      </c>
      <c r="K536">
        <v>0.1</v>
      </c>
      <c r="L536" t="s">
        <v>23</v>
      </c>
      <c r="M536">
        <v>0.13639999999999999</v>
      </c>
      <c r="N536">
        <v>0.42</v>
      </c>
      <c r="O536" t="s">
        <v>34</v>
      </c>
      <c r="P536">
        <v>0</v>
      </c>
      <c r="Q536">
        <v>6</v>
      </c>
      <c r="R536">
        <v>34</v>
      </c>
      <c r="S536">
        <v>40</v>
      </c>
    </row>
    <row r="537" spans="1:19" x14ac:dyDescent="0.3">
      <c r="A537">
        <v>536</v>
      </c>
      <c r="B537" s="46">
        <v>40567</v>
      </c>
      <c r="C537">
        <v>1</v>
      </c>
      <c r="D537">
        <v>11</v>
      </c>
      <c r="E537" t="b">
        <v>0</v>
      </c>
      <c r="F537">
        <v>1</v>
      </c>
      <c r="G537" t="s">
        <v>35</v>
      </c>
      <c r="H537" t="s">
        <v>36</v>
      </c>
      <c r="I537">
        <v>1</v>
      </c>
      <c r="J537" t="s">
        <v>29</v>
      </c>
      <c r="K537">
        <v>0.1</v>
      </c>
      <c r="L537" t="s">
        <v>23</v>
      </c>
      <c r="M537">
        <v>0.1212</v>
      </c>
      <c r="N537">
        <v>0.46</v>
      </c>
      <c r="O537" t="s">
        <v>34</v>
      </c>
      <c r="P537">
        <v>0.1343</v>
      </c>
      <c r="Q537">
        <v>3</v>
      </c>
      <c r="R537">
        <v>43</v>
      </c>
      <c r="S537">
        <v>46</v>
      </c>
    </row>
    <row r="538" spans="1:19" x14ac:dyDescent="0.3">
      <c r="A538">
        <v>537</v>
      </c>
      <c r="B538" s="46">
        <v>40567</v>
      </c>
      <c r="C538">
        <v>1</v>
      </c>
      <c r="D538">
        <v>12</v>
      </c>
      <c r="E538" t="b">
        <v>0</v>
      </c>
      <c r="F538">
        <v>1</v>
      </c>
      <c r="G538" t="s">
        <v>35</v>
      </c>
      <c r="H538" t="s">
        <v>36</v>
      </c>
      <c r="I538">
        <v>2</v>
      </c>
      <c r="J538" t="s">
        <v>31</v>
      </c>
      <c r="K538">
        <v>0.12</v>
      </c>
      <c r="L538" t="s">
        <v>23</v>
      </c>
      <c r="M538">
        <v>0.13639999999999999</v>
      </c>
      <c r="N538">
        <v>0.42</v>
      </c>
      <c r="O538" t="s">
        <v>34</v>
      </c>
      <c r="P538">
        <v>0.19400000000000001</v>
      </c>
      <c r="Q538">
        <v>11</v>
      </c>
      <c r="R538">
        <v>52</v>
      </c>
      <c r="S538">
        <v>63</v>
      </c>
    </row>
    <row r="539" spans="1:19" x14ac:dyDescent="0.3">
      <c r="A539">
        <v>538</v>
      </c>
      <c r="B539" s="46">
        <v>40567</v>
      </c>
      <c r="C539">
        <v>1</v>
      </c>
      <c r="D539">
        <v>13</v>
      </c>
      <c r="E539" t="b">
        <v>0</v>
      </c>
      <c r="F539">
        <v>1</v>
      </c>
      <c r="G539" t="s">
        <v>35</v>
      </c>
      <c r="H539" t="s">
        <v>36</v>
      </c>
      <c r="I539">
        <v>2</v>
      </c>
      <c r="J539" t="s">
        <v>31</v>
      </c>
      <c r="K539">
        <v>0.14000000000000001</v>
      </c>
      <c r="L539" t="s">
        <v>23</v>
      </c>
      <c r="M539">
        <v>0.13639999999999999</v>
      </c>
      <c r="N539">
        <v>0.43</v>
      </c>
      <c r="O539" t="s">
        <v>34</v>
      </c>
      <c r="P539">
        <v>0.22389999999999999</v>
      </c>
      <c r="Q539">
        <v>6</v>
      </c>
      <c r="R539">
        <v>54</v>
      </c>
      <c r="S539">
        <v>60</v>
      </c>
    </row>
    <row r="540" spans="1:19" x14ac:dyDescent="0.3">
      <c r="A540">
        <v>539</v>
      </c>
      <c r="B540" s="46">
        <v>40567</v>
      </c>
      <c r="C540">
        <v>1</v>
      </c>
      <c r="D540">
        <v>14</v>
      </c>
      <c r="E540" t="b">
        <v>0</v>
      </c>
      <c r="F540">
        <v>1</v>
      </c>
      <c r="G540" t="s">
        <v>35</v>
      </c>
      <c r="H540" t="s">
        <v>36</v>
      </c>
      <c r="I540">
        <v>2</v>
      </c>
      <c r="J540" t="s">
        <v>31</v>
      </c>
      <c r="K540">
        <v>0.14000000000000001</v>
      </c>
      <c r="L540" t="s">
        <v>23</v>
      </c>
      <c r="M540">
        <v>0.13639999999999999</v>
      </c>
      <c r="N540">
        <v>0.46</v>
      </c>
      <c r="O540" t="s">
        <v>34</v>
      </c>
      <c r="P540">
        <v>0.22389999999999999</v>
      </c>
      <c r="Q540">
        <v>2</v>
      </c>
      <c r="R540">
        <v>43</v>
      </c>
      <c r="S540">
        <v>45</v>
      </c>
    </row>
    <row r="541" spans="1:19" x14ac:dyDescent="0.3">
      <c r="A541">
        <v>540</v>
      </c>
      <c r="B541" s="46">
        <v>40567</v>
      </c>
      <c r="C541">
        <v>1</v>
      </c>
      <c r="D541">
        <v>15</v>
      </c>
      <c r="E541" t="b">
        <v>0</v>
      </c>
      <c r="F541">
        <v>1</v>
      </c>
      <c r="G541" t="s">
        <v>35</v>
      </c>
      <c r="H541" t="s">
        <v>36</v>
      </c>
      <c r="I541">
        <v>1</v>
      </c>
      <c r="J541" t="s">
        <v>29</v>
      </c>
      <c r="K541">
        <v>0.16</v>
      </c>
      <c r="L541" t="s">
        <v>23</v>
      </c>
      <c r="M541">
        <v>0.16669999999999999</v>
      </c>
      <c r="N541">
        <v>0.4</v>
      </c>
      <c r="O541" t="s">
        <v>34</v>
      </c>
      <c r="P541">
        <v>0.16420000000000001</v>
      </c>
      <c r="Q541">
        <v>7</v>
      </c>
      <c r="R541">
        <v>50</v>
      </c>
      <c r="S541">
        <v>57</v>
      </c>
    </row>
    <row r="542" spans="1:19" x14ac:dyDescent="0.3">
      <c r="A542">
        <v>541</v>
      </c>
      <c r="B542" s="46">
        <v>40567</v>
      </c>
      <c r="C542">
        <v>1</v>
      </c>
      <c r="D542">
        <v>16</v>
      </c>
      <c r="E542" t="b">
        <v>0</v>
      </c>
      <c r="F542">
        <v>1</v>
      </c>
      <c r="G542" t="s">
        <v>35</v>
      </c>
      <c r="H542" t="s">
        <v>36</v>
      </c>
      <c r="I542">
        <v>1</v>
      </c>
      <c r="J542" t="s">
        <v>29</v>
      </c>
      <c r="K542">
        <v>0.16</v>
      </c>
      <c r="L542" t="s">
        <v>23</v>
      </c>
      <c r="M542">
        <v>0.1515</v>
      </c>
      <c r="N542">
        <v>0.47</v>
      </c>
      <c r="O542" t="s">
        <v>34</v>
      </c>
      <c r="P542">
        <v>0.25369999999999998</v>
      </c>
      <c r="Q542">
        <v>4</v>
      </c>
      <c r="R542">
        <v>66</v>
      </c>
      <c r="S542">
        <v>70</v>
      </c>
    </row>
    <row r="543" spans="1:19" x14ac:dyDescent="0.3">
      <c r="A543">
        <v>542</v>
      </c>
      <c r="B543" s="46">
        <v>40567</v>
      </c>
      <c r="C543">
        <v>1</v>
      </c>
      <c r="D543">
        <v>17</v>
      </c>
      <c r="E543" t="b">
        <v>0</v>
      </c>
      <c r="F543">
        <v>1</v>
      </c>
      <c r="G543" t="s">
        <v>35</v>
      </c>
      <c r="H543" t="s">
        <v>36</v>
      </c>
      <c r="I543">
        <v>1</v>
      </c>
      <c r="J543" t="s">
        <v>29</v>
      </c>
      <c r="K543">
        <v>0.14000000000000001</v>
      </c>
      <c r="L543" t="s">
        <v>23</v>
      </c>
      <c r="M543">
        <v>0.1212</v>
      </c>
      <c r="N543">
        <v>0.5</v>
      </c>
      <c r="O543" t="s">
        <v>34</v>
      </c>
      <c r="P543">
        <v>0.25369999999999998</v>
      </c>
      <c r="Q543">
        <v>6</v>
      </c>
      <c r="R543">
        <v>178</v>
      </c>
      <c r="S543">
        <v>184</v>
      </c>
    </row>
    <row r="544" spans="1:19" x14ac:dyDescent="0.3">
      <c r="A544">
        <v>543</v>
      </c>
      <c r="B544" s="46">
        <v>40567</v>
      </c>
      <c r="C544">
        <v>1</v>
      </c>
      <c r="D544">
        <v>18</v>
      </c>
      <c r="E544" t="b">
        <v>0</v>
      </c>
      <c r="F544">
        <v>1</v>
      </c>
      <c r="G544" t="s">
        <v>35</v>
      </c>
      <c r="H544" t="s">
        <v>36</v>
      </c>
      <c r="I544">
        <v>1</v>
      </c>
      <c r="J544" t="s">
        <v>29</v>
      </c>
      <c r="K544">
        <v>0.14000000000000001</v>
      </c>
      <c r="L544" t="s">
        <v>23</v>
      </c>
      <c r="M544">
        <v>0.13639999999999999</v>
      </c>
      <c r="N544">
        <v>0.59</v>
      </c>
      <c r="O544" t="s">
        <v>34</v>
      </c>
      <c r="P544">
        <v>0.19400000000000001</v>
      </c>
      <c r="Q544">
        <v>8</v>
      </c>
      <c r="R544">
        <v>145</v>
      </c>
      <c r="S544">
        <v>153</v>
      </c>
    </row>
    <row r="545" spans="1:19" x14ac:dyDescent="0.3">
      <c r="A545">
        <v>544</v>
      </c>
      <c r="B545" s="46">
        <v>40567</v>
      </c>
      <c r="C545">
        <v>1</v>
      </c>
      <c r="D545">
        <v>19</v>
      </c>
      <c r="E545" t="b">
        <v>0</v>
      </c>
      <c r="F545">
        <v>1</v>
      </c>
      <c r="G545" t="s">
        <v>35</v>
      </c>
      <c r="H545" t="s">
        <v>36</v>
      </c>
      <c r="I545">
        <v>1</v>
      </c>
      <c r="J545" t="s">
        <v>29</v>
      </c>
      <c r="K545">
        <v>0.14000000000000001</v>
      </c>
      <c r="L545" t="s">
        <v>23</v>
      </c>
      <c r="M545">
        <v>0.1515</v>
      </c>
      <c r="N545">
        <v>0.54</v>
      </c>
      <c r="O545" t="s">
        <v>34</v>
      </c>
      <c r="P545">
        <v>0.16420000000000001</v>
      </c>
      <c r="Q545">
        <v>5</v>
      </c>
      <c r="R545">
        <v>101</v>
      </c>
      <c r="S545">
        <v>106</v>
      </c>
    </row>
    <row r="546" spans="1:19" x14ac:dyDescent="0.3">
      <c r="A546">
        <v>545</v>
      </c>
      <c r="B546" s="46">
        <v>40567</v>
      </c>
      <c r="C546">
        <v>1</v>
      </c>
      <c r="D546">
        <v>20</v>
      </c>
      <c r="E546" t="b">
        <v>0</v>
      </c>
      <c r="F546">
        <v>1</v>
      </c>
      <c r="G546" t="s">
        <v>35</v>
      </c>
      <c r="H546" t="s">
        <v>36</v>
      </c>
      <c r="I546">
        <v>1</v>
      </c>
      <c r="J546" t="s">
        <v>29</v>
      </c>
      <c r="K546">
        <v>0.14000000000000001</v>
      </c>
      <c r="L546" t="s">
        <v>23</v>
      </c>
      <c r="M546">
        <v>0.13639999999999999</v>
      </c>
      <c r="N546">
        <v>0.59</v>
      </c>
      <c r="O546" t="s">
        <v>34</v>
      </c>
      <c r="P546">
        <v>0.19400000000000001</v>
      </c>
      <c r="Q546">
        <v>1</v>
      </c>
      <c r="R546">
        <v>80</v>
      </c>
      <c r="S546">
        <v>81</v>
      </c>
    </row>
    <row r="547" spans="1:19" x14ac:dyDescent="0.3">
      <c r="A547">
        <v>546</v>
      </c>
      <c r="B547" s="46">
        <v>40567</v>
      </c>
      <c r="C547">
        <v>1</v>
      </c>
      <c r="D547">
        <v>21</v>
      </c>
      <c r="E547" t="b">
        <v>0</v>
      </c>
      <c r="F547">
        <v>1</v>
      </c>
      <c r="G547" t="s">
        <v>35</v>
      </c>
      <c r="H547" t="s">
        <v>36</v>
      </c>
      <c r="I547">
        <v>1</v>
      </c>
      <c r="J547" t="s">
        <v>29</v>
      </c>
      <c r="K547">
        <v>0.14000000000000001</v>
      </c>
      <c r="L547" t="s">
        <v>23</v>
      </c>
      <c r="M547">
        <v>0.1515</v>
      </c>
      <c r="N547">
        <v>0.63</v>
      </c>
      <c r="O547" t="s">
        <v>34</v>
      </c>
      <c r="P547">
        <v>0.16420000000000001</v>
      </c>
      <c r="Q547">
        <v>6</v>
      </c>
      <c r="R547">
        <v>53</v>
      </c>
      <c r="S547">
        <v>59</v>
      </c>
    </row>
    <row r="548" spans="1:19" x14ac:dyDescent="0.3">
      <c r="A548">
        <v>547</v>
      </c>
      <c r="B548" s="46">
        <v>40567</v>
      </c>
      <c r="C548">
        <v>1</v>
      </c>
      <c r="D548">
        <v>22</v>
      </c>
      <c r="E548" t="b">
        <v>0</v>
      </c>
      <c r="F548">
        <v>1</v>
      </c>
      <c r="G548" t="s">
        <v>35</v>
      </c>
      <c r="H548" t="s">
        <v>36</v>
      </c>
      <c r="I548">
        <v>2</v>
      </c>
      <c r="J548" t="s">
        <v>31</v>
      </c>
      <c r="K548">
        <v>0.14000000000000001</v>
      </c>
      <c r="L548" t="s">
        <v>23</v>
      </c>
      <c r="M548">
        <v>0.13639999999999999</v>
      </c>
      <c r="N548">
        <v>0.63</v>
      </c>
      <c r="O548" t="s">
        <v>34</v>
      </c>
      <c r="P548">
        <v>0.22389999999999999</v>
      </c>
      <c r="Q548">
        <v>3</v>
      </c>
      <c r="R548">
        <v>32</v>
      </c>
      <c r="S548">
        <v>35</v>
      </c>
    </row>
    <row r="549" spans="1:19" x14ac:dyDescent="0.3">
      <c r="A549">
        <v>548</v>
      </c>
      <c r="B549" s="46">
        <v>40567</v>
      </c>
      <c r="C549">
        <v>1</v>
      </c>
      <c r="D549">
        <v>23</v>
      </c>
      <c r="E549" t="b">
        <v>0</v>
      </c>
      <c r="F549">
        <v>1</v>
      </c>
      <c r="G549" t="s">
        <v>35</v>
      </c>
      <c r="H549" t="s">
        <v>36</v>
      </c>
      <c r="I549">
        <v>2</v>
      </c>
      <c r="J549" t="s">
        <v>31</v>
      </c>
      <c r="K549">
        <v>0.16</v>
      </c>
      <c r="L549" t="s">
        <v>23</v>
      </c>
      <c r="M549">
        <v>0.1515</v>
      </c>
      <c r="N549">
        <v>0.64</v>
      </c>
      <c r="O549" t="s">
        <v>34</v>
      </c>
      <c r="P549">
        <v>0.25369999999999998</v>
      </c>
      <c r="Q549">
        <v>3</v>
      </c>
      <c r="R549">
        <v>21</v>
      </c>
      <c r="S549">
        <v>24</v>
      </c>
    </row>
    <row r="550" spans="1:19" x14ac:dyDescent="0.3">
      <c r="A550">
        <v>549</v>
      </c>
      <c r="B550" s="46">
        <v>40568</v>
      </c>
      <c r="C550">
        <v>1</v>
      </c>
      <c r="D550">
        <v>0</v>
      </c>
      <c r="E550" t="b">
        <v>0</v>
      </c>
      <c r="F550">
        <v>2</v>
      </c>
      <c r="G550" t="s">
        <v>35</v>
      </c>
      <c r="H550" t="s">
        <v>37</v>
      </c>
      <c r="I550">
        <v>2</v>
      </c>
      <c r="J550" t="s">
        <v>31</v>
      </c>
      <c r="K550">
        <v>0.16</v>
      </c>
      <c r="L550" t="s">
        <v>23</v>
      </c>
      <c r="M550">
        <v>0.13639999999999999</v>
      </c>
      <c r="N550">
        <v>0.69</v>
      </c>
      <c r="O550" t="s">
        <v>34</v>
      </c>
      <c r="P550">
        <v>0.28360000000000002</v>
      </c>
      <c r="Q550">
        <v>3</v>
      </c>
      <c r="R550">
        <v>6</v>
      </c>
      <c r="S550">
        <v>9</v>
      </c>
    </row>
    <row r="551" spans="1:19" x14ac:dyDescent="0.3">
      <c r="A551">
        <v>550</v>
      </c>
      <c r="B551" s="46">
        <v>40568</v>
      </c>
      <c r="C551">
        <v>1</v>
      </c>
      <c r="D551">
        <v>1</v>
      </c>
      <c r="E551" t="b">
        <v>0</v>
      </c>
      <c r="F551">
        <v>2</v>
      </c>
      <c r="G551" t="s">
        <v>35</v>
      </c>
      <c r="H551" t="s">
        <v>37</v>
      </c>
      <c r="I551">
        <v>2</v>
      </c>
      <c r="J551" t="s">
        <v>31</v>
      </c>
      <c r="K551">
        <v>0.16</v>
      </c>
      <c r="L551" t="s">
        <v>23</v>
      </c>
      <c r="M551">
        <v>0.16669999999999999</v>
      </c>
      <c r="N551">
        <v>0.69</v>
      </c>
      <c r="O551" t="s">
        <v>34</v>
      </c>
      <c r="P551">
        <v>0.16420000000000001</v>
      </c>
      <c r="Q551">
        <v>0</v>
      </c>
      <c r="R551">
        <v>5</v>
      </c>
      <c r="S551">
        <v>5</v>
      </c>
    </row>
    <row r="552" spans="1:19" x14ac:dyDescent="0.3">
      <c r="A552">
        <v>551</v>
      </c>
      <c r="B552" s="46">
        <v>40568</v>
      </c>
      <c r="C552">
        <v>1</v>
      </c>
      <c r="D552">
        <v>2</v>
      </c>
      <c r="E552" t="b">
        <v>0</v>
      </c>
      <c r="F552">
        <v>2</v>
      </c>
      <c r="G552" t="s">
        <v>35</v>
      </c>
      <c r="H552" t="s">
        <v>37</v>
      </c>
      <c r="I552">
        <v>1</v>
      </c>
      <c r="J552" t="s">
        <v>29</v>
      </c>
      <c r="K552">
        <v>0.16</v>
      </c>
      <c r="L552" t="s">
        <v>23</v>
      </c>
      <c r="M552">
        <v>0.1515</v>
      </c>
      <c r="N552">
        <v>0.69</v>
      </c>
      <c r="O552" t="s">
        <v>34</v>
      </c>
      <c r="P552">
        <v>0.22389999999999999</v>
      </c>
      <c r="Q552">
        <v>0</v>
      </c>
      <c r="R552">
        <v>2</v>
      </c>
      <c r="S552">
        <v>2</v>
      </c>
    </row>
    <row r="553" spans="1:19" x14ac:dyDescent="0.3">
      <c r="A553">
        <v>552</v>
      </c>
      <c r="B553" s="46">
        <v>40568</v>
      </c>
      <c r="C553">
        <v>1</v>
      </c>
      <c r="D553">
        <v>4</v>
      </c>
      <c r="E553" t="b">
        <v>0</v>
      </c>
      <c r="F553">
        <v>2</v>
      </c>
      <c r="G553" t="s">
        <v>35</v>
      </c>
      <c r="H553" t="s">
        <v>37</v>
      </c>
      <c r="I553">
        <v>1</v>
      </c>
      <c r="J553" t="s">
        <v>29</v>
      </c>
      <c r="K553">
        <v>0.14000000000000001</v>
      </c>
      <c r="L553" t="s">
        <v>23</v>
      </c>
      <c r="M553">
        <v>0.16669999999999999</v>
      </c>
      <c r="N553">
        <v>0.74</v>
      </c>
      <c r="O553" t="s">
        <v>30</v>
      </c>
      <c r="P553">
        <v>0.1045</v>
      </c>
      <c r="Q553">
        <v>0</v>
      </c>
      <c r="R553">
        <v>1</v>
      </c>
      <c r="S553">
        <v>1</v>
      </c>
    </row>
    <row r="554" spans="1:19" x14ac:dyDescent="0.3">
      <c r="A554">
        <v>553</v>
      </c>
      <c r="B554" s="46">
        <v>40568</v>
      </c>
      <c r="C554">
        <v>1</v>
      </c>
      <c r="D554">
        <v>5</v>
      </c>
      <c r="E554" t="b">
        <v>0</v>
      </c>
      <c r="F554">
        <v>2</v>
      </c>
      <c r="G554" t="s">
        <v>35</v>
      </c>
      <c r="H554" t="s">
        <v>37</v>
      </c>
      <c r="I554">
        <v>1</v>
      </c>
      <c r="J554" t="s">
        <v>29</v>
      </c>
      <c r="K554">
        <v>0.14000000000000001</v>
      </c>
      <c r="L554" t="s">
        <v>23</v>
      </c>
      <c r="M554">
        <v>0.13639999999999999</v>
      </c>
      <c r="N554">
        <v>0.74</v>
      </c>
      <c r="O554" t="s">
        <v>30</v>
      </c>
      <c r="P554">
        <v>0.22389999999999999</v>
      </c>
      <c r="Q554">
        <v>0</v>
      </c>
      <c r="R554">
        <v>9</v>
      </c>
      <c r="S554">
        <v>9</v>
      </c>
    </row>
    <row r="555" spans="1:19" x14ac:dyDescent="0.3">
      <c r="A555">
        <v>554</v>
      </c>
      <c r="B555" s="46">
        <v>40568</v>
      </c>
      <c r="C555">
        <v>1</v>
      </c>
      <c r="D555">
        <v>6</v>
      </c>
      <c r="E555" t="b">
        <v>0</v>
      </c>
      <c r="F555">
        <v>2</v>
      </c>
      <c r="G555" t="s">
        <v>35</v>
      </c>
      <c r="H555" t="s">
        <v>37</v>
      </c>
      <c r="I555">
        <v>1</v>
      </c>
      <c r="J555" t="s">
        <v>29</v>
      </c>
      <c r="K555">
        <v>0.16</v>
      </c>
      <c r="L555" t="s">
        <v>23</v>
      </c>
      <c r="M555">
        <v>0.18179999999999999</v>
      </c>
      <c r="N555">
        <v>0.74</v>
      </c>
      <c r="O555" t="s">
        <v>30</v>
      </c>
      <c r="P555">
        <v>0.1045</v>
      </c>
      <c r="Q555">
        <v>1</v>
      </c>
      <c r="R555">
        <v>35</v>
      </c>
      <c r="S555">
        <v>36</v>
      </c>
    </row>
    <row r="556" spans="1:19" x14ac:dyDescent="0.3">
      <c r="A556">
        <v>555</v>
      </c>
      <c r="B556" s="46">
        <v>40568</v>
      </c>
      <c r="C556">
        <v>1</v>
      </c>
      <c r="D556">
        <v>7</v>
      </c>
      <c r="E556" t="b">
        <v>0</v>
      </c>
      <c r="F556">
        <v>2</v>
      </c>
      <c r="G556" t="s">
        <v>35</v>
      </c>
      <c r="H556" t="s">
        <v>37</v>
      </c>
      <c r="I556">
        <v>1</v>
      </c>
      <c r="J556" t="s">
        <v>29</v>
      </c>
      <c r="K556">
        <v>0.16</v>
      </c>
      <c r="L556" t="s">
        <v>23</v>
      </c>
      <c r="M556">
        <v>0.1515</v>
      </c>
      <c r="N556">
        <v>0.74</v>
      </c>
      <c r="O556" t="s">
        <v>30</v>
      </c>
      <c r="P556">
        <v>0.22389999999999999</v>
      </c>
      <c r="Q556">
        <v>5</v>
      </c>
      <c r="R556">
        <v>103</v>
      </c>
      <c r="S556">
        <v>108</v>
      </c>
    </row>
    <row r="557" spans="1:19" x14ac:dyDescent="0.3">
      <c r="A557">
        <v>556</v>
      </c>
      <c r="B557" s="46">
        <v>40568</v>
      </c>
      <c r="C557">
        <v>1</v>
      </c>
      <c r="D557">
        <v>8</v>
      </c>
      <c r="E557" t="b">
        <v>0</v>
      </c>
      <c r="F557">
        <v>2</v>
      </c>
      <c r="G557" t="s">
        <v>35</v>
      </c>
      <c r="H557" t="s">
        <v>37</v>
      </c>
      <c r="I557">
        <v>2</v>
      </c>
      <c r="J557" t="s">
        <v>31</v>
      </c>
      <c r="K557">
        <v>0.16</v>
      </c>
      <c r="L557" t="s">
        <v>23</v>
      </c>
      <c r="M557">
        <v>0.18179999999999999</v>
      </c>
      <c r="N557">
        <v>0.74</v>
      </c>
      <c r="O557" t="s">
        <v>30</v>
      </c>
      <c r="P557">
        <v>0.1343</v>
      </c>
      <c r="Q557">
        <v>5</v>
      </c>
      <c r="R557">
        <v>233</v>
      </c>
      <c r="S557">
        <v>238</v>
      </c>
    </row>
    <row r="558" spans="1:19" x14ac:dyDescent="0.3">
      <c r="A558">
        <v>557</v>
      </c>
      <c r="B558" s="46">
        <v>40568</v>
      </c>
      <c r="C558">
        <v>1</v>
      </c>
      <c r="D558">
        <v>9</v>
      </c>
      <c r="E558" t="b">
        <v>0</v>
      </c>
      <c r="F558">
        <v>2</v>
      </c>
      <c r="G558" t="s">
        <v>35</v>
      </c>
      <c r="H558" t="s">
        <v>37</v>
      </c>
      <c r="I558">
        <v>2</v>
      </c>
      <c r="J558" t="s">
        <v>31</v>
      </c>
      <c r="K558">
        <v>0.2</v>
      </c>
      <c r="L558" t="s">
        <v>23</v>
      </c>
      <c r="M558">
        <v>0.2273</v>
      </c>
      <c r="N558">
        <v>0.64</v>
      </c>
      <c r="O558" t="s">
        <v>34</v>
      </c>
      <c r="P558">
        <v>8.9599999999999999E-2</v>
      </c>
      <c r="Q558">
        <v>10</v>
      </c>
      <c r="R558">
        <v>134</v>
      </c>
      <c r="S558">
        <v>144</v>
      </c>
    </row>
    <row r="559" spans="1:19" x14ac:dyDescent="0.3">
      <c r="A559">
        <v>558</v>
      </c>
      <c r="B559" s="46">
        <v>40568</v>
      </c>
      <c r="C559">
        <v>1</v>
      </c>
      <c r="D559">
        <v>10</v>
      </c>
      <c r="E559" t="b">
        <v>0</v>
      </c>
      <c r="F559">
        <v>2</v>
      </c>
      <c r="G559" t="s">
        <v>35</v>
      </c>
      <c r="H559" t="s">
        <v>37</v>
      </c>
      <c r="I559">
        <v>2</v>
      </c>
      <c r="J559" t="s">
        <v>31</v>
      </c>
      <c r="K559">
        <v>0.22</v>
      </c>
      <c r="L559" t="s">
        <v>23</v>
      </c>
      <c r="M559">
        <v>0.2424</v>
      </c>
      <c r="N559">
        <v>0.6</v>
      </c>
      <c r="O559" t="s">
        <v>34</v>
      </c>
      <c r="P559">
        <v>0.1045</v>
      </c>
      <c r="Q559">
        <v>6</v>
      </c>
      <c r="R559">
        <v>49</v>
      </c>
      <c r="S559">
        <v>55</v>
      </c>
    </row>
    <row r="560" spans="1:19" x14ac:dyDescent="0.3">
      <c r="A560">
        <v>559</v>
      </c>
      <c r="B560" s="46">
        <v>40568</v>
      </c>
      <c r="C560">
        <v>1</v>
      </c>
      <c r="D560">
        <v>11</v>
      </c>
      <c r="E560" t="b">
        <v>0</v>
      </c>
      <c r="F560">
        <v>2</v>
      </c>
      <c r="G560" t="s">
        <v>35</v>
      </c>
      <c r="H560" t="s">
        <v>37</v>
      </c>
      <c r="I560">
        <v>2</v>
      </c>
      <c r="J560" t="s">
        <v>31</v>
      </c>
      <c r="K560">
        <v>0.24</v>
      </c>
      <c r="L560" t="s">
        <v>23</v>
      </c>
      <c r="M560">
        <v>0.2424</v>
      </c>
      <c r="N560">
        <v>0.6</v>
      </c>
      <c r="O560" t="s">
        <v>34</v>
      </c>
      <c r="P560">
        <v>0.1343</v>
      </c>
      <c r="Q560">
        <v>6</v>
      </c>
      <c r="R560">
        <v>55</v>
      </c>
      <c r="S560">
        <v>61</v>
      </c>
    </row>
    <row r="561" spans="1:19" x14ac:dyDescent="0.3">
      <c r="A561">
        <v>560</v>
      </c>
      <c r="B561" s="46">
        <v>40568</v>
      </c>
      <c r="C561">
        <v>1</v>
      </c>
      <c r="D561">
        <v>12</v>
      </c>
      <c r="E561" t="b">
        <v>0</v>
      </c>
      <c r="F561">
        <v>2</v>
      </c>
      <c r="G561" t="s">
        <v>35</v>
      </c>
      <c r="H561" t="s">
        <v>37</v>
      </c>
      <c r="I561">
        <v>2</v>
      </c>
      <c r="J561" t="s">
        <v>31</v>
      </c>
      <c r="K561">
        <v>0.26</v>
      </c>
      <c r="L561" t="s">
        <v>23</v>
      </c>
      <c r="M561">
        <v>0.28789999999999999</v>
      </c>
      <c r="N561">
        <v>0.56000000000000005</v>
      </c>
      <c r="O561" t="s">
        <v>34</v>
      </c>
      <c r="P561">
        <v>8.9599999999999999E-2</v>
      </c>
      <c r="Q561">
        <v>21</v>
      </c>
      <c r="R561">
        <v>85</v>
      </c>
      <c r="S561">
        <v>106</v>
      </c>
    </row>
    <row r="562" spans="1:19" x14ac:dyDescent="0.3">
      <c r="A562">
        <v>561</v>
      </c>
      <c r="B562" s="46">
        <v>40568</v>
      </c>
      <c r="C562">
        <v>1</v>
      </c>
      <c r="D562">
        <v>13</v>
      </c>
      <c r="E562" t="b">
        <v>0</v>
      </c>
      <c r="F562">
        <v>2</v>
      </c>
      <c r="G562" t="s">
        <v>35</v>
      </c>
      <c r="H562" t="s">
        <v>37</v>
      </c>
      <c r="I562">
        <v>2</v>
      </c>
      <c r="J562" t="s">
        <v>31</v>
      </c>
      <c r="K562">
        <v>0.26</v>
      </c>
      <c r="L562" t="s">
        <v>23</v>
      </c>
      <c r="M562">
        <v>0.2727</v>
      </c>
      <c r="N562">
        <v>0.56000000000000005</v>
      </c>
      <c r="O562" t="s">
        <v>34</v>
      </c>
      <c r="P562">
        <v>0.1343</v>
      </c>
      <c r="Q562">
        <v>21</v>
      </c>
      <c r="R562">
        <v>72</v>
      </c>
      <c r="S562">
        <v>93</v>
      </c>
    </row>
    <row r="563" spans="1:19" x14ac:dyDescent="0.3">
      <c r="A563">
        <v>562</v>
      </c>
      <c r="B563" s="46">
        <v>40568</v>
      </c>
      <c r="C563">
        <v>1</v>
      </c>
      <c r="D563">
        <v>14</v>
      </c>
      <c r="E563" t="b">
        <v>0</v>
      </c>
      <c r="F563">
        <v>2</v>
      </c>
      <c r="G563" t="s">
        <v>35</v>
      </c>
      <c r="H563" t="s">
        <v>37</v>
      </c>
      <c r="I563">
        <v>2</v>
      </c>
      <c r="J563" t="s">
        <v>31</v>
      </c>
      <c r="K563">
        <v>0.3</v>
      </c>
      <c r="L563" t="s">
        <v>23</v>
      </c>
      <c r="M563">
        <v>0.33329999999999999</v>
      </c>
      <c r="N563">
        <v>0.45</v>
      </c>
      <c r="O563" t="s">
        <v>34</v>
      </c>
      <c r="P563">
        <v>0</v>
      </c>
      <c r="Q563">
        <v>11</v>
      </c>
      <c r="R563">
        <v>57</v>
      </c>
      <c r="S563">
        <v>68</v>
      </c>
    </row>
    <row r="564" spans="1:19" x14ac:dyDescent="0.3">
      <c r="A564">
        <v>563</v>
      </c>
      <c r="B564" s="46">
        <v>40568</v>
      </c>
      <c r="C564">
        <v>1</v>
      </c>
      <c r="D564">
        <v>15</v>
      </c>
      <c r="E564" t="b">
        <v>0</v>
      </c>
      <c r="F564">
        <v>2</v>
      </c>
      <c r="G564" t="s">
        <v>35</v>
      </c>
      <c r="H564" t="s">
        <v>37</v>
      </c>
      <c r="I564">
        <v>2</v>
      </c>
      <c r="J564" t="s">
        <v>31</v>
      </c>
      <c r="K564">
        <v>0.32</v>
      </c>
      <c r="L564" t="s">
        <v>23</v>
      </c>
      <c r="M564">
        <v>0.34849999999999998</v>
      </c>
      <c r="N564">
        <v>0.42</v>
      </c>
      <c r="O564" t="s">
        <v>34</v>
      </c>
      <c r="P564">
        <v>0</v>
      </c>
      <c r="Q564">
        <v>21</v>
      </c>
      <c r="R564">
        <v>63</v>
      </c>
      <c r="S564">
        <v>84</v>
      </c>
    </row>
    <row r="565" spans="1:19" x14ac:dyDescent="0.3">
      <c r="A565">
        <v>564</v>
      </c>
      <c r="B565" s="46">
        <v>40568</v>
      </c>
      <c r="C565">
        <v>1</v>
      </c>
      <c r="D565">
        <v>16</v>
      </c>
      <c r="E565" t="b">
        <v>0</v>
      </c>
      <c r="F565">
        <v>2</v>
      </c>
      <c r="G565" t="s">
        <v>35</v>
      </c>
      <c r="H565" t="s">
        <v>37</v>
      </c>
      <c r="I565">
        <v>2</v>
      </c>
      <c r="J565" t="s">
        <v>31</v>
      </c>
      <c r="K565">
        <v>0.32</v>
      </c>
      <c r="L565" t="s">
        <v>23</v>
      </c>
      <c r="M565">
        <v>0.34849999999999998</v>
      </c>
      <c r="N565">
        <v>0.42</v>
      </c>
      <c r="O565" t="s">
        <v>34</v>
      </c>
      <c r="P565">
        <v>0</v>
      </c>
      <c r="Q565">
        <v>14</v>
      </c>
      <c r="R565">
        <v>102</v>
      </c>
      <c r="S565">
        <v>116</v>
      </c>
    </row>
    <row r="566" spans="1:19" x14ac:dyDescent="0.3">
      <c r="A566">
        <v>565</v>
      </c>
      <c r="B566" s="46">
        <v>40568</v>
      </c>
      <c r="C566">
        <v>1</v>
      </c>
      <c r="D566">
        <v>17</v>
      </c>
      <c r="E566" t="b">
        <v>0</v>
      </c>
      <c r="F566">
        <v>2</v>
      </c>
      <c r="G566" t="s">
        <v>35</v>
      </c>
      <c r="H566" t="s">
        <v>37</v>
      </c>
      <c r="I566">
        <v>1</v>
      </c>
      <c r="J566" t="s">
        <v>29</v>
      </c>
      <c r="K566">
        <v>0.3</v>
      </c>
      <c r="L566" t="s">
        <v>23</v>
      </c>
      <c r="M566">
        <v>0.33329999999999999</v>
      </c>
      <c r="N566">
        <v>0.45</v>
      </c>
      <c r="O566" t="s">
        <v>34</v>
      </c>
      <c r="P566">
        <v>0</v>
      </c>
      <c r="Q566">
        <v>14</v>
      </c>
      <c r="R566">
        <v>208</v>
      </c>
      <c r="S566">
        <v>222</v>
      </c>
    </row>
    <row r="567" spans="1:19" x14ac:dyDescent="0.3">
      <c r="A567">
        <v>566</v>
      </c>
      <c r="B567" s="46">
        <v>40568</v>
      </c>
      <c r="C567">
        <v>1</v>
      </c>
      <c r="D567">
        <v>18</v>
      </c>
      <c r="E567" t="b">
        <v>0</v>
      </c>
      <c r="F567">
        <v>2</v>
      </c>
      <c r="G567" t="s">
        <v>35</v>
      </c>
      <c r="H567" t="s">
        <v>37</v>
      </c>
      <c r="I567">
        <v>2</v>
      </c>
      <c r="J567" t="s">
        <v>31</v>
      </c>
      <c r="K567">
        <v>0.3</v>
      </c>
      <c r="L567" t="s">
        <v>23</v>
      </c>
      <c r="M567">
        <v>0.31819999999999998</v>
      </c>
      <c r="N567">
        <v>0.49</v>
      </c>
      <c r="O567" t="s">
        <v>34</v>
      </c>
      <c r="P567">
        <v>8.9599999999999999E-2</v>
      </c>
      <c r="Q567">
        <v>7</v>
      </c>
      <c r="R567">
        <v>218</v>
      </c>
      <c r="S567">
        <v>225</v>
      </c>
    </row>
    <row r="568" spans="1:19" x14ac:dyDescent="0.3">
      <c r="A568">
        <v>567</v>
      </c>
      <c r="B568" s="46">
        <v>40568</v>
      </c>
      <c r="C568">
        <v>1</v>
      </c>
      <c r="D568">
        <v>19</v>
      </c>
      <c r="E568" t="b">
        <v>0</v>
      </c>
      <c r="F568">
        <v>2</v>
      </c>
      <c r="G568" t="s">
        <v>35</v>
      </c>
      <c r="H568" t="s">
        <v>37</v>
      </c>
      <c r="I568">
        <v>2</v>
      </c>
      <c r="J568" t="s">
        <v>31</v>
      </c>
      <c r="K568">
        <v>0.26</v>
      </c>
      <c r="L568" t="s">
        <v>23</v>
      </c>
      <c r="M568">
        <v>0.2576</v>
      </c>
      <c r="N568">
        <v>0.65</v>
      </c>
      <c r="O568" t="s">
        <v>34</v>
      </c>
      <c r="P568">
        <v>0.16420000000000001</v>
      </c>
      <c r="Q568">
        <v>13</v>
      </c>
      <c r="R568">
        <v>133</v>
      </c>
      <c r="S568">
        <v>146</v>
      </c>
    </row>
    <row r="569" spans="1:19" x14ac:dyDescent="0.3">
      <c r="A569">
        <v>568</v>
      </c>
      <c r="B569" s="46">
        <v>40568</v>
      </c>
      <c r="C569">
        <v>1</v>
      </c>
      <c r="D569">
        <v>20</v>
      </c>
      <c r="E569" t="b">
        <v>0</v>
      </c>
      <c r="F569">
        <v>2</v>
      </c>
      <c r="G569" t="s">
        <v>35</v>
      </c>
      <c r="H569" t="s">
        <v>37</v>
      </c>
      <c r="I569">
        <v>1</v>
      </c>
      <c r="J569" t="s">
        <v>29</v>
      </c>
      <c r="K569">
        <v>0.24</v>
      </c>
      <c r="L569" t="s">
        <v>23</v>
      </c>
      <c r="M569">
        <v>0.2273</v>
      </c>
      <c r="N569">
        <v>0.65</v>
      </c>
      <c r="O569" t="s">
        <v>34</v>
      </c>
      <c r="P569">
        <v>0.19400000000000001</v>
      </c>
      <c r="Q569">
        <v>16</v>
      </c>
      <c r="R569">
        <v>103</v>
      </c>
      <c r="S569">
        <v>119</v>
      </c>
    </row>
    <row r="570" spans="1:19" x14ac:dyDescent="0.3">
      <c r="A570">
        <v>569</v>
      </c>
      <c r="B570" s="46">
        <v>40568</v>
      </c>
      <c r="C570">
        <v>1</v>
      </c>
      <c r="D570">
        <v>21</v>
      </c>
      <c r="E570" t="b">
        <v>0</v>
      </c>
      <c r="F570">
        <v>2</v>
      </c>
      <c r="G570" t="s">
        <v>35</v>
      </c>
      <c r="H570" t="s">
        <v>37</v>
      </c>
      <c r="I570">
        <v>1</v>
      </c>
      <c r="J570" t="s">
        <v>29</v>
      </c>
      <c r="K570">
        <v>0.24</v>
      </c>
      <c r="L570" t="s">
        <v>23</v>
      </c>
      <c r="M570">
        <v>0.2273</v>
      </c>
      <c r="N570">
        <v>0.65</v>
      </c>
      <c r="O570" t="s">
        <v>34</v>
      </c>
      <c r="P570">
        <v>0.19400000000000001</v>
      </c>
      <c r="Q570">
        <v>5</v>
      </c>
      <c r="R570">
        <v>40</v>
      </c>
      <c r="S570">
        <v>45</v>
      </c>
    </row>
    <row r="571" spans="1:19" x14ac:dyDescent="0.3">
      <c r="A571">
        <v>570</v>
      </c>
      <c r="B571" s="46">
        <v>40568</v>
      </c>
      <c r="C571">
        <v>1</v>
      </c>
      <c r="D571">
        <v>22</v>
      </c>
      <c r="E571" t="b">
        <v>0</v>
      </c>
      <c r="F571">
        <v>2</v>
      </c>
      <c r="G571" t="s">
        <v>35</v>
      </c>
      <c r="H571" t="s">
        <v>37</v>
      </c>
      <c r="I571">
        <v>1</v>
      </c>
      <c r="J571" t="s">
        <v>29</v>
      </c>
      <c r="K571">
        <v>0.22</v>
      </c>
      <c r="L571" t="s">
        <v>23</v>
      </c>
      <c r="M571">
        <v>0.2273</v>
      </c>
      <c r="N571">
        <v>0.64</v>
      </c>
      <c r="O571" t="s">
        <v>34</v>
      </c>
      <c r="P571">
        <v>0.16420000000000001</v>
      </c>
      <c r="Q571">
        <v>4</v>
      </c>
      <c r="R571">
        <v>49</v>
      </c>
      <c r="S571">
        <v>53</v>
      </c>
    </row>
    <row r="572" spans="1:19" x14ac:dyDescent="0.3">
      <c r="A572">
        <v>571</v>
      </c>
      <c r="B572" s="46">
        <v>40568</v>
      </c>
      <c r="C572">
        <v>1</v>
      </c>
      <c r="D572">
        <v>23</v>
      </c>
      <c r="E572" t="b">
        <v>0</v>
      </c>
      <c r="F572">
        <v>2</v>
      </c>
      <c r="G572" t="s">
        <v>35</v>
      </c>
      <c r="H572" t="s">
        <v>37</v>
      </c>
      <c r="I572">
        <v>2</v>
      </c>
      <c r="J572" t="s">
        <v>31</v>
      </c>
      <c r="K572">
        <v>0.22</v>
      </c>
      <c r="L572" t="s">
        <v>23</v>
      </c>
      <c r="M572">
        <v>0.2273</v>
      </c>
      <c r="N572">
        <v>0.64</v>
      </c>
      <c r="O572" t="s">
        <v>34</v>
      </c>
      <c r="P572">
        <v>0.16420000000000001</v>
      </c>
      <c r="Q572">
        <v>3</v>
      </c>
      <c r="R572">
        <v>37</v>
      </c>
      <c r="S572">
        <v>40</v>
      </c>
    </row>
    <row r="573" spans="1:19" x14ac:dyDescent="0.3">
      <c r="A573">
        <v>572</v>
      </c>
      <c r="B573" s="46">
        <v>40569</v>
      </c>
      <c r="C573">
        <v>1</v>
      </c>
      <c r="D573">
        <v>0</v>
      </c>
      <c r="E573" t="b">
        <v>0</v>
      </c>
      <c r="F573">
        <v>3</v>
      </c>
      <c r="G573" t="s">
        <v>35</v>
      </c>
      <c r="H573" t="s">
        <v>38</v>
      </c>
      <c r="I573">
        <v>2</v>
      </c>
      <c r="J573" t="s">
        <v>31</v>
      </c>
      <c r="K573">
        <v>0.22</v>
      </c>
      <c r="L573" t="s">
        <v>23</v>
      </c>
      <c r="M573">
        <v>0.2273</v>
      </c>
      <c r="N573">
        <v>0.69</v>
      </c>
      <c r="O573" t="s">
        <v>34</v>
      </c>
      <c r="P573">
        <v>0.1343</v>
      </c>
      <c r="Q573">
        <v>3</v>
      </c>
      <c r="R573">
        <v>14</v>
      </c>
      <c r="S573">
        <v>17</v>
      </c>
    </row>
    <row r="574" spans="1:19" x14ac:dyDescent="0.3">
      <c r="A574">
        <v>573</v>
      </c>
      <c r="B574" s="46">
        <v>40569</v>
      </c>
      <c r="C574">
        <v>1</v>
      </c>
      <c r="D574">
        <v>1</v>
      </c>
      <c r="E574" t="b">
        <v>0</v>
      </c>
      <c r="F574">
        <v>3</v>
      </c>
      <c r="G574" t="s">
        <v>35</v>
      </c>
      <c r="H574" t="s">
        <v>38</v>
      </c>
      <c r="I574">
        <v>2</v>
      </c>
      <c r="J574" t="s">
        <v>31</v>
      </c>
      <c r="K574">
        <v>0.24</v>
      </c>
      <c r="L574" t="s">
        <v>23</v>
      </c>
      <c r="M574">
        <v>0.2424</v>
      </c>
      <c r="N574">
        <v>0.65</v>
      </c>
      <c r="O574" t="s">
        <v>34</v>
      </c>
      <c r="P574">
        <v>0.1343</v>
      </c>
      <c r="Q574">
        <v>0</v>
      </c>
      <c r="R574">
        <v>5</v>
      </c>
      <c r="S574">
        <v>5</v>
      </c>
    </row>
    <row r="575" spans="1:19" x14ac:dyDescent="0.3">
      <c r="A575">
        <v>574</v>
      </c>
      <c r="B575" s="46">
        <v>40569</v>
      </c>
      <c r="C575">
        <v>1</v>
      </c>
      <c r="D575">
        <v>2</v>
      </c>
      <c r="E575" t="b">
        <v>0</v>
      </c>
      <c r="F575">
        <v>3</v>
      </c>
      <c r="G575" t="s">
        <v>35</v>
      </c>
      <c r="H575" t="s">
        <v>38</v>
      </c>
      <c r="I575">
        <v>3</v>
      </c>
      <c r="J575" t="s">
        <v>32</v>
      </c>
      <c r="K575">
        <v>0.22</v>
      </c>
      <c r="L575" t="s">
        <v>23</v>
      </c>
      <c r="M575">
        <v>0.2273</v>
      </c>
      <c r="N575">
        <v>0.69</v>
      </c>
      <c r="O575" t="s">
        <v>34</v>
      </c>
      <c r="P575">
        <v>0.19400000000000001</v>
      </c>
      <c r="Q575">
        <v>3</v>
      </c>
      <c r="R575">
        <v>7</v>
      </c>
      <c r="S575">
        <v>10</v>
      </c>
    </row>
    <row r="576" spans="1:19" x14ac:dyDescent="0.3">
      <c r="A576">
        <v>575</v>
      </c>
      <c r="B576" s="46">
        <v>40569</v>
      </c>
      <c r="C576">
        <v>1</v>
      </c>
      <c r="D576">
        <v>5</v>
      </c>
      <c r="E576" t="b">
        <v>0</v>
      </c>
      <c r="F576">
        <v>3</v>
      </c>
      <c r="G576" t="s">
        <v>35</v>
      </c>
      <c r="H576" t="s">
        <v>38</v>
      </c>
      <c r="I576">
        <v>3</v>
      </c>
      <c r="J576" t="s">
        <v>32</v>
      </c>
      <c r="K576">
        <v>0.2</v>
      </c>
      <c r="L576" t="s">
        <v>23</v>
      </c>
      <c r="M576">
        <v>0.18179999999999999</v>
      </c>
      <c r="N576">
        <v>0.86</v>
      </c>
      <c r="O576" t="s">
        <v>30</v>
      </c>
      <c r="P576">
        <v>0.28360000000000002</v>
      </c>
      <c r="Q576">
        <v>0</v>
      </c>
      <c r="R576">
        <v>1</v>
      </c>
      <c r="S576">
        <v>1</v>
      </c>
    </row>
    <row r="577" spans="1:19" x14ac:dyDescent="0.3">
      <c r="A577">
        <v>576</v>
      </c>
      <c r="B577" s="46">
        <v>40569</v>
      </c>
      <c r="C577">
        <v>1</v>
      </c>
      <c r="D577">
        <v>6</v>
      </c>
      <c r="E577" t="b">
        <v>0</v>
      </c>
      <c r="F577">
        <v>3</v>
      </c>
      <c r="G577" t="s">
        <v>35</v>
      </c>
      <c r="H577" t="s">
        <v>38</v>
      </c>
      <c r="I577">
        <v>3</v>
      </c>
      <c r="J577" t="s">
        <v>32</v>
      </c>
      <c r="K577">
        <v>0.2</v>
      </c>
      <c r="L577" t="s">
        <v>23</v>
      </c>
      <c r="M577">
        <v>0.18179999999999999</v>
      </c>
      <c r="N577">
        <v>0.86</v>
      </c>
      <c r="O577" t="s">
        <v>30</v>
      </c>
      <c r="P577">
        <v>0.28360000000000002</v>
      </c>
      <c r="Q577">
        <v>0</v>
      </c>
      <c r="R577">
        <v>8</v>
      </c>
      <c r="S577">
        <v>8</v>
      </c>
    </row>
    <row r="578" spans="1:19" x14ac:dyDescent="0.3">
      <c r="A578">
        <v>577</v>
      </c>
      <c r="B578" s="46">
        <v>40569</v>
      </c>
      <c r="C578">
        <v>1</v>
      </c>
      <c r="D578">
        <v>7</v>
      </c>
      <c r="E578" t="b">
        <v>0</v>
      </c>
      <c r="F578">
        <v>3</v>
      </c>
      <c r="G578" t="s">
        <v>35</v>
      </c>
      <c r="H578" t="s">
        <v>38</v>
      </c>
      <c r="I578">
        <v>3</v>
      </c>
      <c r="J578" t="s">
        <v>32</v>
      </c>
      <c r="K578">
        <v>0.22</v>
      </c>
      <c r="L578" t="s">
        <v>23</v>
      </c>
      <c r="M578">
        <v>0.21210000000000001</v>
      </c>
      <c r="N578">
        <v>0.87</v>
      </c>
      <c r="O578" t="s">
        <v>30</v>
      </c>
      <c r="P578">
        <v>0.29849999999999999</v>
      </c>
      <c r="Q578">
        <v>1</v>
      </c>
      <c r="R578">
        <v>29</v>
      </c>
      <c r="S578">
        <v>30</v>
      </c>
    </row>
    <row r="579" spans="1:19" x14ac:dyDescent="0.3">
      <c r="A579">
        <v>578</v>
      </c>
      <c r="B579" s="46">
        <v>40569</v>
      </c>
      <c r="C579">
        <v>1</v>
      </c>
      <c r="D579">
        <v>8</v>
      </c>
      <c r="E579" t="b">
        <v>0</v>
      </c>
      <c r="F579">
        <v>3</v>
      </c>
      <c r="G579" t="s">
        <v>35</v>
      </c>
      <c r="H579" t="s">
        <v>38</v>
      </c>
      <c r="I579">
        <v>3</v>
      </c>
      <c r="J579" t="s">
        <v>32</v>
      </c>
      <c r="K579">
        <v>0.22</v>
      </c>
      <c r="L579" t="s">
        <v>23</v>
      </c>
      <c r="M579">
        <v>0.21210000000000001</v>
      </c>
      <c r="N579">
        <v>0.87</v>
      </c>
      <c r="O579" t="s">
        <v>30</v>
      </c>
      <c r="P579">
        <v>0.29849999999999999</v>
      </c>
      <c r="Q579">
        <v>3</v>
      </c>
      <c r="R579">
        <v>69</v>
      </c>
      <c r="S579">
        <v>72</v>
      </c>
    </row>
    <row r="580" spans="1:19" x14ac:dyDescent="0.3">
      <c r="A580">
        <v>579</v>
      </c>
      <c r="B580" s="46">
        <v>40569</v>
      </c>
      <c r="C580">
        <v>1</v>
      </c>
      <c r="D580">
        <v>9</v>
      </c>
      <c r="E580" t="b">
        <v>0</v>
      </c>
      <c r="F580">
        <v>3</v>
      </c>
      <c r="G580" t="s">
        <v>35</v>
      </c>
      <c r="H580" t="s">
        <v>38</v>
      </c>
      <c r="I580">
        <v>3</v>
      </c>
      <c r="J580" t="s">
        <v>32</v>
      </c>
      <c r="K580">
        <v>0.22</v>
      </c>
      <c r="L580" t="s">
        <v>23</v>
      </c>
      <c r="M580">
        <v>0.21210000000000001</v>
      </c>
      <c r="N580">
        <v>0.87</v>
      </c>
      <c r="O580" t="s">
        <v>30</v>
      </c>
      <c r="P580">
        <v>0.29849999999999999</v>
      </c>
      <c r="Q580">
        <v>3</v>
      </c>
      <c r="R580">
        <v>55</v>
      </c>
      <c r="S580">
        <v>58</v>
      </c>
    </row>
    <row r="581" spans="1:19" x14ac:dyDescent="0.3">
      <c r="A581">
        <v>580</v>
      </c>
      <c r="B581" s="46">
        <v>40569</v>
      </c>
      <c r="C581">
        <v>1</v>
      </c>
      <c r="D581">
        <v>10</v>
      </c>
      <c r="E581" t="b">
        <v>0</v>
      </c>
      <c r="F581">
        <v>3</v>
      </c>
      <c r="G581" t="s">
        <v>35</v>
      </c>
      <c r="H581" t="s">
        <v>38</v>
      </c>
      <c r="I581">
        <v>3</v>
      </c>
      <c r="J581" t="s">
        <v>32</v>
      </c>
      <c r="K581">
        <v>0.22</v>
      </c>
      <c r="L581" t="s">
        <v>23</v>
      </c>
      <c r="M581">
        <v>0.21210000000000001</v>
      </c>
      <c r="N581">
        <v>0.93</v>
      </c>
      <c r="O581" t="s">
        <v>30</v>
      </c>
      <c r="P581">
        <v>0.28360000000000002</v>
      </c>
      <c r="Q581">
        <v>2</v>
      </c>
      <c r="R581">
        <v>26</v>
      </c>
      <c r="S581">
        <v>28</v>
      </c>
    </row>
    <row r="582" spans="1:19" x14ac:dyDescent="0.3">
      <c r="A582">
        <v>581</v>
      </c>
      <c r="B582" s="46">
        <v>40569</v>
      </c>
      <c r="C582">
        <v>1</v>
      </c>
      <c r="D582">
        <v>11</v>
      </c>
      <c r="E582" t="b">
        <v>0</v>
      </c>
      <c r="F582">
        <v>3</v>
      </c>
      <c r="G582" t="s">
        <v>35</v>
      </c>
      <c r="H582" t="s">
        <v>38</v>
      </c>
      <c r="I582">
        <v>3</v>
      </c>
      <c r="J582" t="s">
        <v>32</v>
      </c>
      <c r="K582">
        <v>0.22</v>
      </c>
      <c r="L582" t="s">
        <v>23</v>
      </c>
      <c r="M582">
        <v>0.19700000000000001</v>
      </c>
      <c r="N582">
        <v>0.93</v>
      </c>
      <c r="O582" t="s">
        <v>30</v>
      </c>
      <c r="P582">
        <v>0.32840000000000003</v>
      </c>
      <c r="Q582">
        <v>6</v>
      </c>
      <c r="R582">
        <v>35</v>
      </c>
      <c r="S582">
        <v>41</v>
      </c>
    </row>
    <row r="583" spans="1:19" x14ac:dyDescent="0.3">
      <c r="A583">
        <v>582</v>
      </c>
      <c r="B583" s="46">
        <v>40569</v>
      </c>
      <c r="C583">
        <v>1</v>
      </c>
      <c r="D583">
        <v>12</v>
      </c>
      <c r="E583" t="b">
        <v>0</v>
      </c>
      <c r="F583">
        <v>3</v>
      </c>
      <c r="G583" t="s">
        <v>35</v>
      </c>
      <c r="H583" t="s">
        <v>38</v>
      </c>
      <c r="I583">
        <v>3</v>
      </c>
      <c r="J583" t="s">
        <v>32</v>
      </c>
      <c r="K583">
        <v>0.22</v>
      </c>
      <c r="L583" t="s">
        <v>23</v>
      </c>
      <c r="M583">
        <v>0.19700000000000001</v>
      </c>
      <c r="N583">
        <v>0.93</v>
      </c>
      <c r="O583" t="s">
        <v>30</v>
      </c>
      <c r="P583">
        <v>0.32840000000000003</v>
      </c>
      <c r="Q583">
        <v>7</v>
      </c>
      <c r="R583">
        <v>41</v>
      </c>
      <c r="S583">
        <v>48</v>
      </c>
    </row>
    <row r="584" spans="1:19" x14ac:dyDescent="0.3">
      <c r="A584">
        <v>583</v>
      </c>
      <c r="B584" s="46">
        <v>40569</v>
      </c>
      <c r="C584">
        <v>1</v>
      </c>
      <c r="D584">
        <v>13</v>
      </c>
      <c r="E584" t="b">
        <v>0</v>
      </c>
      <c r="F584">
        <v>3</v>
      </c>
      <c r="G584" t="s">
        <v>35</v>
      </c>
      <c r="H584" t="s">
        <v>38</v>
      </c>
      <c r="I584">
        <v>3</v>
      </c>
      <c r="J584" t="s">
        <v>32</v>
      </c>
      <c r="K584">
        <v>0.22</v>
      </c>
      <c r="L584" t="s">
        <v>23</v>
      </c>
      <c r="M584">
        <v>0.19700000000000001</v>
      </c>
      <c r="N584">
        <v>0.93</v>
      </c>
      <c r="O584" t="s">
        <v>30</v>
      </c>
      <c r="P584">
        <v>0.32840000000000003</v>
      </c>
      <c r="Q584">
        <v>4</v>
      </c>
      <c r="R584">
        <v>43</v>
      </c>
      <c r="S584">
        <v>47</v>
      </c>
    </row>
    <row r="585" spans="1:19" x14ac:dyDescent="0.3">
      <c r="A585">
        <v>584</v>
      </c>
      <c r="B585" s="46">
        <v>40569</v>
      </c>
      <c r="C585">
        <v>1</v>
      </c>
      <c r="D585">
        <v>14</v>
      </c>
      <c r="E585" t="b">
        <v>0</v>
      </c>
      <c r="F585">
        <v>3</v>
      </c>
      <c r="G585" t="s">
        <v>35</v>
      </c>
      <c r="H585" t="s">
        <v>38</v>
      </c>
      <c r="I585">
        <v>3</v>
      </c>
      <c r="J585" t="s">
        <v>32</v>
      </c>
      <c r="K585">
        <v>0.22</v>
      </c>
      <c r="L585" t="s">
        <v>23</v>
      </c>
      <c r="M585">
        <v>0.19700000000000001</v>
      </c>
      <c r="N585">
        <v>0.93</v>
      </c>
      <c r="O585" t="s">
        <v>30</v>
      </c>
      <c r="P585">
        <v>0.35820000000000002</v>
      </c>
      <c r="Q585">
        <v>0</v>
      </c>
      <c r="R585">
        <v>36</v>
      </c>
      <c r="S585">
        <v>36</v>
      </c>
    </row>
    <row r="586" spans="1:19" x14ac:dyDescent="0.3">
      <c r="A586">
        <v>585</v>
      </c>
      <c r="B586" s="46">
        <v>40569</v>
      </c>
      <c r="C586">
        <v>1</v>
      </c>
      <c r="D586">
        <v>15</v>
      </c>
      <c r="E586" t="b">
        <v>0</v>
      </c>
      <c r="F586">
        <v>3</v>
      </c>
      <c r="G586" t="s">
        <v>35</v>
      </c>
      <c r="H586" t="s">
        <v>38</v>
      </c>
      <c r="I586">
        <v>3</v>
      </c>
      <c r="J586" t="s">
        <v>32</v>
      </c>
      <c r="K586">
        <v>0.22</v>
      </c>
      <c r="L586" t="s">
        <v>23</v>
      </c>
      <c r="M586">
        <v>0.18179999999999999</v>
      </c>
      <c r="N586">
        <v>0.93</v>
      </c>
      <c r="O586" t="s">
        <v>30</v>
      </c>
      <c r="P586">
        <v>0.4627</v>
      </c>
      <c r="Q586">
        <v>1</v>
      </c>
      <c r="R586">
        <v>42</v>
      </c>
      <c r="S586">
        <v>43</v>
      </c>
    </row>
    <row r="587" spans="1:19" x14ac:dyDescent="0.3">
      <c r="A587">
        <v>587</v>
      </c>
      <c r="B587" s="46">
        <v>40569</v>
      </c>
      <c r="C587">
        <v>1</v>
      </c>
      <c r="D587">
        <v>17</v>
      </c>
      <c r="E587" t="b">
        <v>0</v>
      </c>
      <c r="F587">
        <v>3</v>
      </c>
      <c r="G587" t="s">
        <v>35</v>
      </c>
      <c r="H587" t="s">
        <v>38</v>
      </c>
      <c r="I587">
        <v>3</v>
      </c>
      <c r="J587" t="s">
        <v>32</v>
      </c>
      <c r="K587">
        <v>0.2</v>
      </c>
      <c r="L587" t="s">
        <v>23</v>
      </c>
      <c r="M587">
        <v>0.18179999999999999</v>
      </c>
      <c r="N587">
        <v>0.93</v>
      </c>
      <c r="O587" t="s">
        <v>30</v>
      </c>
      <c r="P587">
        <v>0.35820000000000002</v>
      </c>
      <c r="Q587">
        <v>0</v>
      </c>
      <c r="R587">
        <v>26</v>
      </c>
      <c r="S587">
        <v>26</v>
      </c>
    </row>
    <row r="588" spans="1:19" x14ac:dyDescent="0.3">
      <c r="A588">
        <v>588</v>
      </c>
      <c r="B588" s="46">
        <v>40570</v>
      </c>
      <c r="C588">
        <v>1</v>
      </c>
      <c r="D588">
        <v>16</v>
      </c>
      <c r="E588" t="b">
        <v>0</v>
      </c>
      <c r="F588">
        <v>4</v>
      </c>
      <c r="G588" t="s">
        <v>35</v>
      </c>
      <c r="H588" t="s">
        <v>39</v>
      </c>
      <c r="I588">
        <v>1</v>
      </c>
      <c r="J588" t="s">
        <v>29</v>
      </c>
      <c r="K588">
        <v>0.22</v>
      </c>
      <c r="L588" t="s">
        <v>23</v>
      </c>
      <c r="M588">
        <v>0.2273</v>
      </c>
      <c r="N588">
        <v>0.55000000000000004</v>
      </c>
      <c r="O588" t="s">
        <v>34</v>
      </c>
      <c r="P588">
        <v>0.19400000000000001</v>
      </c>
      <c r="Q588">
        <v>1</v>
      </c>
      <c r="R588">
        <v>23</v>
      </c>
      <c r="S588">
        <v>24</v>
      </c>
    </row>
    <row r="589" spans="1:19" x14ac:dyDescent="0.3">
      <c r="A589">
        <v>589</v>
      </c>
      <c r="B589" s="46">
        <v>40570</v>
      </c>
      <c r="C589">
        <v>1</v>
      </c>
      <c r="D589">
        <v>17</v>
      </c>
      <c r="E589" t="b">
        <v>0</v>
      </c>
      <c r="F589">
        <v>4</v>
      </c>
      <c r="G589" t="s">
        <v>35</v>
      </c>
      <c r="H589" t="s">
        <v>39</v>
      </c>
      <c r="I589">
        <v>1</v>
      </c>
      <c r="J589" t="s">
        <v>29</v>
      </c>
      <c r="K589">
        <v>0.22</v>
      </c>
      <c r="L589" t="s">
        <v>23</v>
      </c>
      <c r="M589">
        <v>0.2424</v>
      </c>
      <c r="N589">
        <v>0.55000000000000004</v>
      </c>
      <c r="O589" t="s">
        <v>34</v>
      </c>
      <c r="P589">
        <v>0.1045</v>
      </c>
      <c r="Q589">
        <v>2</v>
      </c>
      <c r="R589">
        <v>82</v>
      </c>
      <c r="S589">
        <v>84</v>
      </c>
    </row>
    <row r="590" spans="1:19" x14ac:dyDescent="0.3">
      <c r="A590">
        <v>590</v>
      </c>
      <c r="B590" s="46">
        <v>40570</v>
      </c>
      <c r="C590">
        <v>1</v>
      </c>
      <c r="D590">
        <v>18</v>
      </c>
      <c r="E590" t="b">
        <v>0</v>
      </c>
      <c r="F590">
        <v>4</v>
      </c>
      <c r="G590" t="s">
        <v>35</v>
      </c>
      <c r="H590" t="s">
        <v>39</v>
      </c>
      <c r="I590">
        <v>1</v>
      </c>
      <c r="J590" t="s">
        <v>29</v>
      </c>
      <c r="K590">
        <v>0.2</v>
      </c>
      <c r="L590" t="s">
        <v>23</v>
      </c>
      <c r="M590">
        <v>0.2273</v>
      </c>
      <c r="N590">
        <v>0.69</v>
      </c>
      <c r="O590" t="s">
        <v>34</v>
      </c>
      <c r="P590">
        <v>8.9599999999999999E-2</v>
      </c>
      <c r="Q590">
        <v>3</v>
      </c>
      <c r="R590">
        <v>101</v>
      </c>
      <c r="S590">
        <v>104</v>
      </c>
    </row>
    <row r="591" spans="1:19" x14ac:dyDescent="0.3">
      <c r="A591">
        <v>591</v>
      </c>
      <c r="B591" s="46">
        <v>40570</v>
      </c>
      <c r="C591">
        <v>1</v>
      </c>
      <c r="D591">
        <v>19</v>
      </c>
      <c r="E591" t="b">
        <v>0</v>
      </c>
      <c r="F591">
        <v>4</v>
      </c>
      <c r="G591" t="s">
        <v>35</v>
      </c>
      <c r="H591" t="s">
        <v>39</v>
      </c>
      <c r="I591">
        <v>1</v>
      </c>
      <c r="J591" t="s">
        <v>29</v>
      </c>
      <c r="K591">
        <v>0.2</v>
      </c>
      <c r="L591" t="s">
        <v>23</v>
      </c>
      <c r="M591">
        <v>0.2273</v>
      </c>
      <c r="N591">
        <v>0.69</v>
      </c>
      <c r="O591" t="s">
        <v>34</v>
      </c>
      <c r="P591">
        <v>8.9599999999999999E-2</v>
      </c>
      <c r="Q591">
        <v>3</v>
      </c>
      <c r="R591">
        <v>76</v>
      </c>
      <c r="S591">
        <v>79</v>
      </c>
    </row>
    <row r="592" spans="1:19" x14ac:dyDescent="0.3">
      <c r="A592">
        <v>592</v>
      </c>
      <c r="B592" s="46">
        <v>40570</v>
      </c>
      <c r="C592">
        <v>1</v>
      </c>
      <c r="D592">
        <v>20</v>
      </c>
      <c r="E592" t="b">
        <v>0</v>
      </c>
      <c r="F592">
        <v>4</v>
      </c>
      <c r="G592" t="s">
        <v>35</v>
      </c>
      <c r="H592" t="s">
        <v>39</v>
      </c>
      <c r="I592">
        <v>1</v>
      </c>
      <c r="J592" t="s">
        <v>29</v>
      </c>
      <c r="K592">
        <v>0.18</v>
      </c>
      <c r="L592" t="s">
        <v>23</v>
      </c>
      <c r="M592">
        <v>0.21210000000000001</v>
      </c>
      <c r="N592">
        <v>0.74</v>
      </c>
      <c r="O592" t="s">
        <v>30</v>
      </c>
      <c r="P592">
        <v>8.9599999999999999E-2</v>
      </c>
      <c r="Q592">
        <v>4</v>
      </c>
      <c r="R592">
        <v>55</v>
      </c>
      <c r="S592">
        <v>59</v>
      </c>
    </row>
    <row r="593" spans="1:19" x14ac:dyDescent="0.3">
      <c r="A593">
        <v>593</v>
      </c>
      <c r="B593" s="46">
        <v>40570</v>
      </c>
      <c r="C593">
        <v>1</v>
      </c>
      <c r="D593">
        <v>21</v>
      </c>
      <c r="E593" t="b">
        <v>0</v>
      </c>
      <c r="F593">
        <v>4</v>
      </c>
      <c r="G593" t="s">
        <v>35</v>
      </c>
      <c r="H593" t="s">
        <v>39</v>
      </c>
      <c r="I593">
        <v>1</v>
      </c>
      <c r="J593" t="s">
        <v>29</v>
      </c>
      <c r="K593">
        <v>0.18</v>
      </c>
      <c r="L593" t="s">
        <v>23</v>
      </c>
      <c r="M593">
        <v>0.21210000000000001</v>
      </c>
      <c r="N593">
        <v>0.74</v>
      </c>
      <c r="O593" t="s">
        <v>30</v>
      </c>
      <c r="P593">
        <v>8.9599999999999999E-2</v>
      </c>
      <c r="Q593">
        <v>2</v>
      </c>
      <c r="R593">
        <v>36</v>
      </c>
      <c r="S593">
        <v>38</v>
      </c>
    </row>
    <row r="594" spans="1:19" x14ac:dyDescent="0.3">
      <c r="A594">
        <v>594</v>
      </c>
      <c r="B594" s="46">
        <v>40570</v>
      </c>
      <c r="C594">
        <v>1</v>
      </c>
      <c r="D594">
        <v>22</v>
      </c>
      <c r="E594" t="b">
        <v>0</v>
      </c>
      <c r="F594">
        <v>4</v>
      </c>
      <c r="G594" t="s">
        <v>35</v>
      </c>
      <c r="H594" t="s">
        <v>39</v>
      </c>
      <c r="I594">
        <v>1</v>
      </c>
      <c r="J594" t="s">
        <v>29</v>
      </c>
      <c r="K594">
        <v>0.18</v>
      </c>
      <c r="L594" t="s">
        <v>23</v>
      </c>
      <c r="M594">
        <v>0.21210000000000001</v>
      </c>
      <c r="N594">
        <v>0.74</v>
      </c>
      <c r="O594" t="s">
        <v>30</v>
      </c>
      <c r="P594">
        <v>8.9599999999999999E-2</v>
      </c>
      <c r="Q594">
        <v>0</v>
      </c>
      <c r="R594">
        <v>27</v>
      </c>
      <c r="S594">
        <v>27</v>
      </c>
    </row>
    <row r="595" spans="1:19" x14ac:dyDescent="0.3">
      <c r="A595">
        <v>595</v>
      </c>
      <c r="B595" s="46">
        <v>40570</v>
      </c>
      <c r="C595">
        <v>1</v>
      </c>
      <c r="D595">
        <v>23</v>
      </c>
      <c r="E595" t="b">
        <v>0</v>
      </c>
      <c r="F595">
        <v>4</v>
      </c>
      <c r="G595" t="s">
        <v>35</v>
      </c>
      <c r="H595" t="s">
        <v>39</v>
      </c>
      <c r="I595">
        <v>1</v>
      </c>
      <c r="J595" t="s">
        <v>29</v>
      </c>
      <c r="K595">
        <v>0.18</v>
      </c>
      <c r="L595" t="s">
        <v>23</v>
      </c>
      <c r="M595">
        <v>0.19700000000000001</v>
      </c>
      <c r="N595">
        <v>0.8</v>
      </c>
      <c r="O595" t="s">
        <v>30</v>
      </c>
      <c r="P595">
        <v>0.16420000000000001</v>
      </c>
      <c r="Q595">
        <v>0</v>
      </c>
      <c r="R595">
        <v>16</v>
      </c>
      <c r="S595">
        <v>16</v>
      </c>
    </row>
    <row r="596" spans="1:19" x14ac:dyDescent="0.3">
      <c r="A596">
        <v>596</v>
      </c>
      <c r="B596" s="46">
        <v>40571</v>
      </c>
      <c r="C596">
        <v>1</v>
      </c>
      <c r="D596">
        <v>0</v>
      </c>
      <c r="E596" t="b">
        <v>0</v>
      </c>
      <c r="F596">
        <v>5</v>
      </c>
      <c r="G596" t="s">
        <v>35</v>
      </c>
      <c r="H596" t="s">
        <v>40</v>
      </c>
      <c r="I596">
        <v>2</v>
      </c>
      <c r="J596" t="s">
        <v>31</v>
      </c>
      <c r="K596">
        <v>0.2</v>
      </c>
      <c r="L596" t="s">
        <v>23</v>
      </c>
      <c r="M596">
        <v>0.21210000000000001</v>
      </c>
      <c r="N596">
        <v>0.75</v>
      </c>
      <c r="O596" t="s">
        <v>30</v>
      </c>
      <c r="P596">
        <v>0.1343</v>
      </c>
      <c r="Q596">
        <v>0</v>
      </c>
      <c r="R596">
        <v>9</v>
      </c>
      <c r="S596">
        <v>9</v>
      </c>
    </row>
    <row r="597" spans="1:19" x14ac:dyDescent="0.3">
      <c r="A597">
        <v>597</v>
      </c>
      <c r="B597" s="46">
        <v>40571</v>
      </c>
      <c r="C597">
        <v>1</v>
      </c>
      <c r="D597">
        <v>1</v>
      </c>
      <c r="E597" t="b">
        <v>0</v>
      </c>
      <c r="F597">
        <v>5</v>
      </c>
      <c r="G597" t="s">
        <v>35</v>
      </c>
      <c r="H597" t="s">
        <v>40</v>
      </c>
      <c r="I597">
        <v>2</v>
      </c>
      <c r="J597" t="s">
        <v>31</v>
      </c>
      <c r="K597">
        <v>0.2</v>
      </c>
      <c r="L597" t="s">
        <v>23</v>
      </c>
      <c r="M597">
        <v>0.21210000000000001</v>
      </c>
      <c r="N597">
        <v>0.75</v>
      </c>
      <c r="O597" t="s">
        <v>30</v>
      </c>
      <c r="P597">
        <v>0.1343</v>
      </c>
      <c r="Q597">
        <v>1</v>
      </c>
      <c r="R597">
        <v>2</v>
      </c>
      <c r="S597">
        <v>3</v>
      </c>
    </row>
    <row r="598" spans="1:19" x14ac:dyDescent="0.3">
      <c r="A598">
        <v>598</v>
      </c>
      <c r="B598" s="46">
        <v>40571</v>
      </c>
      <c r="C598">
        <v>1</v>
      </c>
      <c r="D598">
        <v>2</v>
      </c>
      <c r="E598" t="b">
        <v>0</v>
      </c>
      <c r="F598">
        <v>5</v>
      </c>
      <c r="G598" t="s">
        <v>35</v>
      </c>
      <c r="H598" t="s">
        <v>40</v>
      </c>
      <c r="I598">
        <v>2</v>
      </c>
      <c r="J598" t="s">
        <v>31</v>
      </c>
      <c r="K598">
        <v>0.2</v>
      </c>
      <c r="L598" t="s">
        <v>23</v>
      </c>
      <c r="M598">
        <v>0.21210000000000001</v>
      </c>
      <c r="N598">
        <v>0.75</v>
      </c>
      <c r="O598" t="s">
        <v>30</v>
      </c>
      <c r="P598">
        <v>0.16420000000000001</v>
      </c>
      <c r="Q598">
        <v>0</v>
      </c>
      <c r="R598">
        <v>2</v>
      </c>
      <c r="S598">
        <v>2</v>
      </c>
    </row>
    <row r="599" spans="1:19" x14ac:dyDescent="0.3">
      <c r="A599">
        <v>599</v>
      </c>
      <c r="B599" s="46">
        <v>40571</v>
      </c>
      <c r="C599">
        <v>1</v>
      </c>
      <c r="D599">
        <v>3</v>
      </c>
      <c r="E599" t="b">
        <v>0</v>
      </c>
      <c r="F599">
        <v>5</v>
      </c>
      <c r="G599" t="s">
        <v>35</v>
      </c>
      <c r="H599" t="s">
        <v>40</v>
      </c>
      <c r="I599">
        <v>2</v>
      </c>
      <c r="J599" t="s">
        <v>31</v>
      </c>
      <c r="K599">
        <v>0.2</v>
      </c>
      <c r="L599" t="s">
        <v>23</v>
      </c>
      <c r="M599">
        <v>0.2273</v>
      </c>
      <c r="N599">
        <v>0.75</v>
      </c>
      <c r="O599" t="s">
        <v>30</v>
      </c>
      <c r="P599">
        <v>0.1045</v>
      </c>
      <c r="Q599">
        <v>1</v>
      </c>
      <c r="R599">
        <v>0</v>
      </c>
      <c r="S599">
        <v>1</v>
      </c>
    </row>
    <row r="600" spans="1:19" x14ac:dyDescent="0.3">
      <c r="A600">
        <v>600</v>
      </c>
      <c r="B600" s="46">
        <v>40571</v>
      </c>
      <c r="C600">
        <v>1</v>
      </c>
      <c r="D600">
        <v>5</v>
      </c>
      <c r="E600" t="b">
        <v>0</v>
      </c>
      <c r="F600">
        <v>5</v>
      </c>
      <c r="G600" t="s">
        <v>35</v>
      </c>
      <c r="H600" t="s">
        <v>40</v>
      </c>
      <c r="I600">
        <v>2</v>
      </c>
      <c r="J600" t="s">
        <v>31</v>
      </c>
      <c r="K600">
        <v>0.18</v>
      </c>
      <c r="L600" t="s">
        <v>23</v>
      </c>
      <c r="M600">
        <v>0.21210000000000001</v>
      </c>
      <c r="N600">
        <v>0.8</v>
      </c>
      <c r="O600" t="s">
        <v>30</v>
      </c>
      <c r="P600">
        <v>0.1045</v>
      </c>
      <c r="Q600">
        <v>0</v>
      </c>
      <c r="R600">
        <v>4</v>
      </c>
      <c r="S600">
        <v>4</v>
      </c>
    </row>
    <row r="601" spans="1:19" x14ac:dyDescent="0.3">
      <c r="A601">
        <v>601</v>
      </c>
      <c r="B601" s="46">
        <v>40571</v>
      </c>
      <c r="C601">
        <v>1</v>
      </c>
      <c r="D601">
        <v>6</v>
      </c>
      <c r="E601" t="b">
        <v>0</v>
      </c>
      <c r="F601">
        <v>5</v>
      </c>
      <c r="G601" t="s">
        <v>35</v>
      </c>
      <c r="H601" t="s">
        <v>40</v>
      </c>
      <c r="I601">
        <v>2</v>
      </c>
      <c r="J601" t="s">
        <v>31</v>
      </c>
      <c r="K601">
        <v>0.18</v>
      </c>
      <c r="L601" t="s">
        <v>23</v>
      </c>
      <c r="M601">
        <v>0.19700000000000001</v>
      </c>
      <c r="N601">
        <v>0.8</v>
      </c>
      <c r="O601" t="s">
        <v>30</v>
      </c>
      <c r="P601">
        <v>0.1343</v>
      </c>
      <c r="Q601">
        <v>0</v>
      </c>
      <c r="R601">
        <v>16</v>
      </c>
      <c r="S601">
        <v>16</v>
      </c>
    </row>
    <row r="602" spans="1:19" x14ac:dyDescent="0.3">
      <c r="A602">
        <v>602</v>
      </c>
      <c r="B602" s="46">
        <v>40571</v>
      </c>
      <c r="C602">
        <v>1</v>
      </c>
      <c r="D602">
        <v>7</v>
      </c>
      <c r="E602" t="b">
        <v>0</v>
      </c>
      <c r="F602">
        <v>5</v>
      </c>
      <c r="G602" t="s">
        <v>35</v>
      </c>
      <c r="H602" t="s">
        <v>40</v>
      </c>
      <c r="I602">
        <v>2</v>
      </c>
      <c r="J602" t="s">
        <v>31</v>
      </c>
      <c r="K602">
        <v>0.16</v>
      </c>
      <c r="L602" t="s">
        <v>23</v>
      </c>
      <c r="M602">
        <v>0.19700000000000001</v>
      </c>
      <c r="N602">
        <v>0.86</v>
      </c>
      <c r="O602" t="s">
        <v>30</v>
      </c>
      <c r="P602">
        <v>8.9599999999999999E-2</v>
      </c>
      <c r="Q602">
        <v>2</v>
      </c>
      <c r="R602">
        <v>58</v>
      </c>
      <c r="S602">
        <v>60</v>
      </c>
    </row>
    <row r="603" spans="1:19" x14ac:dyDescent="0.3">
      <c r="A603">
        <v>603</v>
      </c>
      <c r="B603" s="46">
        <v>40571</v>
      </c>
      <c r="C603">
        <v>1</v>
      </c>
      <c r="D603">
        <v>8</v>
      </c>
      <c r="E603" t="b">
        <v>0</v>
      </c>
      <c r="F603">
        <v>5</v>
      </c>
      <c r="G603" t="s">
        <v>35</v>
      </c>
      <c r="H603" t="s">
        <v>40</v>
      </c>
      <c r="I603">
        <v>2</v>
      </c>
      <c r="J603" t="s">
        <v>31</v>
      </c>
      <c r="K603">
        <v>0.16</v>
      </c>
      <c r="L603" t="s">
        <v>23</v>
      </c>
      <c r="M603">
        <v>0.19700000000000001</v>
      </c>
      <c r="N603">
        <v>0.86</v>
      </c>
      <c r="O603" t="s">
        <v>30</v>
      </c>
      <c r="P603">
        <v>8.9599999999999999E-2</v>
      </c>
      <c r="Q603">
        <v>2</v>
      </c>
      <c r="R603">
        <v>155</v>
      </c>
      <c r="S603">
        <v>157</v>
      </c>
    </row>
    <row r="604" spans="1:19" x14ac:dyDescent="0.3">
      <c r="A604">
        <v>604</v>
      </c>
      <c r="B604" s="46">
        <v>40571</v>
      </c>
      <c r="C604">
        <v>1</v>
      </c>
      <c r="D604">
        <v>9</v>
      </c>
      <c r="E604" t="b">
        <v>0</v>
      </c>
      <c r="F604">
        <v>5</v>
      </c>
      <c r="G604" t="s">
        <v>35</v>
      </c>
      <c r="H604" t="s">
        <v>40</v>
      </c>
      <c r="I604">
        <v>3</v>
      </c>
      <c r="J604" t="s">
        <v>32</v>
      </c>
      <c r="K604">
        <v>0.18</v>
      </c>
      <c r="L604" t="s">
        <v>23</v>
      </c>
      <c r="M604">
        <v>0.21210000000000001</v>
      </c>
      <c r="N604">
        <v>0.86</v>
      </c>
      <c r="O604" t="s">
        <v>30</v>
      </c>
      <c r="P604">
        <v>8.9599999999999999E-2</v>
      </c>
      <c r="Q604">
        <v>6</v>
      </c>
      <c r="R604">
        <v>95</v>
      </c>
      <c r="S604">
        <v>101</v>
      </c>
    </row>
    <row r="605" spans="1:19" x14ac:dyDescent="0.3">
      <c r="A605">
        <v>605</v>
      </c>
      <c r="B605" s="46">
        <v>40571</v>
      </c>
      <c r="C605">
        <v>1</v>
      </c>
      <c r="D605">
        <v>10</v>
      </c>
      <c r="E605" t="b">
        <v>0</v>
      </c>
      <c r="F605">
        <v>5</v>
      </c>
      <c r="G605" t="s">
        <v>35</v>
      </c>
      <c r="H605" t="s">
        <v>40</v>
      </c>
      <c r="I605">
        <v>3</v>
      </c>
      <c r="J605" t="s">
        <v>32</v>
      </c>
      <c r="K605">
        <v>0.18</v>
      </c>
      <c r="L605" t="s">
        <v>23</v>
      </c>
      <c r="M605">
        <v>0.21210000000000001</v>
      </c>
      <c r="N605">
        <v>0.86</v>
      </c>
      <c r="O605" t="s">
        <v>30</v>
      </c>
      <c r="P605">
        <v>0.1045</v>
      </c>
      <c r="Q605">
        <v>0</v>
      </c>
      <c r="R605">
        <v>49</v>
      </c>
      <c r="S605">
        <v>49</v>
      </c>
    </row>
    <row r="606" spans="1:19" x14ac:dyDescent="0.3">
      <c r="A606">
        <v>606</v>
      </c>
      <c r="B606" s="46">
        <v>40571</v>
      </c>
      <c r="C606">
        <v>1</v>
      </c>
      <c r="D606">
        <v>11</v>
      </c>
      <c r="E606" t="b">
        <v>0</v>
      </c>
      <c r="F606">
        <v>5</v>
      </c>
      <c r="G606" t="s">
        <v>35</v>
      </c>
      <c r="H606" t="s">
        <v>40</v>
      </c>
      <c r="I606">
        <v>3</v>
      </c>
      <c r="J606" t="s">
        <v>32</v>
      </c>
      <c r="K606">
        <v>0.18</v>
      </c>
      <c r="L606" t="s">
        <v>23</v>
      </c>
      <c r="M606">
        <v>0.21210000000000001</v>
      </c>
      <c r="N606">
        <v>0.93</v>
      </c>
      <c r="O606" t="s">
        <v>30</v>
      </c>
      <c r="P606">
        <v>0.1045</v>
      </c>
      <c r="Q606">
        <v>0</v>
      </c>
      <c r="R606">
        <v>30</v>
      </c>
      <c r="S606">
        <v>30</v>
      </c>
    </row>
    <row r="607" spans="1:19" x14ac:dyDescent="0.3">
      <c r="A607">
        <v>607</v>
      </c>
      <c r="B607" s="46">
        <v>40571</v>
      </c>
      <c r="C607">
        <v>1</v>
      </c>
      <c r="D607">
        <v>12</v>
      </c>
      <c r="E607" t="b">
        <v>0</v>
      </c>
      <c r="F607">
        <v>5</v>
      </c>
      <c r="G607" t="s">
        <v>35</v>
      </c>
      <c r="H607" t="s">
        <v>40</v>
      </c>
      <c r="I607">
        <v>3</v>
      </c>
      <c r="J607" t="s">
        <v>32</v>
      </c>
      <c r="K607">
        <v>0.18</v>
      </c>
      <c r="L607" t="s">
        <v>23</v>
      </c>
      <c r="M607">
        <v>0.21210000000000001</v>
      </c>
      <c r="N607">
        <v>0.93</v>
      </c>
      <c r="O607" t="s">
        <v>30</v>
      </c>
      <c r="P607">
        <v>0.1045</v>
      </c>
      <c r="Q607">
        <v>1</v>
      </c>
      <c r="R607">
        <v>28</v>
      </c>
      <c r="S607">
        <v>29</v>
      </c>
    </row>
    <row r="608" spans="1:19" x14ac:dyDescent="0.3">
      <c r="A608">
        <v>608</v>
      </c>
      <c r="B608" s="46">
        <v>40571</v>
      </c>
      <c r="C608">
        <v>1</v>
      </c>
      <c r="D608">
        <v>13</v>
      </c>
      <c r="E608" t="b">
        <v>0</v>
      </c>
      <c r="F608">
        <v>5</v>
      </c>
      <c r="G608" t="s">
        <v>35</v>
      </c>
      <c r="H608" t="s">
        <v>40</v>
      </c>
      <c r="I608">
        <v>3</v>
      </c>
      <c r="J608" t="s">
        <v>32</v>
      </c>
      <c r="K608">
        <v>0.18</v>
      </c>
      <c r="L608" t="s">
        <v>23</v>
      </c>
      <c r="M608">
        <v>0.21210000000000001</v>
      </c>
      <c r="N608">
        <v>0.93</v>
      </c>
      <c r="O608" t="s">
        <v>30</v>
      </c>
      <c r="P608">
        <v>0.1045</v>
      </c>
      <c r="Q608">
        <v>0</v>
      </c>
      <c r="R608">
        <v>31</v>
      </c>
      <c r="S608">
        <v>31</v>
      </c>
    </row>
    <row r="609" spans="1:19" x14ac:dyDescent="0.3">
      <c r="A609">
        <v>609</v>
      </c>
      <c r="B609" s="46">
        <v>40571</v>
      </c>
      <c r="C609">
        <v>1</v>
      </c>
      <c r="D609">
        <v>14</v>
      </c>
      <c r="E609" t="b">
        <v>0</v>
      </c>
      <c r="F609">
        <v>5</v>
      </c>
      <c r="G609" t="s">
        <v>35</v>
      </c>
      <c r="H609" t="s">
        <v>40</v>
      </c>
      <c r="I609">
        <v>3</v>
      </c>
      <c r="J609" t="s">
        <v>32</v>
      </c>
      <c r="K609">
        <v>0.22</v>
      </c>
      <c r="L609" t="s">
        <v>23</v>
      </c>
      <c r="M609">
        <v>0.2727</v>
      </c>
      <c r="N609">
        <v>0.8</v>
      </c>
      <c r="O609" t="s">
        <v>30</v>
      </c>
      <c r="P609">
        <v>0</v>
      </c>
      <c r="Q609">
        <v>2</v>
      </c>
      <c r="R609">
        <v>36</v>
      </c>
      <c r="S609">
        <v>38</v>
      </c>
    </row>
    <row r="610" spans="1:19" x14ac:dyDescent="0.3">
      <c r="A610">
        <v>610</v>
      </c>
      <c r="B610" s="46">
        <v>40571</v>
      </c>
      <c r="C610">
        <v>1</v>
      </c>
      <c r="D610">
        <v>15</v>
      </c>
      <c r="E610" t="b">
        <v>0</v>
      </c>
      <c r="F610">
        <v>5</v>
      </c>
      <c r="G610" t="s">
        <v>35</v>
      </c>
      <c r="H610" t="s">
        <v>40</v>
      </c>
      <c r="I610">
        <v>2</v>
      </c>
      <c r="J610" t="s">
        <v>31</v>
      </c>
      <c r="K610">
        <v>0.2</v>
      </c>
      <c r="L610" t="s">
        <v>23</v>
      </c>
      <c r="M610">
        <v>0.2576</v>
      </c>
      <c r="N610">
        <v>0.86</v>
      </c>
      <c r="O610" t="s">
        <v>30</v>
      </c>
      <c r="P610">
        <v>0</v>
      </c>
      <c r="Q610">
        <v>1</v>
      </c>
      <c r="R610">
        <v>40</v>
      </c>
      <c r="S610">
        <v>41</v>
      </c>
    </row>
    <row r="611" spans="1:19" x14ac:dyDescent="0.3">
      <c r="A611">
        <v>611</v>
      </c>
      <c r="B611" s="46">
        <v>40571</v>
      </c>
      <c r="C611">
        <v>1</v>
      </c>
      <c r="D611">
        <v>16</v>
      </c>
      <c r="E611" t="b">
        <v>0</v>
      </c>
      <c r="F611">
        <v>5</v>
      </c>
      <c r="G611" t="s">
        <v>35</v>
      </c>
      <c r="H611" t="s">
        <v>40</v>
      </c>
      <c r="I611">
        <v>1</v>
      </c>
      <c r="J611" t="s">
        <v>29</v>
      </c>
      <c r="K611">
        <v>0.22</v>
      </c>
      <c r="L611" t="s">
        <v>23</v>
      </c>
      <c r="M611">
        <v>0.2727</v>
      </c>
      <c r="N611">
        <v>0.8</v>
      </c>
      <c r="O611" t="s">
        <v>30</v>
      </c>
      <c r="P611">
        <v>0</v>
      </c>
      <c r="Q611">
        <v>10</v>
      </c>
      <c r="R611">
        <v>70</v>
      </c>
      <c r="S611">
        <v>80</v>
      </c>
    </row>
    <row r="612" spans="1:19" x14ac:dyDescent="0.3">
      <c r="A612">
        <v>612</v>
      </c>
      <c r="B612" s="46">
        <v>40571</v>
      </c>
      <c r="C612">
        <v>1</v>
      </c>
      <c r="D612">
        <v>17</v>
      </c>
      <c r="E612" t="b">
        <v>0</v>
      </c>
      <c r="F612">
        <v>5</v>
      </c>
      <c r="G612" t="s">
        <v>35</v>
      </c>
      <c r="H612" t="s">
        <v>40</v>
      </c>
      <c r="I612">
        <v>1</v>
      </c>
      <c r="J612" t="s">
        <v>29</v>
      </c>
      <c r="K612">
        <v>0.24</v>
      </c>
      <c r="L612" t="s">
        <v>23</v>
      </c>
      <c r="M612">
        <v>0.2424</v>
      </c>
      <c r="N612">
        <v>0.75</v>
      </c>
      <c r="O612" t="s">
        <v>30</v>
      </c>
      <c r="P612">
        <v>0.1343</v>
      </c>
      <c r="Q612">
        <v>2</v>
      </c>
      <c r="R612">
        <v>147</v>
      </c>
      <c r="S612">
        <v>149</v>
      </c>
    </row>
    <row r="613" spans="1:19" x14ac:dyDescent="0.3">
      <c r="A613">
        <v>613</v>
      </c>
      <c r="B613" s="46">
        <v>40571</v>
      </c>
      <c r="C613">
        <v>1</v>
      </c>
      <c r="D613">
        <v>18</v>
      </c>
      <c r="E613" t="b">
        <v>0</v>
      </c>
      <c r="F613">
        <v>5</v>
      </c>
      <c r="G613" t="s">
        <v>35</v>
      </c>
      <c r="H613" t="s">
        <v>40</v>
      </c>
      <c r="I613">
        <v>1</v>
      </c>
      <c r="J613" t="s">
        <v>29</v>
      </c>
      <c r="K613">
        <v>0.24</v>
      </c>
      <c r="L613" t="s">
        <v>23</v>
      </c>
      <c r="M613">
        <v>0.2273</v>
      </c>
      <c r="N613">
        <v>0.75</v>
      </c>
      <c r="O613" t="s">
        <v>30</v>
      </c>
      <c r="P613">
        <v>0.19400000000000001</v>
      </c>
      <c r="Q613">
        <v>2</v>
      </c>
      <c r="R613">
        <v>107</v>
      </c>
      <c r="S613">
        <v>109</v>
      </c>
    </row>
    <row r="614" spans="1:19" x14ac:dyDescent="0.3">
      <c r="A614">
        <v>614</v>
      </c>
      <c r="B614" s="46">
        <v>40571</v>
      </c>
      <c r="C614">
        <v>1</v>
      </c>
      <c r="D614">
        <v>19</v>
      </c>
      <c r="E614" t="b">
        <v>0</v>
      </c>
      <c r="F614">
        <v>5</v>
      </c>
      <c r="G614" t="s">
        <v>35</v>
      </c>
      <c r="H614" t="s">
        <v>40</v>
      </c>
      <c r="I614">
        <v>2</v>
      </c>
      <c r="J614" t="s">
        <v>31</v>
      </c>
      <c r="K614">
        <v>0.24</v>
      </c>
      <c r="L614" t="s">
        <v>23</v>
      </c>
      <c r="M614">
        <v>0.2424</v>
      </c>
      <c r="N614">
        <v>0.75</v>
      </c>
      <c r="O614" t="s">
        <v>30</v>
      </c>
      <c r="P614">
        <v>0.1343</v>
      </c>
      <c r="Q614">
        <v>5</v>
      </c>
      <c r="R614">
        <v>84</v>
      </c>
      <c r="S614">
        <v>89</v>
      </c>
    </row>
    <row r="615" spans="1:19" x14ac:dyDescent="0.3">
      <c r="A615">
        <v>615</v>
      </c>
      <c r="B615" s="46">
        <v>40571</v>
      </c>
      <c r="C615">
        <v>1</v>
      </c>
      <c r="D615">
        <v>20</v>
      </c>
      <c r="E615" t="b">
        <v>0</v>
      </c>
      <c r="F615">
        <v>5</v>
      </c>
      <c r="G615" t="s">
        <v>35</v>
      </c>
      <c r="H615" t="s">
        <v>40</v>
      </c>
      <c r="I615">
        <v>2</v>
      </c>
      <c r="J615" t="s">
        <v>31</v>
      </c>
      <c r="K615">
        <v>0.24</v>
      </c>
      <c r="L615" t="s">
        <v>23</v>
      </c>
      <c r="M615">
        <v>0.2273</v>
      </c>
      <c r="N615">
        <v>0.7</v>
      </c>
      <c r="O615" t="s">
        <v>30</v>
      </c>
      <c r="P615">
        <v>0.19400000000000001</v>
      </c>
      <c r="Q615">
        <v>1</v>
      </c>
      <c r="R615">
        <v>61</v>
      </c>
      <c r="S615">
        <v>62</v>
      </c>
    </row>
    <row r="616" spans="1:19" x14ac:dyDescent="0.3">
      <c r="A616">
        <v>616</v>
      </c>
      <c r="B616" s="46">
        <v>40571</v>
      </c>
      <c r="C616">
        <v>1</v>
      </c>
      <c r="D616">
        <v>21</v>
      </c>
      <c r="E616" t="b">
        <v>0</v>
      </c>
      <c r="F616">
        <v>5</v>
      </c>
      <c r="G616" t="s">
        <v>35</v>
      </c>
      <c r="H616" t="s">
        <v>40</v>
      </c>
      <c r="I616">
        <v>2</v>
      </c>
      <c r="J616" t="s">
        <v>31</v>
      </c>
      <c r="K616">
        <v>0.22</v>
      </c>
      <c r="L616" t="s">
        <v>23</v>
      </c>
      <c r="M616">
        <v>0.2273</v>
      </c>
      <c r="N616">
        <v>0.75</v>
      </c>
      <c r="O616" t="s">
        <v>30</v>
      </c>
      <c r="P616">
        <v>0.1343</v>
      </c>
      <c r="Q616">
        <v>1</v>
      </c>
      <c r="R616">
        <v>57</v>
      </c>
      <c r="S616">
        <v>58</v>
      </c>
    </row>
    <row r="617" spans="1:19" x14ac:dyDescent="0.3">
      <c r="A617">
        <v>617</v>
      </c>
      <c r="B617" s="46">
        <v>40571</v>
      </c>
      <c r="C617">
        <v>1</v>
      </c>
      <c r="D617">
        <v>22</v>
      </c>
      <c r="E617" t="b">
        <v>0</v>
      </c>
      <c r="F617">
        <v>5</v>
      </c>
      <c r="G617" t="s">
        <v>35</v>
      </c>
      <c r="H617" t="s">
        <v>40</v>
      </c>
      <c r="I617">
        <v>1</v>
      </c>
      <c r="J617" t="s">
        <v>29</v>
      </c>
      <c r="K617">
        <v>0.24</v>
      </c>
      <c r="L617" t="s">
        <v>23</v>
      </c>
      <c r="M617">
        <v>0.21210000000000001</v>
      </c>
      <c r="N617">
        <v>0.65</v>
      </c>
      <c r="O617" t="s">
        <v>34</v>
      </c>
      <c r="P617">
        <v>0.35820000000000002</v>
      </c>
      <c r="Q617">
        <v>0</v>
      </c>
      <c r="R617">
        <v>26</v>
      </c>
      <c r="S617">
        <v>26</v>
      </c>
    </row>
    <row r="618" spans="1:19" x14ac:dyDescent="0.3">
      <c r="A618">
        <v>618</v>
      </c>
      <c r="B618" s="46">
        <v>40571</v>
      </c>
      <c r="C618">
        <v>1</v>
      </c>
      <c r="D618">
        <v>23</v>
      </c>
      <c r="E618" t="b">
        <v>0</v>
      </c>
      <c r="F618">
        <v>5</v>
      </c>
      <c r="G618" t="s">
        <v>35</v>
      </c>
      <c r="H618" t="s">
        <v>40</v>
      </c>
      <c r="I618">
        <v>1</v>
      </c>
      <c r="J618" t="s">
        <v>29</v>
      </c>
      <c r="K618">
        <v>0.24</v>
      </c>
      <c r="L618" t="s">
        <v>23</v>
      </c>
      <c r="M618">
        <v>0.2273</v>
      </c>
      <c r="N618">
        <v>0.6</v>
      </c>
      <c r="O618" t="s">
        <v>34</v>
      </c>
      <c r="P618">
        <v>0.22389999999999999</v>
      </c>
      <c r="Q618">
        <v>1</v>
      </c>
      <c r="R618">
        <v>22</v>
      </c>
      <c r="S618">
        <v>23</v>
      </c>
    </row>
    <row r="619" spans="1:19" x14ac:dyDescent="0.3">
      <c r="A619">
        <v>619</v>
      </c>
      <c r="B619" s="46">
        <v>40572</v>
      </c>
      <c r="C619">
        <v>1</v>
      </c>
      <c r="D619">
        <v>0</v>
      </c>
      <c r="E619" t="b">
        <v>0</v>
      </c>
      <c r="F619">
        <v>6</v>
      </c>
      <c r="G619" t="s">
        <v>27</v>
      </c>
      <c r="H619" t="s">
        <v>28</v>
      </c>
      <c r="I619">
        <v>1</v>
      </c>
      <c r="J619" t="s">
        <v>29</v>
      </c>
      <c r="K619">
        <v>0.22</v>
      </c>
      <c r="L619" t="s">
        <v>23</v>
      </c>
      <c r="M619">
        <v>0.19700000000000001</v>
      </c>
      <c r="N619">
        <v>0.64</v>
      </c>
      <c r="O619" t="s">
        <v>34</v>
      </c>
      <c r="P619">
        <v>0.35820000000000002</v>
      </c>
      <c r="Q619">
        <v>2</v>
      </c>
      <c r="R619">
        <v>26</v>
      </c>
      <c r="S619">
        <v>28</v>
      </c>
    </row>
    <row r="620" spans="1:19" x14ac:dyDescent="0.3">
      <c r="A620">
        <v>620</v>
      </c>
      <c r="B620" s="46">
        <v>40572</v>
      </c>
      <c r="C620">
        <v>1</v>
      </c>
      <c r="D620">
        <v>1</v>
      </c>
      <c r="E620" t="b">
        <v>0</v>
      </c>
      <c r="F620">
        <v>6</v>
      </c>
      <c r="G620" t="s">
        <v>27</v>
      </c>
      <c r="H620" t="s">
        <v>28</v>
      </c>
      <c r="I620">
        <v>1</v>
      </c>
      <c r="J620" t="s">
        <v>29</v>
      </c>
      <c r="K620">
        <v>0.22</v>
      </c>
      <c r="L620" t="s">
        <v>23</v>
      </c>
      <c r="M620">
        <v>0.2273</v>
      </c>
      <c r="N620">
        <v>0.64</v>
      </c>
      <c r="O620" t="s">
        <v>34</v>
      </c>
      <c r="P620">
        <v>0.19400000000000001</v>
      </c>
      <c r="Q620">
        <v>0</v>
      </c>
      <c r="R620">
        <v>20</v>
      </c>
      <c r="S620">
        <v>20</v>
      </c>
    </row>
    <row r="621" spans="1:19" x14ac:dyDescent="0.3">
      <c r="A621">
        <v>621</v>
      </c>
      <c r="B621" s="46">
        <v>40572</v>
      </c>
      <c r="C621">
        <v>1</v>
      </c>
      <c r="D621">
        <v>2</v>
      </c>
      <c r="E621" t="b">
        <v>0</v>
      </c>
      <c r="F621">
        <v>6</v>
      </c>
      <c r="G621" t="s">
        <v>27</v>
      </c>
      <c r="H621" t="s">
        <v>28</v>
      </c>
      <c r="I621">
        <v>1</v>
      </c>
      <c r="J621" t="s">
        <v>29</v>
      </c>
      <c r="K621">
        <v>0.22</v>
      </c>
      <c r="L621" t="s">
        <v>23</v>
      </c>
      <c r="M621">
        <v>0.2273</v>
      </c>
      <c r="N621">
        <v>0.64</v>
      </c>
      <c r="O621" t="s">
        <v>34</v>
      </c>
      <c r="P621">
        <v>0.16420000000000001</v>
      </c>
      <c r="Q621">
        <v>0</v>
      </c>
      <c r="R621">
        <v>15</v>
      </c>
      <c r="S621">
        <v>15</v>
      </c>
    </row>
    <row r="622" spans="1:19" x14ac:dyDescent="0.3">
      <c r="A622">
        <v>622</v>
      </c>
      <c r="B622" s="46">
        <v>40572</v>
      </c>
      <c r="C622">
        <v>1</v>
      </c>
      <c r="D622">
        <v>3</v>
      </c>
      <c r="E622" t="b">
        <v>0</v>
      </c>
      <c r="F622">
        <v>6</v>
      </c>
      <c r="G622" t="s">
        <v>27</v>
      </c>
      <c r="H622" t="s">
        <v>28</v>
      </c>
      <c r="I622">
        <v>1</v>
      </c>
      <c r="J622" t="s">
        <v>29</v>
      </c>
      <c r="K622">
        <v>0.2</v>
      </c>
      <c r="L622" t="s">
        <v>23</v>
      </c>
      <c r="M622">
        <v>0.21210000000000001</v>
      </c>
      <c r="N622">
        <v>0.64</v>
      </c>
      <c r="O622" t="s">
        <v>34</v>
      </c>
      <c r="P622">
        <v>0.1343</v>
      </c>
      <c r="Q622">
        <v>3</v>
      </c>
      <c r="R622">
        <v>5</v>
      </c>
      <c r="S622">
        <v>8</v>
      </c>
    </row>
    <row r="623" spans="1:19" x14ac:dyDescent="0.3">
      <c r="A623">
        <v>623</v>
      </c>
      <c r="B623" s="46">
        <v>40572</v>
      </c>
      <c r="C623">
        <v>1</v>
      </c>
      <c r="D623">
        <v>4</v>
      </c>
      <c r="E623" t="b">
        <v>0</v>
      </c>
      <c r="F623">
        <v>6</v>
      </c>
      <c r="G623" t="s">
        <v>27</v>
      </c>
      <c r="H623" t="s">
        <v>28</v>
      </c>
      <c r="I623">
        <v>1</v>
      </c>
      <c r="J623" t="s">
        <v>29</v>
      </c>
      <c r="K623">
        <v>0.16</v>
      </c>
      <c r="L623" t="s">
        <v>23</v>
      </c>
      <c r="M623">
        <v>0.18179999999999999</v>
      </c>
      <c r="N623">
        <v>0.69</v>
      </c>
      <c r="O623" t="s">
        <v>34</v>
      </c>
      <c r="P623">
        <v>0.1045</v>
      </c>
      <c r="Q623">
        <v>1</v>
      </c>
      <c r="R623">
        <v>2</v>
      </c>
      <c r="S623">
        <v>3</v>
      </c>
    </row>
    <row r="624" spans="1:19" x14ac:dyDescent="0.3">
      <c r="A624">
        <v>624</v>
      </c>
      <c r="B624" s="46">
        <v>40572</v>
      </c>
      <c r="C624">
        <v>1</v>
      </c>
      <c r="D624">
        <v>6</v>
      </c>
      <c r="E624" t="b">
        <v>0</v>
      </c>
      <c r="F624">
        <v>6</v>
      </c>
      <c r="G624" t="s">
        <v>27</v>
      </c>
      <c r="H624" t="s">
        <v>28</v>
      </c>
      <c r="I624">
        <v>1</v>
      </c>
      <c r="J624" t="s">
        <v>29</v>
      </c>
      <c r="K624">
        <v>0.16</v>
      </c>
      <c r="L624" t="s">
        <v>23</v>
      </c>
      <c r="M624">
        <v>0.18179999999999999</v>
      </c>
      <c r="N624">
        <v>0.64</v>
      </c>
      <c r="O624" t="s">
        <v>34</v>
      </c>
      <c r="P624">
        <v>0.1343</v>
      </c>
      <c r="Q624">
        <v>0</v>
      </c>
      <c r="R624">
        <v>2</v>
      </c>
      <c r="S624">
        <v>2</v>
      </c>
    </row>
    <row r="625" spans="1:19" x14ac:dyDescent="0.3">
      <c r="A625">
        <v>625</v>
      </c>
      <c r="B625" s="46">
        <v>40572</v>
      </c>
      <c r="C625">
        <v>1</v>
      </c>
      <c r="D625">
        <v>7</v>
      </c>
      <c r="E625" t="b">
        <v>0</v>
      </c>
      <c r="F625">
        <v>6</v>
      </c>
      <c r="G625" t="s">
        <v>27</v>
      </c>
      <c r="H625" t="s">
        <v>28</v>
      </c>
      <c r="I625">
        <v>1</v>
      </c>
      <c r="J625" t="s">
        <v>29</v>
      </c>
      <c r="K625">
        <v>0.16</v>
      </c>
      <c r="L625" t="s">
        <v>23</v>
      </c>
      <c r="M625">
        <v>0.18179999999999999</v>
      </c>
      <c r="N625">
        <v>0.59</v>
      </c>
      <c r="O625" t="s">
        <v>34</v>
      </c>
      <c r="P625">
        <v>0.1045</v>
      </c>
      <c r="Q625">
        <v>1</v>
      </c>
      <c r="R625">
        <v>4</v>
      </c>
      <c r="S625">
        <v>5</v>
      </c>
    </row>
    <row r="626" spans="1:19" x14ac:dyDescent="0.3">
      <c r="A626">
        <v>626</v>
      </c>
      <c r="B626" s="46">
        <v>40572</v>
      </c>
      <c r="C626">
        <v>1</v>
      </c>
      <c r="D626">
        <v>8</v>
      </c>
      <c r="E626" t="b">
        <v>0</v>
      </c>
      <c r="F626">
        <v>6</v>
      </c>
      <c r="G626" t="s">
        <v>27</v>
      </c>
      <c r="H626" t="s">
        <v>28</v>
      </c>
      <c r="I626">
        <v>1</v>
      </c>
      <c r="J626" t="s">
        <v>29</v>
      </c>
      <c r="K626">
        <v>0.18</v>
      </c>
      <c r="L626" t="s">
        <v>23</v>
      </c>
      <c r="M626">
        <v>0.19700000000000001</v>
      </c>
      <c r="N626">
        <v>0.55000000000000004</v>
      </c>
      <c r="O626" t="s">
        <v>34</v>
      </c>
      <c r="P626">
        <v>0.16420000000000001</v>
      </c>
      <c r="Q626">
        <v>3</v>
      </c>
      <c r="R626">
        <v>31</v>
      </c>
      <c r="S626">
        <v>34</v>
      </c>
    </row>
    <row r="627" spans="1:19" x14ac:dyDescent="0.3">
      <c r="A627">
        <v>627</v>
      </c>
      <c r="B627" s="46">
        <v>40572</v>
      </c>
      <c r="C627">
        <v>1</v>
      </c>
      <c r="D627">
        <v>9</v>
      </c>
      <c r="E627" t="b">
        <v>0</v>
      </c>
      <c r="F627">
        <v>6</v>
      </c>
      <c r="G627" t="s">
        <v>27</v>
      </c>
      <c r="H627" t="s">
        <v>28</v>
      </c>
      <c r="I627">
        <v>1</v>
      </c>
      <c r="J627" t="s">
        <v>29</v>
      </c>
      <c r="K627">
        <v>0.18</v>
      </c>
      <c r="L627" t="s">
        <v>23</v>
      </c>
      <c r="M627">
        <v>0.21210000000000001</v>
      </c>
      <c r="N627">
        <v>0.59</v>
      </c>
      <c r="O627" t="s">
        <v>34</v>
      </c>
      <c r="P627">
        <v>8.9599999999999999E-2</v>
      </c>
      <c r="Q627">
        <v>0</v>
      </c>
      <c r="R627">
        <v>34</v>
      </c>
      <c r="S627">
        <v>34</v>
      </c>
    </row>
    <row r="628" spans="1:19" x14ac:dyDescent="0.3">
      <c r="A628">
        <v>628</v>
      </c>
      <c r="B628" s="46">
        <v>40572</v>
      </c>
      <c r="C628">
        <v>1</v>
      </c>
      <c r="D628">
        <v>10</v>
      </c>
      <c r="E628" t="b">
        <v>0</v>
      </c>
      <c r="F628">
        <v>6</v>
      </c>
      <c r="G628" t="s">
        <v>27</v>
      </c>
      <c r="H628" t="s">
        <v>28</v>
      </c>
      <c r="I628">
        <v>2</v>
      </c>
      <c r="J628" t="s">
        <v>31</v>
      </c>
      <c r="K628">
        <v>0.18</v>
      </c>
      <c r="L628" t="s">
        <v>23</v>
      </c>
      <c r="M628">
        <v>0.21210000000000001</v>
      </c>
      <c r="N628">
        <v>0.64</v>
      </c>
      <c r="O628" t="s">
        <v>34</v>
      </c>
      <c r="P628">
        <v>0.1045</v>
      </c>
      <c r="Q628">
        <v>4</v>
      </c>
      <c r="R628">
        <v>51</v>
      </c>
      <c r="S628">
        <v>55</v>
      </c>
    </row>
    <row r="629" spans="1:19" x14ac:dyDescent="0.3">
      <c r="A629">
        <v>629</v>
      </c>
      <c r="B629" s="46">
        <v>40572</v>
      </c>
      <c r="C629">
        <v>1</v>
      </c>
      <c r="D629">
        <v>11</v>
      </c>
      <c r="E629" t="b">
        <v>0</v>
      </c>
      <c r="F629">
        <v>6</v>
      </c>
      <c r="G629" t="s">
        <v>27</v>
      </c>
      <c r="H629" t="s">
        <v>28</v>
      </c>
      <c r="I629">
        <v>2</v>
      </c>
      <c r="J629" t="s">
        <v>31</v>
      </c>
      <c r="K629">
        <v>0.18</v>
      </c>
      <c r="L629" t="s">
        <v>23</v>
      </c>
      <c r="M629">
        <v>0.19700000000000001</v>
      </c>
      <c r="N629">
        <v>0.64</v>
      </c>
      <c r="O629" t="s">
        <v>34</v>
      </c>
      <c r="P629">
        <v>0.1343</v>
      </c>
      <c r="Q629">
        <v>4</v>
      </c>
      <c r="R629">
        <v>60</v>
      </c>
      <c r="S629">
        <v>64</v>
      </c>
    </row>
    <row r="630" spans="1:19" x14ac:dyDescent="0.3">
      <c r="A630">
        <v>630</v>
      </c>
      <c r="B630" s="46">
        <v>40572</v>
      </c>
      <c r="C630">
        <v>1</v>
      </c>
      <c r="D630">
        <v>12</v>
      </c>
      <c r="E630" t="b">
        <v>0</v>
      </c>
      <c r="F630">
        <v>6</v>
      </c>
      <c r="G630" t="s">
        <v>27</v>
      </c>
      <c r="H630" t="s">
        <v>28</v>
      </c>
      <c r="I630">
        <v>2</v>
      </c>
      <c r="J630" t="s">
        <v>31</v>
      </c>
      <c r="K630">
        <v>0.2</v>
      </c>
      <c r="L630" t="s">
        <v>23</v>
      </c>
      <c r="M630">
        <v>0.19700000000000001</v>
      </c>
      <c r="N630">
        <v>0.59</v>
      </c>
      <c r="O630" t="s">
        <v>34</v>
      </c>
      <c r="P630">
        <v>0.19400000000000001</v>
      </c>
      <c r="Q630">
        <v>12</v>
      </c>
      <c r="R630">
        <v>66</v>
      </c>
      <c r="S630">
        <v>78</v>
      </c>
    </row>
    <row r="631" spans="1:19" x14ac:dyDescent="0.3">
      <c r="A631">
        <v>631</v>
      </c>
      <c r="B631" s="46">
        <v>40572</v>
      </c>
      <c r="C631">
        <v>1</v>
      </c>
      <c r="D631">
        <v>13</v>
      </c>
      <c r="E631" t="b">
        <v>0</v>
      </c>
      <c r="F631">
        <v>6</v>
      </c>
      <c r="G631" t="s">
        <v>27</v>
      </c>
      <c r="H631" t="s">
        <v>28</v>
      </c>
      <c r="I631">
        <v>2</v>
      </c>
      <c r="J631" t="s">
        <v>31</v>
      </c>
      <c r="K631">
        <v>0.22</v>
      </c>
      <c r="L631" t="s">
        <v>23</v>
      </c>
      <c r="M631">
        <v>0.2273</v>
      </c>
      <c r="N631">
        <v>0.55000000000000004</v>
      </c>
      <c r="O631" t="s">
        <v>34</v>
      </c>
      <c r="P631">
        <v>0.16420000000000001</v>
      </c>
      <c r="Q631">
        <v>9</v>
      </c>
      <c r="R631">
        <v>56</v>
      </c>
      <c r="S631">
        <v>65</v>
      </c>
    </row>
    <row r="632" spans="1:19" x14ac:dyDescent="0.3">
      <c r="A632">
        <v>632</v>
      </c>
      <c r="B632" s="46">
        <v>40572</v>
      </c>
      <c r="C632">
        <v>1</v>
      </c>
      <c r="D632">
        <v>14</v>
      </c>
      <c r="E632" t="b">
        <v>0</v>
      </c>
      <c r="F632">
        <v>6</v>
      </c>
      <c r="G632" t="s">
        <v>27</v>
      </c>
      <c r="H632" t="s">
        <v>28</v>
      </c>
      <c r="I632">
        <v>2</v>
      </c>
      <c r="J632" t="s">
        <v>31</v>
      </c>
      <c r="K632">
        <v>0.22</v>
      </c>
      <c r="L632" t="s">
        <v>23</v>
      </c>
      <c r="M632">
        <v>0.2273</v>
      </c>
      <c r="N632">
        <v>0.6</v>
      </c>
      <c r="O632" t="s">
        <v>34</v>
      </c>
      <c r="P632">
        <v>0.1343</v>
      </c>
      <c r="Q632">
        <v>10</v>
      </c>
      <c r="R632">
        <v>89</v>
      </c>
      <c r="S632">
        <v>99</v>
      </c>
    </row>
    <row r="633" spans="1:19" x14ac:dyDescent="0.3">
      <c r="A633">
        <v>633</v>
      </c>
      <c r="B633" s="46">
        <v>40572</v>
      </c>
      <c r="C633">
        <v>1</v>
      </c>
      <c r="D633">
        <v>15</v>
      </c>
      <c r="E633" t="b">
        <v>0</v>
      </c>
      <c r="F633">
        <v>6</v>
      </c>
      <c r="G633" t="s">
        <v>27</v>
      </c>
      <c r="H633" t="s">
        <v>28</v>
      </c>
      <c r="I633">
        <v>1</v>
      </c>
      <c r="J633" t="s">
        <v>29</v>
      </c>
      <c r="K633">
        <v>0.22</v>
      </c>
      <c r="L633" t="s">
        <v>23</v>
      </c>
      <c r="M633">
        <v>0.21210000000000001</v>
      </c>
      <c r="N633">
        <v>0.69</v>
      </c>
      <c r="O633" t="s">
        <v>34</v>
      </c>
      <c r="P633">
        <v>0.25369999999999998</v>
      </c>
      <c r="Q633">
        <v>22</v>
      </c>
      <c r="R633">
        <v>98</v>
      </c>
      <c r="S633">
        <v>120</v>
      </c>
    </row>
    <row r="634" spans="1:19" x14ac:dyDescent="0.3">
      <c r="A634">
        <v>634</v>
      </c>
      <c r="B634" s="46">
        <v>40572</v>
      </c>
      <c r="C634">
        <v>1</v>
      </c>
      <c r="D634">
        <v>16</v>
      </c>
      <c r="E634" t="b">
        <v>0</v>
      </c>
      <c r="F634">
        <v>6</v>
      </c>
      <c r="G634" t="s">
        <v>27</v>
      </c>
      <c r="H634" t="s">
        <v>28</v>
      </c>
      <c r="I634">
        <v>1</v>
      </c>
      <c r="J634" t="s">
        <v>29</v>
      </c>
      <c r="K634">
        <v>0.24</v>
      </c>
      <c r="L634" t="s">
        <v>23</v>
      </c>
      <c r="M634">
        <v>0.2424</v>
      </c>
      <c r="N634">
        <v>0.6</v>
      </c>
      <c r="O634" t="s">
        <v>34</v>
      </c>
      <c r="P634">
        <v>0.16420000000000001</v>
      </c>
      <c r="Q634">
        <v>19</v>
      </c>
      <c r="R634">
        <v>88</v>
      </c>
      <c r="S634">
        <v>107</v>
      </c>
    </row>
    <row r="635" spans="1:19" x14ac:dyDescent="0.3">
      <c r="A635">
        <v>635</v>
      </c>
      <c r="B635" s="46">
        <v>40572</v>
      </c>
      <c r="C635">
        <v>1</v>
      </c>
      <c r="D635">
        <v>17</v>
      </c>
      <c r="E635" t="b">
        <v>0</v>
      </c>
      <c r="F635">
        <v>6</v>
      </c>
      <c r="G635" t="s">
        <v>27</v>
      </c>
      <c r="H635" t="s">
        <v>28</v>
      </c>
      <c r="I635">
        <v>1</v>
      </c>
      <c r="J635" t="s">
        <v>29</v>
      </c>
      <c r="K635">
        <v>0.24</v>
      </c>
      <c r="L635" t="s">
        <v>23</v>
      </c>
      <c r="M635">
        <v>0.28789999999999999</v>
      </c>
      <c r="N635">
        <v>0.6</v>
      </c>
      <c r="O635" t="s">
        <v>34</v>
      </c>
      <c r="P635">
        <v>0</v>
      </c>
      <c r="Q635">
        <v>9</v>
      </c>
      <c r="R635">
        <v>82</v>
      </c>
      <c r="S635">
        <v>91</v>
      </c>
    </row>
    <row r="636" spans="1:19" x14ac:dyDescent="0.3">
      <c r="A636">
        <v>636</v>
      </c>
      <c r="B636" s="46">
        <v>40572</v>
      </c>
      <c r="C636">
        <v>1</v>
      </c>
      <c r="D636">
        <v>18</v>
      </c>
      <c r="E636" t="b">
        <v>0</v>
      </c>
      <c r="F636">
        <v>6</v>
      </c>
      <c r="G636" t="s">
        <v>27</v>
      </c>
      <c r="H636" t="s">
        <v>28</v>
      </c>
      <c r="I636">
        <v>1</v>
      </c>
      <c r="J636" t="s">
        <v>29</v>
      </c>
      <c r="K636">
        <v>0.22</v>
      </c>
      <c r="L636" t="s">
        <v>23</v>
      </c>
      <c r="M636">
        <v>0.2273</v>
      </c>
      <c r="N636">
        <v>0.69</v>
      </c>
      <c r="O636" t="s">
        <v>34</v>
      </c>
      <c r="P636">
        <v>0.1343</v>
      </c>
      <c r="Q636">
        <v>9</v>
      </c>
      <c r="R636">
        <v>59</v>
      </c>
      <c r="S636">
        <v>68</v>
      </c>
    </row>
    <row r="637" spans="1:19" x14ac:dyDescent="0.3">
      <c r="A637">
        <v>637</v>
      </c>
      <c r="B637" s="46">
        <v>40572</v>
      </c>
      <c r="C637">
        <v>1</v>
      </c>
      <c r="D637">
        <v>19</v>
      </c>
      <c r="E637" t="b">
        <v>0</v>
      </c>
      <c r="F637">
        <v>6</v>
      </c>
      <c r="G637" t="s">
        <v>27</v>
      </c>
      <c r="H637" t="s">
        <v>28</v>
      </c>
      <c r="I637">
        <v>2</v>
      </c>
      <c r="J637" t="s">
        <v>31</v>
      </c>
      <c r="K637">
        <v>0.22</v>
      </c>
      <c r="L637" t="s">
        <v>23</v>
      </c>
      <c r="M637">
        <v>0.21210000000000001</v>
      </c>
      <c r="N637">
        <v>0.69</v>
      </c>
      <c r="O637" t="s">
        <v>34</v>
      </c>
      <c r="P637">
        <v>0.25369999999999998</v>
      </c>
      <c r="Q637">
        <v>6</v>
      </c>
      <c r="R637">
        <v>52</v>
      </c>
      <c r="S637">
        <v>58</v>
      </c>
    </row>
    <row r="638" spans="1:19" x14ac:dyDescent="0.3">
      <c r="A638">
        <v>638</v>
      </c>
      <c r="B638" s="46">
        <v>40572</v>
      </c>
      <c r="C638">
        <v>1</v>
      </c>
      <c r="D638">
        <v>20</v>
      </c>
      <c r="E638" t="b">
        <v>0</v>
      </c>
      <c r="F638">
        <v>6</v>
      </c>
      <c r="G638" t="s">
        <v>27</v>
      </c>
      <c r="H638" t="s">
        <v>28</v>
      </c>
      <c r="I638">
        <v>1</v>
      </c>
      <c r="J638" t="s">
        <v>29</v>
      </c>
      <c r="K638">
        <v>0.18</v>
      </c>
      <c r="L638" t="s">
        <v>23</v>
      </c>
      <c r="M638">
        <v>0.21210000000000001</v>
      </c>
      <c r="N638">
        <v>0.74</v>
      </c>
      <c r="O638" t="s">
        <v>30</v>
      </c>
      <c r="P638">
        <v>8.9599999999999999E-2</v>
      </c>
      <c r="Q638">
        <v>1</v>
      </c>
      <c r="R638">
        <v>42</v>
      </c>
      <c r="S638">
        <v>43</v>
      </c>
    </row>
    <row r="639" spans="1:19" x14ac:dyDescent="0.3">
      <c r="A639">
        <v>639</v>
      </c>
      <c r="B639" s="46">
        <v>40572</v>
      </c>
      <c r="C639">
        <v>1</v>
      </c>
      <c r="D639">
        <v>21</v>
      </c>
      <c r="E639" t="b">
        <v>0</v>
      </c>
      <c r="F639">
        <v>6</v>
      </c>
      <c r="G639" t="s">
        <v>27</v>
      </c>
      <c r="H639" t="s">
        <v>28</v>
      </c>
      <c r="I639">
        <v>1</v>
      </c>
      <c r="J639" t="s">
        <v>29</v>
      </c>
      <c r="K639">
        <v>0.18</v>
      </c>
      <c r="L639" t="s">
        <v>23</v>
      </c>
      <c r="M639">
        <v>0.21210000000000001</v>
      </c>
      <c r="N639">
        <v>0.74</v>
      </c>
      <c r="O639" t="s">
        <v>30</v>
      </c>
      <c r="P639">
        <v>8.9599999999999999E-2</v>
      </c>
      <c r="Q639">
        <v>1</v>
      </c>
      <c r="R639">
        <v>35</v>
      </c>
      <c r="S639">
        <v>36</v>
      </c>
    </row>
    <row r="640" spans="1:19" x14ac:dyDescent="0.3">
      <c r="A640">
        <v>640</v>
      </c>
      <c r="B640" s="46">
        <v>40572</v>
      </c>
      <c r="C640">
        <v>1</v>
      </c>
      <c r="D640">
        <v>22</v>
      </c>
      <c r="E640" t="b">
        <v>0</v>
      </c>
      <c r="F640">
        <v>6</v>
      </c>
      <c r="G640" t="s">
        <v>27</v>
      </c>
      <c r="H640" t="s">
        <v>28</v>
      </c>
      <c r="I640">
        <v>1</v>
      </c>
      <c r="J640" t="s">
        <v>29</v>
      </c>
      <c r="K640">
        <v>0.16</v>
      </c>
      <c r="L640" t="s">
        <v>23</v>
      </c>
      <c r="M640">
        <v>0.19700000000000001</v>
      </c>
      <c r="N640">
        <v>0.8</v>
      </c>
      <c r="O640" t="s">
        <v>30</v>
      </c>
      <c r="P640">
        <v>8.9599999999999999E-2</v>
      </c>
      <c r="Q640">
        <v>4</v>
      </c>
      <c r="R640">
        <v>28</v>
      </c>
      <c r="S640">
        <v>32</v>
      </c>
    </row>
    <row r="641" spans="1:19" x14ac:dyDescent="0.3">
      <c r="A641">
        <v>641</v>
      </c>
      <c r="B641" s="46">
        <v>40572</v>
      </c>
      <c r="C641">
        <v>1</v>
      </c>
      <c r="D641">
        <v>23</v>
      </c>
      <c r="E641" t="b">
        <v>0</v>
      </c>
      <c r="F641">
        <v>6</v>
      </c>
      <c r="G641" t="s">
        <v>27</v>
      </c>
      <c r="H641" t="s">
        <v>28</v>
      </c>
      <c r="I641">
        <v>1</v>
      </c>
      <c r="J641" t="s">
        <v>29</v>
      </c>
      <c r="K641">
        <v>0.16</v>
      </c>
      <c r="L641" t="s">
        <v>23</v>
      </c>
      <c r="M641">
        <v>0.19700000000000001</v>
      </c>
      <c r="N641">
        <v>0.8</v>
      </c>
      <c r="O641" t="s">
        <v>30</v>
      </c>
      <c r="P641">
        <v>8.9599999999999999E-2</v>
      </c>
      <c r="Q641">
        <v>3</v>
      </c>
      <c r="R641">
        <v>30</v>
      </c>
      <c r="S641">
        <v>33</v>
      </c>
    </row>
    <row r="642" spans="1:19" x14ac:dyDescent="0.3">
      <c r="A642">
        <v>642</v>
      </c>
      <c r="B642" s="46">
        <v>40573</v>
      </c>
      <c r="C642">
        <v>1</v>
      </c>
      <c r="D642">
        <v>0</v>
      </c>
      <c r="E642" t="b">
        <v>0</v>
      </c>
      <c r="F642">
        <v>0</v>
      </c>
      <c r="G642" t="s">
        <v>27</v>
      </c>
      <c r="H642" t="s">
        <v>33</v>
      </c>
      <c r="I642">
        <v>1</v>
      </c>
      <c r="J642" t="s">
        <v>29</v>
      </c>
      <c r="K642">
        <v>0.16</v>
      </c>
      <c r="L642" t="s">
        <v>23</v>
      </c>
      <c r="M642">
        <v>0.18179999999999999</v>
      </c>
      <c r="N642">
        <v>0.8</v>
      </c>
      <c r="O642" t="s">
        <v>30</v>
      </c>
      <c r="P642">
        <v>0.1045</v>
      </c>
      <c r="Q642">
        <v>0</v>
      </c>
      <c r="R642">
        <v>33</v>
      </c>
      <c r="S642">
        <v>33</v>
      </c>
    </row>
    <row r="643" spans="1:19" x14ac:dyDescent="0.3">
      <c r="A643">
        <v>643</v>
      </c>
      <c r="B643" s="46">
        <v>40573</v>
      </c>
      <c r="C643">
        <v>1</v>
      </c>
      <c r="D643">
        <v>1</v>
      </c>
      <c r="E643" t="b">
        <v>0</v>
      </c>
      <c r="F643">
        <v>0</v>
      </c>
      <c r="G643" t="s">
        <v>27</v>
      </c>
      <c r="H643" t="s">
        <v>33</v>
      </c>
      <c r="I643">
        <v>1</v>
      </c>
      <c r="J643" t="s">
        <v>29</v>
      </c>
      <c r="K643">
        <v>0.14000000000000001</v>
      </c>
      <c r="L643" t="s">
        <v>23</v>
      </c>
      <c r="M643">
        <v>0.21210000000000001</v>
      </c>
      <c r="N643">
        <v>0.8</v>
      </c>
      <c r="O643" t="s">
        <v>30</v>
      </c>
      <c r="P643">
        <v>0</v>
      </c>
      <c r="Q643">
        <v>7</v>
      </c>
      <c r="R643">
        <v>22</v>
      </c>
      <c r="S643">
        <v>29</v>
      </c>
    </row>
    <row r="644" spans="1:19" x14ac:dyDescent="0.3">
      <c r="A644">
        <v>644</v>
      </c>
      <c r="B644" s="46">
        <v>40573</v>
      </c>
      <c r="C644">
        <v>1</v>
      </c>
      <c r="D644">
        <v>2</v>
      </c>
      <c r="E644" t="b">
        <v>0</v>
      </c>
      <c r="F644">
        <v>0</v>
      </c>
      <c r="G644" t="s">
        <v>27</v>
      </c>
      <c r="H644" t="s">
        <v>33</v>
      </c>
      <c r="I644">
        <v>1</v>
      </c>
      <c r="J644" t="s">
        <v>29</v>
      </c>
      <c r="K644">
        <v>0.16</v>
      </c>
      <c r="L644" t="s">
        <v>23</v>
      </c>
      <c r="M644">
        <v>0.2273</v>
      </c>
      <c r="N644">
        <v>0.8</v>
      </c>
      <c r="O644" t="s">
        <v>30</v>
      </c>
      <c r="P644">
        <v>0</v>
      </c>
      <c r="Q644">
        <v>1</v>
      </c>
      <c r="R644">
        <v>10</v>
      </c>
      <c r="S644">
        <v>11</v>
      </c>
    </row>
    <row r="645" spans="1:19" x14ac:dyDescent="0.3">
      <c r="A645">
        <v>645</v>
      </c>
      <c r="B645" s="46">
        <v>40573</v>
      </c>
      <c r="C645">
        <v>1</v>
      </c>
      <c r="D645">
        <v>3</v>
      </c>
      <c r="E645" t="b">
        <v>0</v>
      </c>
      <c r="F645">
        <v>0</v>
      </c>
      <c r="G645" t="s">
        <v>27</v>
      </c>
      <c r="H645" t="s">
        <v>33</v>
      </c>
      <c r="I645">
        <v>1</v>
      </c>
      <c r="J645" t="s">
        <v>29</v>
      </c>
      <c r="K645">
        <v>0.14000000000000001</v>
      </c>
      <c r="L645" t="s">
        <v>23</v>
      </c>
      <c r="M645">
        <v>0.21210000000000001</v>
      </c>
      <c r="N645">
        <v>0.93</v>
      </c>
      <c r="O645" t="s">
        <v>30</v>
      </c>
      <c r="P645">
        <v>0</v>
      </c>
      <c r="Q645">
        <v>1</v>
      </c>
      <c r="R645">
        <v>7</v>
      </c>
      <c r="S645">
        <v>8</v>
      </c>
    </row>
    <row r="646" spans="1:19" x14ac:dyDescent="0.3">
      <c r="A646">
        <v>646</v>
      </c>
      <c r="B646" s="46">
        <v>40573</v>
      </c>
      <c r="C646">
        <v>1</v>
      </c>
      <c r="D646">
        <v>4</v>
      </c>
      <c r="E646" t="b">
        <v>0</v>
      </c>
      <c r="F646">
        <v>0</v>
      </c>
      <c r="G646" t="s">
        <v>27</v>
      </c>
      <c r="H646" t="s">
        <v>33</v>
      </c>
      <c r="I646">
        <v>1</v>
      </c>
      <c r="J646" t="s">
        <v>29</v>
      </c>
      <c r="K646">
        <v>0.14000000000000001</v>
      </c>
      <c r="L646" t="s">
        <v>23</v>
      </c>
      <c r="M646">
        <v>0.21210000000000001</v>
      </c>
      <c r="N646">
        <v>0.93</v>
      </c>
      <c r="O646" t="s">
        <v>30</v>
      </c>
      <c r="P646">
        <v>0</v>
      </c>
      <c r="Q646">
        <v>0</v>
      </c>
      <c r="R646">
        <v>1</v>
      </c>
      <c r="S646">
        <v>1</v>
      </c>
    </row>
    <row r="647" spans="1:19" x14ac:dyDescent="0.3">
      <c r="A647">
        <v>647</v>
      </c>
      <c r="B647" s="46">
        <v>40573</v>
      </c>
      <c r="C647">
        <v>1</v>
      </c>
      <c r="D647">
        <v>5</v>
      </c>
      <c r="E647" t="b">
        <v>0</v>
      </c>
      <c r="F647">
        <v>0</v>
      </c>
      <c r="G647" t="s">
        <v>27</v>
      </c>
      <c r="H647" t="s">
        <v>33</v>
      </c>
      <c r="I647">
        <v>1</v>
      </c>
      <c r="J647" t="s">
        <v>29</v>
      </c>
      <c r="K647">
        <v>0.14000000000000001</v>
      </c>
      <c r="L647" t="s">
        <v>23</v>
      </c>
      <c r="M647">
        <v>0.21210000000000001</v>
      </c>
      <c r="N647">
        <v>0.86</v>
      </c>
      <c r="O647" t="s">
        <v>30</v>
      </c>
      <c r="P647">
        <v>0</v>
      </c>
      <c r="Q647">
        <v>0</v>
      </c>
      <c r="R647">
        <v>3</v>
      </c>
      <c r="S647">
        <v>3</v>
      </c>
    </row>
    <row r="648" spans="1:19" x14ac:dyDescent="0.3">
      <c r="A648">
        <v>648</v>
      </c>
      <c r="B648" s="46">
        <v>40573</v>
      </c>
      <c r="C648">
        <v>1</v>
      </c>
      <c r="D648">
        <v>7</v>
      </c>
      <c r="E648" t="b">
        <v>0</v>
      </c>
      <c r="F648">
        <v>0</v>
      </c>
      <c r="G648" t="s">
        <v>27</v>
      </c>
      <c r="H648" t="s">
        <v>33</v>
      </c>
      <c r="I648">
        <v>1</v>
      </c>
      <c r="J648" t="s">
        <v>29</v>
      </c>
      <c r="K648">
        <v>0.14000000000000001</v>
      </c>
      <c r="L648" t="s">
        <v>23</v>
      </c>
      <c r="M648">
        <v>0.21210000000000001</v>
      </c>
      <c r="N648">
        <v>0.86</v>
      </c>
      <c r="O648" t="s">
        <v>30</v>
      </c>
      <c r="P648">
        <v>0</v>
      </c>
      <c r="Q648">
        <v>0</v>
      </c>
      <c r="R648">
        <v>3</v>
      </c>
      <c r="S648">
        <v>3</v>
      </c>
    </row>
    <row r="649" spans="1:19" x14ac:dyDescent="0.3">
      <c r="A649">
        <v>649</v>
      </c>
      <c r="B649" s="46">
        <v>40573</v>
      </c>
      <c r="C649">
        <v>1</v>
      </c>
      <c r="D649">
        <v>8</v>
      </c>
      <c r="E649" t="b">
        <v>0</v>
      </c>
      <c r="F649">
        <v>0</v>
      </c>
      <c r="G649" t="s">
        <v>27</v>
      </c>
      <c r="H649" t="s">
        <v>33</v>
      </c>
      <c r="I649">
        <v>2</v>
      </c>
      <c r="J649" t="s">
        <v>31</v>
      </c>
      <c r="K649">
        <v>0.14000000000000001</v>
      </c>
      <c r="L649" t="s">
        <v>23</v>
      </c>
      <c r="M649">
        <v>0.21210000000000001</v>
      </c>
      <c r="N649">
        <v>0.86</v>
      </c>
      <c r="O649" t="s">
        <v>30</v>
      </c>
      <c r="P649">
        <v>0</v>
      </c>
      <c r="Q649">
        <v>1</v>
      </c>
      <c r="R649">
        <v>11</v>
      </c>
      <c r="S649">
        <v>12</v>
      </c>
    </row>
    <row r="650" spans="1:19" x14ac:dyDescent="0.3">
      <c r="A650">
        <v>650</v>
      </c>
      <c r="B650" s="46">
        <v>40573</v>
      </c>
      <c r="C650">
        <v>1</v>
      </c>
      <c r="D650">
        <v>9</v>
      </c>
      <c r="E650" t="b">
        <v>0</v>
      </c>
      <c r="F650">
        <v>0</v>
      </c>
      <c r="G650" t="s">
        <v>27</v>
      </c>
      <c r="H650" t="s">
        <v>33</v>
      </c>
      <c r="I650">
        <v>2</v>
      </c>
      <c r="J650" t="s">
        <v>31</v>
      </c>
      <c r="K650">
        <v>0.16</v>
      </c>
      <c r="L650" t="s">
        <v>23</v>
      </c>
      <c r="M650">
        <v>0.2273</v>
      </c>
      <c r="N650">
        <v>0.8</v>
      </c>
      <c r="O650" t="s">
        <v>30</v>
      </c>
      <c r="P650">
        <v>0</v>
      </c>
      <c r="Q650">
        <v>4</v>
      </c>
      <c r="R650">
        <v>34</v>
      </c>
      <c r="S650">
        <v>38</v>
      </c>
    </row>
    <row r="651" spans="1:19" x14ac:dyDescent="0.3">
      <c r="A651">
        <v>651</v>
      </c>
      <c r="B651" s="46">
        <v>40573</v>
      </c>
      <c r="C651">
        <v>1</v>
      </c>
      <c r="D651">
        <v>10</v>
      </c>
      <c r="E651" t="b">
        <v>0</v>
      </c>
      <c r="F651">
        <v>0</v>
      </c>
      <c r="G651" t="s">
        <v>27</v>
      </c>
      <c r="H651" t="s">
        <v>33</v>
      </c>
      <c r="I651">
        <v>2</v>
      </c>
      <c r="J651" t="s">
        <v>31</v>
      </c>
      <c r="K651">
        <v>0.18</v>
      </c>
      <c r="L651" t="s">
        <v>23</v>
      </c>
      <c r="M651">
        <v>0.2424</v>
      </c>
      <c r="N651">
        <v>0.8</v>
      </c>
      <c r="O651" t="s">
        <v>30</v>
      </c>
      <c r="P651">
        <v>0</v>
      </c>
      <c r="Q651">
        <v>7</v>
      </c>
      <c r="R651">
        <v>57</v>
      </c>
      <c r="S651">
        <v>64</v>
      </c>
    </row>
    <row r="652" spans="1:19" x14ac:dyDescent="0.3">
      <c r="A652">
        <v>652</v>
      </c>
      <c r="B652" s="46">
        <v>40573</v>
      </c>
      <c r="C652">
        <v>1</v>
      </c>
      <c r="D652">
        <v>11</v>
      </c>
      <c r="E652" t="b">
        <v>0</v>
      </c>
      <c r="F652">
        <v>0</v>
      </c>
      <c r="G652" t="s">
        <v>27</v>
      </c>
      <c r="H652" t="s">
        <v>33</v>
      </c>
      <c r="I652">
        <v>1</v>
      </c>
      <c r="J652" t="s">
        <v>29</v>
      </c>
      <c r="K652">
        <v>0.22</v>
      </c>
      <c r="L652" t="s">
        <v>23</v>
      </c>
      <c r="M652">
        <v>0.2727</v>
      </c>
      <c r="N652">
        <v>0.75</v>
      </c>
      <c r="O652" t="s">
        <v>30</v>
      </c>
      <c r="P652">
        <v>0</v>
      </c>
      <c r="Q652">
        <v>9</v>
      </c>
      <c r="R652">
        <v>50</v>
      </c>
      <c r="S652">
        <v>59</v>
      </c>
    </row>
    <row r="653" spans="1:19" x14ac:dyDescent="0.3">
      <c r="A653">
        <v>653</v>
      </c>
      <c r="B653" s="46">
        <v>40573</v>
      </c>
      <c r="C653">
        <v>1</v>
      </c>
      <c r="D653">
        <v>12</v>
      </c>
      <c r="E653" t="b">
        <v>0</v>
      </c>
      <c r="F653">
        <v>0</v>
      </c>
      <c r="G653" t="s">
        <v>27</v>
      </c>
      <c r="H653" t="s">
        <v>33</v>
      </c>
      <c r="I653">
        <v>1</v>
      </c>
      <c r="J653" t="s">
        <v>29</v>
      </c>
      <c r="K653">
        <v>0.3</v>
      </c>
      <c r="L653" t="s">
        <v>23</v>
      </c>
      <c r="M653">
        <v>0.31819999999999998</v>
      </c>
      <c r="N653">
        <v>0.52</v>
      </c>
      <c r="O653" t="s">
        <v>34</v>
      </c>
      <c r="P653">
        <v>0.1045</v>
      </c>
      <c r="Q653">
        <v>10</v>
      </c>
      <c r="R653">
        <v>87</v>
      </c>
      <c r="S653">
        <v>97</v>
      </c>
    </row>
    <row r="654" spans="1:19" x14ac:dyDescent="0.3">
      <c r="A654">
        <v>654</v>
      </c>
      <c r="B654" s="46">
        <v>40573</v>
      </c>
      <c r="C654">
        <v>1</v>
      </c>
      <c r="D654">
        <v>13</v>
      </c>
      <c r="E654" t="b">
        <v>0</v>
      </c>
      <c r="F654">
        <v>0</v>
      </c>
      <c r="G654" t="s">
        <v>27</v>
      </c>
      <c r="H654" t="s">
        <v>33</v>
      </c>
      <c r="I654">
        <v>1</v>
      </c>
      <c r="J654" t="s">
        <v>29</v>
      </c>
      <c r="K654">
        <v>0.28000000000000003</v>
      </c>
      <c r="L654" t="s">
        <v>23</v>
      </c>
      <c r="M654">
        <v>0.28789999999999999</v>
      </c>
      <c r="N654">
        <v>0.61</v>
      </c>
      <c r="O654" t="s">
        <v>34</v>
      </c>
      <c r="P654">
        <v>0.1045</v>
      </c>
      <c r="Q654">
        <v>13</v>
      </c>
      <c r="R654">
        <v>71</v>
      </c>
      <c r="S654">
        <v>84</v>
      </c>
    </row>
    <row r="655" spans="1:19" x14ac:dyDescent="0.3">
      <c r="A655">
        <v>655</v>
      </c>
      <c r="B655" s="46">
        <v>40573</v>
      </c>
      <c r="C655">
        <v>1</v>
      </c>
      <c r="D655">
        <v>14</v>
      </c>
      <c r="E655" t="b">
        <v>0</v>
      </c>
      <c r="F655">
        <v>0</v>
      </c>
      <c r="G655" t="s">
        <v>27</v>
      </c>
      <c r="H655" t="s">
        <v>33</v>
      </c>
      <c r="I655">
        <v>1</v>
      </c>
      <c r="J655" t="s">
        <v>29</v>
      </c>
      <c r="K655">
        <v>0.28000000000000003</v>
      </c>
      <c r="L655" t="s">
        <v>23</v>
      </c>
      <c r="M655">
        <v>0.30299999999999999</v>
      </c>
      <c r="N655">
        <v>0.61</v>
      </c>
      <c r="O655" t="s">
        <v>34</v>
      </c>
      <c r="P655">
        <v>8.9599999999999999E-2</v>
      </c>
      <c r="Q655">
        <v>18</v>
      </c>
      <c r="R655">
        <v>104</v>
      </c>
      <c r="S655">
        <v>122</v>
      </c>
    </row>
    <row r="656" spans="1:19" x14ac:dyDescent="0.3">
      <c r="A656">
        <v>656</v>
      </c>
      <c r="B656" s="46">
        <v>40573</v>
      </c>
      <c r="C656">
        <v>1</v>
      </c>
      <c r="D656">
        <v>15</v>
      </c>
      <c r="E656" t="b">
        <v>0</v>
      </c>
      <c r="F656">
        <v>0</v>
      </c>
      <c r="G656" t="s">
        <v>27</v>
      </c>
      <c r="H656" t="s">
        <v>33</v>
      </c>
      <c r="I656">
        <v>1</v>
      </c>
      <c r="J656" t="s">
        <v>29</v>
      </c>
      <c r="K656">
        <v>0.3</v>
      </c>
      <c r="L656" t="s">
        <v>23</v>
      </c>
      <c r="M656">
        <v>0.33329999999999999</v>
      </c>
      <c r="N656">
        <v>0.56000000000000005</v>
      </c>
      <c r="O656" t="s">
        <v>34</v>
      </c>
      <c r="P656">
        <v>0</v>
      </c>
      <c r="Q656">
        <v>14</v>
      </c>
      <c r="R656">
        <v>95</v>
      </c>
      <c r="S656">
        <v>109</v>
      </c>
    </row>
    <row r="657" spans="1:19" x14ac:dyDescent="0.3">
      <c r="A657">
        <v>657</v>
      </c>
      <c r="B657" s="46">
        <v>40573</v>
      </c>
      <c r="C657">
        <v>1</v>
      </c>
      <c r="D657">
        <v>16</v>
      </c>
      <c r="E657" t="b">
        <v>0</v>
      </c>
      <c r="F657">
        <v>0</v>
      </c>
      <c r="G657" t="s">
        <v>27</v>
      </c>
      <c r="H657" t="s">
        <v>33</v>
      </c>
      <c r="I657">
        <v>1</v>
      </c>
      <c r="J657" t="s">
        <v>29</v>
      </c>
      <c r="K657">
        <v>0.3</v>
      </c>
      <c r="L657" t="s">
        <v>23</v>
      </c>
      <c r="M657">
        <v>0.33329999999999999</v>
      </c>
      <c r="N657">
        <v>0.56000000000000005</v>
      </c>
      <c r="O657" t="s">
        <v>34</v>
      </c>
      <c r="P657">
        <v>0</v>
      </c>
      <c r="Q657">
        <v>19</v>
      </c>
      <c r="R657">
        <v>104</v>
      </c>
      <c r="S657">
        <v>123</v>
      </c>
    </row>
    <row r="658" spans="1:19" x14ac:dyDescent="0.3">
      <c r="A658">
        <v>658</v>
      </c>
      <c r="B658" s="46">
        <v>40573</v>
      </c>
      <c r="C658">
        <v>1</v>
      </c>
      <c r="D658">
        <v>17</v>
      </c>
      <c r="E658" t="b">
        <v>0</v>
      </c>
      <c r="F658">
        <v>0</v>
      </c>
      <c r="G658" t="s">
        <v>27</v>
      </c>
      <c r="H658" t="s">
        <v>33</v>
      </c>
      <c r="I658">
        <v>1</v>
      </c>
      <c r="J658" t="s">
        <v>29</v>
      </c>
      <c r="K658">
        <v>0.3</v>
      </c>
      <c r="L658" t="s">
        <v>23</v>
      </c>
      <c r="M658">
        <v>0.28789999999999999</v>
      </c>
      <c r="N658">
        <v>0.56000000000000005</v>
      </c>
      <c r="O658" t="s">
        <v>34</v>
      </c>
      <c r="P658">
        <v>0.19400000000000001</v>
      </c>
      <c r="Q658">
        <v>6</v>
      </c>
      <c r="R658">
        <v>71</v>
      </c>
      <c r="S658">
        <v>77</v>
      </c>
    </row>
    <row r="659" spans="1:19" x14ac:dyDescent="0.3">
      <c r="A659">
        <v>659</v>
      </c>
      <c r="B659" s="46">
        <v>40573</v>
      </c>
      <c r="C659">
        <v>1</v>
      </c>
      <c r="D659">
        <v>18</v>
      </c>
      <c r="E659" t="b">
        <v>0</v>
      </c>
      <c r="F659">
        <v>0</v>
      </c>
      <c r="G659" t="s">
        <v>27</v>
      </c>
      <c r="H659" t="s">
        <v>33</v>
      </c>
      <c r="I659">
        <v>1</v>
      </c>
      <c r="J659" t="s">
        <v>29</v>
      </c>
      <c r="K659">
        <v>0.26</v>
      </c>
      <c r="L659" t="s">
        <v>23</v>
      </c>
      <c r="M659">
        <v>0.2576</v>
      </c>
      <c r="N659">
        <v>0.65</v>
      </c>
      <c r="O659" t="s">
        <v>34</v>
      </c>
      <c r="P659">
        <v>0.16420000000000001</v>
      </c>
      <c r="Q659">
        <v>8</v>
      </c>
      <c r="R659">
        <v>57</v>
      </c>
      <c r="S659">
        <v>65</v>
      </c>
    </row>
    <row r="660" spans="1:19" x14ac:dyDescent="0.3">
      <c r="A660">
        <v>660</v>
      </c>
      <c r="B660" s="46">
        <v>40573</v>
      </c>
      <c r="C660">
        <v>1</v>
      </c>
      <c r="D660">
        <v>19</v>
      </c>
      <c r="E660" t="b">
        <v>0</v>
      </c>
      <c r="F660">
        <v>0</v>
      </c>
      <c r="G660" t="s">
        <v>27</v>
      </c>
      <c r="H660" t="s">
        <v>33</v>
      </c>
      <c r="I660">
        <v>1</v>
      </c>
      <c r="J660" t="s">
        <v>29</v>
      </c>
      <c r="K660">
        <v>0.26</v>
      </c>
      <c r="L660" t="s">
        <v>23</v>
      </c>
      <c r="M660">
        <v>0.2576</v>
      </c>
      <c r="N660">
        <v>0.65</v>
      </c>
      <c r="O660" t="s">
        <v>34</v>
      </c>
      <c r="P660">
        <v>0.19400000000000001</v>
      </c>
      <c r="Q660">
        <v>9</v>
      </c>
      <c r="R660">
        <v>46</v>
      </c>
      <c r="S660">
        <v>55</v>
      </c>
    </row>
    <row r="661" spans="1:19" x14ac:dyDescent="0.3">
      <c r="A661">
        <v>661</v>
      </c>
      <c r="B661" s="46">
        <v>40573</v>
      </c>
      <c r="C661">
        <v>1</v>
      </c>
      <c r="D661">
        <v>20</v>
      </c>
      <c r="E661" t="b">
        <v>0</v>
      </c>
      <c r="F661">
        <v>0</v>
      </c>
      <c r="G661" t="s">
        <v>27</v>
      </c>
      <c r="H661" t="s">
        <v>33</v>
      </c>
      <c r="I661">
        <v>2</v>
      </c>
      <c r="J661" t="s">
        <v>31</v>
      </c>
      <c r="K661">
        <v>0.26</v>
      </c>
      <c r="L661" t="s">
        <v>23</v>
      </c>
      <c r="M661">
        <v>0.2727</v>
      </c>
      <c r="N661">
        <v>0.65</v>
      </c>
      <c r="O661" t="s">
        <v>34</v>
      </c>
      <c r="P661">
        <v>0.1045</v>
      </c>
      <c r="Q661">
        <v>3</v>
      </c>
      <c r="R661">
        <v>30</v>
      </c>
      <c r="S661">
        <v>33</v>
      </c>
    </row>
    <row r="662" spans="1:19" x14ac:dyDescent="0.3">
      <c r="A662">
        <v>662</v>
      </c>
      <c r="B662" s="46">
        <v>40573</v>
      </c>
      <c r="C662">
        <v>1</v>
      </c>
      <c r="D662">
        <v>21</v>
      </c>
      <c r="E662" t="b">
        <v>0</v>
      </c>
      <c r="F662">
        <v>0</v>
      </c>
      <c r="G662" t="s">
        <v>27</v>
      </c>
      <c r="H662" t="s">
        <v>33</v>
      </c>
      <c r="I662">
        <v>2</v>
      </c>
      <c r="J662" t="s">
        <v>31</v>
      </c>
      <c r="K662">
        <v>0.24</v>
      </c>
      <c r="L662" t="s">
        <v>23</v>
      </c>
      <c r="M662">
        <v>0.2424</v>
      </c>
      <c r="N662">
        <v>0.7</v>
      </c>
      <c r="O662" t="s">
        <v>30</v>
      </c>
      <c r="P662">
        <v>0.16420000000000001</v>
      </c>
      <c r="Q662">
        <v>3</v>
      </c>
      <c r="R662">
        <v>25</v>
      </c>
      <c r="S662">
        <v>28</v>
      </c>
    </row>
    <row r="663" spans="1:19" x14ac:dyDescent="0.3">
      <c r="A663">
        <v>663</v>
      </c>
      <c r="B663" s="46">
        <v>40573</v>
      </c>
      <c r="C663">
        <v>1</v>
      </c>
      <c r="D663">
        <v>22</v>
      </c>
      <c r="E663" t="b">
        <v>0</v>
      </c>
      <c r="F663">
        <v>0</v>
      </c>
      <c r="G663" t="s">
        <v>27</v>
      </c>
      <c r="H663" t="s">
        <v>33</v>
      </c>
      <c r="I663">
        <v>2</v>
      </c>
      <c r="J663" t="s">
        <v>31</v>
      </c>
      <c r="K663">
        <v>0.24</v>
      </c>
      <c r="L663" t="s">
        <v>23</v>
      </c>
      <c r="M663">
        <v>0.2273</v>
      </c>
      <c r="N663">
        <v>0.7</v>
      </c>
      <c r="O663" t="s">
        <v>30</v>
      </c>
      <c r="P663">
        <v>0.19400000000000001</v>
      </c>
      <c r="Q663">
        <v>2</v>
      </c>
      <c r="R663">
        <v>19</v>
      </c>
      <c r="S663">
        <v>21</v>
      </c>
    </row>
    <row r="664" spans="1:19" x14ac:dyDescent="0.3">
      <c r="A664">
        <v>664</v>
      </c>
      <c r="B664" s="46">
        <v>40573</v>
      </c>
      <c r="C664">
        <v>1</v>
      </c>
      <c r="D664">
        <v>23</v>
      </c>
      <c r="E664" t="b">
        <v>0</v>
      </c>
      <c r="F664">
        <v>0</v>
      </c>
      <c r="G664" t="s">
        <v>27</v>
      </c>
      <c r="H664" t="s">
        <v>33</v>
      </c>
      <c r="I664">
        <v>2</v>
      </c>
      <c r="J664" t="s">
        <v>31</v>
      </c>
      <c r="K664">
        <v>0.24</v>
      </c>
      <c r="L664" t="s">
        <v>23</v>
      </c>
      <c r="M664">
        <v>0.21210000000000001</v>
      </c>
      <c r="N664">
        <v>0.65</v>
      </c>
      <c r="O664" t="s">
        <v>34</v>
      </c>
      <c r="P664">
        <v>0.28360000000000002</v>
      </c>
      <c r="Q664">
        <v>5</v>
      </c>
      <c r="R664">
        <v>16</v>
      </c>
      <c r="S664">
        <v>21</v>
      </c>
    </row>
    <row r="665" spans="1:19" x14ac:dyDescent="0.3">
      <c r="A665">
        <v>665</v>
      </c>
      <c r="B665" s="46">
        <v>40574</v>
      </c>
      <c r="C665">
        <v>1</v>
      </c>
      <c r="D665">
        <v>0</v>
      </c>
      <c r="E665" t="b">
        <v>0</v>
      </c>
      <c r="F665">
        <v>1</v>
      </c>
      <c r="G665" t="s">
        <v>35</v>
      </c>
      <c r="H665" t="s">
        <v>36</v>
      </c>
      <c r="I665">
        <v>2</v>
      </c>
      <c r="J665" t="s">
        <v>31</v>
      </c>
      <c r="K665">
        <v>0.24</v>
      </c>
      <c r="L665" t="s">
        <v>23</v>
      </c>
      <c r="M665">
        <v>0.2273</v>
      </c>
      <c r="N665">
        <v>0.65</v>
      </c>
      <c r="O665" t="s">
        <v>34</v>
      </c>
      <c r="P665">
        <v>0.22389999999999999</v>
      </c>
      <c r="Q665">
        <v>1</v>
      </c>
      <c r="R665">
        <v>6</v>
      </c>
      <c r="S665">
        <v>7</v>
      </c>
    </row>
    <row r="666" spans="1:19" x14ac:dyDescent="0.3">
      <c r="A666">
        <v>666</v>
      </c>
      <c r="B666" s="46">
        <v>40574</v>
      </c>
      <c r="C666">
        <v>1</v>
      </c>
      <c r="D666">
        <v>1</v>
      </c>
      <c r="E666" t="b">
        <v>0</v>
      </c>
      <c r="F666">
        <v>1</v>
      </c>
      <c r="G666" t="s">
        <v>35</v>
      </c>
      <c r="H666" t="s">
        <v>36</v>
      </c>
      <c r="I666">
        <v>1</v>
      </c>
      <c r="J666" t="s">
        <v>29</v>
      </c>
      <c r="K666">
        <v>0.22</v>
      </c>
      <c r="L666" t="s">
        <v>23</v>
      </c>
      <c r="M666">
        <v>0.21210000000000001</v>
      </c>
      <c r="N666">
        <v>0.64</v>
      </c>
      <c r="O666" t="s">
        <v>34</v>
      </c>
      <c r="P666">
        <v>0.25369999999999998</v>
      </c>
      <c r="Q666">
        <v>2</v>
      </c>
      <c r="R666">
        <v>5</v>
      </c>
      <c r="S666">
        <v>7</v>
      </c>
    </row>
    <row r="667" spans="1:19" x14ac:dyDescent="0.3">
      <c r="A667">
        <v>667</v>
      </c>
      <c r="B667" s="46">
        <v>40574</v>
      </c>
      <c r="C667">
        <v>1</v>
      </c>
      <c r="D667">
        <v>2</v>
      </c>
      <c r="E667" t="b">
        <v>0</v>
      </c>
      <c r="F667">
        <v>1</v>
      </c>
      <c r="G667" t="s">
        <v>35</v>
      </c>
      <c r="H667" t="s">
        <v>36</v>
      </c>
      <c r="I667">
        <v>1</v>
      </c>
      <c r="J667" t="s">
        <v>29</v>
      </c>
      <c r="K667">
        <v>0.22</v>
      </c>
      <c r="L667" t="s">
        <v>23</v>
      </c>
      <c r="M667">
        <v>0.2273</v>
      </c>
      <c r="N667">
        <v>0.64</v>
      </c>
      <c r="O667" t="s">
        <v>34</v>
      </c>
      <c r="P667">
        <v>0.19400000000000001</v>
      </c>
      <c r="Q667">
        <v>0</v>
      </c>
      <c r="R667">
        <v>1</v>
      </c>
      <c r="S667">
        <v>1</v>
      </c>
    </row>
    <row r="668" spans="1:19" x14ac:dyDescent="0.3">
      <c r="A668">
        <v>668</v>
      </c>
      <c r="B668" s="46">
        <v>40574</v>
      </c>
      <c r="C668">
        <v>1</v>
      </c>
      <c r="D668">
        <v>3</v>
      </c>
      <c r="E668" t="b">
        <v>0</v>
      </c>
      <c r="F668">
        <v>1</v>
      </c>
      <c r="G668" t="s">
        <v>35</v>
      </c>
      <c r="H668" t="s">
        <v>36</v>
      </c>
      <c r="I668">
        <v>1</v>
      </c>
      <c r="J668" t="s">
        <v>29</v>
      </c>
      <c r="K668">
        <v>0.22</v>
      </c>
      <c r="L668" t="s">
        <v>23</v>
      </c>
      <c r="M668">
        <v>0.2273</v>
      </c>
      <c r="N668">
        <v>0.64</v>
      </c>
      <c r="O668" t="s">
        <v>34</v>
      </c>
      <c r="P668">
        <v>0.19400000000000001</v>
      </c>
      <c r="Q668">
        <v>0</v>
      </c>
      <c r="R668">
        <v>2</v>
      </c>
      <c r="S668">
        <v>2</v>
      </c>
    </row>
    <row r="669" spans="1:19" x14ac:dyDescent="0.3">
      <c r="A669">
        <v>669</v>
      </c>
      <c r="B669" s="46">
        <v>40574</v>
      </c>
      <c r="C669">
        <v>1</v>
      </c>
      <c r="D669">
        <v>4</v>
      </c>
      <c r="E669" t="b">
        <v>0</v>
      </c>
      <c r="F669">
        <v>1</v>
      </c>
      <c r="G669" t="s">
        <v>35</v>
      </c>
      <c r="H669" t="s">
        <v>36</v>
      </c>
      <c r="I669">
        <v>1</v>
      </c>
      <c r="J669" t="s">
        <v>29</v>
      </c>
      <c r="K669">
        <v>0.2</v>
      </c>
      <c r="L669" t="s">
        <v>23</v>
      </c>
      <c r="M669">
        <v>0.19700000000000001</v>
      </c>
      <c r="N669">
        <v>0.59</v>
      </c>
      <c r="O669" t="s">
        <v>34</v>
      </c>
      <c r="P669">
        <v>0.22389999999999999</v>
      </c>
      <c r="Q669">
        <v>0</v>
      </c>
      <c r="R669">
        <v>2</v>
      </c>
      <c r="S669">
        <v>2</v>
      </c>
    </row>
    <row r="670" spans="1:19" x14ac:dyDescent="0.3">
      <c r="A670">
        <v>670</v>
      </c>
      <c r="B670" s="46">
        <v>40574</v>
      </c>
      <c r="C670">
        <v>1</v>
      </c>
      <c r="D670">
        <v>5</v>
      </c>
      <c r="E670" t="b">
        <v>0</v>
      </c>
      <c r="F670">
        <v>1</v>
      </c>
      <c r="G670" t="s">
        <v>35</v>
      </c>
      <c r="H670" t="s">
        <v>36</v>
      </c>
      <c r="I670">
        <v>1</v>
      </c>
      <c r="J670" t="s">
        <v>29</v>
      </c>
      <c r="K670">
        <v>0.18</v>
      </c>
      <c r="L670" t="s">
        <v>23</v>
      </c>
      <c r="M670">
        <v>0.16669999999999999</v>
      </c>
      <c r="N670">
        <v>0.64</v>
      </c>
      <c r="O670" t="s">
        <v>34</v>
      </c>
      <c r="P670">
        <v>0.28360000000000002</v>
      </c>
      <c r="Q670">
        <v>0</v>
      </c>
      <c r="R670">
        <v>8</v>
      </c>
      <c r="S670">
        <v>8</v>
      </c>
    </row>
    <row r="671" spans="1:19" x14ac:dyDescent="0.3">
      <c r="A671">
        <v>671</v>
      </c>
      <c r="B671" s="46">
        <v>40574</v>
      </c>
      <c r="C671">
        <v>1</v>
      </c>
      <c r="D671">
        <v>6</v>
      </c>
      <c r="E671" t="b">
        <v>0</v>
      </c>
      <c r="F671">
        <v>1</v>
      </c>
      <c r="G671" t="s">
        <v>35</v>
      </c>
      <c r="H671" t="s">
        <v>36</v>
      </c>
      <c r="I671">
        <v>1</v>
      </c>
      <c r="J671" t="s">
        <v>29</v>
      </c>
      <c r="K671">
        <v>0.16</v>
      </c>
      <c r="L671" t="s">
        <v>23</v>
      </c>
      <c r="M671">
        <v>0.13639999999999999</v>
      </c>
      <c r="N671">
        <v>0.69</v>
      </c>
      <c r="O671" t="s">
        <v>34</v>
      </c>
      <c r="P671">
        <v>0.32840000000000003</v>
      </c>
      <c r="Q671">
        <v>0</v>
      </c>
      <c r="R671">
        <v>37</v>
      </c>
      <c r="S671">
        <v>37</v>
      </c>
    </row>
    <row r="672" spans="1:19" x14ac:dyDescent="0.3">
      <c r="A672">
        <v>672</v>
      </c>
      <c r="B672" s="46">
        <v>40574</v>
      </c>
      <c r="C672">
        <v>1</v>
      </c>
      <c r="D672">
        <v>7</v>
      </c>
      <c r="E672" t="b">
        <v>0</v>
      </c>
      <c r="F672">
        <v>1</v>
      </c>
      <c r="G672" t="s">
        <v>35</v>
      </c>
      <c r="H672" t="s">
        <v>36</v>
      </c>
      <c r="I672">
        <v>2</v>
      </c>
      <c r="J672" t="s">
        <v>31</v>
      </c>
      <c r="K672">
        <v>0.16</v>
      </c>
      <c r="L672" t="s">
        <v>23</v>
      </c>
      <c r="M672">
        <v>0.13639999999999999</v>
      </c>
      <c r="N672">
        <v>0.64</v>
      </c>
      <c r="O672" t="s">
        <v>34</v>
      </c>
      <c r="P672">
        <v>0.28360000000000002</v>
      </c>
      <c r="Q672">
        <v>1</v>
      </c>
      <c r="R672">
        <v>71</v>
      </c>
      <c r="S672">
        <v>72</v>
      </c>
    </row>
    <row r="673" spans="1:19" x14ac:dyDescent="0.3">
      <c r="A673">
        <v>673</v>
      </c>
      <c r="B673" s="46">
        <v>40574</v>
      </c>
      <c r="C673">
        <v>1</v>
      </c>
      <c r="D673">
        <v>8</v>
      </c>
      <c r="E673" t="b">
        <v>0</v>
      </c>
      <c r="F673">
        <v>1</v>
      </c>
      <c r="G673" t="s">
        <v>35</v>
      </c>
      <c r="H673" t="s">
        <v>36</v>
      </c>
      <c r="I673">
        <v>2</v>
      </c>
      <c r="J673" t="s">
        <v>31</v>
      </c>
      <c r="K673">
        <v>0.16</v>
      </c>
      <c r="L673" t="s">
        <v>23</v>
      </c>
      <c r="M673">
        <v>0.13639999999999999</v>
      </c>
      <c r="N673">
        <v>0.59</v>
      </c>
      <c r="O673" t="s">
        <v>34</v>
      </c>
      <c r="P673">
        <v>0.28360000000000002</v>
      </c>
      <c r="Q673">
        <v>3</v>
      </c>
      <c r="R673">
        <v>182</v>
      </c>
      <c r="S673">
        <v>185</v>
      </c>
    </row>
    <row r="674" spans="1:19" x14ac:dyDescent="0.3">
      <c r="A674">
        <v>674</v>
      </c>
      <c r="B674" s="46">
        <v>40574</v>
      </c>
      <c r="C674">
        <v>1</v>
      </c>
      <c r="D674">
        <v>9</v>
      </c>
      <c r="E674" t="b">
        <v>0</v>
      </c>
      <c r="F674">
        <v>1</v>
      </c>
      <c r="G674" t="s">
        <v>35</v>
      </c>
      <c r="H674" t="s">
        <v>36</v>
      </c>
      <c r="I674">
        <v>2</v>
      </c>
      <c r="J674" t="s">
        <v>31</v>
      </c>
      <c r="K674">
        <v>0.16</v>
      </c>
      <c r="L674" t="s">
        <v>23</v>
      </c>
      <c r="M674">
        <v>0.13639999999999999</v>
      </c>
      <c r="N674">
        <v>0.59</v>
      </c>
      <c r="O674" t="s">
        <v>34</v>
      </c>
      <c r="P674">
        <v>0.29849999999999999</v>
      </c>
      <c r="Q674">
        <v>0</v>
      </c>
      <c r="R674">
        <v>112</v>
      </c>
      <c r="S674">
        <v>112</v>
      </c>
    </row>
    <row r="675" spans="1:19" x14ac:dyDescent="0.3">
      <c r="A675">
        <v>675</v>
      </c>
      <c r="B675" s="46">
        <v>40574</v>
      </c>
      <c r="C675">
        <v>1</v>
      </c>
      <c r="D675">
        <v>10</v>
      </c>
      <c r="E675" t="b">
        <v>0</v>
      </c>
      <c r="F675">
        <v>1</v>
      </c>
      <c r="G675" t="s">
        <v>35</v>
      </c>
      <c r="H675" t="s">
        <v>36</v>
      </c>
      <c r="I675">
        <v>2</v>
      </c>
      <c r="J675" t="s">
        <v>31</v>
      </c>
      <c r="K675">
        <v>0.16</v>
      </c>
      <c r="L675" t="s">
        <v>23</v>
      </c>
      <c r="M675">
        <v>0.1515</v>
      </c>
      <c r="N675">
        <v>0.59</v>
      </c>
      <c r="O675" t="s">
        <v>34</v>
      </c>
      <c r="P675">
        <v>0.19400000000000001</v>
      </c>
      <c r="Q675">
        <v>1</v>
      </c>
      <c r="R675">
        <v>68</v>
      </c>
      <c r="S675">
        <v>69</v>
      </c>
    </row>
    <row r="676" spans="1:19" x14ac:dyDescent="0.3">
      <c r="A676">
        <v>676</v>
      </c>
      <c r="B676" s="46">
        <v>40574</v>
      </c>
      <c r="C676">
        <v>1</v>
      </c>
      <c r="D676">
        <v>11</v>
      </c>
      <c r="E676" t="b">
        <v>0</v>
      </c>
      <c r="F676">
        <v>1</v>
      </c>
      <c r="G676" t="s">
        <v>35</v>
      </c>
      <c r="H676" t="s">
        <v>36</v>
      </c>
      <c r="I676">
        <v>2</v>
      </c>
      <c r="J676" t="s">
        <v>31</v>
      </c>
      <c r="K676">
        <v>0.16</v>
      </c>
      <c r="L676" t="s">
        <v>23</v>
      </c>
      <c r="M676">
        <v>0.1515</v>
      </c>
      <c r="N676">
        <v>0.59</v>
      </c>
      <c r="O676" t="s">
        <v>34</v>
      </c>
      <c r="P676">
        <v>0.19400000000000001</v>
      </c>
      <c r="Q676">
        <v>2</v>
      </c>
      <c r="R676">
        <v>46</v>
      </c>
      <c r="S676">
        <v>48</v>
      </c>
    </row>
    <row r="677" spans="1:19" x14ac:dyDescent="0.3">
      <c r="A677">
        <v>677</v>
      </c>
      <c r="B677" s="46">
        <v>40574</v>
      </c>
      <c r="C677">
        <v>1</v>
      </c>
      <c r="D677">
        <v>12</v>
      </c>
      <c r="E677" t="b">
        <v>0</v>
      </c>
      <c r="F677">
        <v>1</v>
      </c>
      <c r="G677" t="s">
        <v>35</v>
      </c>
      <c r="H677" t="s">
        <v>36</v>
      </c>
      <c r="I677">
        <v>2</v>
      </c>
      <c r="J677" t="s">
        <v>31</v>
      </c>
      <c r="K677">
        <v>0.18</v>
      </c>
      <c r="L677" t="s">
        <v>23</v>
      </c>
      <c r="M677">
        <v>0.21210000000000001</v>
      </c>
      <c r="N677">
        <v>0.55000000000000004</v>
      </c>
      <c r="O677" t="s">
        <v>34</v>
      </c>
      <c r="P677">
        <v>0.1045</v>
      </c>
      <c r="Q677">
        <v>6</v>
      </c>
      <c r="R677">
        <v>62</v>
      </c>
      <c r="S677">
        <v>68</v>
      </c>
    </row>
    <row r="678" spans="1:19" x14ac:dyDescent="0.3">
      <c r="A678">
        <v>678</v>
      </c>
      <c r="B678" s="46">
        <v>40574</v>
      </c>
      <c r="C678">
        <v>1</v>
      </c>
      <c r="D678">
        <v>13</v>
      </c>
      <c r="E678" t="b">
        <v>0</v>
      </c>
      <c r="F678">
        <v>1</v>
      </c>
      <c r="G678" t="s">
        <v>35</v>
      </c>
      <c r="H678" t="s">
        <v>36</v>
      </c>
      <c r="I678">
        <v>2</v>
      </c>
      <c r="J678" t="s">
        <v>31</v>
      </c>
      <c r="K678">
        <v>0.16</v>
      </c>
      <c r="L678" t="s">
        <v>23</v>
      </c>
      <c r="M678">
        <v>0.2273</v>
      </c>
      <c r="N678">
        <v>0.59</v>
      </c>
      <c r="O678" t="s">
        <v>34</v>
      </c>
      <c r="P678">
        <v>0</v>
      </c>
      <c r="Q678">
        <v>2</v>
      </c>
      <c r="R678">
        <v>52</v>
      </c>
      <c r="S678">
        <v>54</v>
      </c>
    </row>
    <row r="679" spans="1:19" x14ac:dyDescent="0.3">
      <c r="A679">
        <v>679</v>
      </c>
      <c r="B679" s="46">
        <v>40574</v>
      </c>
      <c r="C679">
        <v>1</v>
      </c>
      <c r="D679">
        <v>14</v>
      </c>
      <c r="E679" t="b">
        <v>0</v>
      </c>
      <c r="F679">
        <v>1</v>
      </c>
      <c r="G679" t="s">
        <v>35</v>
      </c>
      <c r="H679" t="s">
        <v>36</v>
      </c>
      <c r="I679">
        <v>2</v>
      </c>
      <c r="J679" t="s">
        <v>31</v>
      </c>
      <c r="K679">
        <v>0.18</v>
      </c>
      <c r="L679" t="s">
        <v>23</v>
      </c>
      <c r="M679">
        <v>0.19700000000000001</v>
      </c>
      <c r="N679">
        <v>0.55000000000000004</v>
      </c>
      <c r="O679" t="s">
        <v>34</v>
      </c>
      <c r="P679">
        <v>0.1343</v>
      </c>
      <c r="Q679">
        <v>1</v>
      </c>
      <c r="R679">
        <v>85</v>
      </c>
      <c r="S679">
        <v>86</v>
      </c>
    </row>
    <row r="680" spans="1:19" x14ac:dyDescent="0.3">
      <c r="A680">
        <v>680</v>
      </c>
      <c r="B680" s="46">
        <v>40574</v>
      </c>
      <c r="C680">
        <v>1</v>
      </c>
      <c r="D680">
        <v>15</v>
      </c>
      <c r="E680" t="b">
        <v>0</v>
      </c>
      <c r="F680">
        <v>1</v>
      </c>
      <c r="G680" t="s">
        <v>35</v>
      </c>
      <c r="H680" t="s">
        <v>36</v>
      </c>
      <c r="I680">
        <v>2</v>
      </c>
      <c r="J680" t="s">
        <v>31</v>
      </c>
      <c r="K680">
        <v>0.16</v>
      </c>
      <c r="L680" t="s">
        <v>23</v>
      </c>
      <c r="M680">
        <v>0.18179999999999999</v>
      </c>
      <c r="N680">
        <v>0.59</v>
      </c>
      <c r="O680" t="s">
        <v>34</v>
      </c>
      <c r="P680">
        <v>0.1343</v>
      </c>
      <c r="Q680">
        <v>3</v>
      </c>
      <c r="R680">
        <v>41</v>
      </c>
      <c r="S680">
        <v>44</v>
      </c>
    </row>
    <row r="681" spans="1:19" x14ac:dyDescent="0.3">
      <c r="A681">
        <v>681</v>
      </c>
      <c r="B681" s="46">
        <v>40574</v>
      </c>
      <c r="C681">
        <v>1</v>
      </c>
      <c r="D681">
        <v>16</v>
      </c>
      <c r="E681" t="b">
        <v>0</v>
      </c>
      <c r="F681">
        <v>1</v>
      </c>
      <c r="G681" t="s">
        <v>35</v>
      </c>
      <c r="H681" t="s">
        <v>36</v>
      </c>
      <c r="I681">
        <v>2</v>
      </c>
      <c r="J681" t="s">
        <v>31</v>
      </c>
      <c r="K681">
        <v>0.16</v>
      </c>
      <c r="L681" t="s">
        <v>23</v>
      </c>
      <c r="M681">
        <v>0.18179999999999999</v>
      </c>
      <c r="N681">
        <v>0.56000000000000005</v>
      </c>
      <c r="O681" t="s">
        <v>34</v>
      </c>
      <c r="P681">
        <v>0.19400000000000001</v>
      </c>
      <c r="Q681">
        <v>3</v>
      </c>
      <c r="R681">
        <v>83</v>
      </c>
      <c r="S681">
        <v>86</v>
      </c>
    </row>
    <row r="682" spans="1:19" x14ac:dyDescent="0.3">
      <c r="A682">
        <v>682</v>
      </c>
      <c r="B682" s="46">
        <v>40574</v>
      </c>
      <c r="C682">
        <v>1</v>
      </c>
      <c r="D682">
        <v>17</v>
      </c>
      <c r="E682" t="b">
        <v>0</v>
      </c>
      <c r="F682">
        <v>1</v>
      </c>
      <c r="G682" t="s">
        <v>35</v>
      </c>
      <c r="H682" t="s">
        <v>36</v>
      </c>
      <c r="I682">
        <v>2</v>
      </c>
      <c r="J682" t="s">
        <v>31</v>
      </c>
      <c r="K682">
        <v>0.16</v>
      </c>
      <c r="L682" t="s">
        <v>23</v>
      </c>
      <c r="M682">
        <v>0.1515</v>
      </c>
      <c r="N682">
        <v>0.59</v>
      </c>
      <c r="O682" t="s">
        <v>34</v>
      </c>
      <c r="P682">
        <v>0.19400000000000001</v>
      </c>
      <c r="Q682">
        <v>6</v>
      </c>
      <c r="R682">
        <v>155</v>
      </c>
      <c r="S682">
        <v>161</v>
      </c>
    </row>
    <row r="683" spans="1:19" x14ac:dyDescent="0.3">
      <c r="A683">
        <v>683</v>
      </c>
      <c r="B683" s="46">
        <v>40574</v>
      </c>
      <c r="C683">
        <v>1</v>
      </c>
      <c r="D683">
        <v>18</v>
      </c>
      <c r="E683" t="b">
        <v>0</v>
      </c>
      <c r="F683">
        <v>1</v>
      </c>
      <c r="G683" t="s">
        <v>35</v>
      </c>
      <c r="H683" t="s">
        <v>36</v>
      </c>
      <c r="I683">
        <v>2</v>
      </c>
      <c r="J683" t="s">
        <v>31</v>
      </c>
      <c r="K683">
        <v>0.16</v>
      </c>
      <c r="L683" t="s">
        <v>23</v>
      </c>
      <c r="M683">
        <v>0.1515</v>
      </c>
      <c r="N683">
        <v>0.55000000000000004</v>
      </c>
      <c r="O683" t="s">
        <v>34</v>
      </c>
      <c r="P683">
        <v>0.22389999999999999</v>
      </c>
      <c r="Q683">
        <v>3</v>
      </c>
      <c r="R683">
        <v>153</v>
      </c>
      <c r="S683">
        <v>156</v>
      </c>
    </row>
    <row r="684" spans="1:19" x14ac:dyDescent="0.3">
      <c r="A684">
        <v>684</v>
      </c>
      <c r="B684" s="46">
        <v>40574</v>
      </c>
      <c r="C684">
        <v>1</v>
      </c>
      <c r="D684">
        <v>19</v>
      </c>
      <c r="E684" t="b">
        <v>0</v>
      </c>
      <c r="F684">
        <v>1</v>
      </c>
      <c r="G684" t="s">
        <v>35</v>
      </c>
      <c r="H684" t="s">
        <v>36</v>
      </c>
      <c r="I684">
        <v>1</v>
      </c>
      <c r="J684" t="s">
        <v>29</v>
      </c>
      <c r="K684">
        <v>0.3</v>
      </c>
      <c r="L684" t="s">
        <v>23</v>
      </c>
      <c r="M684">
        <v>0.31819999999999998</v>
      </c>
      <c r="N684">
        <v>0.61</v>
      </c>
      <c r="O684" t="s">
        <v>34</v>
      </c>
      <c r="P684">
        <v>0.1045</v>
      </c>
      <c r="Q684">
        <v>3</v>
      </c>
      <c r="R684">
        <v>108</v>
      </c>
      <c r="S684">
        <v>111</v>
      </c>
    </row>
    <row r="685" spans="1:19" x14ac:dyDescent="0.3">
      <c r="A685">
        <v>685</v>
      </c>
      <c r="B685" s="46">
        <v>40574</v>
      </c>
      <c r="C685">
        <v>1</v>
      </c>
      <c r="D685">
        <v>20</v>
      </c>
      <c r="E685" t="b">
        <v>0</v>
      </c>
      <c r="F685">
        <v>1</v>
      </c>
      <c r="G685" t="s">
        <v>35</v>
      </c>
      <c r="H685" t="s">
        <v>36</v>
      </c>
      <c r="I685">
        <v>3</v>
      </c>
      <c r="J685" t="s">
        <v>32</v>
      </c>
      <c r="K685">
        <v>0.16</v>
      </c>
      <c r="L685" t="s">
        <v>23</v>
      </c>
      <c r="M685">
        <v>0.16669999999999999</v>
      </c>
      <c r="N685">
        <v>0.59</v>
      </c>
      <c r="O685" t="s">
        <v>34</v>
      </c>
      <c r="P685">
        <v>0.16420000000000001</v>
      </c>
      <c r="Q685">
        <v>0</v>
      </c>
      <c r="R685">
        <v>78</v>
      </c>
      <c r="S685">
        <v>78</v>
      </c>
    </row>
    <row r="686" spans="1:19" x14ac:dyDescent="0.3">
      <c r="A686">
        <v>686</v>
      </c>
      <c r="B686" s="46">
        <v>40574</v>
      </c>
      <c r="C686">
        <v>1</v>
      </c>
      <c r="D686">
        <v>21</v>
      </c>
      <c r="E686" t="b">
        <v>0</v>
      </c>
      <c r="F686">
        <v>1</v>
      </c>
      <c r="G686" t="s">
        <v>35</v>
      </c>
      <c r="H686" t="s">
        <v>36</v>
      </c>
      <c r="I686">
        <v>3</v>
      </c>
      <c r="J686" t="s">
        <v>32</v>
      </c>
      <c r="K686">
        <v>0.16</v>
      </c>
      <c r="L686" t="s">
        <v>23</v>
      </c>
      <c r="M686">
        <v>0.19700000000000001</v>
      </c>
      <c r="N686">
        <v>0.59</v>
      </c>
      <c r="O686" t="s">
        <v>34</v>
      </c>
      <c r="P686">
        <v>8.9599999999999999E-2</v>
      </c>
      <c r="Q686">
        <v>3</v>
      </c>
      <c r="R686">
        <v>53</v>
      </c>
      <c r="S686">
        <v>56</v>
      </c>
    </row>
    <row r="687" spans="1:19" x14ac:dyDescent="0.3">
      <c r="A687">
        <v>687</v>
      </c>
      <c r="B687" s="46">
        <v>40574</v>
      </c>
      <c r="C687">
        <v>1</v>
      </c>
      <c r="D687">
        <v>22</v>
      </c>
      <c r="E687" t="b">
        <v>0</v>
      </c>
      <c r="F687">
        <v>1</v>
      </c>
      <c r="G687" t="s">
        <v>35</v>
      </c>
      <c r="H687" t="s">
        <v>36</v>
      </c>
      <c r="I687">
        <v>2</v>
      </c>
      <c r="J687" t="s">
        <v>31</v>
      </c>
      <c r="K687">
        <v>0.16</v>
      </c>
      <c r="L687" t="s">
        <v>23</v>
      </c>
      <c r="M687">
        <v>0.18179999999999999</v>
      </c>
      <c r="N687">
        <v>0.59</v>
      </c>
      <c r="O687" t="s">
        <v>34</v>
      </c>
      <c r="P687">
        <v>0.1045</v>
      </c>
      <c r="Q687">
        <v>0</v>
      </c>
      <c r="R687">
        <v>34</v>
      </c>
      <c r="S687">
        <v>34</v>
      </c>
    </row>
    <row r="688" spans="1:19" x14ac:dyDescent="0.3">
      <c r="A688">
        <v>688</v>
      </c>
      <c r="B688" s="46">
        <v>40574</v>
      </c>
      <c r="C688">
        <v>1</v>
      </c>
      <c r="D688">
        <v>23</v>
      </c>
      <c r="E688" t="b">
        <v>0</v>
      </c>
      <c r="F688">
        <v>1</v>
      </c>
      <c r="G688" t="s">
        <v>35</v>
      </c>
      <c r="H688" t="s">
        <v>36</v>
      </c>
      <c r="I688">
        <v>2</v>
      </c>
      <c r="J688" t="s">
        <v>31</v>
      </c>
      <c r="K688">
        <v>0.16</v>
      </c>
      <c r="L688" t="s">
        <v>23</v>
      </c>
      <c r="M688">
        <v>0.19700000000000001</v>
      </c>
      <c r="N688">
        <v>0.64</v>
      </c>
      <c r="O688" t="s">
        <v>34</v>
      </c>
      <c r="P688">
        <v>8.9599999999999999E-2</v>
      </c>
      <c r="Q688">
        <v>2</v>
      </c>
      <c r="R688">
        <v>15</v>
      </c>
      <c r="S688">
        <v>17</v>
      </c>
    </row>
    <row r="689" spans="1:19" x14ac:dyDescent="0.3">
      <c r="A689">
        <v>689</v>
      </c>
      <c r="B689" s="46">
        <v>40575</v>
      </c>
      <c r="C689">
        <v>2</v>
      </c>
      <c r="D689">
        <v>0</v>
      </c>
      <c r="E689" t="b">
        <v>0</v>
      </c>
      <c r="F689">
        <v>2</v>
      </c>
      <c r="G689" t="s">
        <v>35</v>
      </c>
      <c r="H689" t="s">
        <v>37</v>
      </c>
      <c r="I689">
        <v>2</v>
      </c>
      <c r="J689" t="s">
        <v>31</v>
      </c>
      <c r="K689">
        <v>0.16</v>
      </c>
      <c r="L689" t="s">
        <v>23</v>
      </c>
      <c r="M689">
        <v>0.18179999999999999</v>
      </c>
      <c r="N689">
        <v>0.64</v>
      </c>
      <c r="O689" t="s">
        <v>34</v>
      </c>
      <c r="P689">
        <v>0.1045</v>
      </c>
      <c r="Q689">
        <v>2</v>
      </c>
      <c r="R689">
        <v>6</v>
      </c>
      <c r="S689">
        <v>8</v>
      </c>
    </row>
    <row r="690" spans="1:19" x14ac:dyDescent="0.3">
      <c r="A690">
        <v>690</v>
      </c>
      <c r="B690" s="46">
        <v>40575</v>
      </c>
      <c r="C690">
        <v>2</v>
      </c>
      <c r="D690">
        <v>1</v>
      </c>
      <c r="E690" t="b">
        <v>0</v>
      </c>
      <c r="F690">
        <v>2</v>
      </c>
      <c r="G690" t="s">
        <v>35</v>
      </c>
      <c r="H690" t="s">
        <v>37</v>
      </c>
      <c r="I690">
        <v>2</v>
      </c>
      <c r="J690" t="s">
        <v>31</v>
      </c>
      <c r="K690">
        <v>0.16</v>
      </c>
      <c r="L690" t="s">
        <v>23</v>
      </c>
      <c r="M690">
        <v>0.18179999999999999</v>
      </c>
      <c r="N690">
        <v>0.69</v>
      </c>
      <c r="O690" t="s">
        <v>34</v>
      </c>
      <c r="P690">
        <v>0.1045</v>
      </c>
      <c r="Q690">
        <v>0</v>
      </c>
      <c r="R690">
        <v>3</v>
      </c>
      <c r="S690">
        <v>3</v>
      </c>
    </row>
    <row r="691" spans="1:19" x14ac:dyDescent="0.3">
      <c r="A691">
        <v>691</v>
      </c>
      <c r="B691" s="46">
        <v>40575</v>
      </c>
      <c r="C691">
        <v>2</v>
      </c>
      <c r="D691">
        <v>2</v>
      </c>
      <c r="E691" t="b">
        <v>0</v>
      </c>
      <c r="F691">
        <v>2</v>
      </c>
      <c r="G691" t="s">
        <v>35</v>
      </c>
      <c r="H691" t="s">
        <v>37</v>
      </c>
      <c r="I691">
        <v>2</v>
      </c>
      <c r="J691" t="s">
        <v>31</v>
      </c>
      <c r="K691">
        <v>0.16</v>
      </c>
      <c r="L691" t="s">
        <v>23</v>
      </c>
      <c r="M691">
        <v>0.2273</v>
      </c>
      <c r="N691">
        <v>0.69</v>
      </c>
      <c r="O691" t="s">
        <v>34</v>
      </c>
      <c r="P691">
        <v>0</v>
      </c>
      <c r="Q691">
        <v>0</v>
      </c>
      <c r="R691">
        <v>2</v>
      </c>
      <c r="S691">
        <v>2</v>
      </c>
    </row>
    <row r="692" spans="1:19" x14ac:dyDescent="0.3">
      <c r="A692">
        <v>692</v>
      </c>
      <c r="B692" s="46">
        <v>40575</v>
      </c>
      <c r="C692">
        <v>2</v>
      </c>
      <c r="D692">
        <v>3</v>
      </c>
      <c r="E692" t="b">
        <v>0</v>
      </c>
      <c r="F692">
        <v>2</v>
      </c>
      <c r="G692" t="s">
        <v>35</v>
      </c>
      <c r="H692" t="s">
        <v>37</v>
      </c>
      <c r="I692">
        <v>2</v>
      </c>
      <c r="J692" t="s">
        <v>31</v>
      </c>
      <c r="K692">
        <v>0.16</v>
      </c>
      <c r="L692" t="s">
        <v>23</v>
      </c>
      <c r="M692">
        <v>0.2273</v>
      </c>
      <c r="N692">
        <v>0.69</v>
      </c>
      <c r="O692" t="s">
        <v>34</v>
      </c>
      <c r="P692">
        <v>0</v>
      </c>
      <c r="Q692">
        <v>0</v>
      </c>
      <c r="R692">
        <v>2</v>
      </c>
      <c r="S692">
        <v>2</v>
      </c>
    </row>
    <row r="693" spans="1:19" x14ac:dyDescent="0.3">
      <c r="A693">
        <v>693</v>
      </c>
      <c r="B693" s="46">
        <v>40575</v>
      </c>
      <c r="C693">
        <v>2</v>
      </c>
      <c r="D693">
        <v>5</v>
      </c>
      <c r="E693" t="b">
        <v>0</v>
      </c>
      <c r="F693">
        <v>2</v>
      </c>
      <c r="G693" t="s">
        <v>35</v>
      </c>
      <c r="H693" t="s">
        <v>37</v>
      </c>
      <c r="I693">
        <v>3</v>
      </c>
      <c r="J693" t="s">
        <v>32</v>
      </c>
      <c r="K693">
        <v>0.14000000000000001</v>
      </c>
      <c r="L693" t="s">
        <v>23</v>
      </c>
      <c r="M693">
        <v>0.21210000000000001</v>
      </c>
      <c r="N693">
        <v>0.93</v>
      </c>
      <c r="O693" t="s">
        <v>30</v>
      </c>
      <c r="P693">
        <v>0</v>
      </c>
      <c r="Q693">
        <v>0</v>
      </c>
      <c r="R693">
        <v>3</v>
      </c>
      <c r="S693">
        <v>3</v>
      </c>
    </row>
    <row r="694" spans="1:19" x14ac:dyDescent="0.3">
      <c r="A694">
        <v>694</v>
      </c>
      <c r="B694" s="46">
        <v>40575</v>
      </c>
      <c r="C694">
        <v>2</v>
      </c>
      <c r="D694">
        <v>6</v>
      </c>
      <c r="E694" t="b">
        <v>0</v>
      </c>
      <c r="F694">
        <v>2</v>
      </c>
      <c r="G694" t="s">
        <v>35</v>
      </c>
      <c r="H694" t="s">
        <v>37</v>
      </c>
      <c r="I694">
        <v>3</v>
      </c>
      <c r="J694" t="s">
        <v>32</v>
      </c>
      <c r="K694">
        <v>0.14000000000000001</v>
      </c>
      <c r="L694" t="s">
        <v>23</v>
      </c>
      <c r="M694">
        <v>0.21210000000000001</v>
      </c>
      <c r="N694">
        <v>0.93</v>
      </c>
      <c r="O694" t="s">
        <v>30</v>
      </c>
      <c r="P694">
        <v>0</v>
      </c>
      <c r="Q694">
        <v>0</v>
      </c>
      <c r="R694">
        <v>22</v>
      </c>
      <c r="S694">
        <v>22</v>
      </c>
    </row>
    <row r="695" spans="1:19" x14ac:dyDescent="0.3">
      <c r="A695">
        <v>695</v>
      </c>
      <c r="B695" s="46">
        <v>40575</v>
      </c>
      <c r="C695">
        <v>2</v>
      </c>
      <c r="D695">
        <v>7</v>
      </c>
      <c r="E695" t="b">
        <v>0</v>
      </c>
      <c r="F695">
        <v>2</v>
      </c>
      <c r="G695" t="s">
        <v>35</v>
      </c>
      <c r="H695" t="s">
        <v>37</v>
      </c>
      <c r="I695">
        <v>3</v>
      </c>
      <c r="J695" t="s">
        <v>32</v>
      </c>
      <c r="K695">
        <v>0.16</v>
      </c>
      <c r="L695" t="s">
        <v>23</v>
      </c>
      <c r="M695">
        <v>0.2273</v>
      </c>
      <c r="N695">
        <v>0.93</v>
      </c>
      <c r="O695" t="s">
        <v>30</v>
      </c>
      <c r="P695">
        <v>0</v>
      </c>
      <c r="Q695">
        <v>0</v>
      </c>
      <c r="R695">
        <v>52</v>
      </c>
      <c r="S695">
        <v>52</v>
      </c>
    </row>
    <row r="696" spans="1:19" x14ac:dyDescent="0.3">
      <c r="A696">
        <v>696</v>
      </c>
      <c r="B696" s="46">
        <v>40575</v>
      </c>
      <c r="C696">
        <v>2</v>
      </c>
      <c r="D696">
        <v>8</v>
      </c>
      <c r="E696" t="b">
        <v>0</v>
      </c>
      <c r="F696">
        <v>2</v>
      </c>
      <c r="G696" t="s">
        <v>35</v>
      </c>
      <c r="H696" t="s">
        <v>37</v>
      </c>
      <c r="I696">
        <v>3</v>
      </c>
      <c r="J696" t="s">
        <v>32</v>
      </c>
      <c r="K696">
        <v>0.16</v>
      </c>
      <c r="L696" t="s">
        <v>23</v>
      </c>
      <c r="M696">
        <v>0.2273</v>
      </c>
      <c r="N696">
        <v>0.93</v>
      </c>
      <c r="O696" t="s">
        <v>30</v>
      </c>
      <c r="P696">
        <v>0</v>
      </c>
      <c r="Q696">
        <v>3</v>
      </c>
      <c r="R696">
        <v>132</v>
      </c>
      <c r="S696">
        <v>135</v>
      </c>
    </row>
    <row r="697" spans="1:19" x14ac:dyDescent="0.3">
      <c r="A697">
        <v>697</v>
      </c>
      <c r="B697" s="46">
        <v>40575</v>
      </c>
      <c r="C697">
        <v>2</v>
      </c>
      <c r="D697">
        <v>9</v>
      </c>
      <c r="E697" t="b">
        <v>0</v>
      </c>
      <c r="F697">
        <v>2</v>
      </c>
      <c r="G697" t="s">
        <v>35</v>
      </c>
      <c r="H697" t="s">
        <v>37</v>
      </c>
      <c r="I697">
        <v>2</v>
      </c>
      <c r="J697" t="s">
        <v>31</v>
      </c>
      <c r="K697">
        <v>0.16</v>
      </c>
      <c r="L697" t="s">
        <v>23</v>
      </c>
      <c r="M697">
        <v>0.2273</v>
      </c>
      <c r="N697">
        <v>0.93</v>
      </c>
      <c r="O697" t="s">
        <v>30</v>
      </c>
      <c r="P697">
        <v>0</v>
      </c>
      <c r="Q697">
        <v>2</v>
      </c>
      <c r="R697">
        <v>114</v>
      </c>
      <c r="S697">
        <v>116</v>
      </c>
    </row>
    <row r="698" spans="1:19" x14ac:dyDescent="0.3">
      <c r="A698">
        <v>698</v>
      </c>
      <c r="B698" s="46">
        <v>40575</v>
      </c>
      <c r="C698">
        <v>2</v>
      </c>
      <c r="D698">
        <v>10</v>
      </c>
      <c r="E698" t="b">
        <v>0</v>
      </c>
      <c r="F698">
        <v>2</v>
      </c>
      <c r="G698" t="s">
        <v>35</v>
      </c>
      <c r="H698" t="s">
        <v>37</v>
      </c>
      <c r="I698">
        <v>2</v>
      </c>
      <c r="J698" t="s">
        <v>31</v>
      </c>
      <c r="K698">
        <v>0.16</v>
      </c>
      <c r="L698" t="s">
        <v>23</v>
      </c>
      <c r="M698">
        <v>0.2273</v>
      </c>
      <c r="N698">
        <v>0.93</v>
      </c>
      <c r="O698" t="s">
        <v>30</v>
      </c>
      <c r="P698">
        <v>0</v>
      </c>
      <c r="Q698">
        <v>0</v>
      </c>
      <c r="R698">
        <v>47</v>
      </c>
      <c r="S698">
        <v>47</v>
      </c>
    </row>
    <row r="699" spans="1:19" x14ac:dyDescent="0.3">
      <c r="A699">
        <v>699</v>
      </c>
      <c r="B699" s="46">
        <v>40575</v>
      </c>
      <c r="C699">
        <v>2</v>
      </c>
      <c r="D699">
        <v>11</v>
      </c>
      <c r="E699" t="b">
        <v>0</v>
      </c>
      <c r="F699">
        <v>2</v>
      </c>
      <c r="G699" t="s">
        <v>35</v>
      </c>
      <c r="H699" t="s">
        <v>37</v>
      </c>
      <c r="I699">
        <v>2</v>
      </c>
      <c r="J699" t="s">
        <v>31</v>
      </c>
      <c r="K699">
        <v>0.18</v>
      </c>
      <c r="L699" t="s">
        <v>23</v>
      </c>
      <c r="M699">
        <v>0.2424</v>
      </c>
      <c r="N699">
        <v>0.86</v>
      </c>
      <c r="O699" t="s">
        <v>30</v>
      </c>
      <c r="P699">
        <v>0</v>
      </c>
      <c r="Q699">
        <v>2</v>
      </c>
      <c r="R699">
        <v>49</v>
      </c>
      <c r="S699">
        <v>51</v>
      </c>
    </row>
    <row r="700" spans="1:19" x14ac:dyDescent="0.3">
      <c r="A700">
        <v>700</v>
      </c>
      <c r="B700" s="46">
        <v>40575</v>
      </c>
      <c r="C700">
        <v>2</v>
      </c>
      <c r="D700">
        <v>12</v>
      </c>
      <c r="E700" t="b">
        <v>0</v>
      </c>
      <c r="F700">
        <v>2</v>
      </c>
      <c r="G700" t="s">
        <v>35</v>
      </c>
      <c r="H700" t="s">
        <v>37</v>
      </c>
      <c r="I700">
        <v>2</v>
      </c>
      <c r="J700" t="s">
        <v>31</v>
      </c>
      <c r="K700">
        <v>0.2</v>
      </c>
      <c r="L700" t="s">
        <v>23</v>
      </c>
      <c r="M700">
        <v>0.2576</v>
      </c>
      <c r="N700">
        <v>0.86</v>
      </c>
      <c r="O700" t="s">
        <v>30</v>
      </c>
      <c r="P700">
        <v>0</v>
      </c>
      <c r="Q700">
        <v>2</v>
      </c>
      <c r="R700">
        <v>53</v>
      </c>
      <c r="S700">
        <v>55</v>
      </c>
    </row>
    <row r="701" spans="1:19" x14ac:dyDescent="0.3">
      <c r="A701">
        <v>701</v>
      </c>
      <c r="B701" s="46">
        <v>40575</v>
      </c>
      <c r="C701">
        <v>2</v>
      </c>
      <c r="D701">
        <v>13</v>
      </c>
      <c r="E701" t="b">
        <v>0</v>
      </c>
      <c r="F701">
        <v>2</v>
      </c>
      <c r="G701" t="s">
        <v>35</v>
      </c>
      <c r="H701" t="s">
        <v>37</v>
      </c>
      <c r="I701">
        <v>2</v>
      </c>
      <c r="J701" t="s">
        <v>31</v>
      </c>
      <c r="K701">
        <v>0.2</v>
      </c>
      <c r="L701" t="s">
        <v>23</v>
      </c>
      <c r="M701">
        <v>0.2576</v>
      </c>
      <c r="N701">
        <v>0.86</v>
      </c>
      <c r="O701" t="s">
        <v>30</v>
      </c>
      <c r="P701">
        <v>0</v>
      </c>
      <c r="Q701">
        <v>3</v>
      </c>
      <c r="R701">
        <v>49</v>
      </c>
      <c r="S701">
        <v>52</v>
      </c>
    </row>
    <row r="702" spans="1:19" x14ac:dyDescent="0.3">
      <c r="A702">
        <v>702</v>
      </c>
      <c r="B702" s="46">
        <v>40575</v>
      </c>
      <c r="C702">
        <v>2</v>
      </c>
      <c r="D702">
        <v>14</v>
      </c>
      <c r="E702" t="b">
        <v>0</v>
      </c>
      <c r="F702">
        <v>2</v>
      </c>
      <c r="G702" t="s">
        <v>35</v>
      </c>
      <c r="H702" t="s">
        <v>37</v>
      </c>
      <c r="I702">
        <v>2</v>
      </c>
      <c r="J702" t="s">
        <v>31</v>
      </c>
      <c r="K702">
        <v>0.22</v>
      </c>
      <c r="L702" t="s">
        <v>23</v>
      </c>
      <c r="M702">
        <v>0.2576</v>
      </c>
      <c r="N702">
        <v>0.8</v>
      </c>
      <c r="O702" t="s">
        <v>30</v>
      </c>
      <c r="P702">
        <v>8.9599999999999999E-2</v>
      </c>
      <c r="Q702">
        <v>5</v>
      </c>
      <c r="R702">
        <v>49</v>
      </c>
      <c r="S702">
        <v>54</v>
      </c>
    </row>
    <row r="703" spans="1:19" x14ac:dyDescent="0.3">
      <c r="A703">
        <v>703</v>
      </c>
      <c r="B703" s="46">
        <v>40575</v>
      </c>
      <c r="C703">
        <v>2</v>
      </c>
      <c r="D703">
        <v>15</v>
      </c>
      <c r="E703" t="b">
        <v>0</v>
      </c>
      <c r="F703">
        <v>2</v>
      </c>
      <c r="G703" t="s">
        <v>35</v>
      </c>
      <c r="H703" t="s">
        <v>37</v>
      </c>
      <c r="I703">
        <v>2</v>
      </c>
      <c r="J703" t="s">
        <v>31</v>
      </c>
      <c r="K703">
        <v>0.24</v>
      </c>
      <c r="L703" t="s">
        <v>23</v>
      </c>
      <c r="M703">
        <v>0.28789999999999999</v>
      </c>
      <c r="N703">
        <v>0.75</v>
      </c>
      <c r="O703" t="s">
        <v>30</v>
      </c>
      <c r="P703">
        <v>0</v>
      </c>
      <c r="Q703">
        <v>7</v>
      </c>
      <c r="R703">
        <v>45</v>
      </c>
      <c r="S703">
        <v>52</v>
      </c>
    </row>
    <row r="704" spans="1:19" x14ac:dyDescent="0.3">
      <c r="A704">
        <v>704</v>
      </c>
      <c r="B704" s="46">
        <v>40575</v>
      </c>
      <c r="C704">
        <v>2</v>
      </c>
      <c r="D704">
        <v>16</v>
      </c>
      <c r="E704" t="b">
        <v>0</v>
      </c>
      <c r="F704">
        <v>2</v>
      </c>
      <c r="G704" t="s">
        <v>35</v>
      </c>
      <c r="H704" t="s">
        <v>37</v>
      </c>
      <c r="I704">
        <v>2</v>
      </c>
      <c r="J704" t="s">
        <v>31</v>
      </c>
      <c r="K704">
        <v>0.24</v>
      </c>
      <c r="L704" t="s">
        <v>23</v>
      </c>
      <c r="M704">
        <v>0.2424</v>
      </c>
      <c r="N704">
        <v>0.75</v>
      </c>
      <c r="O704" t="s">
        <v>30</v>
      </c>
      <c r="P704">
        <v>0.1343</v>
      </c>
      <c r="Q704">
        <v>3</v>
      </c>
      <c r="R704">
        <v>61</v>
      </c>
      <c r="S704">
        <v>64</v>
      </c>
    </row>
    <row r="705" spans="1:19" x14ac:dyDescent="0.3">
      <c r="A705">
        <v>705</v>
      </c>
      <c r="B705" s="46">
        <v>40575</v>
      </c>
      <c r="C705">
        <v>2</v>
      </c>
      <c r="D705">
        <v>17</v>
      </c>
      <c r="E705" t="b">
        <v>0</v>
      </c>
      <c r="F705">
        <v>2</v>
      </c>
      <c r="G705" t="s">
        <v>35</v>
      </c>
      <c r="H705" t="s">
        <v>37</v>
      </c>
      <c r="I705">
        <v>2</v>
      </c>
      <c r="J705" t="s">
        <v>31</v>
      </c>
      <c r="K705">
        <v>0.24</v>
      </c>
      <c r="L705" t="s">
        <v>23</v>
      </c>
      <c r="M705">
        <v>0.28789999999999999</v>
      </c>
      <c r="N705">
        <v>0.75</v>
      </c>
      <c r="O705" t="s">
        <v>30</v>
      </c>
      <c r="P705">
        <v>0</v>
      </c>
      <c r="Q705">
        <v>4</v>
      </c>
      <c r="R705">
        <v>172</v>
      </c>
      <c r="S705">
        <v>176</v>
      </c>
    </row>
    <row r="706" spans="1:19" x14ac:dyDescent="0.3">
      <c r="A706">
        <v>706</v>
      </c>
      <c r="B706" s="46">
        <v>40575</v>
      </c>
      <c r="C706">
        <v>2</v>
      </c>
      <c r="D706">
        <v>18</v>
      </c>
      <c r="E706" t="b">
        <v>0</v>
      </c>
      <c r="F706">
        <v>2</v>
      </c>
      <c r="G706" t="s">
        <v>35</v>
      </c>
      <c r="H706" t="s">
        <v>37</v>
      </c>
      <c r="I706">
        <v>2</v>
      </c>
      <c r="J706" t="s">
        <v>31</v>
      </c>
      <c r="K706">
        <v>0.24</v>
      </c>
      <c r="L706" t="s">
        <v>23</v>
      </c>
      <c r="M706">
        <v>0.2576</v>
      </c>
      <c r="N706">
        <v>0.81</v>
      </c>
      <c r="O706" t="s">
        <v>30</v>
      </c>
      <c r="P706">
        <v>0.1045</v>
      </c>
      <c r="Q706">
        <v>3</v>
      </c>
      <c r="R706">
        <v>165</v>
      </c>
      <c r="S706">
        <v>168</v>
      </c>
    </row>
    <row r="707" spans="1:19" x14ac:dyDescent="0.3">
      <c r="A707">
        <v>707</v>
      </c>
      <c r="B707" s="46">
        <v>40575</v>
      </c>
      <c r="C707">
        <v>2</v>
      </c>
      <c r="D707">
        <v>19</v>
      </c>
      <c r="E707" t="b">
        <v>0</v>
      </c>
      <c r="F707">
        <v>2</v>
      </c>
      <c r="G707" t="s">
        <v>35</v>
      </c>
      <c r="H707" t="s">
        <v>37</v>
      </c>
      <c r="I707">
        <v>2</v>
      </c>
      <c r="J707" t="s">
        <v>31</v>
      </c>
      <c r="K707">
        <v>0.24</v>
      </c>
      <c r="L707" t="s">
        <v>23</v>
      </c>
      <c r="M707">
        <v>0.2424</v>
      </c>
      <c r="N707">
        <v>0.81</v>
      </c>
      <c r="O707" t="s">
        <v>30</v>
      </c>
      <c r="P707">
        <v>0.1343</v>
      </c>
      <c r="Q707">
        <v>3</v>
      </c>
      <c r="R707">
        <v>105</v>
      </c>
      <c r="S707">
        <v>108</v>
      </c>
    </row>
    <row r="708" spans="1:19" x14ac:dyDescent="0.3">
      <c r="A708">
        <v>708</v>
      </c>
      <c r="B708" s="46">
        <v>40575</v>
      </c>
      <c r="C708">
        <v>2</v>
      </c>
      <c r="D708">
        <v>20</v>
      </c>
      <c r="E708" t="b">
        <v>0</v>
      </c>
      <c r="F708">
        <v>2</v>
      </c>
      <c r="G708" t="s">
        <v>35</v>
      </c>
      <c r="H708" t="s">
        <v>37</v>
      </c>
      <c r="I708">
        <v>2</v>
      </c>
      <c r="J708" t="s">
        <v>31</v>
      </c>
      <c r="K708">
        <v>0.22</v>
      </c>
      <c r="L708" t="s">
        <v>23</v>
      </c>
      <c r="M708">
        <v>0.2273</v>
      </c>
      <c r="N708">
        <v>0.87</v>
      </c>
      <c r="O708" t="s">
        <v>30</v>
      </c>
      <c r="P708">
        <v>0.1343</v>
      </c>
      <c r="Q708">
        <v>5</v>
      </c>
      <c r="R708">
        <v>69</v>
      </c>
      <c r="S708">
        <v>74</v>
      </c>
    </row>
    <row r="709" spans="1:19" x14ac:dyDescent="0.3">
      <c r="A709">
        <v>709</v>
      </c>
      <c r="B709" s="46">
        <v>40575</v>
      </c>
      <c r="C709">
        <v>2</v>
      </c>
      <c r="D709">
        <v>21</v>
      </c>
      <c r="E709" t="b">
        <v>0</v>
      </c>
      <c r="F709">
        <v>2</v>
      </c>
      <c r="G709" t="s">
        <v>35</v>
      </c>
      <c r="H709" t="s">
        <v>37</v>
      </c>
      <c r="I709">
        <v>2</v>
      </c>
      <c r="J709" t="s">
        <v>31</v>
      </c>
      <c r="K709">
        <v>0.22</v>
      </c>
      <c r="L709" t="s">
        <v>23</v>
      </c>
      <c r="M709">
        <v>0.2273</v>
      </c>
      <c r="N709">
        <v>0.87</v>
      </c>
      <c r="O709" t="s">
        <v>30</v>
      </c>
      <c r="P709">
        <v>0.1343</v>
      </c>
      <c r="Q709">
        <v>0</v>
      </c>
      <c r="R709">
        <v>64</v>
      </c>
      <c r="S709">
        <v>64</v>
      </c>
    </row>
    <row r="710" spans="1:19" x14ac:dyDescent="0.3">
      <c r="A710">
        <v>710</v>
      </c>
      <c r="B710" s="46">
        <v>40575</v>
      </c>
      <c r="C710">
        <v>2</v>
      </c>
      <c r="D710">
        <v>22</v>
      </c>
      <c r="E710" t="b">
        <v>0</v>
      </c>
      <c r="F710">
        <v>2</v>
      </c>
      <c r="G710" t="s">
        <v>35</v>
      </c>
      <c r="H710" t="s">
        <v>37</v>
      </c>
      <c r="I710">
        <v>2</v>
      </c>
      <c r="J710" t="s">
        <v>31</v>
      </c>
      <c r="K710">
        <v>0.22</v>
      </c>
      <c r="L710" t="s">
        <v>23</v>
      </c>
      <c r="M710">
        <v>0.2576</v>
      </c>
      <c r="N710">
        <v>0.87</v>
      </c>
      <c r="O710" t="s">
        <v>30</v>
      </c>
      <c r="P710">
        <v>8.9599999999999999E-2</v>
      </c>
      <c r="Q710">
        <v>2</v>
      </c>
      <c r="R710">
        <v>34</v>
      </c>
      <c r="S710">
        <v>36</v>
      </c>
    </row>
    <row r="711" spans="1:19" x14ac:dyDescent="0.3">
      <c r="A711">
        <v>711</v>
      </c>
      <c r="B711" s="46">
        <v>40575</v>
      </c>
      <c r="C711">
        <v>2</v>
      </c>
      <c r="D711">
        <v>23</v>
      </c>
      <c r="E711" t="b">
        <v>0</v>
      </c>
      <c r="F711">
        <v>2</v>
      </c>
      <c r="G711" t="s">
        <v>35</v>
      </c>
      <c r="H711" t="s">
        <v>37</v>
      </c>
      <c r="I711">
        <v>3</v>
      </c>
      <c r="J711" t="s">
        <v>32</v>
      </c>
      <c r="K711">
        <v>0.2</v>
      </c>
      <c r="L711" t="s">
        <v>23</v>
      </c>
      <c r="M711">
        <v>0.19700000000000001</v>
      </c>
      <c r="N711">
        <v>0.93</v>
      </c>
      <c r="O711" t="s">
        <v>30</v>
      </c>
      <c r="P711">
        <v>0.19400000000000001</v>
      </c>
      <c r="Q711">
        <v>1</v>
      </c>
      <c r="R711">
        <v>15</v>
      </c>
      <c r="S711">
        <v>16</v>
      </c>
    </row>
    <row r="712" spans="1:19" x14ac:dyDescent="0.3">
      <c r="A712">
        <v>712</v>
      </c>
      <c r="B712" s="46">
        <v>40576</v>
      </c>
      <c r="C712">
        <v>2</v>
      </c>
      <c r="D712">
        <v>0</v>
      </c>
      <c r="E712" t="b">
        <v>0</v>
      </c>
      <c r="F712">
        <v>3</v>
      </c>
      <c r="G712" t="s">
        <v>35</v>
      </c>
      <c r="H712" t="s">
        <v>38</v>
      </c>
      <c r="I712">
        <v>3</v>
      </c>
      <c r="J712" t="s">
        <v>32</v>
      </c>
      <c r="K712">
        <v>0.22</v>
      </c>
      <c r="L712" t="s">
        <v>23</v>
      </c>
      <c r="M712">
        <v>0.2424</v>
      </c>
      <c r="N712">
        <v>0.93</v>
      </c>
      <c r="O712" t="s">
        <v>30</v>
      </c>
      <c r="P712">
        <v>0.1045</v>
      </c>
      <c r="Q712">
        <v>0</v>
      </c>
      <c r="R712">
        <v>2</v>
      </c>
      <c r="S712">
        <v>2</v>
      </c>
    </row>
    <row r="713" spans="1:19" x14ac:dyDescent="0.3">
      <c r="A713">
        <v>713</v>
      </c>
      <c r="B713" s="46">
        <v>40576</v>
      </c>
      <c r="C713">
        <v>2</v>
      </c>
      <c r="D713">
        <v>1</v>
      </c>
      <c r="E713" t="b">
        <v>0</v>
      </c>
      <c r="F713">
        <v>3</v>
      </c>
      <c r="G713" t="s">
        <v>35</v>
      </c>
      <c r="H713" t="s">
        <v>38</v>
      </c>
      <c r="I713">
        <v>3</v>
      </c>
      <c r="J713" t="s">
        <v>32</v>
      </c>
      <c r="K713">
        <v>0.22</v>
      </c>
      <c r="L713" t="s">
        <v>23</v>
      </c>
      <c r="M713">
        <v>0.2273</v>
      </c>
      <c r="N713">
        <v>0.93</v>
      </c>
      <c r="O713" t="s">
        <v>30</v>
      </c>
      <c r="P713">
        <v>0.19400000000000001</v>
      </c>
      <c r="Q713">
        <v>0</v>
      </c>
      <c r="R713">
        <v>3</v>
      </c>
      <c r="S713">
        <v>3</v>
      </c>
    </row>
    <row r="714" spans="1:19" x14ac:dyDescent="0.3">
      <c r="A714">
        <v>714</v>
      </c>
      <c r="B714" s="46">
        <v>40576</v>
      </c>
      <c r="C714">
        <v>2</v>
      </c>
      <c r="D714">
        <v>2</v>
      </c>
      <c r="E714" t="b">
        <v>0</v>
      </c>
      <c r="F714">
        <v>3</v>
      </c>
      <c r="G714" t="s">
        <v>35</v>
      </c>
      <c r="H714" t="s">
        <v>38</v>
      </c>
      <c r="I714">
        <v>3</v>
      </c>
      <c r="J714" t="s">
        <v>32</v>
      </c>
      <c r="K714">
        <v>0.22</v>
      </c>
      <c r="L714" t="s">
        <v>23</v>
      </c>
      <c r="M714">
        <v>0.2273</v>
      </c>
      <c r="N714">
        <v>0.93</v>
      </c>
      <c r="O714" t="s">
        <v>30</v>
      </c>
      <c r="P714">
        <v>0.1343</v>
      </c>
      <c r="Q714">
        <v>4</v>
      </c>
      <c r="R714">
        <v>0</v>
      </c>
      <c r="S714">
        <v>4</v>
      </c>
    </row>
    <row r="715" spans="1:19" x14ac:dyDescent="0.3">
      <c r="A715">
        <v>715</v>
      </c>
      <c r="B715" s="46">
        <v>40576</v>
      </c>
      <c r="C715">
        <v>2</v>
      </c>
      <c r="D715">
        <v>3</v>
      </c>
      <c r="E715" t="b">
        <v>0</v>
      </c>
      <c r="F715">
        <v>3</v>
      </c>
      <c r="G715" t="s">
        <v>35</v>
      </c>
      <c r="H715" t="s">
        <v>38</v>
      </c>
      <c r="I715">
        <v>3</v>
      </c>
      <c r="J715" t="s">
        <v>32</v>
      </c>
      <c r="K715">
        <v>0.22</v>
      </c>
      <c r="L715" t="s">
        <v>23</v>
      </c>
      <c r="M715">
        <v>0.2273</v>
      </c>
      <c r="N715">
        <v>0.93</v>
      </c>
      <c r="O715" t="s">
        <v>30</v>
      </c>
      <c r="P715">
        <v>0.1343</v>
      </c>
      <c r="Q715">
        <v>0</v>
      </c>
      <c r="R715">
        <v>1</v>
      </c>
      <c r="S715">
        <v>1</v>
      </c>
    </row>
    <row r="716" spans="1:19" x14ac:dyDescent="0.3">
      <c r="A716">
        <v>716</v>
      </c>
      <c r="B716" s="46">
        <v>40576</v>
      </c>
      <c r="C716">
        <v>2</v>
      </c>
      <c r="D716">
        <v>4</v>
      </c>
      <c r="E716" t="b">
        <v>0</v>
      </c>
      <c r="F716">
        <v>3</v>
      </c>
      <c r="G716" t="s">
        <v>35</v>
      </c>
      <c r="H716" t="s">
        <v>38</v>
      </c>
      <c r="I716">
        <v>3</v>
      </c>
      <c r="J716" t="s">
        <v>32</v>
      </c>
      <c r="K716">
        <v>0.22</v>
      </c>
      <c r="L716" t="s">
        <v>23</v>
      </c>
      <c r="M716">
        <v>0.21210000000000001</v>
      </c>
      <c r="N716">
        <v>0.93</v>
      </c>
      <c r="O716" t="s">
        <v>30</v>
      </c>
      <c r="P716">
        <v>0.28360000000000002</v>
      </c>
      <c r="Q716">
        <v>0</v>
      </c>
      <c r="R716">
        <v>1</v>
      </c>
      <c r="S716">
        <v>1</v>
      </c>
    </row>
    <row r="717" spans="1:19" x14ac:dyDescent="0.3">
      <c r="A717">
        <v>717</v>
      </c>
      <c r="B717" s="46">
        <v>40576</v>
      </c>
      <c r="C717">
        <v>2</v>
      </c>
      <c r="D717">
        <v>5</v>
      </c>
      <c r="E717" t="b">
        <v>0</v>
      </c>
      <c r="F717">
        <v>3</v>
      </c>
      <c r="G717" t="s">
        <v>35</v>
      </c>
      <c r="H717" t="s">
        <v>38</v>
      </c>
      <c r="I717">
        <v>3</v>
      </c>
      <c r="J717" t="s">
        <v>32</v>
      </c>
      <c r="K717">
        <v>0.22</v>
      </c>
      <c r="L717" t="s">
        <v>23</v>
      </c>
      <c r="M717">
        <v>0.2424</v>
      </c>
      <c r="N717">
        <v>0.93</v>
      </c>
      <c r="O717" t="s">
        <v>30</v>
      </c>
      <c r="P717">
        <v>0.1045</v>
      </c>
      <c r="Q717">
        <v>0</v>
      </c>
      <c r="R717">
        <v>3</v>
      </c>
      <c r="S717">
        <v>3</v>
      </c>
    </row>
    <row r="718" spans="1:19" x14ac:dyDescent="0.3">
      <c r="A718">
        <v>718</v>
      </c>
      <c r="B718" s="46">
        <v>40576</v>
      </c>
      <c r="C718">
        <v>2</v>
      </c>
      <c r="D718">
        <v>6</v>
      </c>
      <c r="E718" t="b">
        <v>0</v>
      </c>
      <c r="F718">
        <v>3</v>
      </c>
      <c r="G718" t="s">
        <v>35</v>
      </c>
      <c r="H718" t="s">
        <v>38</v>
      </c>
      <c r="I718">
        <v>3</v>
      </c>
      <c r="J718" t="s">
        <v>32</v>
      </c>
      <c r="K718">
        <v>0.22</v>
      </c>
      <c r="L718" t="s">
        <v>23</v>
      </c>
      <c r="M718">
        <v>0.2424</v>
      </c>
      <c r="N718">
        <v>0.93</v>
      </c>
      <c r="O718" t="s">
        <v>30</v>
      </c>
      <c r="P718">
        <v>0.1045</v>
      </c>
      <c r="Q718">
        <v>1</v>
      </c>
      <c r="R718">
        <v>17</v>
      </c>
      <c r="S718">
        <v>18</v>
      </c>
    </row>
    <row r="719" spans="1:19" x14ac:dyDescent="0.3">
      <c r="A719">
        <v>719</v>
      </c>
      <c r="B719" s="46">
        <v>40576</v>
      </c>
      <c r="C719">
        <v>2</v>
      </c>
      <c r="D719">
        <v>7</v>
      </c>
      <c r="E719" t="b">
        <v>0</v>
      </c>
      <c r="F719">
        <v>3</v>
      </c>
      <c r="G719" t="s">
        <v>35</v>
      </c>
      <c r="H719" t="s">
        <v>38</v>
      </c>
      <c r="I719">
        <v>3</v>
      </c>
      <c r="J719" t="s">
        <v>32</v>
      </c>
      <c r="K719">
        <v>0.22</v>
      </c>
      <c r="L719" t="s">
        <v>23</v>
      </c>
      <c r="M719">
        <v>0.21210000000000001</v>
      </c>
      <c r="N719">
        <v>0.93</v>
      </c>
      <c r="O719" t="s">
        <v>30</v>
      </c>
      <c r="P719">
        <v>0.22389999999999999</v>
      </c>
      <c r="Q719">
        <v>1</v>
      </c>
      <c r="R719">
        <v>48</v>
      </c>
      <c r="S719">
        <v>49</v>
      </c>
    </row>
    <row r="720" spans="1:19" x14ac:dyDescent="0.3">
      <c r="A720">
        <v>720</v>
      </c>
      <c r="B720" s="46">
        <v>40576</v>
      </c>
      <c r="C720">
        <v>2</v>
      </c>
      <c r="D720">
        <v>8</v>
      </c>
      <c r="E720" t="b">
        <v>0</v>
      </c>
      <c r="F720">
        <v>3</v>
      </c>
      <c r="G720" t="s">
        <v>35</v>
      </c>
      <c r="H720" t="s">
        <v>38</v>
      </c>
      <c r="I720">
        <v>3</v>
      </c>
      <c r="J720" t="s">
        <v>32</v>
      </c>
      <c r="K720">
        <v>0.22</v>
      </c>
      <c r="L720" t="s">
        <v>23</v>
      </c>
      <c r="M720">
        <v>0.21210000000000001</v>
      </c>
      <c r="N720">
        <v>0.93</v>
      </c>
      <c r="O720" t="s">
        <v>30</v>
      </c>
      <c r="P720">
        <v>0.22389999999999999</v>
      </c>
      <c r="Q720">
        <v>1</v>
      </c>
      <c r="R720">
        <v>154</v>
      </c>
      <c r="S720">
        <v>155</v>
      </c>
    </row>
    <row r="721" spans="1:19" x14ac:dyDescent="0.3">
      <c r="A721">
        <v>721</v>
      </c>
      <c r="B721" s="46">
        <v>40576</v>
      </c>
      <c r="C721">
        <v>2</v>
      </c>
      <c r="D721">
        <v>9</v>
      </c>
      <c r="E721" t="b">
        <v>0</v>
      </c>
      <c r="F721">
        <v>3</v>
      </c>
      <c r="G721" t="s">
        <v>35</v>
      </c>
      <c r="H721" t="s">
        <v>38</v>
      </c>
      <c r="I721">
        <v>2</v>
      </c>
      <c r="J721" t="s">
        <v>31</v>
      </c>
      <c r="K721">
        <v>0.24</v>
      </c>
      <c r="L721" t="s">
        <v>23</v>
      </c>
      <c r="M721">
        <v>0.2576</v>
      </c>
      <c r="N721">
        <v>0.93</v>
      </c>
      <c r="O721" t="s">
        <v>30</v>
      </c>
      <c r="P721">
        <v>8.9599999999999999E-2</v>
      </c>
      <c r="Q721">
        <v>4</v>
      </c>
      <c r="R721">
        <v>119</v>
      </c>
      <c r="S721">
        <v>123</v>
      </c>
    </row>
    <row r="722" spans="1:19" x14ac:dyDescent="0.3">
      <c r="A722">
        <v>722</v>
      </c>
      <c r="B722" s="46">
        <v>40576</v>
      </c>
      <c r="C722">
        <v>2</v>
      </c>
      <c r="D722">
        <v>10</v>
      </c>
      <c r="E722" t="b">
        <v>0</v>
      </c>
      <c r="F722">
        <v>3</v>
      </c>
      <c r="G722" t="s">
        <v>35</v>
      </c>
      <c r="H722" t="s">
        <v>38</v>
      </c>
      <c r="I722">
        <v>2</v>
      </c>
      <c r="J722" t="s">
        <v>31</v>
      </c>
      <c r="K722">
        <v>0.22</v>
      </c>
      <c r="L722" t="s">
        <v>23</v>
      </c>
      <c r="M722">
        <v>0.2727</v>
      </c>
      <c r="N722">
        <v>1</v>
      </c>
      <c r="O722" t="s">
        <v>30</v>
      </c>
      <c r="P722">
        <v>0</v>
      </c>
      <c r="Q722">
        <v>2</v>
      </c>
      <c r="R722">
        <v>59</v>
      </c>
      <c r="S722">
        <v>61</v>
      </c>
    </row>
    <row r="723" spans="1:19" x14ac:dyDescent="0.3">
      <c r="A723">
        <v>723</v>
      </c>
      <c r="B723" s="46">
        <v>40576</v>
      </c>
      <c r="C723">
        <v>2</v>
      </c>
      <c r="D723">
        <v>11</v>
      </c>
      <c r="E723" t="b">
        <v>0</v>
      </c>
      <c r="F723">
        <v>3</v>
      </c>
      <c r="G723" t="s">
        <v>35</v>
      </c>
      <c r="H723" t="s">
        <v>38</v>
      </c>
      <c r="I723">
        <v>2</v>
      </c>
      <c r="J723" t="s">
        <v>31</v>
      </c>
      <c r="K723">
        <v>0.24</v>
      </c>
      <c r="L723" t="s">
        <v>23</v>
      </c>
      <c r="M723">
        <v>0.2273</v>
      </c>
      <c r="N723">
        <v>0.93</v>
      </c>
      <c r="O723" t="s">
        <v>30</v>
      </c>
      <c r="P723">
        <v>0.19400000000000001</v>
      </c>
      <c r="Q723">
        <v>5</v>
      </c>
      <c r="R723">
        <v>47</v>
      </c>
      <c r="S723">
        <v>52</v>
      </c>
    </row>
    <row r="724" spans="1:19" x14ac:dyDescent="0.3">
      <c r="A724">
        <v>724</v>
      </c>
      <c r="B724" s="46">
        <v>40576</v>
      </c>
      <c r="C724">
        <v>2</v>
      </c>
      <c r="D724">
        <v>12</v>
      </c>
      <c r="E724" t="b">
        <v>0</v>
      </c>
      <c r="F724">
        <v>3</v>
      </c>
      <c r="G724" t="s">
        <v>35</v>
      </c>
      <c r="H724" t="s">
        <v>38</v>
      </c>
      <c r="I724">
        <v>2</v>
      </c>
      <c r="J724" t="s">
        <v>31</v>
      </c>
      <c r="K724">
        <v>0.24</v>
      </c>
      <c r="L724" t="s">
        <v>23</v>
      </c>
      <c r="M724">
        <v>0.2273</v>
      </c>
      <c r="N724">
        <v>0.93</v>
      </c>
      <c r="O724" t="s">
        <v>30</v>
      </c>
      <c r="P724">
        <v>0.22389999999999999</v>
      </c>
      <c r="Q724">
        <v>3</v>
      </c>
      <c r="R724">
        <v>61</v>
      </c>
      <c r="S724">
        <v>64</v>
      </c>
    </row>
    <row r="725" spans="1:19" x14ac:dyDescent="0.3">
      <c r="A725">
        <v>725</v>
      </c>
      <c r="B725" s="46">
        <v>40576</v>
      </c>
      <c r="C725">
        <v>2</v>
      </c>
      <c r="D725">
        <v>13</v>
      </c>
      <c r="E725" t="b">
        <v>0</v>
      </c>
      <c r="F725">
        <v>3</v>
      </c>
      <c r="G725" t="s">
        <v>35</v>
      </c>
      <c r="H725" t="s">
        <v>38</v>
      </c>
      <c r="I725">
        <v>1</v>
      </c>
      <c r="J725" t="s">
        <v>29</v>
      </c>
      <c r="K725">
        <v>0.34</v>
      </c>
      <c r="L725" t="s">
        <v>23</v>
      </c>
      <c r="M725">
        <v>0.33329999999999999</v>
      </c>
      <c r="N725">
        <v>0.93</v>
      </c>
      <c r="O725" t="s">
        <v>30</v>
      </c>
      <c r="P725">
        <v>0.16420000000000001</v>
      </c>
      <c r="Q725">
        <v>1</v>
      </c>
      <c r="R725">
        <v>74</v>
      </c>
      <c r="S725">
        <v>75</v>
      </c>
    </row>
    <row r="726" spans="1:19" x14ac:dyDescent="0.3">
      <c r="A726">
        <v>726</v>
      </c>
      <c r="B726" s="46">
        <v>40576</v>
      </c>
      <c r="C726">
        <v>2</v>
      </c>
      <c r="D726">
        <v>14</v>
      </c>
      <c r="E726" t="b">
        <v>0</v>
      </c>
      <c r="F726">
        <v>3</v>
      </c>
      <c r="G726" t="s">
        <v>35</v>
      </c>
      <c r="H726" t="s">
        <v>38</v>
      </c>
      <c r="I726">
        <v>1</v>
      </c>
      <c r="J726" t="s">
        <v>29</v>
      </c>
      <c r="K726">
        <v>0.38</v>
      </c>
      <c r="L726" t="s">
        <v>30</v>
      </c>
      <c r="M726">
        <v>0.39389999999999997</v>
      </c>
      <c r="N726">
        <v>0.82</v>
      </c>
      <c r="O726" t="s">
        <v>30</v>
      </c>
      <c r="P726">
        <v>0.3881</v>
      </c>
      <c r="Q726">
        <v>2</v>
      </c>
      <c r="R726">
        <v>61</v>
      </c>
      <c r="S726">
        <v>63</v>
      </c>
    </row>
    <row r="727" spans="1:19" x14ac:dyDescent="0.3">
      <c r="A727">
        <v>727</v>
      </c>
      <c r="B727" s="46">
        <v>40576</v>
      </c>
      <c r="C727">
        <v>2</v>
      </c>
      <c r="D727">
        <v>15</v>
      </c>
      <c r="E727" t="b">
        <v>0</v>
      </c>
      <c r="F727">
        <v>3</v>
      </c>
      <c r="G727" t="s">
        <v>35</v>
      </c>
      <c r="H727" t="s">
        <v>38</v>
      </c>
      <c r="I727">
        <v>1</v>
      </c>
      <c r="J727" t="s">
        <v>29</v>
      </c>
      <c r="K727">
        <v>0.38</v>
      </c>
      <c r="L727" t="s">
        <v>30</v>
      </c>
      <c r="M727">
        <v>0.39389999999999997</v>
      </c>
      <c r="N727">
        <v>0.76</v>
      </c>
      <c r="O727" t="s">
        <v>30</v>
      </c>
      <c r="P727">
        <v>0.32840000000000003</v>
      </c>
      <c r="Q727">
        <v>10</v>
      </c>
      <c r="R727">
        <v>66</v>
      </c>
      <c r="S727">
        <v>76</v>
      </c>
    </row>
    <row r="728" spans="1:19" x14ac:dyDescent="0.3">
      <c r="A728">
        <v>728</v>
      </c>
      <c r="B728" s="46">
        <v>40576</v>
      </c>
      <c r="C728">
        <v>2</v>
      </c>
      <c r="D728">
        <v>16</v>
      </c>
      <c r="E728" t="b">
        <v>0</v>
      </c>
      <c r="F728">
        <v>3</v>
      </c>
      <c r="G728" t="s">
        <v>35</v>
      </c>
      <c r="H728" t="s">
        <v>38</v>
      </c>
      <c r="I728">
        <v>1</v>
      </c>
      <c r="J728" t="s">
        <v>29</v>
      </c>
      <c r="K728">
        <v>0.36</v>
      </c>
      <c r="L728" t="s">
        <v>30</v>
      </c>
      <c r="M728">
        <v>0.33329999999999999</v>
      </c>
      <c r="N728">
        <v>0.71</v>
      </c>
      <c r="O728" t="s">
        <v>30</v>
      </c>
      <c r="P728">
        <v>0.29849999999999999</v>
      </c>
      <c r="Q728">
        <v>8</v>
      </c>
      <c r="R728">
        <v>95</v>
      </c>
      <c r="S728">
        <v>103</v>
      </c>
    </row>
    <row r="729" spans="1:19" x14ac:dyDescent="0.3">
      <c r="A729">
        <v>729</v>
      </c>
      <c r="B729" s="46">
        <v>40576</v>
      </c>
      <c r="C729">
        <v>2</v>
      </c>
      <c r="D729">
        <v>17</v>
      </c>
      <c r="E729" t="b">
        <v>0</v>
      </c>
      <c r="F729">
        <v>3</v>
      </c>
      <c r="G729" t="s">
        <v>35</v>
      </c>
      <c r="H729" t="s">
        <v>38</v>
      </c>
      <c r="I729">
        <v>1</v>
      </c>
      <c r="J729" t="s">
        <v>29</v>
      </c>
      <c r="K729">
        <v>0.36</v>
      </c>
      <c r="L729" t="s">
        <v>30</v>
      </c>
      <c r="M729">
        <v>0.31819999999999998</v>
      </c>
      <c r="N729">
        <v>0.53</v>
      </c>
      <c r="O729" t="s">
        <v>34</v>
      </c>
      <c r="P729">
        <v>0.52239999999999998</v>
      </c>
      <c r="Q729">
        <v>7</v>
      </c>
      <c r="R729">
        <v>183</v>
      </c>
      <c r="S729">
        <v>190</v>
      </c>
    </row>
    <row r="730" spans="1:19" x14ac:dyDescent="0.3">
      <c r="A730">
        <v>730</v>
      </c>
      <c r="B730" s="46">
        <v>40576</v>
      </c>
      <c r="C730">
        <v>2</v>
      </c>
      <c r="D730">
        <v>18</v>
      </c>
      <c r="E730" t="b">
        <v>0</v>
      </c>
      <c r="F730">
        <v>3</v>
      </c>
      <c r="G730" t="s">
        <v>35</v>
      </c>
      <c r="H730" t="s">
        <v>38</v>
      </c>
      <c r="I730">
        <v>1</v>
      </c>
      <c r="J730" t="s">
        <v>29</v>
      </c>
      <c r="K730">
        <v>0.34</v>
      </c>
      <c r="L730" t="s">
        <v>23</v>
      </c>
      <c r="M730">
        <v>0.28789999999999999</v>
      </c>
      <c r="N730">
        <v>0.42</v>
      </c>
      <c r="O730" t="s">
        <v>34</v>
      </c>
      <c r="P730">
        <v>0.55220000000000002</v>
      </c>
      <c r="Q730">
        <v>7</v>
      </c>
      <c r="R730">
        <v>175</v>
      </c>
      <c r="S730">
        <v>182</v>
      </c>
    </row>
    <row r="731" spans="1:19" x14ac:dyDescent="0.3">
      <c r="A731">
        <v>731</v>
      </c>
      <c r="B731" s="46">
        <v>40576</v>
      </c>
      <c r="C731">
        <v>2</v>
      </c>
      <c r="D731">
        <v>19</v>
      </c>
      <c r="E731" t="b">
        <v>0</v>
      </c>
      <c r="F731">
        <v>3</v>
      </c>
      <c r="G731" t="s">
        <v>35</v>
      </c>
      <c r="H731" t="s">
        <v>38</v>
      </c>
      <c r="I731">
        <v>1</v>
      </c>
      <c r="J731" t="s">
        <v>29</v>
      </c>
      <c r="K731">
        <v>0.28000000000000003</v>
      </c>
      <c r="L731" t="s">
        <v>23</v>
      </c>
      <c r="M731">
        <v>0.2424</v>
      </c>
      <c r="N731">
        <v>0.45</v>
      </c>
      <c r="O731" t="s">
        <v>34</v>
      </c>
      <c r="P731">
        <v>0.49249999999999999</v>
      </c>
      <c r="Q731">
        <v>3</v>
      </c>
      <c r="R731">
        <v>88</v>
      </c>
      <c r="S731">
        <v>91</v>
      </c>
    </row>
    <row r="732" spans="1:19" x14ac:dyDescent="0.3">
      <c r="A732">
        <v>732</v>
      </c>
      <c r="B732" s="46">
        <v>40576</v>
      </c>
      <c r="C732">
        <v>2</v>
      </c>
      <c r="D732">
        <v>20</v>
      </c>
      <c r="E732" t="b">
        <v>0</v>
      </c>
      <c r="F732">
        <v>3</v>
      </c>
      <c r="G732" t="s">
        <v>35</v>
      </c>
      <c r="H732" t="s">
        <v>38</v>
      </c>
      <c r="I732">
        <v>1</v>
      </c>
      <c r="J732" t="s">
        <v>29</v>
      </c>
      <c r="K732">
        <v>0.24</v>
      </c>
      <c r="L732" t="s">
        <v>23</v>
      </c>
      <c r="M732">
        <v>0.19700000000000001</v>
      </c>
      <c r="N732">
        <v>0.48</v>
      </c>
      <c r="O732" t="s">
        <v>34</v>
      </c>
      <c r="P732">
        <v>0.55220000000000002</v>
      </c>
      <c r="Q732">
        <v>4</v>
      </c>
      <c r="R732">
        <v>71</v>
      </c>
      <c r="S732">
        <v>75</v>
      </c>
    </row>
    <row r="733" spans="1:19" x14ac:dyDescent="0.3">
      <c r="A733">
        <v>733</v>
      </c>
      <c r="B733" s="46">
        <v>40576</v>
      </c>
      <c r="C733">
        <v>2</v>
      </c>
      <c r="D733">
        <v>21</v>
      </c>
      <c r="E733" t="b">
        <v>0</v>
      </c>
      <c r="F733">
        <v>3</v>
      </c>
      <c r="G733" t="s">
        <v>35</v>
      </c>
      <c r="H733" t="s">
        <v>38</v>
      </c>
      <c r="I733">
        <v>1</v>
      </c>
      <c r="J733" t="s">
        <v>29</v>
      </c>
      <c r="K733">
        <v>0.22</v>
      </c>
      <c r="L733" t="s">
        <v>23</v>
      </c>
      <c r="M733">
        <v>0.19700000000000001</v>
      </c>
      <c r="N733">
        <v>0.47</v>
      </c>
      <c r="O733" t="s">
        <v>34</v>
      </c>
      <c r="P733">
        <v>0.32840000000000003</v>
      </c>
      <c r="Q733">
        <v>1</v>
      </c>
      <c r="R733">
        <v>62</v>
      </c>
      <c r="S733">
        <v>63</v>
      </c>
    </row>
    <row r="734" spans="1:19" x14ac:dyDescent="0.3">
      <c r="A734">
        <v>734</v>
      </c>
      <c r="B734" s="46">
        <v>40576</v>
      </c>
      <c r="C734">
        <v>2</v>
      </c>
      <c r="D734">
        <v>22</v>
      </c>
      <c r="E734" t="b">
        <v>0</v>
      </c>
      <c r="F734">
        <v>3</v>
      </c>
      <c r="G734" t="s">
        <v>35</v>
      </c>
      <c r="H734" t="s">
        <v>38</v>
      </c>
      <c r="I734">
        <v>1</v>
      </c>
      <c r="J734" t="s">
        <v>29</v>
      </c>
      <c r="K734">
        <v>0.22</v>
      </c>
      <c r="L734" t="s">
        <v>23</v>
      </c>
      <c r="M734">
        <v>0.21210000000000001</v>
      </c>
      <c r="N734">
        <v>0.44</v>
      </c>
      <c r="O734" t="s">
        <v>34</v>
      </c>
      <c r="P734">
        <v>0.25369999999999998</v>
      </c>
      <c r="Q734">
        <v>5</v>
      </c>
      <c r="R734">
        <v>35</v>
      </c>
      <c r="S734">
        <v>40</v>
      </c>
    </row>
    <row r="735" spans="1:19" x14ac:dyDescent="0.3">
      <c r="A735">
        <v>735</v>
      </c>
      <c r="B735" s="46">
        <v>40576</v>
      </c>
      <c r="C735">
        <v>2</v>
      </c>
      <c r="D735">
        <v>23</v>
      </c>
      <c r="E735" t="b">
        <v>0</v>
      </c>
      <c r="F735">
        <v>3</v>
      </c>
      <c r="G735" t="s">
        <v>35</v>
      </c>
      <c r="H735" t="s">
        <v>38</v>
      </c>
      <c r="I735">
        <v>1</v>
      </c>
      <c r="J735" t="s">
        <v>29</v>
      </c>
      <c r="K735">
        <v>0.2</v>
      </c>
      <c r="L735" t="s">
        <v>23</v>
      </c>
      <c r="M735">
        <v>0.16669999999999999</v>
      </c>
      <c r="N735">
        <v>0.44</v>
      </c>
      <c r="O735" t="s">
        <v>34</v>
      </c>
      <c r="P735">
        <v>0.44779999999999998</v>
      </c>
      <c r="Q735">
        <v>3</v>
      </c>
      <c r="R735">
        <v>29</v>
      </c>
      <c r="S735">
        <v>32</v>
      </c>
    </row>
    <row r="736" spans="1:19" x14ac:dyDescent="0.3">
      <c r="A736">
        <v>736</v>
      </c>
      <c r="B736" s="46">
        <v>40577</v>
      </c>
      <c r="C736">
        <v>2</v>
      </c>
      <c r="D736">
        <v>0</v>
      </c>
      <c r="E736" t="b">
        <v>0</v>
      </c>
      <c r="F736">
        <v>4</v>
      </c>
      <c r="G736" t="s">
        <v>35</v>
      </c>
      <c r="H736" t="s">
        <v>39</v>
      </c>
      <c r="I736">
        <v>1</v>
      </c>
      <c r="J736" t="s">
        <v>29</v>
      </c>
      <c r="K736">
        <v>0.2</v>
      </c>
      <c r="L736" t="s">
        <v>23</v>
      </c>
      <c r="M736">
        <v>0.16669999999999999</v>
      </c>
      <c r="N736">
        <v>0.4</v>
      </c>
      <c r="O736" t="s">
        <v>34</v>
      </c>
      <c r="P736">
        <v>0.44779999999999998</v>
      </c>
      <c r="Q736">
        <v>1</v>
      </c>
      <c r="R736">
        <v>11</v>
      </c>
      <c r="S736">
        <v>12</v>
      </c>
    </row>
    <row r="737" spans="1:19" x14ac:dyDescent="0.3">
      <c r="A737">
        <v>737</v>
      </c>
      <c r="B737" s="46">
        <v>40577</v>
      </c>
      <c r="C737">
        <v>2</v>
      </c>
      <c r="D737">
        <v>1</v>
      </c>
      <c r="E737" t="b">
        <v>0</v>
      </c>
      <c r="F737">
        <v>4</v>
      </c>
      <c r="G737" t="s">
        <v>35</v>
      </c>
      <c r="H737" t="s">
        <v>39</v>
      </c>
      <c r="I737">
        <v>1</v>
      </c>
      <c r="J737" t="s">
        <v>29</v>
      </c>
      <c r="K737">
        <v>0.2</v>
      </c>
      <c r="L737" t="s">
        <v>23</v>
      </c>
      <c r="M737">
        <v>0.1515</v>
      </c>
      <c r="N737">
        <v>0.44</v>
      </c>
      <c r="O737" t="s">
        <v>34</v>
      </c>
      <c r="P737">
        <v>0.52239999999999998</v>
      </c>
      <c r="Q737">
        <v>0</v>
      </c>
      <c r="R737">
        <v>5</v>
      </c>
      <c r="S737">
        <v>5</v>
      </c>
    </row>
    <row r="738" spans="1:19" x14ac:dyDescent="0.3">
      <c r="A738">
        <v>738</v>
      </c>
      <c r="B738" s="46">
        <v>40577</v>
      </c>
      <c r="C738">
        <v>2</v>
      </c>
      <c r="D738">
        <v>2</v>
      </c>
      <c r="E738" t="b">
        <v>0</v>
      </c>
      <c r="F738">
        <v>4</v>
      </c>
      <c r="G738" t="s">
        <v>35</v>
      </c>
      <c r="H738" t="s">
        <v>39</v>
      </c>
      <c r="I738">
        <v>1</v>
      </c>
      <c r="J738" t="s">
        <v>29</v>
      </c>
      <c r="K738">
        <v>0.18</v>
      </c>
      <c r="L738" t="s">
        <v>23</v>
      </c>
      <c r="M738">
        <v>0.16669999999999999</v>
      </c>
      <c r="N738">
        <v>0.43</v>
      </c>
      <c r="O738" t="s">
        <v>34</v>
      </c>
      <c r="P738">
        <v>0.25369999999999998</v>
      </c>
      <c r="Q738">
        <v>0</v>
      </c>
      <c r="R738">
        <v>2</v>
      </c>
      <c r="S738">
        <v>2</v>
      </c>
    </row>
    <row r="739" spans="1:19" x14ac:dyDescent="0.3">
      <c r="A739">
        <v>739</v>
      </c>
      <c r="B739" s="46">
        <v>40577</v>
      </c>
      <c r="C739">
        <v>2</v>
      </c>
      <c r="D739">
        <v>3</v>
      </c>
      <c r="E739" t="b">
        <v>0</v>
      </c>
      <c r="F739">
        <v>4</v>
      </c>
      <c r="G739" t="s">
        <v>35</v>
      </c>
      <c r="H739" t="s">
        <v>39</v>
      </c>
      <c r="I739">
        <v>1</v>
      </c>
      <c r="J739" t="s">
        <v>29</v>
      </c>
      <c r="K739">
        <v>0.18</v>
      </c>
      <c r="L739" t="s">
        <v>23</v>
      </c>
      <c r="M739">
        <v>0.16669999999999999</v>
      </c>
      <c r="N739">
        <v>0.43</v>
      </c>
      <c r="O739" t="s">
        <v>34</v>
      </c>
      <c r="P739">
        <v>0.25369999999999998</v>
      </c>
      <c r="Q739">
        <v>0</v>
      </c>
      <c r="R739">
        <v>1</v>
      </c>
      <c r="S739">
        <v>1</v>
      </c>
    </row>
    <row r="740" spans="1:19" x14ac:dyDescent="0.3">
      <c r="A740">
        <v>740</v>
      </c>
      <c r="B740" s="46">
        <v>40577</v>
      </c>
      <c r="C740">
        <v>2</v>
      </c>
      <c r="D740">
        <v>5</v>
      </c>
      <c r="E740" t="b">
        <v>0</v>
      </c>
      <c r="F740">
        <v>4</v>
      </c>
      <c r="G740" t="s">
        <v>35</v>
      </c>
      <c r="H740" t="s">
        <v>39</v>
      </c>
      <c r="I740">
        <v>1</v>
      </c>
      <c r="J740" t="s">
        <v>29</v>
      </c>
      <c r="K740">
        <v>0.16</v>
      </c>
      <c r="L740" t="s">
        <v>23</v>
      </c>
      <c r="M740">
        <v>0.13639999999999999</v>
      </c>
      <c r="N740">
        <v>0.5</v>
      </c>
      <c r="O740" t="s">
        <v>34</v>
      </c>
      <c r="P740">
        <v>0.29849999999999999</v>
      </c>
      <c r="Q740">
        <v>0</v>
      </c>
      <c r="R740">
        <v>2</v>
      </c>
      <c r="S740">
        <v>2</v>
      </c>
    </row>
    <row r="741" spans="1:19" x14ac:dyDescent="0.3">
      <c r="A741">
        <v>741</v>
      </c>
      <c r="B741" s="46">
        <v>40577</v>
      </c>
      <c r="C741">
        <v>2</v>
      </c>
      <c r="D741">
        <v>6</v>
      </c>
      <c r="E741" t="b">
        <v>0</v>
      </c>
      <c r="F741">
        <v>4</v>
      </c>
      <c r="G741" t="s">
        <v>35</v>
      </c>
      <c r="H741" t="s">
        <v>39</v>
      </c>
      <c r="I741">
        <v>1</v>
      </c>
      <c r="J741" t="s">
        <v>29</v>
      </c>
      <c r="K741">
        <v>0.16</v>
      </c>
      <c r="L741" t="s">
        <v>23</v>
      </c>
      <c r="M741">
        <v>0.13639999999999999</v>
      </c>
      <c r="N741">
        <v>0.43</v>
      </c>
      <c r="O741" t="s">
        <v>34</v>
      </c>
      <c r="P741">
        <v>0.35820000000000002</v>
      </c>
      <c r="Q741">
        <v>0</v>
      </c>
      <c r="R741">
        <v>39</v>
      </c>
      <c r="S741">
        <v>39</v>
      </c>
    </row>
    <row r="742" spans="1:19" x14ac:dyDescent="0.3">
      <c r="A742">
        <v>742</v>
      </c>
      <c r="B742" s="46">
        <v>40577</v>
      </c>
      <c r="C742">
        <v>2</v>
      </c>
      <c r="D742">
        <v>7</v>
      </c>
      <c r="E742" t="b">
        <v>0</v>
      </c>
      <c r="F742">
        <v>4</v>
      </c>
      <c r="G742" t="s">
        <v>35</v>
      </c>
      <c r="H742" t="s">
        <v>39</v>
      </c>
      <c r="I742">
        <v>1</v>
      </c>
      <c r="J742" t="s">
        <v>29</v>
      </c>
      <c r="K742">
        <v>0.14000000000000001</v>
      </c>
      <c r="L742" t="s">
        <v>23</v>
      </c>
      <c r="M742">
        <v>0.1212</v>
      </c>
      <c r="N742">
        <v>0.5</v>
      </c>
      <c r="O742" t="s">
        <v>34</v>
      </c>
      <c r="P742">
        <v>0.32840000000000003</v>
      </c>
      <c r="Q742">
        <v>1</v>
      </c>
      <c r="R742">
        <v>86</v>
      </c>
      <c r="S742">
        <v>87</v>
      </c>
    </row>
    <row r="743" spans="1:19" x14ac:dyDescent="0.3">
      <c r="A743">
        <v>743</v>
      </c>
      <c r="B743" s="46">
        <v>40577</v>
      </c>
      <c r="C743">
        <v>2</v>
      </c>
      <c r="D743">
        <v>8</v>
      </c>
      <c r="E743" t="b">
        <v>0</v>
      </c>
      <c r="F743">
        <v>4</v>
      </c>
      <c r="G743" t="s">
        <v>35</v>
      </c>
      <c r="H743" t="s">
        <v>39</v>
      </c>
      <c r="I743">
        <v>1</v>
      </c>
      <c r="J743" t="s">
        <v>29</v>
      </c>
      <c r="K743">
        <v>0.14000000000000001</v>
      </c>
      <c r="L743" t="s">
        <v>23</v>
      </c>
      <c r="M743">
        <v>0.1212</v>
      </c>
      <c r="N743">
        <v>0.5</v>
      </c>
      <c r="O743" t="s">
        <v>34</v>
      </c>
      <c r="P743">
        <v>0.35820000000000002</v>
      </c>
      <c r="Q743">
        <v>4</v>
      </c>
      <c r="R743">
        <v>184</v>
      </c>
      <c r="S743">
        <v>188</v>
      </c>
    </row>
    <row r="744" spans="1:19" x14ac:dyDescent="0.3">
      <c r="A744">
        <v>744</v>
      </c>
      <c r="B744" s="46">
        <v>40577</v>
      </c>
      <c r="C744">
        <v>2</v>
      </c>
      <c r="D744">
        <v>9</v>
      </c>
      <c r="E744" t="b">
        <v>0</v>
      </c>
      <c r="F744">
        <v>4</v>
      </c>
      <c r="G744" t="s">
        <v>35</v>
      </c>
      <c r="H744" t="s">
        <v>39</v>
      </c>
      <c r="I744">
        <v>1</v>
      </c>
      <c r="J744" t="s">
        <v>29</v>
      </c>
      <c r="K744">
        <v>0.16</v>
      </c>
      <c r="L744" t="s">
        <v>23</v>
      </c>
      <c r="M744">
        <v>0.13639999999999999</v>
      </c>
      <c r="N744">
        <v>0.47</v>
      </c>
      <c r="O744" t="s">
        <v>34</v>
      </c>
      <c r="P744">
        <v>0.29849999999999999</v>
      </c>
      <c r="Q744">
        <v>6</v>
      </c>
      <c r="R744">
        <v>127</v>
      </c>
      <c r="S744">
        <v>133</v>
      </c>
    </row>
    <row r="745" spans="1:19" x14ac:dyDescent="0.3">
      <c r="A745">
        <v>745</v>
      </c>
      <c r="B745" s="46">
        <v>40577</v>
      </c>
      <c r="C745">
        <v>2</v>
      </c>
      <c r="D745">
        <v>10</v>
      </c>
      <c r="E745" t="b">
        <v>0</v>
      </c>
      <c r="F745">
        <v>4</v>
      </c>
      <c r="G745" t="s">
        <v>35</v>
      </c>
      <c r="H745" t="s">
        <v>39</v>
      </c>
      <c r="I745">
        <v>1</v>
      </c>
      <c r="J745" t="s">
        <v>29</v>
      </c>
      <c r="K745">
        <v>0.18</v>
      </c>
      <c r="L745" t="s">
        <v>23</v>
      </c>
      <c r="M745">
        <v>0.1515</v>
      </c>
      <c r="N745">
        <v>0.43</v>
      </c>
      <c r="O745" t="s">
        <v>34</v>
      </c>
      <c r="P745">
        <v>0.32840000000000003</v>
      </c>
      <c r="Q745">
        <v>2</v>
      </c>
      <c r="R745">
        <v>50</v>
      </c>
      <c r="S745">
        <v>52</v>
      </c>
    </row>
    <row r="746" spans="1:19" x14ac:dyDescent="0.3">
      <c r="A746">
        <v>746</v>
      </c>
      <c r="B746" s="46">
        <v>40577</v>
      </c>
      <c r="C746">
        <v>2</v>
      </c>
      <c r="D746">
        <v>11</v>
      </c>
      <c r="E746" t="b">
        <v>0</v>
      </c>
      <c r="F746">
        <v>4</v>
      </c>
      <c r="G746" t="s">
        <v>35</v>
      </c>
      <c r="H746" t="s">
        <v>39</v>
      </c>
      <c r="I746">
        <v>1</v>
      </c>
      <c r="J746" t="s">
        <v>29</v>
      </c>
      <c r="K746">
        <v>0.18</v>
      </c>
      <c r="L746" t="s">
        <v>23</v>
      </c>
      <c r="M746">
        <v>0.13639999999999999</v>
      </c>
      <c r="N746">
        <v>0.43</v>
      </c>
      <c r="O746" t="s">
        <v>34</v>
      </c>
      <c r="P746">
        <v>0.44779999999999998</v>
      </c>
      <c r="Q746">
        <v>9</v>
      </c>
      <c r="R746">
        <v>55</v>
      </c>
      <c r="S746">
        <v>64</v>
      </c>
    </row>
    <row r="747" spans="1:19" x14ac:dyDescent="0.3">
      <c r="A747">
        <v>747</v>
      </c>
      <c r="B747" s="46">
        <v>40577</v>
      </c>
      <c r="C747">
        <v>2</v>
      </c>
      <c r="D747">
        <v>12</v>
      </c>
      <c r="E747" t="b">
        <v>0</v>
      </c>
      <c r="F747">
        <v>4</v>
      </c>
      <c r="G747" t="s">
        <v>35</v>
      </c>
      <c r="H747" t="s">
        <v>39</v>
      </c>
      <c r="I747">
        <v>1</v>
      </c>
      <c r="J747" t="s">
        <v>29</v>
      </c>
      <c r="K747">
        <v>0.2</v>
      </c>
      <c r="L747" t="s">
        <v>23</v>
      </c>
      <c r="M747">
        <v>0.18179999999999999</v>
      </c>
      <c r="N747">
        <v>0.4</v>
      </c>
      <c r="O747" t="s">
        <v>34</v>
      </c>
      <c r="P747">
        <v>0.35820000000000002</v>
      </c>
      <c r="Q747">
        <v>2</v>
      </c>
      <c r="R747">
        <v>67</v>
      </c>
      <c r="S747">
        <v>69</v>
      </c>
    </row>
    <row r="748" spans="1:19" x14ac:dyDescent="0.3">
      <c r="A748">
        <v>748</v>
      </c>
      <c r="B748" s="46">
        <v>40577</v>
      </c>
      <c r="C748">
        <v>2</v>
      </c>
      <c r="D748">
        <v>13</v>
      </c>
      <c r="E748" t="b">
        <v>0</v>
      </c>
      <c r="F748">
        <v>4</v>
      </c>
      <c r="G748" t="s">
        <v>35</v>
      </c>
      <c r="H748" t="s">
        <v>39</v>
      </c>
      <c r="I748">
        <v>1</v>
      </c>
      <c r="J748" t="s">
        <v>29</v>
      </c>
      <c r="K748">
        <v>0.2</v>
      </c>
      <c r="L748" t="s">
        <v>23</v>
      </c>
      <c r="M748">
        <v>0.16669999999999999</v>
      </c>
      <c r="N748">
        <v>0.4</v>
      </c>
      <c r="O748" t="s">
        <v>34</v>
      </c>
      <c r="P748">
        <v>0.41789999999999999</v>
      </c>
      <c r="Q748">
        <v>4</v>
      </c>
      <c r="R748">
        <v>47</v>
      </c>
      <c r="S748">
        <v>51</v>
      </c>
    </row>
    <row r="749" spans="1:19" x14ac:dyDescent="0.3">
      <c r="A749">
        <v>749</v>
      </c>
      <c r="B749" s="46">
        <v>40577</v>
      </c>
      <c r="C749">
        <v>2</v>
      </c>
      <c r="D749">
        <v>14</v>
      </c>
      <c r="E749" t="b">
        <v>0</v>
      </c>
      <c r="F749">
        <v>4</v>
      </c>
      <c r="G749" t="s">
        <v>35</v>
      </c>
      <c r="H749" t="s">
        <v>39</v>
      </c>
      <c r="I749">
        <v>1</v>
      </c>
      <c r="J749" t="s">
        <v>29</v>
      </c>
      <c r="K749">
        <v>0.22</v>
      </c>
      <c r="L749" t="s">
        <v>23</v>
      </c>
      <c r="M749">
        <v>0.19700000000000001</v>
      </c>
      <c r="N749">
        <v>0.37</v>
      </c>
      <c r="O749" t="s">
        <v>34</v>
      </c>
      <c r="P749">
        <v>0.3881</v>
      </c>
      <c r="Q749">
        <v>4</v>
      </c>
      <c r="R749">
        <v>43</v>
      </c>
      <c r="S749">
        <v>47</v>
      </c>
    </row>
    <row r="750" spans="1:19" x14ac:dyDescent="0.3">
      <c r="A750">
        <v>750</v>
      </c>
      <c r="B750" s="46">
        <v>40577</v>
      </c>
      <c r="C750">
        <v>2</v>
      </c>
      <c r="D750">
        <v>15</v>
      </c>
      <c r="E750" t="b">
        <v>0</v>
      </c>
      <c r="F750">
        <v>4</v>
      </c>
      <c r="G750" t="s">
        <v>35</v>
      </c>
      <c r="H750" t="s">
        <v>39</v>
      </c>
      <c r="I750">
        <v>1</v>
      </c>
      <c r="J750" t="s">
        <v>29</v>
      </c>
      <c r="K750">
        <v>0.22</v>
      </c>
      <c r="L750" t="s">
        <v>23</v>
      </c>
      <c r="M750">
        <v>0.19700000000000001</v>
      </c>
      <c r="N750">
        <v>0.37</v>
      </c>
      <c r="O750" t="s">
        <v>34</v>
      </c>
      <c r="P750">
        <v>0.32840000000000003</v>
      </c>
      <c r="Q750">
        <v>4</v>
      </c>
      <c r="R750">
        <v>56</v>
      </c>
      <c r="S750">
        <v>60</v>
      </c>
    </row>
    <row r="751" spans="1:19" x14ac:dyDescent="0.3">
      <c r="A751">
        <v>751</v>
      </c>
      <c r="B751" s="46">
        <v>40577</v>
      </c>
      <c r="C751">
        <v>2</v>
      </c>
      <c r="D751">
        <v>16</v>
      </c>
      <c r="E751" t="b">
        <v>0</v>
      </c>
      <c r="F751">
        <v>4</v>
      </c>
      <c r="G751" t="s">
        <v>35</v>
      </c>
      <c r="H751" t="s">
        <v>39</v>
      </c>
      <c r="I751">
        <v>1</v>
      </c>
      <c r="J751" t="s">
        <v>29</v>
      </c>
      <c r="K751">
        <v>0.22</v>
      </c>
      <c r="L751" t="s">
        <v>23</v>
      </c>
      <c r="M751">
        <v>0.21210000000000001</v>
      </c>
      <c r="N751">
        <v>0.37</v>
      </c>
      <c r="O751" t="s">
        <v>34</v>
      </c>
      <c r="P751">
        <v>0.25369999999999998</v>
      </c>
      <c r="Q751">
        <v>5</v>
      </c>
      <c r="R751">
        <v>73</v>
      </c>
      <c r="S751">
        <v>78</v>
      </c>
    </row>
    <row r="752" spans="1:19" x14ac:dyDescent="0.3">
      <c r="A752">
        <v>752</v>
      </c>
      <c r="B752" s="46">
        <v>40577</v>
      </c>
      <c r="C752">
        <v>2</v>
      </c>
      <c r="D752">
        <v>17</v>
      </c>
      <c r="E752" t="b">
        <v>0</v>
      </c>
      <c r="F752">
        <v>4</v>
      </c>
      <c r="G752" t="s">
        <v>35</v>
      </c>
      <c r="H752" t="s">
        <v>39</v>
      </c>
      <c r="I752">
        <v>1</v>
      </c>
      <c r="J752" t="s">
        <v>29</v>
      </c>
      <c r="K752">
        <v>0.2</v>
      </c>
      <c r="L752" t="s">
        <v>23</v>
      </c>
      <c r="M752">
        <v>0.19700000000000001</v>
      </c>
      <c r="N752">
        <v>0.4</v>
      </c>
      <c r="O752" t="s">
        <v>34</v>
      </c>
      <c r="P752">
        <v>0.19400000000000001</v>
      </c>
      <c r="Q752">
        <v>5</v>
      </c>
      <c r="R752">
        <v>170</v>
      </c>
      <c r="S752">
        <v>175</v>
      </c>
    </row>
    <row r="753" spans="1:19" x14ac:dyDescent="0.3">
      <c r="A753">
        <v>753</v>
      </c>
      <c r="B753" s="46">
        <v>40577</v>
      </c>
      <c r="C753">
        <v>2</v>
      </c>
      <c r="D753">
        <v>18</v>
      </c>
      <c r="E753" t="b">
        <v>0</v>
      </c>
      <c r="F753">
        <v>4</v>
      </c>
      <c r="G753" t="s">
        <v>35</v>
      </c>
      <c r="H753" t="s">
        <v>39</v>
      </c>
      <c r="I753">
        <v>1</v>
      </c>
      <c r="J753" t="s">
        <v>29</v>
      </c>
      <c r="K753">
        <v>0.2</v>
      </c>
      <c r="L753" t="s">
        <v>23</v>
      </c>
      <c r="M753">
        <v>0.21210000000000001</v>
      </c>
      <c r="N753">
        <v>0.4</v>
      </c>
      <c r="O753" t="s">
        <v>34</v>
      </c>
      <c r="P753">
        <v>0.16420000000000001</v>
      </c>
      <c r="Q753">
        <v>2</v>
      </c>
      <c r="R753">
        <v>145</v>
      </c>
      <c r="S753">
        <v>147</v>
      </c>
    </row>
    <row r="754" spans="1:19" x14ac:dyDescent="0.3">
      <c r="A754">
        <v>754</v>
      </c>
      <c r="B754" s="46">
        <v>40577</v>
      </c>
      <c r="C754">
        <v>2</v>
      </c>
      <c r="D754">
        <v>19</v>
      </c>
      <c r="E754" t="b">
        <v>0</v>
      </c>
      <c r="F754">
        <v>4</v>
      </c>
      <c r="G754" t="s">
        <v>35</v>
      </c>
      <c r="H754" t="s">
        <v>39</v>
      </c>
      <c r="I754">
        <v>1</v>
      </c>
      <c r="J754" t="s">
        <v>29</v>
      </c>
      <c r="K754">
        <v>0.2</v>
      </c>
      <c r="L754" t="s">
        <v>23</v>
      </c>
      <c r="M754">
        <v>0.2576</v>
      </c>
      <c r="N754">
        <v>0.4</v>
      </c>
      <c r="O754" t="s">
        <v>34</v>
      </c>
      <c r="P754">
        <v>0</v>
      </c>
      <c r="Q754">
        <v>4</v>
      </c>
      <c r="R754">
        <v>92</v>
      </c>
      <c r="S754">
        <v>96</v>
      </c>
    </row>
    <row r="755" spans="1:19" x14ac:dyDescent="0.3">
      <c r="A755">
        <v>755</v>
      </c>
      <c r="B755" s="46">
        <v>40577</v>
      </c>
      <c r="C755">
        <v>2</v>
      </c>
      <c r="D755">
        <v>20</v>
      </c>
      <c r="E755" t="b">
        <v>0</v>
      </c>
      <c r="F755">
        <v>4</v>
      </c>
      <c r="G755" t="s">
        <v>35</v>
      </c>
      <c r="H755" t="s">
        <v>39</v>
      </c>
      <c r="I755">
        <v>1</v>
      </c>
      <c r="J755" t="s">
        <v>29</v>
      </c>
      <c r="K755">
        <v>0.2</v>
      </c>
      <c r="L755" t="s">
        <v>23</v>
      </c>
      <c r="M755">
        <v>0.2273</v>
      </c>
      <c r="N755">
        <v>0.47</v>
      </c>
      <c r="O755" t="s">
        <v>34</v>
      </c>
      <c r="P755">
        <v>8.9599999999999999E-2</v>
      </c>
      <c r="Q755">
        <v>1</v>
      </c>
      <c r="R755">
        <v>108</v>
      </c>
      <c r="S755">
        <v>109</v>
      </c>
    </row>
    <row r="756" spans="1:19" x14ac:dyDescent="0.3">
      <c r="A756">
        <v>756</v>
      </c>
      <c r="B756" s="46">
        <v>40577</v>
      </c>
      <c r="C756">
        <v>2</v>
      </c>
      <c r="D756">
        <v>21</v>
      </c>
      <c r="E756" t="b">
        <v>0</v>
      </c>
      <c r="F756">
        <v>4</v>
      </c>
      <c r="G756" t="s">
        <v>35</v>
      </c>
      <c r="H756" t="s">
        <v>39</v>
      </c>
      <c r="I756">
        <v>1</v>
      </c>
      <c r="J756" t="s">
        <v>29</v>
      </c>
      <c r="K756">
        <v>0.18</v>
      </c>
      <c r="L756" t="s">
        <v>23</v>
      </c>
      <c r="M756">
        <v>0.21210000000000001</v>
      </c>
      <c r="N756">
        <v>0.55000000000000004</v>
      </c>
      <c r="O756" t="s">
        <v>34</v>
      </c>
      <c r="P756">
        <v>0.1045</v>
      </c>
      <c r="Q756">
        <v>1</v>
      </c>
      <c r="R756">
        <v>53</v>
      </c>
      <c r="S756">
        <v>54</v>
      </c>
    </row>
    <row r="757" spans="1:19" x14ac:dyDescent="0.3">
      <c r="A757">
        <v>757</v>
      </c>
      <c r="B757" s="46">
        <v>40577</v>
      </c>
      <c r="C757">
        <v>2</v>
      </c>
      <c r="D757">
        <v>22</v>
      </c>
      <c r="E757" t="b">
        <v>0</v>
      </c>
      <c r="F757">
        <v>4</v>
      </c>
      <c r="G757" t="s">
        <v>35</v>
      </c>
      <c r="H757" t="s">
        <v>39</v>
      </c>
      <c r="I757">
        <v>1</v>
      </c>
      <c r="J757" t="s">
        <v>29</v>
      </c>
      <c r="K757">
        <v>0.18</v>
      </c>
      <c r="L757" t="s">
        <v>23</v>
      </c>
      <c r="M757">
        <v>0.21210000000000001</v>
      </c>
      <c r="N757">
        <v>0.51</v>
      </c>
      <c r="O757" t="s">
        <v>34</v>
      </c>
      <c r="P757">
        <v>8.9599999999999999E-2</v>
      </c>
      <c r="Q757">
        <v>2</v>
      </c>
      <c r="R757">
        <v>39</v>
      </c>
      <c r="S757">
        <v>41</v>
      </c>
    </row>
    <row r="758" spans="1:19" x14ac:dyDescent="0.3">
      <c r="A758">
        <v>758</v>
      </c>
      <c r="B758" s="46">
        <v>40577</v>
      </c>
      <c r="C758">
        <v>2</v>
      </c>
      <c r="D758">
        <v>23</v>
      </c>
      <c r="E758" t="b">
        <v>0</v>
      </c>
      <c r="F758">
        <v>4</v>
      </c>
      <c r="G758" t="s">
        <v>35</v>
      </c>
      <c r="H758" t="s">
        <v>39</v>
      </c>
      <c r="I758">
        <v>1</v>
      </c>
      <c r="J758" t="s">
        <v>29</v>
      </c>
      <c r="K758">
        <v>0.2</v>
      </c>
      <c r="L758" t="s">
        <v>23</v>
      </c>
      <c r="M758">
        <v>0.2273</v>
      </c>
      <c r="N758">
        <v>0.47</v>
      </c>
      <c r="O758" t="s">
        <v>34</v>
      </c>
      <c r="P758">
        <v>0.1045</v>
      </c>
      <c r="Q758">
        <v>4</v>
      </c>
      <c r="R758">
        <v>34</v>
      </c>
      <c r="S758">
        <v>38</v>
      </c>
    </row>
    <row r="759" spans="1:19" x14ac:dyDescent="0.3">
      <c r="A759">
        <v>759</v>
      </c>
      <c r="B759" s="46">
        <v>40578</v>
      </c>
      <c r="C759">
        <v>2</v>
      </c>
      <c r="D759">
        <v>0</v>
      </c>
      <c r="E759" t="b">
        <v>0</v>
      </c>
      <c r="F759">
        <v>5</v>
      </c>
      <c r="G759" t="s">
        <v>35</v>
      </c>
      <c r="H759" t="s">
        <v>40</v>
      </c>
      <c r="I759">
        <v>2</v>
      </c>
      <c r="J759" t="s">
        <v>31</v>
      </c>
      <c r="K759">
        <v>0.2</v>
      </c>
      <c r="L759" t="s">
        <v>23</v>
      </c>
      <c r="M759">
        <v>0.2576</v>
      </c>
      <c r="N759">
        <v>0.44</v>
      </c>
      <c r="O759" t="s">
        <v>34</v>
      </c>
      <c r="P759">
        <v>0</v>
      </c>
      <c r="Q759">
        <v>3</v>
      </c>
      <c r="R759">
        <v>10</v>
      </c>
      <c r="S759">
        <v>13</v>
      </c>
    </row>
    <row r="760" spans="1:19" x14ac:dyDescent="0.3">
      <c r="A760">
        <v>760</v>
      </c>
      <c r="B760" s="46">
        <v>40578</v>
      </c>
      <c r="C760">
        <v>2</v>
      </c>
      <c r="D760">
        <v>1</v>
      </c>
      <c r="E760" t="b">
        <v>0</v>
      </c>
      <c r="F760">
        <v>5</v>
      </c>
      <c r="G760" t="s">
        <v>35</v>
      </c>
      <c r="H760" t="s">
        <v>40</v>
      </c>
      <c r="I760">
        <v>2</v>
      </c>
      <c r="J760" t="s">
        <v>31</v>
      </c>
      <c r="K760">
        <v>0.16</v>
      </c>
      <c r="L760" t="s">
        <v>23</v>
      </c>
      <c r="M760">
        <v>0.2273</v>
      </c>
      <c r="N760">
        <v>0.59</v>
      </c>
      <c r="O760" t="s">
        <v>34</v>
      </c>
      <c r="P760">
        <v>0</v>
      </c>
      <c r="Q760">
        <v>0</v>
      </c>
      <c r="R760">
        <v>7</v>
      </c>
      <c r="S760">
        <v>7</v>
      </c>
    </row>
    <row r="761" spans="1:19" x14ac:dyDescent="0.3">
      <c r="A761">
        <v>761</v>
      </c>
      <c r="B761" s="46">
        <v>40578</v>
      </c>
      <c r="C761">
        <v>2</v>
      </c>
      <c r="D761">
        <v>2</v>
      </c>
      <c r="E761" t="b">
        <v>0</v>
      </c>
      <c r="F761">
        <v>5</v>
      </c>
      <c r="G761" t="s">
        <v>35</v>
      </c>
      <c r="H761" t="s">
        <v>40</v>
      </c>
      <c r="I761">
        <v>2</v>
      </c>
      <c r="J761" t="s">
        <v>31</v>
      </c>
      <c r="K761">
        <v>0.14000000000000001</v>
      </c>
      <c r="L761" t="s">
        <v>23</v>
      </c>
      <c r="M761">
        <v>0.16669999999999999</v>
      </c>
      <c r="N761">
        <v>0.63</v>
      </c>
      <c r="O761" t="s">
        <v>34</v>
      </c>
      <c r="P761">
        <v>0.1045</v>
      </c>
      <c r="Q761">
        <v>0</v>
      </c>
      <c r="R761">
        <v>1</v>
      </c>
      <c r="S761">
        <v>1</v>
      </c>
    </row>
    <row r="762" spans="1:19" x14ac:dyDescent="0.3">
      <c r="A762">
        <v>762</v>
      </c>
      <c r="B762" s="46">
        <v>40578</v>
      </c>
      <c r="C762">
        <v>2</v>
      </c>
      <c r="D762">
        <v>3</v>
      </c>
      <c r="E762" t="b">
        <v>0</v>
      </c>
      <c r="F762">
        <v>5</v>
      </c>
      <c r="G762" t="s">
        <v>35</v>
      </c>
      <c r="H762" t="s">
        <v>40</v>
      </c>
      <c r="I762">
        <v>2</v>
      </c>
      <c r="J762" t="s">
        <v>31</v>
      </c>
      <c r="K762">
        <v>0.14000000000000001</v>
      </c>
      <c r="L762" t="s">
        <v>23</v>
      </c>
      <c r="M762">
        <v>0.16669999999999999</v>
      </c>
      <c r="N762">
        <v>0.63</v>
      </c>
      <c r="O762" t="s">
        <v>34</v>
      </c>
      <c r="P762">
        <v>0.1045</v>
      </c>
      <c r="Q762">
        <v>0</v>
      </c>
      <c r="R762">
        <v>1</v>
      </c>
      <c r="S762">
        <v>1</v>
      </c>
    </row>
    <row r="763" spans="1:19" x14ac:dyDescent="0.3">
      <c r="A763">
        <v>763</v>
      </c>
      <c r="B763" s="46">
        <v>40578</v>
      </c>
      <c r="C763">
        <v>2</v>
      </c>
      <c r="D763">
        <v>5</v>
      </c>
      <c r="E763" t="b">
        <v>0</v>
      </c>
      <c r="F763">
        <v>5</v>
      </c>
      <c r="G763" t="s">
        <v>35</v>
      </c>
      <c r="H763" t="s">
        <v>40</v>
      </c>
      <c r="I763">
        <v>2</v>
      </c>
      <c r="J763" t="s">
        <v>31</v>
      </c>
      <c r="K763">
        <v>0.14000000000000001</v>
      </c>
      <c r="L763" t="s">
        <v>23</v>
      </c>
      <c r="M763">
        <v>0.1515</v>
      </c>
      <c r="N763">
        <v>0.63</v>
      </c>
      <c r="O763" t="s">
        <v>34</v>
      </c>
      <c r="P763">
        <v>0.1343</v>
      </c>
      <c r="Q763">
        <v>0</v>
      </c>
      <c r="R763">
        <v>7</v>
      </c>
      <c r="S763">
        <v>7</v>
      </c>
    </row>
    <row r="764" spans="1:19" x14ac:dyDescent="0.3">
      <c r="A764">
        <v>764</v>
      </c>
      <c r="B764" s="46">
        <v>40578</v>
      </c>
      <c r="C764">
        <v>2</v>
      </c>
      <c r="D764">
        <v>6</v>
      </c>
      <c r="E764" t="b">
        <v>0</v>
      </c>
      <c r="F764">
        <v>5</v>
      </c>
      <c r="G764" t="s">
        <v>35</v>
      </c>
      <c r="H764" t="s">
        <v>40</v>
      </c>
      <c r="I764">
        <v>2</v>
      </c>
      <c r="J764" t="s">
        <v>31</v>
      </c>
      <c r="K764">
        <v>0.16</v>
      </c>
      <c r="L764" t="s">
        <v>23</v>
      </c>
      <c r="M764">
        <v>0.2273</v>
      </c>
      <c r="N764">
        <v>0.55000000000000004</v>
      </c>
      <c r="O764" t="s">
        <v>34</v>
      </c>
      <c r="P764">
        <v>0</v>
      </c>
      <c r="Q764">
        <v>2</v>
      </c>
      <c r="R764">
        <v>26</v>
      </c>
      <c r="S764">
        <v>28</v>
      </c>
    </row>
    <row r="765" spans="1:19" x14ac:dyDescent="0.3">
      <c r="A765">
        <v>765</v>
      </c>
      <c r="B765" s="46">
        <v>40578</v>
      </c>
      <c r="C765">
        <v>2</v>
      </c>
      <c r="D765">
        <v>7</v>
      </c>
      <c r="E765" t="b">
        <v>0</v>
      </c>
      <c r="F765">
        <v>5</v>
      </c>
      <c r="G765" t="s">
        <v>35</v>
      </c>
      <c r="H765" t="s">
        <v>40</v>
      </c>
      <c r="I765">
        <v>1</v>
      </c>
      <c r="J765" t="s">
        <v>29</v>
      </c>
      <c r="K765">
        <v>0.14000000000000001</v>
      </c>
      <c r="L765" t="s">
        <v>23</v>
      </c>
      <c r="M765">
        <v>0.21210000000000001</v>
      </c>
      <c r="N765">
        <v>0.59</v>
      </c>
      <c r="O765" t="s">
        <v>34</v>
      </c>
      <c r="P765">
        <v>0</v>
      </c>
      <c r="Q765">
        <v>0</v>
      </c>
      <c r="R765">
        <v>87</v>
      </c>
      <c r="S765">
        <v>87</v>
      </c>
    </row>
    <row r="766" spans="1:19" x14ac:dyDescent="0.3">
      <c r="A766">
        <v>766</v>
      </c>
      <c r="B766" s="46">
        <v>40578</v>
      </c>
      <c r="C766">
        <v>2</v>
      </c>
      <c r="D766">
        <v>8</v>
      </c>
      <c r="E766" t="b">
        <v>0</v>
      </c>
      <c r="F766">
        <v>5</v>
      </c>
      <c r="G766" t="s">
        <v>35</v>
      </c>
      <c r="H766" t="s">
        <v>40</v>
      </c>
      <c r="I766">
        <v>1</v>
      </c>
      <c r="J766" t="s">
        <v>29</v>
      </c>
      <c r="K766">
        <v>0.14000000000000001</v>
      </c>
      <c r="L766" t="s">
        <v>23</v>
      </c>
      <c r="M766">
        <v>0.1515</v>
      </c>
      <c r="N766">
        <v>0.74</v>
      </c>
      <c r="O766" t="s">
        <v>30</v>
      </c>
      <c r="P766">
        <v>0.1343</v>
      </c>
      <c r="Q766">
        <v>3</v>
      </c>
      <c r="R766">
        <v>217</v>
      </c>
      <c r="S766">
        <v>220</v>
      </c>
    </row>
    <row r="767" spans="1:19" x14ac:dyDescent="0.3">
      <c r="A767">
        <v>767</v>
      </c>
      <c r="B767" s="46">
        <v>40578</v>
      </c>
      <c r="C767">
        <v>2</v>
      </c>
      <c r="D767">
        <v>9</v>
      </c>
      <c r="E767" t="b">
        <v>0</v>
      </c>
      <c r="F767">
        <v>5</v>
      </c>
      <c r="G767" t="s">
        <v>35</v>
      </c>
      <c r="H767" t="s">
        <v>40</v>
      </c>
      <c r="I767">
        <v>2</v>
      </c>
      <c r="J767" t="s">
        <v>31</v>
      </c>
      <c r="K767">
        <v>0.16</v>
      </c>
      <c r="L767" t="s">
        <v>23</v>
      </c>
      <c r="M767">
        <v>0.18179999999999999</v>
      </c>
      <c r="N767">
        <v>0.8</v>
      </c>
      <c r="O767" t="s">
        <v>30</v>
      </c>
      <c r="P767">
        <v>0.1343</v>
      </c>
      <c r="Q767">
        <v>3</v>
      </c>
      <c r="R767">
        <v>124</v>
      </c>
      <c r="S767">
        <v>127</v>
      </c>
    </row>
    <row r="768" spans="1:19" x14ac:dyDescent="0.3">
      <c r="A768">
        <v>768</v>
      </c>
      <c r="B768" s="46">
        <v>40578</v>
      </c>
      <c r="C768">
        <v>2</v>
      </c>
      <c r="D768">
        <v>10</v>
      </c>
      <c r="E768" t="b">
        <v>0</v>
      </c>
      <c r="F768">
        <v>5</v>
      </c>
      <c r="G768" t="s">
        <v>35</v>
      </c>
      <c r="H768" t="s">
        <v>40</v>
      </c>
      <c r="I768">
        <v>2</v>
      </c>
      <c r="J768" t="s">
        <v>31</v>
      </c>
      <c r="K768">
        <v>0.2</v>
      </c>
      <c r="L768" t="s">
        <v>23</v>
      </c>
      <c r="M768">
        <v>0.21210000000000001</v>
      </c>
      <c r="N768">
        <v>0.51</v>
      </c>
      <c r="O768" t="s">
        <v>34</v>
      </c>
      <c r="P768">
        <v>0.1343</v>
      </c>
      <c r="Q768">
        <v>5</v>
      </c>
      <c r="R768">
        <v>46</v>
      </c>
      <c r="S768">
        <v>51</v>
      </c>
    </row>
    <row r="769" spans="1:19" x14ac:dyDescent="0.3">
      <c r="A769">
        <v>769</v>
      </c>
      <c r="B769" s="46">
        <v>40578</v>
      </c>
      <c r="C769">
        <v>2</v>
      </c>
      <c r="D769">
        <v>11</v>
      </c>
      <c r="E769" t="b">
        <v>0</v>
      </c>
      <c r="F769">
        <v>5</v>
      </c>
      <c r="G769" t="s">
        <v>35</v>
      </c>
      <c r="H769" t="s">
        <v>40</v>
      </c>
      <c r="I769">
        <v>1</v>
      </c>
      <c r="J769" t="s">
        <v>29</v>
      </c>
      <c r="K769">
        <v>0.22</v>
      </c>
      <c r="L769" t="s">
        <v>23</v>
      </c>
      <c r="M769">
        <v>0.2273</v>
      </c>
      <c r="N769">
        <v>0.51</v>
      </c>
      <c r="O769" t="s">
        <v>34</v>
      </c>
      <c r="P769">
        <v>0.16420000000000001</v>
      </c>
      <c r="Q769">
        <v>3</v>
      </c>
      <c r="R769">
        <v>61</v>
      </c>
      <c r="S769">
        <v>64</v>
      </c>
    </row>
    <row r="770" spans="1:19" x14ac:dyDescent="0.3">
      <c r="A770">
        <v>770</v>
      </c>
      <c r="B770" s="46">
        <v>40578</v>
      </c>
      <c r="C770">
        <v>2</v>
      </c>
      <c r="D770">
        <v>12</v>
      </c>
      <c r="E770" t="b">
        <v>0</v>
      </c>
      <c r="F770">
        <v>5</v>
      </c>
      <c r="G770" t="s">
        <v>35</v>
      </c>
      <c r="H770" t="s">
        <v>40</v>
      </c>
      <c r="I770">
        <v>2</v>
      </c>
      <c r="J770" t="s">
        <v>31</v>
      </c>
      <c r="K770">
        <v>0.24</v>
      </c>
      <c r="L770" t="s">
        <v>23</v>
      </c>
      <c r="M770">
        <v>0.2424</v>
      </c>
      <c r="N770">
        <v>0.48</v>
      </c>
      <c r="O770" t="s">
        <v>34</v>
      </c>
      <c r="P770">
        <v>0.16420000000000001</v>
      </c>
      <c r="Q770">
        <v>8</v>
      </c>
      <c r="R770">
        <v>78</v>
      </c>
      <c r="S770">
        <v>86</v>
      </c>
    </row>
    <row r="771" spans="1:19" x14ac:dyDescent="0.3">
      <c r="A771">
        <v>771</v>
      </c>
      <c r="B771" s="46">
        <v>40578</v>
      </c>
      <c r="C771">
        <v>2</v>
      </c>
      <c r="D771">
        <v>13</v>
      </c>
      <c r="E771" t="b">
        <v>0</v>
      </c>
      <c r="F771">
        <v>5</v>
      </c>
      <c r="G771" t="s">
        <v>35</v>
      </c>
      <c r="H771" t="s">
        <v>40</v>
      </c>
      <c r="I771">
        <v>2</v>
      </c>
      <c r="J771" t="s">
        <v>31</v>
      </c>
      <c r="K771">
        <v>0.26</v>
      </c>
      <c r="L771" t="s">
        <v>23</v>
      </c>
      <c r="M771">
        <v>0.2576</v>
      </c>
      <c r="N771">
        <v>0.5</v>
      </c>
      <c r="O771" t="s">
        <v>34</v>
      </c>
      <c r="P771">
        <v>0.22389999999999999</v>
      </c>
      <c r="Q771">
        <v>9</v>
      </c>
      <c r="R771">
        <v>73</v>
      </c>
      <c r="S771">
        <v>82</v>
      </c>
    </row>
    <row r="772" spans="1:19" x14ac:dyDescent="0.3">
      <c r="A772">
        <v>772</v>
      </c>
      <c r="B772" s="46">
        <v>40578</v>
      </c>
      <c r="C772">
        <v>2</v>
      </c>
      <c r="D772">
        <v>14</v>
      </c>
      <c r="E772" t="b">
        <v>0</v>
      </c>
      <c r="F772">
        <v>5</v>
      </c>
      <c r="G772" t="s">
        <v>35</v>
      </c>
      <c r="H772" t="s">
        <v>40</v>
      </c>
      <c r="I772">
        <v>2</v>
      </c>
      <c r="J772" t="s">
        <v>31</v>
      </c>
      <c r="K772">
        <v>0.28000000000000003</v>
      </c>
      <c r="L772" t="s">
        <v>23</v>
      </c>
      <c r="M772">
        <v>0.2727</v>
      </c>
      <c r="N772">
        <v>0.45</v>
      </c>
      <c r="O772" t="s">
        <v>34</v>
      </c>
      <c r="P772">
        <v>0.16420000000000001</v>
      </c>
      <c r="Q772">
        <v>15</v>
      </c>
      <c r="R772">
        <v>76</v>
      </c>
      <c r="S772">
        <v>91</v>
      </c>
    </row>
    <row r="773" spans="1:19" x14ac:dyDescent="0.3">
      <c r="A773">
        <v>773</v>
      </c>
      <c r="B773" s="46">
        <v>40578</v>
      </c>
      <c r="C773">
        <v>2</v>
      </c>
      <c r="D773">
        <v>15</v>
      </c>
      <c r="E773" t="b">
        <v>0</v>
      </c>
      <c r="F773">
        <v>5</v>
      </c>
      <c r="G773" t="s">
        <v>35</v>
      </c>
      <c r="H773" t="s">
        <v>40</v>
      </c>
      <c r="I773">
        <v>2</v>
      </c>
      <c r="J773" t="s">
        <v>31</v>
      </c>
      <c r="K773">
        <v>0.28000000000000003</v>
      </c>
      <c r="L773" t="s">
        <v>23</v>
      </c>
      <c r="M773">
        <v>0.2727</v>
      </c>
      <c r="N773">
        <v>0.48</v>
      </c>
      <c r="O773" t="s">
        <v>34</v>
      </c>
      <c r="P773">
        <v>0.25369999999999998</v>
      </c>
      <c r="Q773">
        <v>9</v>
      </c>
      <c r="R773">
        <v>81</v>
      </c>
      <c r="S773">
        <v>90</v>
      </c>
    </row>
    <row r="774" spans="1:19" x14ac:dyDescent="0.3">
      <c r="A774">
        <v>774</v>
      </c>
      <c r="B774" s="46">
        <v>40578</v>
      </c>
      <c r="C774">
        <v>2</v>
      </c>
      <c r="D774">
        <v>16</v>
      </c>
      <c r="E774" t="b">
        <v>0</v>
      </c>
      <c r="F774">
        <v>5</v>
      </c>
      <c r="G774" t="s">
        <v>35</v>
      </c>
      <c r="H774" t="s">
        <v>40</v>
      </c>
      <c r="I774">
        <v>2</v>
      </c>
      <c r="J774" t="s">
        <v>31</v>
      </c>
      <c r="K774">
        <v>0.3</v>
      </c>
      <c r="L774" t="s">
        <v>23</v>
      </c>
      <c r="M774">
        <v>0.28789999999999999</v>
      </c>
      <c r="N774">
        <v>0.42</v>
      </c>
      <c r="O774" t="s">
        <v>34</v>
      </c>
      <c r="P774">
        <v>0.22389999999999999</v>
      </c>
      <c r="Q774">
        <v>8</v>
      </c>
      <c r="R774">
        <v>91</v>
      </c>
      <c r="S774">
        <v>99</v>
      </c>
    </row>
    <row r="775" spans="1:19" x14ac:dyDescent="0.3">
      <c r="A775">
        <v>775</v>
      </c>
      <c r="B775" s="46">
        <v>40578</v>
      </c>
      <c r="C775">
        <v>2</v>
      </c>
      <c r="D775">
        <v>17</v>
      </c>
      <c r="E775" t="b">
        <v>0</v>
      </c>
      <c r="F775">
        <v>5</v>
      </c>
      <c r="G775" t="s">
        <v>35</v>
      </c>
      <c r="H775" t="s">
        <v>40</v>
      </c>
      <c r="I775">
        <v>2</v>
      </c>
      <c r="J775" t="s">
        <v>31</v>
      </c>
      <c r="K775">
        <v>0.26</v>
      </c>
      <c r="L775" t="s">
        <v>23</v>
      </c>
      <c r="M775">
        <v>0.2727</v>
      </c>
      <c r="N775">
        <v>0.56000000000000005</v>
      </c>
      <c r="O775" t="s">
        <v>34</v>
      </c>
      <c r="P775">
        <v>0.1343</v>
      </c>
      <c r="Q775">
        <v>10</v>
      </c>
      <c r="R775">
        <v>195</v>
      </c>
      <c r="S775">
        <v>205</v>
      </c>
    </row>
    <row r="776" spans="1:19" x14ac:dyDescent="0.3">
      <c r="A776">
        <v>776</v>
      </c>
      <c r="B776" s="46">
        <v>40578</v>
      </c>
      <c r="C776">
        <v>2</v>
      </c>
      <c r="D776">
        <v>18</v>
      </c>
      <c r="E776" t="b">
        <v>0</v>
      </c>
      <c r="F776">
        <v>5</v>
      </c>
      <c r="G776" t="s">
        <v>35</v>
      </c>
      <c r="H776" t="s">
        <v>40</v>
      </c>
      <c r="I776">
        <v>2</v>
      </c>
      <c r="J776" t="s">
        <v>31</v>
      </c>
      <c r="K776">
        <v>0.24</v>
      </c>
      <c r="L776" t="s">
        <v>23</v>
      </c>
      <c r="M776">
        <v>0.2576</v>
      </c>
      <c r="N776">
        <v>0.6</v>
      </c>
      <c r="O776" t="s">
        <v>34</v>
      </c>
      <c r="P776">
        <v>0.1045</v>
      </c>
      <c r="Q776">
        <v>3</v>
      </c>
      <c r="R776">
        <v>152</v>
      </c>
      <c r="S776">
        <v>155</v>
      </c>
    </row>
    <row r="777" spans="1:19" x14ac:dyDescent="0.3">
      <c r="A777">
        <v>777</v>
      </c>
      <c r="B777" s="46">
        <v>40578</v>
      </c>
      <c r="C777">
        <v>2</v>
      </c>
      <c r="D777">
        <v>19</v>
      </c>
      <c r="E777" t="b">
        <v>0</v>
      </c>
      <c r="F777">
        <v>5</v>
      </c>
      <c r="G777" t="s">
        <v>35</v>
      </c>
      <c r="H777" t="s">
        <v>40</v>
      </c>
      <c r="I777">
        <v>2</v>
      </c>
      <c r="J777" t="s">
        <v>31</v>
      </c>
      <c r="K777">
        <v>0.24</v>
      </c>
      <c r="L777" t="s">
        <v>23</v>
      </c>
      <c r="M777">
        <v>0.2424</v>
      </c>
      <c r="N777">
        <v>0.65</v>
      </c>
      <c r="O777" t="s">
        <v>34</v>
      </c>
      <c r="P777">
        <v>0.1343</v>
      </c>
      <c r="Q777">
        <v>1</v>
      </c>
      <c r="R777">
        <v>102</v>
      </c>
      <c r="S777">
        <v>103</v>
      </c>
    </row>
    <row r="778" spans="1:19" x14ac:dyDescent="0.3">
      <c r="A778">
        <v>778</v>
      </c>
      <c r="B778" s="46">
        <v>40578</v>
      </c>
      <c r="C778">
        <v>2</v>
      </c>
      <c r="D778">
        <v>20</v>
      </c>
      <c r="E778" t="b">
        <v>0</v>
      </c>
      <c r="F778">
        <v>5</v>
      </c>
      <c r="G778" t="s">
        <v>35</v>
      </c>
      <c r="H778" t="s">
        <v>40</v>
      </c>
      <c r="I778">
        <v>2</v>
      </c>
      <c r="J778" t="s">
        <v>31</v>
      </c>
      <c r="K778">
        <v>0.24</v>
      </c>
      <c r="L778" t="s">
        <v>23</v>
      </c>
      <c r="M778">
        <v>0.2424</v>
      </c>
      <c r="N778">
        <v>0.65</v>
      </c>
      <c r="O778" t="s">
        <v>34</v>
      </c>
      <c r="P778">
        <v>0.16420000000000001</v>
      </c>
      <c r="Q778">
        <v>2</v>
      </c>
      <c r="R778">
        <v>69</v>
      </c>
      <c r="S778">
        <v>71</v>
      </c>
    </row>
    <row r="779" spans="1:19" x14ac:dyDescent="0.3">
      <c r="A779">
        <v>779</v>
      </c>
      <c r="B779" s="46">
        <v>40578</v>
      </c>
      <c r="C779">
        <v>2</v>
      </c>
      <c r="D779">
        <v>21</v>
      </c>
      <c r="E779" t="b">
        <v>0</v>
      </c>
      <c r="F779">
        <v>5</v>
      </c>
      <c r="G779" t="s">
        <v>35</v>
      </c>
      <c r="H779" t="s">
        <v>40</v>
      </c>
      <c r="I779">
        <v>2</v>
      </c>
      <c r="J779" t="s">
        <v>31</v>
      </c>
      <c r="K779">
        <v>0.24</v>
      </c>
      <c r="L779" t="s">
        <v>23</v>
      </c>
      <c r="M779">
        <v>0.2424</v>
      </c>
      <c r="N779">
        <v>0.7</v>
      </c>
      <c r="O779" t="s">
        <v>30</v>
      </c>
      <c r="P779">
        <v>0.16420000000000001</v>
      </c>
      <c r="Q779">
        <v>2</v>
      </c>
      <c r="R779">
        <v>41</v>
      </c>
      <c r="S779">
        <v>43</v>
      </c>
    </row>
    <row r="780" spans="1:19" x14ac:dyDescent="0.3">
      <c r="A780">
        <v>780</v>
      </c>
      <c r="B780" s="46">
        <v>40578</v>
      </c>
      <c r="C780">
        <v>2</v>
      </c>
      <c r="D780">
        <v>22</v>
      </c>
      <c r="E780" t="b">
        <v>0</v>
      </c>
      <c r="F780">
        <v>5</v>
      </c>
      <c r="G780" t="s">
        <v>35</v>
      </c>
      <c r="H780" t="s">
        <v>40</v>
      </c>
      <c r="I780">
        <v>2</v>
      </c>
      <c r="J780" t="s">
        <v>31</v>
      </c>
      <c r="K780">
        <v>0.24</v>
      </c>
      <c r="L780" t="s">
        <v>23</v>
      </c>
      <c r="M780">
        <v>0.2424</v>
      </c>
      <c r="N780">
        <v>0.65</v>
      </c>
      <c r="O780" t="s">
        <v>34</v>
      </c>
      <c r="P780">
        <v>0.16420000000000001</v>
      </c>
      <c r="Q780">
        <v>1</v>
      </c>
      <c r="R780">
        <v>45</v>
      </c>
      <c r="S780">
        <v>46</v>
      </c>
    </row>
    <row r="781" spans="1:19" x14ac:dyDescent="0.3">
      <c r="A781">
        <v>781</v>
      </c>
      <c r="B781" s="46">
        <v>40578</v>
      </c>
      <c r="C781">
        <v>2</v>
      </c>
      <c r="D781">
        <v>23</v>
      </c>
      <c r="E781" t="b">
        <v>0</v>
      </c>
      <c r="F781">
        <v>5</v>
      </c>
      <c r="G781" t="s">
        <v>35</v>
      </c>
      <c r="H781" t="s">
        <v>40</v>
      </c>
      <c r="I781">
        <v>2</v>
      </c>
      <c r="J781" t="s">
        <v>31</v>
      </c>
      <c r="K781">
        <v>0.24</v>
      </c>
      <c r="L781" t="s">
        <v>23</v>
      </c>
      <c r="M781">
        <v>0.2424</v>
      </c>
      <c r="N781">
        <v>0.7</v>
      </c>
      <c r="O781" t="s">
        <v>30</v>
      </c>
      <c r="P781">
        <v>0.1343</v>
      </c>
      <c r="Q781">
        <v>1</v>
      </c>
      <c r="R781">
        <v>30</v>
      </c>
      <c r="S781">
        <v>31</v>
      </c>
    </row>
    <row r="782" spans="1:19" x14ac:dyDescent="0.3">
      <c r="A782">
        <v>782</v>
      </c>
      <c r="B782" s="46">
        <v>40579</v>
      </c>
      <c r="C782">
        <v>2</v>
      </c>
      <c r="D782">
        <v>0</v>
      </c>
      <c r="E782" t="b">
        <v>0</v>
      </c>
      <c r="F782">
        <v>6</v>
      </c>
      <c r="G782" t="s">
        <v>27</v>
      </c>
      <c r="H782" t="s">
        <v>28</v>
      </c>
      <c r="I782">
        <v>2</v>
      </c>
      <c r="J782" t="s">
        <v>31</v>
      </c>
      <c r="K782">
        <v>0.24</v>
      </c>
      <c r="L782" t="s">
        <v>23</v>
      </c>
      <c r="M782">
        <v>0.2424</v>
      </c>
      <c r="N782">
        <v>0.7</v>
      </c>
      <c r="O782" t="s">
        <v>30</v>
      </c>
      <c r="P782">
        <v>0.16420000000000001</v>
      </c>
      <c r="Q782">
        <v>3</v>
      </c>
      <c r="R782">
        <v>36</v>
      </c>
      <c r="S782">
        <v>39</v>
      </c>
    </row>
    <row r="783" spans="1:19" x14ac:dyDescent="0.3">
      <c r="A783">
        <v>783</v>
      </c>
      <c r="B783" s="46">
        <v>40579</v>
      </c>
      <c r="C783">
        <v>2</v>
      </c>
      <c r="D783">
        <v>1</v>
      </c>
      <c r="E783" t="b">
        <v>0</v>
      </c>
      <c r="F783">
        <v>6</v>
      </c>
      <c r="G783" t="s">
        <v>27</v>
      </c>
      <c r="H783" t="s">
        <v>28</v>
      </c>
      <c r="I783">
        <v>2</v>
      </c>
      <c r="J783" t="s">
        <v>31</v>
      </c>
      <c r="K783">
        <v>0.24</v>
      </c>
      <c r="L783" t="s">
        <v>23</v>
      </c>
      <c r="M783">
        <v>0.2424</v>
      </c>
      <c r="N783">
        <v>0.65</v>
      </c>
      <c r="O783" t="s">
        <v>34</v>
      </c>
      <c r="P783">
        <v>0.16420000000000001</v>
      </c>
      <c r="Q783">
        <v>1</v>
      </c>
      <c r="R783">
        <v>17</v>
      </c>
      <c r="S783">
        <v>18</v>
      </c>
    </row>
    <row r="784" spans="1:19" x14ac:dyDescent="0.3">
      <c r="A784">
        <v>784</v>
      </c>
      <c r="B784" s="46">
        <v>40579</v>
      </c>
      <c r="C784">
        <v>2</v>
      </c>
      <c r="D784">
        <v>2</v>
      </c>
      <c r="E784" t="b">
        <v>0</v>
      </c>
      <c r="F784">
        <v>6</v>
      </c>
      <c r="G784" t="s">
        <v>27</v>
      </c>
      <c r="H784" t="s">
        <v>28</v>
      </c>
      <c r="I784">
        <v>2</v>
      </c>
      <c r="J784" t="s">
        <v>31</v>
      </c>
      <c r="K784">
        <v>0.24</v>
      </c>
      <c r="L784" t="s">
        <v>23</v>
      </c>
      <c r="M784">
        <v>0.2424</v>
      </c>
      <c r="N784">
        <v>0.75</v>
      </c>
      <c r="O784" t="s">
        <v>30</v>
      </c>
      <c r="P784">
        <v>0.16420000000000001</v>
      </c>
      <c r="Q784">
        <v>5</v>
      </c>
      <c r="R784">
        <v>12</v>
      </c>
      <c r="S784">
        <v>17</v>
      </c>
    </row>
    <row r="785" spans="1:19" x14ac:dyDescent="0.3">
      <c r="A785">
        <v>785</v>
      </c>
      <c r="B785" s="46">
        <v>40579</v>
      </c>
      <c r="C785">
        <v>2</v>
      </c>
      <c r="D785">
        <v>3</v>
      </c>
      <c r="E785" t="b">
        <v>0</v>
      </c>
      <c r="F785">
        <v>6</v>
      </c>
      <c r="G785" t="s">
        <v>27</v>
      </c>
      <c r="H785" t="s">
        <v>28</v>
      </c>
      <c r="I785">
        <v>2</v>
      </c>
      <c r="J785" t="s">
        <v>31</v>
      </c>
      <c r="K785">
        <v>0.24</v>
      </c>
      <c r="L785" t="s">
        <v>23</v>
      </c>
      <c r="M785">
        <v>0.2424</v>
      </c>
      <c r="N785">
        <v>0.75</v>
      </c>
      <c r="O785" t="s">
        <v>30</v>
      </c>
      <c r="P785">
        <v>0.16420000000000001</v>
      </c>
      <c r="Q785">
        <v>1</v>
      </c>
      <c r="R785">
        <v>10</v>
      </c>
      <c r="S785">
        <v>11</v>
      </c>
    </row>
    <row r="786" spans="1:19" x14ac:dyDescent="0.3">
      <c r="A786">
        <v>786</v>
      </c>
      <c r="B786" s="46">
        <v>40579</v>
      </c>
      <c r="C786">
        <v>2</v>
      </c>
      <c r="D786">
        <v>4</v>
      </c>
      <c r="E786" t="b">
        <v>0</v>
      </c>
      <c r="F786">
        <v>6</v>
      </c>
      <c r="G786" t="s">
        <v>27</v>
      </c>
      <c r="H786" t="s">
        <v>28</v>
      </c>
      <c r="I786">
        <v>3</v>
      </c>
      <c r="J786" t="s">
        <v>32</v>
      </c>
      <c r="K786">
        <v>0.22</v>
      </c>
      <c r="L786" t="s">
        <v>23</v>
      </c>
      <c r="M786">
        <v>0.2273</v>
      </c>
      <c r="N786">
        <v>0.93</v>
      </c>
      <c r="O786" t="s">
        <v>30</v>
      </c>
      <c r="P786">
        <v>0.1343</v>
      </c>
      <c r="Q786">
        <v>0</v>
      </c>
      <c r="R786">
        <v>8</v>
      </c>
      <c r="S786">
        <v>8</v>
      </c>
    </row>
    <row r="787" spans="1:19" x14ac:dyDescent="0.3">
      <c r="A787">
        <v>787</v>
      </c>
      <c r="B787" s="46">
        <v>40579</v>
      </c>
      <c r="C787">
        <v>2</v>
      </c>
      <c r="D787">
        <v>5</v>
      </c>
      <c r="E787" t="b">
        <v>0</v>
      </c>
      <c r="F787">
        <v>6</v>
      </c>
      <c r="G787" t="s">
        <v>27</v>
      </c>
      <c r="H787" t="s">
        <v>28</v>
      </c>
      <c r="I787">
        <v>3</v>
      </c>
      <c r="J787" t="s">
        <v>32</v>
      </c>
      <c r="K787">
        <v>0.2</v>
      </c>
      <c r="L787" t="s">
        <v>23</v>
      </c>
      <c r="M787">
        <v>0.2273</v>
      </c>
      <c r="N787">
        <v>1</v>
      </c>
      <c r="O787" t="s">
        <v>30</v>
      </c>
      <c r="P787">
        <v>8.9599999999999999E-2</v>
      </c>
      <c r="Q787">
        <v>0</v>
      </c>
      <c r="R787">
        <v>9</v>
      </c>
      <c r="S787">
        <v>9</v>
      </c>
    </row>
    <row r="788" spans="1:19" x14ac:dyDescent="0.3">
      <c r="A788">
        <v>788</v>
      </c>
      <c r="B788" s="46">
        <v>40579</v>
      </c>
      <c r="C788">
        <v>2</v>
      </c>
      <c r="D788">
        <v>6</v>
      </c>
      <c r="E788" t="b">
        <v>0</v>
      </c>
      <c r="F788">
        <v>6</v>
      </c>
      <c r="G788" t="s">
        <v>27</v>
      </c>
      <c r="H788" t="s">
        <v>28</v>
      </c>
      <c r="I788">
        <v>3</v>
      </c>
      <c r="J788" t="s">
        <v>32</v>
      </c>
      <c r="K788">
        <v>0.2</v>
      </c>
      <c r="L788" t="s">
        <v>23</v>
      </c>
      <c r="M788">
        <v>0.2576</v>
      </c>
      <c r="N788">
        <v>1</v>
      </c>
      <c r="O788" t="s">
        <v>30</v>
      </c>
      <c r="P788">
        <v>0</v>
      </c>
      <c r="Q788">
        <v>0</v>
      </c>
      <c r="R788">
        <v>4</v>
      </c>
      <c r="S788">
        <v>4</v>
      </c>
    </row>
    <row r="789" spans="1:19" x14ac:dyDescent="0.3">
      <c r="A789">
        <v>789</v>
      </c>
      <c r="B789" s="46">
        <v>40579</v>
      </c>
      <c r="C789">
        <v>2</v>
      </c>
      <c r="D789">
        <v>7</v>
      </c>
      <c r="E789" t="b">
        <v>0</v>
      </c>
      <c r="F789">
        <v>6</v>
      </c>
      <c r="G789" t="s">
        <v>27</v>
      </c>
      <c r="H789" t="s">
        <v>28</v>
      </c>
      <c r="I789">
        <v>3</v>
      </c>
      <c r="J789" t="s">
        <v>32</v>
      </c>
      <c r="K789">
        <v>0.22</v>
      </c>
      <c r="L789" t="s">
        <v>23</v>
      </c>
      <c r="M789">
        <v>0.2576</v>
      </c>
      <c r="N789">
        <v>0.93</v>
      </c>
      <c r="O789" t="s">
        <v>30</v>
      </c>
      <c r="P789">
        <v>8.9599999999999999E-2</v>
      </c>
      <c r="Q789">
        <v>0</v>
      </c>
      <c r="R789">
        <v>4</v>
      </c>
      <c r="S789">
        <v>4</v>
      </c>
    </row>
    <row r="790" spans="1:19" x14ac:dyDescent="0.3">
      <c r="A790">
        <v>790</v>
      </c>
      <c r="B790" s="46">
        <v>40579</v>
      </c>
      <c r="C790">
        <v>2</v>
      </c>
      <c r="D790">
        <v>8</v>
      </c>
      <c r="E790" t="b">
        <v>0</v>
      </c>
      <c r="F790">
        <v>6</v>
      </c>
      <c r="G790" t="s">
        <v>27</v>
      </c>
      <c r="H790" t="s">
        <v>28</v>
      </c>
      <c r="I790">
        <v>3</v>
      </c>
      <c r="J790" t="s">
        <v>32</v>
      </c>
      <c r="K790">
        <v>0.2</v>
      </c>
      <c r="L790" t="s">
        <v>23</v>
      </c>
      <c r="M790">
        <v>0.2273</v>
      </c>
      <c r="N790">
        <v>1</v>
      </c>
      <c r="O790" t="s">
        <v>30</v>
      </c>
      <c r="P790">
        <v>8.9599999999999999E-2</v>
      </c>
      <c r="Q790">
        <v>0</v>
      </c>
      <c r="R790">
        <v>10</v>
      </c>
      <c r="S790">
        <v>10</v>
      </c>
    </row>
    <row r="791" spans="1:19" x14ac:dyDescent="0.3">
      <c r="A791">
        <v>791</v>
      </c>
      <c r="B791" s="46">
        <v>40579</v>
      </c>
      <c r="C791">
        <v>2</v>
      </c>
      <c r="D791">
        <v>9</v>
      </c>
      <c r="E791" t="b">
        <v>0</v>
      </c>
      <c r="F791">
        <v>6</v>
      </c>
      <c r="G791" t="s">
        <v>27</v>
      </c>
      <c r="H791" t="s">
        <v>28</v>
      </c>
      <c r="I791">
        <v>3</v>
      </c>
      <c r="J791" t="s">
        <v>32</v>
      </c>
      <c r="K791">
        <v>0.2</v>
      </c>
      <c r="L791" t="s">
        <v>23</v>
      </c>
      <c r="M791">
        <v>0.2273</v>
      </c>
      <c r="N791">
        <v>1</v>
      </c>
      <c r="O791" t="s">
        <v>30</v>
      </c>
      <c r="P791">
        <v>8.9599999999999999E-2</v>
      </c>
      <c r="Q791">
        <v>3</v>
      </c>
      <c r="R791">
        <v>17</v>
      </c>
      <c r="S791">
        <v>20</v>
      </c>
    </row>
    <row r="792" spans="1:19" x14ac:dyDescent="0.3">
      <c r="A792">
        <v>792</v>
      </c>
      <c r="B792" s="46">
        <v>40579</v>
      </c>
      <c r="C792">
        <v>2</v>
      </c>
      <c r="D792">
        <v>10</v>
      </c>
      <c r="E792" t="b">
        <v>0</v>
      </c>
      <c r="F792">
        <v>6</v>
      </c>
      <c r="G792" t="s">
        <v>27</v>
      </c>
      <c r="H792" t="s">
        <v>28</v>
      </c>
      <c r="I792">
        <v>3</v>
      </c>
      <c r="J792" t="s">
        <v>32</v>
      </c>
      <c r="K792">
        <v>0.2</v>
      </c>
      <c r="L792" t="s">
        <v>23</v>
      </c>
      <c r="M792">
        <v>0.21210000000000001</v>
      </c>
      <c r="N792">
        <v>1</v>
      </c>
      <c r="O792" t="s">
        <v>30</v>
      </c>
      <c r="P792">
        <v>0.1343</v>
      </c>
      <c r="Q792">
        <v>3</v>
      </c>
      <c r="R792">
        <v>31</v>
      </c>
      <c r="S792">
        <v>34</v>
      </c>
    </row>
    <row r="793" spans="1:19" x14ac:dyDescent="0.3">
      <c r="A793">
        <v>793</v>
      </c>
      <c r="B793" s="46">
        <v>40579</v>
      </c>
      <c r="C793">
        <v>2</v>
      </c>
      <c r="D793">
        <v>11</v>
      </c>
      <c r="E793" t="b">
        <v>0</v>
      </c>
      <c r="F793">
        <v>6</v>
      </c>
      <c r="G793" t="s">
        <v>27</v>
      </c>
      <c r="H793" t="s">
        <v>28</v>
      </c>
      <c r="I793">
        <v>3</v>
      </c>
      <c r="J793" t="s">
        <v>32</v>
      </c>
      <c r="K793">
        <v>0.22</v>
      </c>
      <c r="L793" t="s">
        <v>23</v>
      </c>
      <c r="M793">
        <v>0.2273</v>
      </c>
      <c r="N793">
        <v>1</v>
      </c>
      <c r="O793" t="s">
        <v>30</v>
      </c>
      <c r="P793">
        <v>0.1343</v>
      </c>
      <c r="Q793">
        <v>1</v>
      </c>
      <c r="R793">
        <v>46</v>
      </c>
      <c r="S793">
        <v>47</v>
      </c>
    </row>
    <row r="794" spans="1:19" x14ac:dyDescent="0.3">
      <c r="A794">
        <v>794</v>
      </c>
      <c r="B794" s="46">
        <v>40579</v>
      </c>
      <c r="C794">
        <v>2</v>
      </c>
      <c r="D794">
        <v>12</v>
      </c>
      <c r="E794" t="b">
        <v>0</v>
      </c>
      <c r="F794">
        <v>6</v>
      </c>
      <c r="G794" t="s">
        <v>27</v>
      </c>
      <c r="H794" t="s">
        <v>28</v>
      </c>
      <c r="I794">
        <v>3</v>
      </c>
      <c r="J794" t="s">
        <v>32</v>
      </c>
      <c r="K794">
        <v>0.22</v>
      </c>
      <c r="L794" t="s">
        <v>23</v>
      </c>
      <c r="M794">
        <v>0.2273</v>
      </c>
      <c r="N794">
        <v>1</v>
      </c>
      <c r="O794" t="s">
        <v>30</v>
      </c>
      <c r="P794">
        <v>0.16420000000000001</v>
      </c>
      <c r="Q794">
        <v>10</v>
      </c>
      <c r="R794">
        <v>42</v>
      </c>
      <c r="S794">
        <v>52</v>
      </c>
    </row>
    <row r="795" spans="1:19" x14ac:dyDescent="0.3">
      <c r="A795">
        <v>795</v>
      </c>
      <c r="B795" s="46">
        <v>40579</v>
      </c>
      <c r="C795">
        <v>2</v>
      </c>
      <c r="D795">
        <v>13</v>
      </c>
      <c r="E795" t="b">
        <v>0</v>
      </c>
      <c r="F795">
        <v>6</v>
      </c>
      <c r="G795" t="s">
        <v>27</v>
      </c>
      <c r="H795" t="s">
        <v>28</v>
      </c>
      <c r="I795">
        <v>3</v>
      </c>
      <c r="J795" t="s">
        <v>32</v>
      </c>
      <c r="K795">
        <v>0.22</v>
      </c>
      <c r="L795" t="s">
        <v>23</v>
      </c>
      <c r="M795">
        <v>0.2273</v>
      </c>
      <c r="N795">
        <v>1</v>
      </c>
      <c r="O795" t="s">
        <v>30</v>
      </c>
      <c r="P795">
        <v>0.16420000000000001</v>
      </c>
      <c r="Q795">
        <v>10</v>
      </c>
      <c r="R795">
        <v>62</v>
      </c>
      <c r="S795">
        <v>72</v>
      </c>
    </row>
    <row r="796" spans="1:19" x14ac:dyDescent="0.3">
      <c r="A796">
        <v>796</v>
      </c>
      <c r="B796" s="46">
        <v>40579</v>
      </c>
      <c r="C796">
        <v>2</v>
      </c>
      <c r="D796">
        <v>14</v>
      </c>
      <c r="E796" t="b">
        <v>0</v>
      </c>
      <c r="F796">
        <v>6</v>
      </c>
      <c r="G796" t="s">
        <v>27</v>
      </c>
      <c r="H796" t="s">
        <v>28</v>
      </c>
      <c r="I796">
        <v>3</v>
      </c>
      <c r="J796" t="s">
        <v>32</v>
      </c>
      <c r="K796">
        <v>0.22</v>
      </c>
      <c r="L796" t="s">
        <v>23</v>
      </c>
      <c r="M796">
        <v>0.2727</v>
      </c>
      <c r="N796">
        <v>1</v>
      </c>
      <c r="O796" t="s">
        <v>30</v>
      </c>
      <c r="P796">
        <v>0</v>
      </c>
      <c r="Q796">
        <v>5</v>
      </c>
      <c r="R796">
        <v>50</v>
      </c>
      <c r="S796">
        <v>55</v>
      </c>
    </row>
    <row r="797" spans="1:19" x14ac:dyDescent="0.3">
      <c r="A797">
        <v>797</v>
      </c>
      <c r="B797" s="46">
        <v>40579</v>
      </c>
      <c r="C797">
        <v>2</v>
      </c>
      <c r="D797">
        <v>15</v>
      </c>
      <c r="E797" t="b">
        <v>0</v>
      </c>
      <c r="F797">
        <v>6</v>
      </c>
      <c r="G797" t="s">
        <v>27</v>
      </c>
      <c r="H797" t="s">
        <v>28</v>
      </c>
      <c r="I797">
        <v>3</v>
      </c>
      <c r="J797" t="s">
        <v>32</v>
      </c>
      <c r="K797">
        <v>0.22</v>
      </c>
      <c r="L797" t="s">
        <v>23</v>
      </c>
      <c r="M797">
        <v>0.2727</v>
      </c>
      <c r="N797">
        <v>1</v>
      </c>
      <c r="O797" t="s">
        <v>30</v>
      </c>
      <c r="P797">
        <v>0</v>
      </c>
      <c r="Q797">
        <v>11</v>
      </c>
      <c r="R797">
        <v>49</v>
      </c>
      <c r="S797">
        <v>60</v>
      </c>
    </row>
    <row r="798" spans="1:19" x14ac:dyDescent="0.3">
      <c r="A798">
        <v>798</v>
      </c>
      <c r="B798" s="46">
        <v>40579</v>
      </c>
      <c r="C798">
        <v>2</v>
      </c>
      <c r="D798">
        <v>16</v>
      </c>
      <c r="E798" t="b">
        <v>0</v>
      </c>
      <c r="F798">
        <v>6</v>
      </c>
      <c r="G798" t="s">
        <v>27</v>
      </c>
      <c r="H798" t="s">
        <v>28</v>
      </c>
      <c r="I798">
        <v>3</v>
      </c>
      <c r="J798" t="s">
        <v>32</v>
      </c>
      <c r="K798">
        <v>0.22</v>
      </c>
      <c r="L798" t="s">
        <v>23</v>
      </c>
      <c r="M798">
        <v>0.2273</v>
      </c>
      <c r="N798">
        <v>1</v>
      </c>
      <c r="O798" t="s">
        <v>30</v>
      </c>
      <c r="P798">
        <v>0.1343</v>
      </c>
      <c r="Q798">
        <v>8</v>
      </c>
      <c r="R798">
        <v>63</v>
      </c>
      <c r="S798">
        <v>71</v>
      </c>
    </row>
    <row r="799" spans="1:19" x14ac:dyDescent="0.3">
      <c r="A799">
        <v>799</v>
      </c>
      <c r="B799" s="46">
        <v>40579</v>
      </c>
      <c r="C799">
        <v>2</v>
      </c>
      <c r="D799">
        <v>17</v>
      </c>
      <c r="E799" t="b">
        <v>0</v>
      </c>
      <c r="F799">
        <v>6</v>
      </c>
      <c r="G799" t="s">
        <v>27</v>
      </c>
      <c r="H799" t="s">
        <v>28</v>
      </c>
      <c r="I799">
        <v>2</v>
      </c>
      <c r="J799" t="s">
        <v>31</v>
      </c>
      <c r="K799">
        <v>0.24</v>
      </c>
      <c r="L799" t="s">
        <v>23</v>
      </c>
      <c r="M799">
        <v>0.21210000000000001</v>
      </c>
      <c r="N799">
        <v>1</v>
      </c>
      <c r="O799" t="s">
        <v>30</v>
      </c>
      <c r="P799">
        <v>0.28360000000000002</v>
      </c>
      <c r="Q799">
        <v>14</v>
      </c>
      <c r="R799">
        <v>64</v>
      </c>
      <c r="S799">
        <v>78</v>
      </c>
    </row>
    <row r="800" spans="1:19" x14ac:dyDescent="0.3">
      <c r="A800">
        <v>800</v>
      </c>
      <c r="B800" s="46">
        <v>40579</v>
      </c>
      <c r="C800">
        <v>2</v>
      </c>
      <c r="D800">
        <v>18</v>
      </c>
      <c r="E800" t="b">
        <v>0</v>
      </c>
      <c r="F800">
        <v>6</v>
      </c>
      <c r="G800" t="s">
        <v>27</v>
      </c>
      <c r="H800" t="s">
        <v>28</v>
      </c>
      <c r="I800">
        <v>2</v>
      </c>
      <c r="J800" t="s">
        <v>31</v>
      </c>
      <c r="K800">
        <v>0.28000000000000003</v>
      </c>
      <c r="L800" t="s">
        <v>23</v>
      </c>
      <c r="M800">
        <v>0.2424</v>
      </c>
      <c r="N800">
        <v>0.93</v>
      </c>
      <c r="O800" t="s">
        <v>30</v>
      </c>
      <c r="P800">
        <v>0.44779999999999998</v>
      </c>
      <c r="Q800">
        <v>2</v>
      </c>
      <c r="R800">
        <v>81</v>
      </c>
      <c r="S800">
        <v>83</v>
      </c>
    </row>
    <row r="801" spans="1:19" x14ac:dyDescent="0.3">
      <c r="A801">
        <v>801</v>
      </c>
      <c r="B801" s="46">
        <v>40579</v>
      </c>
      <c r="C801">
        <v>2</v>
      </c>
      <c r="D801">
        <v>19</v>
      </c>
      <c r="E801" t="b">
        <v>0</v>
      </c>
      <c r="F801">
        <v>6</v>
      </c>
      <c r="G801" t="s">
        <v>27</v>
      </c>
      <c r="H801" t="s">
        <v>28</v>
      </c>
      <c r="I801">
        <v>2</v>
      </c>
      <c r="J801" t="s">
        <v>31</v>
      </c>
      <c r="K801">
        <v>0.28000000000000003</v>
      </c>
      <c r="L801" t="s">
        <v>23</v>
      </c>
      <c r="M801">
        <v>0.2424</v>
      </c>
      <c r="N801">
        <v>0.93</v>
      </c>
      <c r="O801" t="s">
        <v>30</v>
      </c>
      <c r="P801">
        <v>0.44779999999999998</v>
      </c>
      <c r="Q801">
        <v>6</v>
      </c>
      <c r="R801">
        <v>78</v>
      </c>
      <c r="S801">
        <v>84</v>
      </c>
    </row>
    <row r="802" spans="1:19" x14ac:dyDescent="0.3">
      <c r="A802">
        <v>802</v>
      </c>
      <c r="B802" s="46">
        <v>40579</v>
      </c>
      <c r="C802">
        <v>2</v>
      </c>
      <c r="D802">
        <v>20</v>
      </c>
      <c r="E802" t="b">
        <v>0</v>
      </c>
      <c r="F802">
        <v>6</v>
      </c>
      <c r="G802" t="s">
        <v>27</v>
      </c>
      <c r="H802" t="s">
        <v>28</v>
      </c>
      <c r="I802">
        <v>1</v>
      </c>
      <c r="J802" t="s">
        <v>29</v>
      </c>
      <c r="K802">
        <v>0.3</v>
      </c>
      <c r="L802" t="s">
        <v>23</v>
      </c>
      <c r="M802">
        <v>0.28789999999999999</v>
      </c>
      <c r="N802">
        <v>0.87</v>
      </c>
      <c r="O802" t="s">
        <v>30</v>
      </c>
      <c r="P802">
        <v>0.25369999999999998</v>
      </c>
      <c r="Q802">
        <v>5</v>
      </c>
      <c r="R802">
        <v>64</v>
      </c>
      <c r="S802">
        <v>69</v>
      </c>
    </row>
    <row r="803" spans="1:19" x14ac:dyDescent="0.3">
      <c r="A803">
        <v>803</v>
      </c>
      <c r="B803" s="46">
        <v>40579</v>
      </c>
      <c r="C803">
        <v>2</v>
      </c>
      <c r="D803">
        <v>21</v>
      </c>
      <c r="E803" t="b">
        <v>0</v>
      </c>
      <c r="F803">
        <v>6</v>
      </c>
      <c r="G803" t="s">
        <v>27</v>
      </c>
      <c r="H803" t="s">
        <v>28</v>
      </c>
      <c r="I803">
        <v>1</v>
      </c>
      <c r="J803" t="s">
        <v>29</v>
      </c>
      <c r="K803">
        <v>0.26</v>
      </c>
      <c r="L803" t="s">
        <v>23</v>
      </c>
      <c r="M803">
        <v>0.2576</v>
      </c>
      <c r="N803">
        <v>1</v>
      </c>
      <c r="O803" t="s">
        <v>30</v>
      </c>
      <c r="P803">
        <v>0.19400000000000001</v>
      </c>
      <c r="Q803">
        <v>3</v>
      </c>
      <c r="R803">
        <v>53</v>
      </c>
      <c r="S803">
        <v>56</v>
      </c>
    </row>
    <row r="804" spans="1:19" x14ac:dyDescent="0.3">
      <c r="A804">
        <v>804</v>
      </c>
      <c r="B804" s="46">
        <v>40579</v>
      </c>
      <c r="C804">
        <v>2</v>
      </c>
      <c r="D804">
        <v>22</v>
      </c>
      <c r="E804" t="b">
        <v>0</v>
      </c>
      <c r="F804">
        <v>6</v>
      </c>
      <c r="G804" t="s">
        <v>27</v>
      </c>
      <c r="H804" t="s">
        <v>28</v>
      </c>
      <c r="I804">
        <v>1</v>
      </c>
      <c r="J804" t="s">
        <v>29</v>
      </c>
      <c r="K804">
        <v>0.26</v>
      </c>
      <c r="L804" t="s">
        <v>23</v>
      </c>
      <c r="M804">
        <v>0.2727</v>
      </c>
      <c r="N804">
        <v>0.93</v>
      </c>
      <c r="O804" t="s">
        <v>30</v>
      </c>
      <c r="P804">
        <v>0.1343</v>
      </c>
      <c r="Q804">
        <v>2</v>
      </c>
      <c r="R804">
        <v>43</v>
      </c>
      <c r="S804">
        <v>45</v>
      </c>
    </row>
    <row r="805" spans="1:19" x14ac:dyDescent="0.3">
      <c r="A805">
        <v>805</v>
      </c>
      <c r="B805" s="46">
        <v>40579</v>
      </c>
      <c r="C805">
        <v>2</v>
      </c>
      <c r="D805">
        <v>23</v>
      </c>
      <c r="E805" t="b">
        <v>0</v>
      </c>
      <c r="F805">
        <v>6</v>
      </c>
      <c r="G805" t="s">
        <v>27</v>
      </c>
      <c r="H805" t="s">
        <v>28</v>
      </c>
      <c r="I805">
        <v>1</v>
      </c>
      <c r="J805" t="s">
        <v>29</v>
      </c>
      <c r="K805">
        <v>0.26</v>
      </c>
      <c r="L805" t="s">
        <v>23</v>
      </c>
      <c r="M805">
        <v>0.2576</v>
      </c>
      <c r="N805">
        <v>0.93</v>
      </c>
      <c r="O805" t="s">
        <v>30</v>
      </c>
      <c r="P805">
        <v>0.22389999999999999</v>
      </c>
      <c r="Q805">
        <v>7</v>
      </c>
      <c r="R805">
        <v>52</v>
      </c>
      <c r="S805">
        <v>59</v>
      </c>
    </row>
    <row r="806" spans="1:19" x14ac:dyDescent="0.3">
      <c r="A806">
        <v>806</v>
      </c>
      <c r="B806" s="46">
        <v>40580</v>
      </c>
      <c r="C806">
        <v>2</v>
      </c>
      <c r="D806">
        <v>0</v>
      </c>
      <c r="E806" t="b">
        <v>0</v>
      </c>
      <c r="F806">
        <v>0</v>
      </c>
      <c r="G806" t="s">
        <v>27</v>
      </c>
      <c r="H806" t="s">
        <v>33</v>
      </c>
      <c r="I806">
        <v>1</v>
      </c>
      <c r="J806" t="s">
        <v>29</v>
      </c>
      <c r="K806">
        <v>0.26</v>
      </c>
      <c r="L806" t="s">
        <v>23</v>
      </c>
      <c r="M806">
        <v>0.2576</v>
      </c>
      <c r="N806">
        <v>0.7</v>
      </c>
      <c r="O806" t="s">
        <v>30</v>
      </c>
      <c r="P806">
        <v>0.19400000000000001</v>
      </c>
      <c r="Q806">
        <v>2</v>
      </c>
      <c r="R806">
        <v>37</v>
      </c>
      <c r="S806">
        <v>39</v>
      </c>
    </row>
    <row r="807" spans="1:19" x14ac:dyDescent="0.3">
      <c r="A807">
        <v>807</v>
      </c>
      <c r="B807" s="46">
        <v>40580</v>
      </c>
      <c r="C807">
        <v>2</v>
      </c>
      <c r="D807">
        <v>1</v>
      </c>
      <c r="E807" t="b">
        <v>0</v>
      </c>
      <c r="F807">
        <v>0</v>
      </c>
      <c r="G807" t="s">
        <v>27</v>
      </c>
      <c r="H807" t="s">
        <v>33</v>
      </c>
      <c r="I807">
        <v>1</v>
      </c>
      <c r="J807" t="s">
        <v>29</v>
      </c>
      <c r="K807">
        <v>0.26</v>
      </c>
      <c r="L807" t="s">
        <v>23</v>
      </c>
      <c r="M807">
        <v>0.2273</v>
      </c>
      <c r="N807">
        <v>0.65</v>
      </c>
      <c r="O807" t="s">
        <v>34</v>
      </c>
      <c r="P807">
        <v>0.41789999999999999</v>
      </c>
      <c r="Q807">
        <v>4</v>
      </c>
      <c r="R807">
        <v>40</v>
      </c>
      <c r="S807">
        <v>44</v>
      </c>
    </row>
    <row r="808" spans="1:19" x14ac:dyDescent="0.3">
      <c r="A808">
        <v>808</v>
      </c>
      <c r="B808" s="46">
        <v>40580</v>
      </c>
      <c r="C808">
        <v>2</v>
      </c>
      <c r="D808">
        <v>2</v>
      </c>
      <c r="E808" t="b">
        <v>0</v>
      </c>
      <c r="F808">
        <v>0</v>
      </c>
      <c r="G808" t="s">
        <v>27</v>
      </c>
      <c r="H808" t="s">
        <v>33</v>
      </c>
      <c r="I808">
        <v>1</v>
      </c>
      <c r="J808" t="s">
        <v>29</v>
      </c>
      <c r="K808">
        <v>0.26</v>
      </c>
      <c r="L808" t="s">
        <v>23</v>
      </c>
      <c r="M808">
        <v>0.2273</v>
      </c>
      <c r="N808">
        <v>0.6</v>
      </c>
      <c r="O808" t="s">
        <v>34</v>
      </c>
      <c r="P808">
        <v>0.32840000000000003</v>
      </c>
      <c r="Q808">
        <v>0</v>
      </c>
      <c r="R808">
        <v>20</v>
      </c>
      <c r="S808">
        <v>20</v>
      </c>
    </row>
    <row r="809" spans="1:19" x14ac:dyDescent="0.3">
      <c r="A809">
        <v>809</v>
      </c>
      <c r="B809" s="46">
        <v>40580</v>
      </c>
      <c r="C809">
        <v>2</v>
      </c>
      <c r="D809">
        <v>3</v>
      </c>
      <c r="E809" t="b">
        <v>0</v>
      </c>
      <c r="F809">
        <v>0</v>
      </c>
      <c r="G809" t="s">
        <v>27</v>
      </c>
      <c r="H809" t="s">
        <v>33</v>
      </c>
      <c r="I809">
        <v>1</v>
      </c>
      <c r="J809" t="s">
        <v>29</v>
      </c>
      <c r="K809">
        <v>0.26</v>
      </c>
      <c r="L809" t="s">
        <v>23</v>
      </c>
      <c r="M809">
        <v>0.28789999999999999</v>
      </c>
      <c r="N809">
        <v>0.6</v>
      </c>
      <c r="O809" t="s">
        <v>34</v>
      </c>
      <c r="P809">
        <v>8.9599999999999999E-2</v>
      </c>
      <c r="Q809">
        <v>3</v>
      </c>
      <c r="R809">
        <v>10</v>
      </c>
      <c r="S809">
        <v>13</v>
      </c>
    </row>
    <row r="810" spans="1:19" x14ac:dyDescent="0.3">
      <c r="A810">
        <v>810</v>
      </c>
      <c r="B810" s="46">
        <v>40580</v>
      </c>
      <c r="C810">
        <v>2</v>
      </c>
      <c r="D810">
        <v>4</v>
      </c>
      <c r="E810" t="b">
        <v>0</v>
      </c>
      <c r="F810">
        <v>0</v>
      </c>
      <c r="G810" t="s">
        <v>27</v>
      </c>
      <c r="H810" t="s">
        <v>33</v>
      </c>
      <c r="I810">
        <v>1</v>
      </c>
      <c r="J810" t="s">
        <v>29</v>
      </c>
      <c r="K810">
        <v>0.26</v>
      </c>
      <c r="L810" t="s">
        <v>23</v>
      </c>
      <c r="M810">
        <v>0.2273</v>
      </c>
      <c r="N810">
        <v>0.6</v>
      </c>
      <c r="O810" t="s">
        <v>34</v>
      </c>
      <c r="P810">
        <v>0.35820000000000002</v>
      </c>
      <c r="Q810">
        <v>0</v>
      </c>
      <c r="R810">
        <v>2</v>
      </c>
      <c r="S810">
        <v>2</v>
      </c>
    </row>
    <row r="811" spans="1:19" x14ac:dyDescent="0.3">
      <c r="A811">
        <v>811</v>
      </c>
      <c r="B811" s="46">
        <v>40580</v>
      </c>
      <c r="C811">
        <v>2</v>
      </c>
      <c r="D811">
        <v>5</v>
      </c>
      <c r="E811" t="b">
        <v>0</v>
      </c>
      <c r="F811">
        <v>0</v>
      </c>
      <c r="G811" t="s">
        <v>27</v>
      </c>
      <c r="H811" t="s">
        <v>33</v>
      </c>
      <c r="I811">
        <v>1</v>
      </c>
      <c r="J811" t="s">
        <v>29</v>
      </c>
      <c r="K811">
        <v>0.26</v>
      </c>
      <c r="L811" t="s">
        <v>23</v>
      </c>
      <c r="M811">
        <v>0.2576</v>
      </c>
      <c r="N811">
        <v>0.6</v>
      </c>
      <c r="O811" t="s">
        <v>34</v>
      </c>
      <c r="P811">
        <v>0.22389999999999999</v>
      </c>
      <c r="Q811">
        <v>0</v>
      </c>
      <c r="R811">
        <v>1</v>
      </c>
      <c r="S811">
        <v>1</v>
      </c>
    </row>
    <row r="812" spans="1:19" x14ac:dyDescent="0.3">
      <c r="A812">
        <v>812</v>
      </c>
      <c r="B812" s="46">
        <v>40580</v>
      </c>
      <c r="C812">
        <v>2</v>
      </c>
      <c r="D812">
        <v>6</v>
      </c>
      <c r="E812" t="b">
        <v>0</v>
      </c>
      <c r="F812">
        <v>0</v>
      </c>
      <c r="G812" t="s">
        <v>27</v>
      </c>
      <c r="H812" t="s">
        <v>33</v>
      </c>
      <c r="I812">
        <v>1</v>
      </c>
      <c r="J812" t="s">
        <v>29</v>
      </c>
      <c r="K812">
        <v>0.26</v>
      </c>
      <c r="L812" t="s">
        <v>23</v>
      </c>
      <c r="M812">
        <v>0.2576</v>
      </c>
      <c r="N812">
        <v>0.6</v>
      </c>
      <c r="O812" t="s">
        <v>34</v>
      </c>
      <c r="P812">
        <v>0.22389999999999999</v>
      </c>
      <c r="Q812">
        <v>0</v>
      </c>
      <c r="R812">
        <v>1</v>
      </c>
      <c r="S812">
        <v>1</v>
      </c>
    </row>
    <row r="813" spans="1:19" x14ac:dyDescent="0.3">
      <c r="A813">
        <v>813</v>
      </c>
      <c r="B813" s="46">
        <v>40580</v>
      </c>
      <c r="C813">
        <v>2</v>
      </c>
      <c r="D813">
        <v>7</v>
      </c>
      <c r="E813" t="b">
        <v>0</v>
      </c>
      <c r="F813">
        <v>0</v>
      </c>
      <c r="G813" t="s">
        <v>27</v>
      </c>
      <c r="H813" t="s">
        <v>33</v>
      </c>
      <c r="I813">
        <v>1</v>
      </c>
      <c r="J813" t="s">
        <v>29</v>
      </c>
      <c r="K813">
        <v>0.24</v>
      </c>
      <c r="L813" t="s">
        <v>23</v>
      </c>
      <c r="M813">
        <v>0.2424</v>
      </c>
      <c r="N813">
        <v>0.65</v>
      </c>
      <c r="O813" t="s">
        <v>34</v>
      </c>
      <c r="P813">
        <v>0.16420000000000001</v>
      </c>
      <c r="Q813">
        <v>0</v>
      </c>
      <c r="R813">
        <v>8</v>
      </c>
      <c r="S813">
        <v>8</v>
      </c>
    </row>
    <row r="814" spans="1:19" x14ac:dyDescent="0.3">
      <c r="A814">
        <v>814</v>
      </c>
      <c r="B814" s="46">
        <v>40580</v>
      </c>
      <c r="C814">
        <v>2</v>
      </c>
      <c r="D814">
        <v>8</v>
      </c>
      <c r="E814" t="b">
        <v>0</v>
      </c>
      <c r="F814">
        <v>0</v>
      </c>
      <c r="G814" t="s">
        <v>27</v>
      </c>
      <c r="H814" t="s">
        <v>33</v>
      </c>
      <c r="I814">
        <v>1</v>
      </c>
      <c r="J814" t="s">
        <v>29</v>
      </c>
      <c r="K814">
        <v>0.24</v>
      </c>
      <c r="L814" t="s">
        <v>23</v>
      </c>
      <c r="M814">
        <v>0.2576</v>
      </c>
      <c r="N814">
        <v>0.65</v>
      </c>
      <c r="O814" t="s">
        <v>34</v>
      </c>
      <c r="P814">
        <v>0.1045</v>
      </c>
      <c r="Q814">
        <v>2</v>
      </c>
      <c r="R814">
        <v>21</v>
      </c>
      <c r="S814">
        <v>23</v>
      </c>
    </row>
    <row r="815" spans="1:19" x14ac:dyDescent="0.3">
      <c r="A815">
        <v>815</v>
      </c>
      <c r="B815" s="46">
        <v>40580</v>
      </c>
      <c r="C815">
        <v>2</v>
      </c>
      <c r="D815">
        <v>9</v>
      </c>
      <c r="E815" t="b">
        <v>0</v>
      </c>
      <c r="F815">
        <v>0</v>
      </c>
      <c r="G815" t="s">
        <v>27</v>
      </c>
      <c r="H815" t="s">
        <v>33</v>
      </c>
      <c r="I815">
        <v>1</v>
      </c>
      <c r="J815" t="s">
        <v>29</v>
      </c>
      <c r="K815">
        <v>0.28000000000000003</v>
      </c>
      <c r="L815" t="s">
        <v>23</v>
      </c>
      <c r="M815">
        <v>0.28789999999999999</v>
      </c>
      <c r="N815">
        <v>0.56000000000000005</v>
      </c>
      <c r="O815" t="s">
        <v>34</v>
      </c>
      <c r="P815">
        <v>0.1045</v>
      </c>
      <c r="Q815">
        <v>7</v>
      </c>
      <c r="R815">
        <v>38</v>
      </c>
      <c r="S815">
        <v>45</v>
      </c>
    </row>
    <row r="816" spans="1:19" x14ac:dyDescent="0.3">
      <c r="A816">
        <v>816</v>
      </c>
      <c r="B816" s="46">
        <v>40580</v>
      </c>
      <c r="C816">
        <v>2</v>
      </c>
      <c r="D816">
        <v>10</v>
      </c>
      <c r="E816" t="b">
        <v>0</v>
      </c>
      <c r="F816">
        <v>0</v>
      </c>
      <c r="G816" t="s">
        <v>27</v>
      </c>
      <c r="H816" t="s">
        <v>33</v>
      </c>
      <c r="I816">
        <v>1</v>
      </c>
      <c r="J816" t="s">
        <v>29</v>
      </c>
      <c r="K816">
        <v>0.3</v>
      </c>
      <c r="L816" t="s">
        <v>23</v>
      </c>
      <c r="M816">
        <v>0.28789999999999999</v>
      </c>
      <c r="N816">
        <v>0.52</v>
      </c>
      <c r="O816" t="s">
        <v>34</v>
      </c>
      <c r="P816">
        <v>0.25369999999999998</v>
      </c>
      <c r="Q816">
        <v>15</v>
      </c>
      <c r="R816">
        <v>74</v>
      </c>
      <c r="S816">
        <v>89</v>
      </c>
    </row>
    <row r="817" spans="1:19" x14ac:dyDescent="0.3">
      <c r="A817">
        <v>817</v>
      </c>
      <c r="B817" s="46">
        <v>40580</v>
      </c>
      <c r="C817">
        <v>2</v>
      </c>
      <c r="D817">
        <v>11</v>
      </c>
      <c r="E817" t="b">
        <v>0</v>
      </c>
      <c r="F817">
        <v>0</v>
      </c>
      <c r="G817" t="s">
        <v>27</v>
      </c>
      <c r="H817" t="s">
        <v>33</v>
      </c>
      <c r="I817">
        <v>1</v>
      </c>
      <c r="J817" t="s">
        <v>29</v>
      </c>
      <c r="K817">
        <v>0.32</v>
      </c>
      <c r="L817" t="s">
        <v>23</v>
      </c>
      <c r="M817">
        <v>0.30299999999999999</v>
      </c>
      <c r="N817">
        <v>0.49</v>
      </c>
      <c r="O817" t="s">
        <v>34</v>
      </c>
      <c r="P817">
        <v>0.25369999999999998</v>
      </c>
      <c r="Q817">
        <v>28</v>
      </c>
      <c r="R817">
        <v>89</v>
      </c>
      <c r="S817">
        <v>117</v>
      </c>
    </row>
    <row r="818" spans="1:19" x14ac:dyDescent="0.3">
      <c r="A818">
        <v>818</v>
      </c>
      <c r="B818" s="46">
        <v>40580</v>
      </c>
      <c r="C818">
        <v>2</v>
      </c>
      <c r="D818">
        <v>12</v>
      </c>
      <c r="E818" t="b">
        <v>0</v>
      </c>
      <c r="F818">
        <v>0</v>
      </c>
      <c r="G818" t="s">
        <v>27</v>
      </c>
      <c r="H818" t="s">
        <v>33</v>
      </c>
      <c r="I818">
        <v>1</v>
      </c>
      <c r="J818" t="s">
        <v>29</v>
      </c>
      <c r="K818">
        <v>0.34</v>
      </c>
      <c r="L818" t="s">
        <v>23</v>
      </c>
      <c r="M818">
        <v>0.33329999999999999</v>
      </c>
      <c r="N818">
        <v>0.46</v>
      </c>
      <c r="O818" t="s">
        <v>34</v>
      </c>
      <c r="P818">
        <v>0</v>
      </c>
      <c r="Q818">
        <v>48</v>
      </c>
      <c r="R818">
        <v>126</v>
      </c>
      <c r="S818">
        <v>174</v>
      </c>
    </row>
    <row r="819" spans="1:19" x14ac:dyDescent="0.3">
      <c r="A819">
        <v>819</v>
      </c>
      <c r="B819" s="46">
        <v>40580</v>
      </c>
      <c r="C819">
        <v>2</v>
      </c>
      <c r="D819">
        <v>13</v>
      </c>
      <c r="E819" t="b">
        <v>0</v>
      </c>
      <c r="F819">
        <v>0</v>
      </c>
      <c r="G819" t="s">
        <v>27</v>
      </c>
      <c r="H819" t="s">
        <v>33</v>
      </c>
      <c r="I819">
        <v>1</v>
      </c>
      <c r="J819" t="s">
        <v>29</v>
      </c>
      <c r="K819">
        <v>0.34</v>
      </c>
      <c r="L819" t="s">
        <v>23</v>
      </c>
      <c r="M819">
        <v>0.36359999999999998</v>
      </c>
      <c r="N819">
        <v>0.46</v>
      </c>
      <c r="O819" t="s">
        <v>34</v>
      </c>
      <c r="P819">
        <v>0</v>
      </c>
      <c r="Q819">
        <v>47</v>
      </c>
      <c r="R819">
        <v>135</v>
      </c>
      <c r="S819">
        <v>182</v>
      </c>
    </row>
    <row r="820" spans="1:19" x14ac:dyDescent="0.3">
      <c r="A820">
        <v>820</v>
      </c>
      <c r="B820" s="46">
        <v>40580</v>
      </c>
      <c r="C820">
        <v>2</v>
      </c>
      <c r="D820">
        <v>14</v>
      </c>
      <c r="E820" t="b">
        <v>0</v>
      </c>
      <c r="F820">
        <v>0</v>
      </c>
      <c r="G820" t="s">
        <v>27</v>
      </c>
      <c r="H820" t="s">
        <v>33</v>
      </c>
      <c r="I820">
        <v>1</v>
      </c>
      <c r="J820" t="s">
        <v>29</v>
      </c>
      <c r="K820">
        <v>0.34</v>
      </c>
      <c r="L820" t="s">
        <v>23</v>
      </c>
      <c r="M820">
        <v>0.34849999999999998</v>
      </c>
      <c r="N820">
        <v>0.46</v>
      </c>
      <c r="O820" t="s">
        <v>34</v>
      </c>
      <c r="P820">
        <v>8.9599999999999999E-2</v>
      </c>
      <c r="Q820">
        <v>47</v>
      </c>
      <c r="R820">
        <v>114</v>
      </c>
      <c r="S820">
        <v>161</v>
      </c>
    </row>
    <row r="821" spans="1:19" x14ac:dyDescent="0.3">
      <c r="A821">
        <v>821</v>
      </c>
      <c r="B821" s="46">
        <v>40580</v>
      </c>
      <c r="C821">
        <v>2</v>
      </c>
      <c r="D821">
        <v>15</v>
      </c>
      <c r="E821" t="b">
        <v>0</v>
      </c>
      <c r="F821">
        <v>0</v>
      </c>
      <c r="G821" t="s">
        <v>27</v>
      </c>
      <c r="H821" t="s">
        <v>33</v>
      </c>
      <c r="I821">
        <v>1</v>
      </c>
      <c r="J821" t="s">
        <v>29</v>
      </c>
      <c r="K821">
        <v>0.34</v>
      </c>
      <c r="L821" t="s">
        <v>23</v>
      </c>
      <c r="M821">
        <v>0.34849999999999998</v>
      </c>
      <c r="N821">
        <v>0.46</v>
      </c>
      <c r="O821" t="s">
        <v>34</v>
      </c>
      <c r="P821">
        <v>8.9599999999999999E-2</v>
      </c>
      <c r="Q821">
        <v>52</v>
      </c>
      <c r="R821">
        <v>130</v>
      </c>
      <c r="S821">
        <v>182</v>
      </c>
    </row>
    <row r="822" spans="1:19" x14ac:dyDescent="0.3">
      <c r="A822">
        <v>822</v>
      </c>
      <c r="B822" s="46">
        <v>40580</v>
      </c>
      <c r="C822">
        <v>2</v>
      </c>
      <c r="D822">
        <v>16</v>
      </c>
      <c r="E822" t="b">
        <v>0</v>
      </c>
      <c r="F822">
        <v>0</v>
      </c>
      <c r="G822" t="s">
        <v>27</v>
      </c>
      <c r="H822" t="s">
        <v>33</v>
      </c>
      <c r="I822">
        <v>1</v>
      </c>
      <c r="J822" t="s">
        <v>29</v>
      </c>
      <c r="K822">
        <v>0.34</v>
      </c>
      <c r="L822" t="s">
        <v>23</v>
      </c>
      <c r="M822">
        <v>0.34849999999999998</v>
      </c>
      <c r="N822">
        <v>0.49</v>
      </c>
      <c r="O822" t="s">
        <v>34</v>
      </c>
      <c r="P822">
        <v>0.1045</v>
      </c>
      <c r="Q822">
        <v>42</v>
      </c>
      <c r="R822">
        <v>115</v>
      </c>
      <c r="S822">
        <v>157</v>
      </c>
    </row>
    <row r="823" spans="1:19" x14ac:dyDescent="0.3">
      <c r="A823">
        <v>823</v>
      </c>
      <c r="B823" s="46">
        <v>40580</v>
      </c>
      <c r="C823">
        <v>2</v>
      </c>
      <c r="D823">
        <v>17</v>
      </c>
      <c r="E823" t="b">
        <v>0</v>
      </c>
      <c r="F823">
        <v>0</v>
      </c>
      <c r="G823" t="s">
        <v>27</v>
      </c>
      <c r="H823" t="s">
        <v>33</v>
      </c>
      <c r="I823">
        <v>1</v>
      </c>
      <c r="J823" t="s">
        <v>29</v>
      </c>
      <c r="K823">
        <v>0.34</v>
      </c>
      <c r="L823" t="s">
        <v>23</v>
      </c>
      <c r="M823">
        <v>0.36359999999999998</v>
      </c>
      <c r="N823">
        <v>0.46</v>
      </c>
      <c r="O823" t="s">
        <v>34</v>
      </c>
      <c r="P823">
        <v>0</v>
      </c>
      <c r="Q823">
        <v>24</v>
      </c>
      <c r="R823">
        <v>97</v>
      </c>
      <c r="S823">
        <v>121</v>
      </c>
    </row>
    <row r="824" spans="1:19" x14ac:dyDescent="0.3">
      <c r="A824">
        <v>824</v>
      </c>
      <c r="B824" s="46">
        <v>40580</v>
      </c>
      <c r="C824">
        <v>2</v>
      </c>
      <c r="D824">
        <v>18</v>
      </c>
      <c r="E824" t="b">
        <v>0</v>
      </c>
      <c r="F824">
        <v>0</v>
      </c>
      <c r="G824" t="s">
        <v>27</v>
      </c>
      <c r="H824" t="s">
        <v>33</v>
      </c>
      <c r="I824">
        <v>1</v>
      </c>
      <c r="J824" t="s">
        <v>29</v>
      </c>
      <c r="K824">
        <v>0.3</v>
      </c>
      <c r="L824" t="s">
        <v>23</v>
      </c>
      <c r="M824">
        <v>0.30299999999999999</v>
      </c>
      <c r="N824">
        <v>0.56000000000000005</v>
      </c>
      <c r="O824" t="s">
        <v>34</v>
      </c>
      <c r="P824">
        <v>0.16420000000000001</v>
      </c>
      <c r="Q824">
        <v>13</v>
      </c>
      <c r="R824">
        <v>65</v>
      </c>
      <c r="S824">
        <v>78</v>
      </c>
    </row>
    <row r="825" spans="1:19" x14ac:dyDescent="0.3">
      <c r="A825">
        <v>825</v>
      </c>
      <c r="B825" s="46">
        <v>40580</v>
      </c>
      <c r="C825">
        <v>2</v>
      </c>
      <c r="D825">
        <v>19</v>
      </c>
      <c r="E825" t="b">
        <v>0</v>
      </c>
      <c r="F825">
        <v>0</v>
      </c>
      <c r="G825" t="s">
        <v>27</v>
      </c>
      <c r="H825" t="s">
        <v>33</v>
      </c>
      <c r="I825">
        <v>1</v>
      </c>
      <c r="J825" t="s">
        <v>29</v>
      </c>
      <c r="K825">
        <v>0.28000000000000003</v>
      </c>
      <c r="L825" t="s">
        <v>23</v>
      </c>
      <c r="M825">
        <v>0.28789999999999999</v>
      </c>
      <c r="N825">
        <v>0.61</v>
      </c>
      <c r="O825" t="s">
        <v>34</v>
      </c>
      <c r="P825">
        <v>0.1343</v>
      </c>
      <c r="Q825">
        <v>1</v>
      </c>
      <c r="R825">
        <v>20</v>
      </c>
      <c r="S825">
        <v>21</v>
      </c>
    </row>
    <row r="826" spans="1:19" x14ac:dyDescent="0.3">
      <c r="A826">
        <v>826</v>
      </c>
      <c r="B826" s="46">
        <v>40580</v>
      </c>
      <c r="C826">
        <v>2</v>
      </c>
      <c r="D826">
        <v>20</v>
      </c>
      <c r="E826" t="b">
        <v>0</v>
      </c>
      <c r="F826">
        <v>0</v>
      </c>
      <c r="G826" t="s">
        <v>27</v>
      </c>
      <c r="H826" t="s">
        <v>33</v>
      </c>
      <c r="I826">
        <v>1</v>
      </c>
      <c r="J826" t="s">
        <v>29</v>
      </c>
      <c r="K826">
        <v>0.28000000000000003</v>
      </c>
      <c r="L826" t="s">
        <v>23</v>
      </c>
      <c r="M826">
        <v>0.28789999999999999</v>
      </c>
      <c r="N826">
        <v>0.61</v>
      </c>
      <c r="O826" t="s">
        <v>34</v>
      </c>
      <c r="P826">
        <v>0.1045</v>
      </c>
      <c r="Q826">
        <v>5</v>
      </c>
      <c r="R826">
        <v>21</v>
      </c>
      <c r="S826">
        <v>26</v>
      </c>
    </row>
    <row r="827" spans="1:19" x14ac:dyDescent="0.3">
      <c r="A827">
        <v>827</v>
      </c>
      <c r="B827" s="46">
        <v>40580</v>
      </c>
      <c r="C827">
        <v>2</v>
      </c>
      <c r="D827">
        <v>21</v>
      </c>
      <c r="E827" t="b">
        <v>0</v>
      </c>
      <c r="F827">
        <v>0</v>
      </c>
      <c r="G827" t="s">
        <v>27</v>
      </c>
      <c r="H827" t="s">
        <v>33</v>
      </c>
      <c r="I827">
        <v>1</v>
      </c>
      <c r="J827" t="s">
        <v>29</v>
      </c>
      <c r="K827">
        <v>0.26</v>
      </c>
      <c r="L827" t="s">
        <v>23</v>
      </c>
      <c r="M827">
        <v>0.30299999999999999</v>
      </c>
      <c r="N827">
        <v>0.6</v>
      </c>
      <c r="O827" t="s">
        <v>34</v>
      </c>
      <c r="P827">
        <v>0</v>
      </c>
      <c r="Q827">
        <v>5</v>
      </c>
      <c r="R827">
        <v>22</v>
      </c>
      <c r="S827">
        <v>27</v>
      </c>
    </row>
    <row r="828" spans="1:19" x14ac:dyDescent="0.3">
      <c r="A828">
        <v>828</v>
      </c>
      <c r="B828" s="46">
        <v>40580</v>
      </c>
      <c r="C828">
        <v>2</v>
      </c>
      <c r="D828">
        <v>22</v>
      </c>
      <c r="E828" t="b">
        <v>0</v>
      </c>
      <c r="F828">
        <v>0</v>
      </c>
      <c r="G828" t="s">
        <v>27</v>
      </c>
      <c r="H828" t="s">
        <v>33</v>
      </c>
      <c r="I828">
        <v>1</v>
      </c>
      <c r="J828" t="s">
        <v>29</v>
      </c>
      <c r="K828">
        <v>0.26</v>
      </c>
      <c r="L828" t="s">
        <v>23</v>
      </c>
      <c r="M828">
        <v>0.30299999999999999</v>
      </c>
      <c r="N828">
        <v>0.6</v>
      </c>
      <c r="O828" t="s">
        <v>34</v>
      </c>
      <c r="P828">
        <v>0</v>
      </c>
      <c r="Q828">
        <v>5</v>
      </c>
      <c r="R828">
        <v>57</v>
      </c>
      <c r="S828">
        <v>62</v>
      </c>
    </row>
    <row r="829" spans="1:19" x14ac:dyDescent="0.3">
      <c r="A829">
        <v>829</v>
      </c>
      <c r="B829" s="46">
        <v>40580</v>
      </c>
      <c r="C829">
        <v>2</v>
      </c>
      <c r="D829">
        <v>23</v>
      </c>
      <c r="E829" t="b">
        <v>0</v>
      </c>
      <c r="F829">
        <v>0</v>
      </c>
      <c r="G829" t="s">
        <v>27</v>
      </c>
      <c r="H829" t="s">
        <v>33</v>
      </c>
      <c r="I829">
        <v>1</v>
      </c>
      <c r="J829" t="s">
        <v>29</v>
      </c>
      <c r="K829">
        <v>0.24</v>
      </c>
      <c r="L829" t="s">
        <v>23</v>
      </c>
      <c r="M829">
        <v>0.28789999999999999</v>
      </c>
      <c r="N829">
        <v>0.65</v>
      </c>
      <c r="O829" t="s">
        <v>34</v>
      </c>
      <c r="P829">
        <v>0</v>
      </c>
      <c r="Q829">
        <v>4</v>
      </c>
      <c r="R829">
        <v>26</v>
      </c>
      <c r="S829">
        <v>30</v>
      </c>
    </row>
    <row r="830" spans="1:19" x14ac:dyDescent="0.3">
      <c r="A830">
        <v>830</v>
      </c>
      <c r="B830" s="46">
        <v>40581</v>
      </c>
      <c r="C830">
        <v>2</v>
      </c>
      <c r="D830">
        <v>0</v>
      </c>
      <c r="E830" t="b">
        <v>0</v>
      </c>
      <c r="F830">
        <v>1</v>
      </c>
      <c r="G830" t="s">
        <v>35</v>
      </c>
      <c r="H830" t="s">
        <v>36</v>
      </c>
      <c r="I830">
        <v>1</v>
      </c>
      <c r="J830" t="s">
        <v>29</v>
      </c>
      <c r="K830">
        <v>0.24</v>
      </c>
      <c r="L830" t="s">
        <v>23</v>
      </c>
      <c r="M830">
        <v>0.28789999999999999</v>
      </c>
      <c r="N830">
        <v>0.65</v>
      </c>
      <c r="O830" t="s">
        <v>34</v>
      </c>
      <c r="P830">
        <v>0</v>
      </c>
      <c r="Q830">
        <v>1</v>
      </c>
      <c r="R830">
        <v>14</v>
      </c>
      <c r="S830">
        <v>15</v>
      </c>
    </row>
    <row r="831" spans="1:19" x14ac:dyDescent="0.3">
      <c r="A831">
        <v>831</v>
      </c>
      <c r="B831" s="46">
        <v>40581</v>
      </c>
      <c r="C831">
        <v>2</v>
      </c>
      <c r="D831">
        <v>1</v>
      </c>
      <c r="E831" t="b">
        <v>0</v>
      </c>
      <c r="F831">
        <v>1</v>
      </c>
      <c r="G831" t="s">
        <v>35</v>
      </c>
      <c r="H831" t="s">
        <v>36</v>
      </c>
      <c r="I831">
        <v>1</v>
      </c>
      <c r="J831" t="s">
        <v>29</v>
      </c>
      <c r="K831">
        <v>0.22</v>
      </c>
      <c r="L831" t="s">
        <v>23</v>
      </c>
      <c r="M831">
        <v>0.2727</v>
      </c>
      <c r="N831">
        <v>0.75</v>
      </c>
      <c r="O831" t="s">
        <v>30</v>
      </c>
      <c r="P831">
        <v>0</v>
      </c>
      <c r="Q831">
        <v>1</v>
      </c>
      <c r="R831">
        <v>4</v>
      </c>
      <c r="S831">
        <v>5</v>
      </c>
    </row>
    <row r="832" spans="1:19" x14ac:dyDescent="0.3">
      <c r="A832">
        <v>832</v>
      </c>
      <c r="B832" s="46">
        <v>40581</v>
      </c>
      <c r="C832">
        <v>2</v>
      </c>
      <c r="D832">
        <v>2</v>
      </c>
      <c r="E832" t="b">
        <v>0</v>
      </c>
      <c r="F832">
        <v>1</v>
      </c>
      <c r="G832" t="s">
        <v>35</v>
      </c>
      <c r="H832" t="s">
        <v>36</v>
      </c>
      <c r="I832">
        <v>1</v>
      </c>
      <c r="J832" t="s">
        <v>29</v>
      </c>
      <c r="K832">
        <v>0.2</v>
      </c>
      <c r="L832" t="s">
        <v>23</v>
      </c>
      <c r="M832">
        <v>0.2576</v>
      </c>
      <c r="N832">
        <v>0.8</v>
      </c>
      <c r="O832" t="s">
        <v>30</v>
      </c>
      <c r="P832">
        <v>0</v>
      </c>
      <c r="Q832">
        <v>0</v>
      </c>
      <c r="R832">
        <v>3</v>
      </c>
      <c r="S832">
        <v>3</v>
      </c>
    </row>
    <row r="833" spans="1:19" x14ac:dyDescent="0.3">
      <c r="A833">
        <v>833</v>
      </c>
      <c r="B833" s="46">
        <v>40581</v>
      </c>
      <c r="C833">
        <v>2</v>
      </c>
      <c r="D833">
        <v>3</v>
      </c>
      <c r="E833" t="b">
        <v>0</v>
      </c>
      <c r="F833">
        <v>1</v>
      </c>
      <c r="G833" t="s">
        <v>35</v>
      </c>
      <c r="H833" t="s">
        <v>36</v>
      </c>
      <c r="I833">
        <v>1</v>
      </c>
      <c r="J833" t="s">
        <v>29</v>
      </c>
      <c r="K833">
        <v>0.2</v>
      </c>
      <c r="L833" t="s">
        <v>23</v>
      </c>
      <c r="M833">
        <v>0.2576</v>
      </c>
      <c r="N833">
        <v>0.86</v>
      </c>
      <c r="O833" t="s">
        <v>30</v>
      </c>
      <c r="P833">
        <v>0</v>
      </c>
      <c r="Q833">
        <v>0</v>
      </c>
      <c r="R833">
        <v>1</v>
      </c>
      <c r="S833">
        <v>1</v>
      </c>
    </row>
    <row r="834" spans="1:19" x14ac:dyDescent="0.3">
      <c r="A834">
        <v>834</v>
      </c>
      <c r="B834" s="46">
        <v>40581</v>
      </c>
      <c r="C834">
        <v>2</v>
      </c>
      <c r="D834">
        <v>4</v>
      </c>
      <c r="E834" t="b">
        <v>0</v>
      </c>
      <c r="F834">
        <v>1</v>
      </c>
      <c r="G834" t="s">
        <v>35</v>
      </c>
      <c r="H834" t="s">
        <v>36</v>
      </c>
      <c r="I834">
        <v>1</v>
      </c>
      <c r="J834" t="s">
        <v>29</v>
      </c>
      <c r="K834">
        <v>0.2</v>
      </c>
      <c r="L834" t="s">
        <v>23</v>
      </c>
      <c r="M834">
        <v>0.2576</v>
      </c>
      <c r="N834">
        <v>0.86</v>
      </c>
      <c r="O834" t="s">
        <v>30</v>
      </c>
      <c r="P834">
        <v>0</v>
      </c>
      <c r="Q834">
        <v>1</v>
      </c>
      <c r="R834">
        <v>1</v>
      </c>
      <c r="S834">
        <v>2</v>
      </c>
    </row>
    <row r="835" spans="1:19" x14ac:dyDescent="0.3">
      <c r="A835">
        <v>835</v>
      </c>
      <c r="B835" s="46">
        <v>40581</v>
      </c>
      <c r="C835">
        <v>2</v>
      </c>
      <c r="D835">
        <v>5</v>
      </c>
      <c r="E835" t="b">
        <v>0</v>
      </c>
      <c r="F835">
        <v>1</v>
      </c>
      <c r="G835" t="s">
        <v>35</v>
      </c>
      <c r="H835" t="s">
        <v>36</v>
      </c>
      <c r="I835">
        <v>1</v>
      </c>
      <c r="J835" t="s">
        <v>29</v>
      </c>
      <c r="K835">
        <v>0.2</v>
      </c>
      <c r="L835" t="s">
        <v>23</v>
      </c>
      <c r="M835">
        <v>0.2576</v>
      </c>
      <c r="N835">
        <v>0.86</v>
      </c>
      <c r="O835" t="s">
        <v>30</v>
      </c>
      <c r="P835">
        <v>0</v>
      </c>
      <c r="Q835">
        <v>1</v>
      </c>
      <c r="R835">
        <v>9</v>
      </c>
      <c r="S835">
        <v>10</v>
      </c>
    </row>
    <row r="836" spans="1:19" x14ac:dyDescent="0.3">
      <c r="A836">
        <v>836</v>
      </c>
      <c r="B836" s="46">
        <v>40581</v>
      </c>
      <c r="C836">
        <v>2</v>
      </c>
      <c r="D836">
        <v>6</v>
      </c>
      <c r="E836" t="b">
        <v>0</v>
      </c>
      <c r="F836">
        <v>1</v>
      </c>
      <c r="G836" t="s">
        <v>35</v>
      </c>
      <c r="H836" t="s">
        <v>36</v>
      </c>
      <c r="I836">
        <v>1</v>
      </c>
      <c r="J836" t="s">
        <v>29</v>
      </c>
      <c r="K836">
        <v>0.18</v>
      </c>
      <c r="L836" t="s">
        <v>23</v>
      </c>
      <c r="M836">
        <v>0.2424</v>
      </c>
      <c r="N836">
        <v>0.93</v>
      </c>
      <c r="O836" t="s">
        <v>30</v>
      </c>
      <c r="P836">
        <v>0</v>
      </c>
      <c r="Q836">
        <v>1</v>
      </c>
      <c r="R836">
        <v>29</v>
      </c>
      <c r="S836">
        <v>30</v>
      </c>
    </row>
    <row r="837" spans="1:19" x14ac:dyDescent="0.3">
      <c r="A837">
        <v>837</v>
      </c>
      <c r="B837" s="46">
        <v>40581</v>
      </c>
      <c r="C837">
        <v>2</v>
      </c>
      <c r="D837">
        <v>7</v>
      </c>
      <c r="E837" t="b">
        <v>0</v>
      </c>
      <c r="F837">
        <v>1</v>
      </c>
      <c r="G837" t="s">
        <v>35</v>
      </c>
      <c r="H837" t="s">
        <v>36</v>
      </c>
      <c r="I837">
        <v>1</v>
      </c>
      <c r="J837" t="s">
        <v>29</v>
      </c>
      <c r="K837">
        <v>0.18</v>
      </c>
      <c r="L837" t="s">
        <v>23</v>
      </c>
      <c r="M837">
        <v>0.2424</v>
      </c>
      <c r="N837">
        <v>0.86</v>
      </c>
      <c r="O837" t="s">
        <v>30</v>
      </c>
      <c r="P837">
        <v>0</v>
      </c>
      <c r="Q837">
        <v>6</v>
      </c>
      <c r="R837">
        <v>89</v>
      </c>
      <c r="S837">
        <v>95</v>
      </c>
    </row>
    <row r="838" spans="1:19" x14ac:dyDescent="0.3">
      <c r="A838">
        <v>838</v>
      </c>
      <c r="B838" s="46">
        <v>40581</v>
      </c>
      <c r="C838">
        <v>2</v>
      </c>
      <c r="D838">
        <v>8</v>
      </c>
      <c r="E838" t="b">
        <v>0</v>
      </c>
      <c r="F838">
        <v>1</v>
      </c>
      <c r="G838" t="s">
        <v>35</v>
      </c>
      <c r="H838" t="s">
        <v>36</v>
      </c>
      <c r="I838">
        <v>2</v>
      </c>
      <c r="J838" t="s">
        <v>31</v>
      </c>
      <c r="K838">
        <v>0.16</v>
      </c>
      <c r="L838" t="s">
        <v>23</v>
      </c>
      <c r="M838">
        <v>0.2273</v>
      </c>
      <c r="N838">
        <v>1</v>
      </c>
      <c r="O838" t="s">
        <v>30</v>
      </c>
      <c r="P838">
        <v>0</v>
      </c>
      <c r="Q838">
        <v>7</v>
      </c>
      <c r="R838">
        <v>223</v>
      </c>
      <c r="S838">
        <v>230</v>
      </c>
    </row>
    <row r="839" spans="1:19" x14ac:dyDescent="0.3">
      <c r="A839">
        <v>839</v>
      </c>
      <c r="B839" s="46">
        <v>40581</v>
      </c>
      <c r="C839">
        <v>2</v>
      </c>
      <c r="D839">
        <v>9</v>
      </c>
      <c r="E839" t="b">
        <v>0</v>
      </c>
      <c r="F839">
        <v>1</v>
      </c>
      <c r="G839" t="s">
        <v>35</v>
      </c>
      <c r="H839" t="s">
        <v>36</v>
      </c>
      <c r="I839">
        <v>1</v>
      </c>
      <c r="J839" t="s">
        <v>29</v>
      </c>
      <c r="K839">
        <v>0.22</v>
      </c>
      <c r="L839" t="s">
        <v>23</v>
      </c>
      <c r="M839">
        <v>0.2727</v>
      </c>
      <c r="N839">
        <v>0.8</v>
      </c>
      <c r="O839" t="s">
        <v>30</v>
      </c>
      <c r="P839">
        <v>0</v>
      </c>
      <c r="Q839">
        <v>3</v>
      </c>
      <c r="R839">
        <v>115</v>
      </c>
      <c r="S839">
        <v>118</v>
      </c>
    </row>
    <row r="840" spans="1:19" x14ac:dyDescent="0.3">
      <c r="A840">
        <v>840</v>
      </c>
      <c r="B840" s="46">
        <v>40581</v>
      </c>
      <c r="C840">
        <v>2</v>
      </c>
      <c r="D840">
        <v>10</v>
      </c>
      <c r="E840" t="b">
        <v>0</v>
      </c>
      <c r="F840">
        <v>1</v>
      </c>
      <c r="G840" t="s">
        <v>35</v>
      </c>
      <c r="H840" t="s">
        <v>36</v>
      </c>
      <c r="I840">
        <v>1</v>
      </c>
      <c r="J840" t="s">
        <v>29</v>
      </c>
      <c r="K840">
        <v>0.24</v>
      </c>
      <c r="L840" t="s">
        <v>23</v>
      </c>
      <c r="M840">
        <v>0.2576</v>
      </c>
      <c r="N840">
        <v>0.75</v>
      </c>
      <c r="O840" t="s">
        <v>30</v>
      </c>
      <c r="P840">
        <v>0.1045</v>
      </c>
      <c r="Q840">
        <v>6</v>
      </c>
      <c r="R840">
        <v>49</v>
      </c>
      <c r="S840">
        <v>55</v>
      </c>
    </row>
    <row r="841" spans="1:19" x14ac:dyDescent="0.3">
      <c r="A841">
        <v>841</v>
      </c>
      <c r="B841" s="46">
        <v>40581</v>
      </c>
      <c r="C841">
        <v>2</v>
      </c>
      <c r="D841">
        <v>11</v>
      </c>
      <c r="E841" t="b">
        <v>0</v>
      </c>
      <c r="F841">
        <v>1</v>
      </c>
      <c r="G841" t="s">
        <v>35</v>
      </c>
      <c r="H841" t="s">
        <v>36</v>
      </c>
      <c r="I841">
        <v>1</v>
      </c>
      <c r="J841" t="s">
        <v>29</v>
      </c>
      <c r="K841">
        <v>0.3</v>
      </c>
      <c r="L841" t="s">
        <v>23</v>
      </c>
      <c r="M841">
        <v>0.31819999999999998</v>
      </c>
      <c r="N841">
        <v>0.65</v>
      </c>
      <c r="O841" t="s">
        <v>34</v>
      </c>
      <c r="P841">
        <v>8.9599999999999999E-2</v>
      </c>
      <c r="Q841">
        <v>11</v>
      </c>
      <c r="R841">
        <v>36</v>
      </c>
      <c r="S841">
        <v>47</v>
      </c>
    </row>
    <row r="842" spans="1:19" x14ac:dyDescent="0.3">
      <c r="A842">
        <v>842</v>
      </c>
      <c r="B842" s="46">
        <v>40581</v>
      </c>
      <c r="C842">
        <v>2</v>
      </c>
      <c r="D842">
        <v>12</v>
      </c>
      <c r="E842" t="b">
        <v>0</v>
      </c>
      <c r="F842">
        <v>1</v>
      </c>
      <c r="G842" t="s">
        <v>35</v>
      </c>
      <c r="H842" t="s">
        <v>36</v>
      </c>
      <c r="I842">
        <v>2</v>
      </c>
      <c r="J842" t="s">
        <v>31</v>
      </c>
      <c r="K842">
        <v>0.32</v>
      </c>
      <c r="L842" t="s">
        <v>23</v>
      </c>
      <c r="M842">
        <v>0.34849999999999998</v>
      </c>
      <c r="N842">
        <v>0.62</v>
      </c>
      <c r="O842" t="s">
        <v>34</v>
      </c>
      <c r="P842">
        <v>0</v>
      </c>
      <c r="Q842">
        <v>7</v>
      </c>
      <c r="R842">
        <v>59</v>
      </c>
      <c r="S842">
        <v>66</v>
      </c>
    </row>
    <row r="843" spans="1:19" x14ac:dyDescent="0.3">
      <c r="A843">
        <v>843</v>
      </c>
      <c r="B843" s="46">
        <v>40581</v>
      </c>
      <c r="C843">
        <v>2</v>
      </c>
      <c r="D843">
        <v>13</v>
      </c>
      <c r="E843" t="b">
        <v>0</v>
      </c>
      <c r="F843">
        <v>1</v>
      </c>
      <c r="G843" t="s">
        <v>35</v>
      </c>
      <c r="H843" t="s">
        <v>36</v>
      </c>
      <c r="I843">
        <v>2</v>
      </c>
      <c r="J843" t="s">
        <v>31</v>
      </c>
      <c r="K843">
        <v>0.36</v>
      </c>
      <c r="L843" t="s">
        <v>30</v>
      </c>
      <c r="M843">
        <v>0.36359999999999998</v>
      </c>
      <c r="N843">
        <v>0.56999999999999995</v>
      </c>
      <c r="O843" t="s">
        <v>34</v>
      </c>
      <c r="P843">
        <v>8.9599999999999999E-2</v>
      </c>
      <c r="Q843">
        <v>10</v>
      </c>
      <c r="R843">
        <v>54</v>
      </c>
      <c r="S843">
        <v>64</v>
      </c>
    </row>
    <row r="844" spans="1:19" x14ac:dyDescent="0.3">
      <c r="A844">
        <v>844</v>
      </c>
      <c r="B844" s="46">
        <v>40581</v>
      </c>
      <c r="C844">
        <v>2</v>
      </c>
      <c r="D844">
        <v>14</v>
      </c>
      <c r="E844" t="b">
        <v>0</v>
      </c>
      <c r="F844">
        <v>1</v>
      </c>
      <c r="G844" t="s">
        <v>35</v>
      </c>
      <c r="H844" t="s">
        <v>36</v>
      </c>
      <c r="I844">
        <v>2</v>
      </c>
      <c r="J844" t="s">
        <v>31</v>
      </c>
      <c r="K844">
        <v>0.36</v>
      </c>
      <c r="L844" t="s">
        <v>30</v>
      </c>
      <c r="M844">
        <v>0.36359999999999998</v>
      </c>
      <c r="N844">
        <v>0.56999999999999995</v>
      </c>
      <c r="O844" t="s">
        <v>34</v>
      </c>
      <c r="P844">
        <v>8.9599999999999999E-2</v>
      </c>
      <c r="Q844">
        <v>8</v>
      </c>
      <c r="R844">
        <v>52</v>
      </c>
      <c r="S844">
        <v>60</v>
      </c>
    </row>
    <row r="845" spans="1:19" x14ac:dyDescent="0.3">
      <c r="A845">
        <v>845</v>
      </c>
      <c r="B845" s="46">
        <v>40581</v>
      </c>
      <c r="C845">
        <v>2</v>
      </c>
      <c r="D845">
        <v>15</v>
      </c>
      <c r="E845" t="b">
        <v>0</v>
      </c>
      <c r="F845">
        <v>1</v>
      </c>
      <c r="G845" t="s">
        <v>35</v>
      </c>
      <c r="H845" t="s">
        <v>36</v>
      </c>
      <c r="I845">
        <v>2</v>
      </c>
      <c r="J845" t="s">
        <v>31</v>
      </c>
      <c r="K845">
        <v>0.38</v>
      </c>
      <c r="L845" t="s">
        <v>30</v>
      </c>
      <c r="M845">
        <v>0.39389999999999997</v>
      </c>
      <c r="N845">
        <v>0.54</v>
      </c>
      <c r="O845" t="s">
        <v>34</v>
      </c>
      <c r="P845">
        <v>8.9599999999999999E-2</v>
      </c>
      <c r="Q845">
        <v>4</v>
      </c>
      <c r="R845">
        <v>46</v>
      </c>
      <c r="S845">
        <v>50</v>
      </c>
    </row>
    <row r="846" spans="1:19" x14ac:dyDescent="0.3">
      <c r="A846">
        <v>846</v>
      </c>
      <c r="B846" s="46">
        <v>40581</v>
      </c>
      <c r="C846">
        <v>2</v>
      </c>
      <c r="D846">
        <v>16</v>
      </c>
      <c r="E846" t="b">
        <v>0</v>
      </c>
      <c r="F846">
        <v>1</v>
      </c>
      <c r="G846" t="s">
        <v>35</v>
      </c>
      <c r="H846" t="s">
        <v>36</v>
      </c>
      <c r="I846">
        <v>2</v>
      </c>
      <c r="J846" t="s">
        <v>31</v>
      </c>
      <c r="K846">
        <v>0.36</v>
      </c>
      <c r="L846" t="s">
        <v>30</v>
      </c>
      <c r="M846">
        <v>0.34849999999999998</v>
      </c>
      <c r="N846">
        <v>0.56999999999999995</v>
      </c>
      <c r="O846" t="s">
        <v>34</v>
      </c>
      <c r="P846">
        <v>0.1343</v>
      </c>
      <c r="Q846">
        <v>16</v>
      </c>
      <c r="R846">
        <v>98</v>
      </c>
      <c r="S846">
        <v>114</v>
      </c>
    </row>
    <row r="847" spans="1:19" x14ac:dyDescent="0.3">
      <c r="A847">
        <v>847</v>
      </c>
      <c r="B847" s="46">
        <v>40581</v>
      </c>
      <c r="C847">
        <v>2</v>
      </c>
      <c r="D847">
        <v>17</v>
      </c>
      <c r="E847" t="b">
        <v>0</v>
      </c>
      <c r="F847">
        <v>1</v>
      </c>
      <c r="G847" t="s">
        <v>35</v>
      </c>
      <c r="H847" t="s">
        <v>36</v>
      </c>
      <c r="I847">
        <v>2</v>
      </c>
      <c r="J847" t="s">
        <v>31</v>
      </c>
      <c r="K847">
        <v>0.32</v>
      </c>
      <c r="L847" t="s">
        <v>23</v>
      </c>
      <c r="M847">
        <v>0.31819999999999998</v>
      </c>
      <c r="N847">
        <v>0.7</v>
      </c>
      <c r="O847" t="s">
        <v>30</v>
      </c>
      <c r="P847">
        <v>0.16420000000000001</v>
      </c>
      <c r="Q847">
        <v>9</v>
      </c>
      <c r="R847">
        <v>207</v>
      </c>
      <c r="S847">
        <v>216</v>
      </c>
    </row>
    <row r="848" spans="1:19" x14ac:dyDescent="0.3">
      <c r="A848">
        <v>848</v>
      </c>
      <c r="B848" s="46">
        <v>40581</v>
      </c>
      <c r="C848">
        <v>2</v>
      </c>
      <c r="D848">
        <v>18</v>
      </c>
      <c r="E848" t="b">
        <v>0</v>
      </c>
      <c r="F848">
        <v>1</v>
      </c>
      <c r="G848" t="s">
        <v>35</v>
      </c>
      <c r="H848" t="s">
        <v>36</v>
      </c>
      <c r="I848">
        <v>2</v>
      </c>
      <c r="J848" t="s">
        <v>31</v>
      </c>
      <c r="K848">
        <v>0.34</v>
      </c>
      <c r="L848" t="s">
        <v>23</v>
      </c>
      <c r="M848">
        <v>0.33329999999999999</v>
      </c>
      <c r="N848">
        <v>0.66</v>
      </c>
      <c r="O848" t="s">
        <v>34</v>
      </c>
      <c r="P848">
        <v>0.1343</v>
      </c>
      <c r="Q848">
        <v>5</v>
      </c>
      <c r="R848">
        <v>170</v>
      </c>
      <c r="S848">
        <v>175</v>
      </c>
    </row>
    <row r="849" spans="1:19" x14ac:dyDescent="0.3">
      <c r="A849">
        <v>849</v>
      </c>
      <c r="B849" s="46">
        <v>40581</v>
      </c>
      <c r="C849">
        <v>2</v>
      </c>
      <c r="D849">
        <v>19</v>
      </c>
      <c r="E849" t="b">
        <v>0</v>
      </c>
      <c r="F849">
        <v>1</v>
      </c>
      <c r="G849" t="s">
        <v>35</v>
      </c>
      <c r="H849" t="s">
        <v>36</v>
      </c>
      <c r="I849">
        <v>2</v>
      </c>
      <c r="J849" t="s">
        <v>31</v>
      </c>
      <c r="K849">
        <v>0.32</v>
      </c>
      <c r="L849" t="s">
        <v>23</v>
      </c>
      <c r="M849">
        <v>0.34849999999999998</v>
      </c>
      <c r="N849">
        <v>0.7</v>
      </c>
      <c r="O849" t="s">
        <v>30</v>
      </c>
      <c r="P849">
        <v>0</v>
      </c>
      <c r="Q849">
        <v>5</v>
      </c>
      <c r="R849">
        <v>123</v>
      </c>
      <c r="S849">
        <v>128</v>
      </c>
    </row>
    <row r="850" spans="1:19" x14ac:dyDescent="0.3">
      <c r="A850">
        <v>850</v>
      </c>
      <c r="B850" s="46">
        <v>40581</v>
      </c>
      <c r="C850">
        <v>2</v>
      </c>
      <c r="D850">
        <v>20</v>
      </c>
      <c r="E850" t="b">
        <v>0</v>
      </c>
      <c r="F850">
        <v>1</v>
      </c>
      <c r="G850" t="s">
        <v>35</v>
      </c>
      <c r="H850" t="s">
        <v>36</v>
      </c>
      <c r="I850">
        <v>2</v>
      </c>
      <c r="J850" t="s">
        <v>31</v>
      </c>
      <c r="K850">
        <v>0.32</v>
      </c>
      <c r="L850" t="s">
        <v>23</v>
      </c>
      <c r="M850">
        <v>0.33329999999999999</v>
      </c>
      <c r="N850">
        <v>0.7</v>
      </c>
      <c r="O850" t="s">
        <v>30</v>
      </c>
      <c r="P850">
        <v>0.1045</v>
      </c>
      <c r="Q850">
        <v>6</v>
      </c>
      <c r="R850">
        <v>82</v>
      </c>
      <c r="S850">
        <v>88</v>
      </c>
    </row>
    <row r="851" spans="1:19" x14ac:dyDescent="0.3">
      <c r="A851">
        <v>851</v>
      </c>
      <c r="B851" s="46">
        <v>40581</v>
      </c>
      <c r="C851">
        <v>2</v>
      </c>
      <c r="D851">
        <v>21</v>
      </c>
      <c r="E851" t="b">
        <v>0</v>
      </c>
      <c r="F851">
        <v>1</v>
      </c>
      <c r="G851" t="s">
        <v>35</v>
      </c>
      <c r="H851" t="s">
        <v>36</v>
      </c>
      <c r="I851">
        <v>1</v>
      </c>
      <c r="J851" t="s">
        <v>29</v>
      </c>
      <c r="K851">
        <v>0.32</v>
      </c>
      <c r="L851" t="s">
        <v>23</v>
      </c>
      <c r="M851">
        <v>0.34849999999999998</v>
      </c>
      <c r="N851">
        <v>0.7</v>
      </c>
      <c r="O851" t="s">
        <v>30</v>
      </c>
      <c r="P851">
        <v>0</v>
      </c>
      <c r="Q851">
        <v>3</v>
      </c>
      <c r="R851">
        <v>75</v>
      </c>
      <c r="S851">
        <v>78</v>
      </c>
    </row>
    <row r="852" spans="1:19" x14ac:dyDescent="0.3">
      <c r="A852">
        <v>852</v>
      </c>
      <c r="B852" s="46">
        <v>40581</v>
      </c>
      <c r="C852">
        <v>2</v>
      </c>
      <c r="D852">
        <v>22</v>
      </c>
      <c r="E852" t="b">
        <v>0</v>
      </c>
      <c r="F852">
        <v>1</v>
      </c>
      <c r="G852" t="s">
        <v>35</v>
      </c>
      <c r="H852" t="s">
        <v>36</v>
      </c>
      <c r="I852">
        <v>1</v>
      </c>
      <c r="J852" t="s">
        <v>29</v>
      </c>
      <c r="K852">
        <v>0.28000000000000003</v>
      </c>
      <c r="L852" t="s">
        <v>23</v>
      </c>
      <c r="M852">
        <v>0.30299999999999999</v>
      </c>
      <c r="N852">
        <v>0.81</v>
      </c>
      <c r="O852" t="s">
        <v>30</v>
      </c>
      <c r="P852">
        <v>8.9599999999999999E-2</v>
      </c>
      <c r="Q852">
        <v>3</v>
      </c>
      <c r="R852">
        <v>34</v>
      </c>
      <c r="S852">
        <v>37</v>
      </c>
    </row>
    <row r="853" spans="1:19" x14ac:dyDescent="0.3">
      <c r="A853">
        <v>853</v>
      </c>
      <c r="B853" s="46">
        <v>40581</v>
      </c>
      <c r="C853">
        <v>2</v>
      </c>
      <c r="D853">
        <v>23</v>
      </c>
      <c r="E853" t="b">
        <v>0</v>
      </c>
      <c r="F853">
        <v>1</v>
      </c>
      <c r="G853" t="s">
        <v>35</v>
      </c>
      <c r="H853" t="s">
        <v>36</v>
      </c>
      <c r="I853">
        <v>2</v>
      </c>
      <c r="J853" t="s">
        <v>31</v>
      </c>
      <c r="K853">
        <v>0.3</v>
      </c>
      <c r="L853" t="s">
        <v>23</v>
      </c>
      <c r="M853">
        <v>0.33329999999999999</v>
      </c>
      <c r="N853">
        <v>0.81</v>
      </c>
      <c r="O853" t="s">
        <v>30</v>
      </c>
      <c r="P853">
        <v>0</v>
      </c>
      <c r="Q853">
        <v>6</v>
      </c>
      <c r="R853">
        <v>19</v>
      </c>
      <c r="S853">
        <v>25</v>
      </c>
    </row>
    <row r="854" spans="1:19" x14ac:dyDescent="0.3">
      <c r="A854">
        <v>854</v>
      </c>
      <c r="B854" s="46">
        <v>40582</v>
      </c>
      <c r="C854">
        <v>2</v>
      </c>
      <c r="D854">
        <v>0</v>
      </c>
      <c r="E854" t="b">
        <v>0</v>
      </c>
      <c r="F854">
        <v>2</v>
      </c>
      <c r="G854" t="s">
        <v>35</v>
      </c>
      <c r="H854" t="s">
        <v>37</v>
      </c>
      <c r="I854">
        <v>2</v>
      </c>
      <c r="J854" t="s">
        <v>31</v>
      </c>
      <c r="K854">
        <v>0.28000000000000003</v>
      </c>
      <c r="L854" t="s">
        <v>23</v>
      </c>
      <c r="M854">
        <v>0.31819999999999998</v>
      </c>
      <c r="N854">
        <v>0.87</v>
      </c>
      <c r="O854" t="s">
        <v>30</v>
      </c>
      <c r="P854">
        <v>0</v>
      </c>
      <c r="Q854">
        <v>4</v>
      </c>
      <c r="R854">
        <v>6</v>
      </c>
      <c r="S854">
        <v>10</v>
      </c>
    </row>
    <row r="855" spans="1:19" x14ac:dyDescent="0.3">
      <c r="A855">
        <v>855</v>
      </c>
      <c r="B855" s="46">
        <v>40582</v>
      </c>
      <c r="C855">
        <v>2</v>
      </c>
      <c r="D855">
        <v>1</v>
      </c>
      <c r="E855" t="b">
        <v>0</v>
      </c>
      <c r="F855">
        <v>2</v>
      </c>
      <c r="G855" t="s">
        <v>35</v>
      </c>
      <c r="H855" t="s">
        <v>37</v>
      </c>
      <c r="I855">
        <v>2</v>
      </c>
      <c r="J855" t="s">
        <v>31</v>
      </c>
      <c r="K855">
        <v>0.28000000000000003</v>
      </c>
      <c r="L855" t="s">
        <v>23</v>
      </c>
      <c r="M855">
        <v>0.31819999999999998</v>
      </c>
      <c r="N855">
        <v>0.87</v>
      </c>
      <c r="O855" t="s">
        <v>30</v>
      </c>
      <c r="P855">
        <v>0</v>
      </c>
      <c r="Q855">
        <v>0</v>
      </c>
      <c r="R855">
        <v>4</v>
      </c>
      <c r="S855">
        <v>4</v>
      </c>
    </row>
    <row r="856" spans="1:19" x14ac:dyDescent="0.3">
      <c r="A856">
        <v>856</v>
      </c>
      <c r="B856" s="46">
        <v>40582</v>
      </c>
      <c r="C856">
        <v>2</v>
      </c>
      <c r="D856">
        <v>2</v>
      </c>
      <c r="E856" t="b">
        <v>0</v>
      </c>
      <c r="F856">
        <v>2</v>
      </c>
      <c r="G856" t="s">
        <v>35</v>
      </c>
      <c r="H856" t="s">
        <v>37</v>
      </c>
      <c r="I856">
        <v>2</v>
      </c>
      <c r="J856" t="s">
        <v>31</v>
      </c>
      <c r="K856">
        <v>0.26</v>
      </c>
      <c r="L856" t="s">
        <v>23</v>
      </c>
      <c r="M856">
        <v>0.2727</v>
      </c>
      <c r="N856">
        <v>0.93</v>
      </c>
      <c r="O856" t="s">
        <v>30</v>
      </c>
      <c r="P856">
        <v>0.1045</v>
      </c>
      <c r="Q856">
        <v>1</v>
      </c>
      <c r="R856">
        <v>1</v>
      </c>
      <c r="S856">
        <v>2</v>
      </c>
    </row>
    <row r="857" spans="1:19" x14ac:dyDescent="0.3">
      <c r="A857">
        <v>857</v>
      </c>
      <c r="B857" s="46">
        <v>40582</v>
      </c>
      <c r="C857">
        <v>2</v>
      </c>
      <c r="D857">
        <v>3</v>
      </c>
      <c r="E857" t="b">
        <v>0</v>
      </c>
      <c r="F857">
        <v>2</v>
      </c>
      <c r="G857" t="s">
        <v>35</v>
      </c>
      <c r="H857" t="s">
        <v>37</v>
      </c>
      <c r="I857">
        <v>3</v>
      </c>
      <c r="J857" t="s">
        <v>32</v>
      </c>
      <c r="K857">
        <v>0.28000000000000003</v>
      </c>
      <c r="L857" t="s">
        <v>23</v>
      </c>
      <c r="M857">
        <v>0.2727</v>
      </c>
      <c r="N857">
        <v>0.93</v>
      </c>
      <c r="O857" t="s">
        <v>30</v>
      </c>
      <c r="P857">
        <v>0.16420000000000001</v>
      </c>
      <c r="Q857">
        <v>0</v>
      </c>
      <c r="R857">
        <v>1</v>
      </c>
      <c r="S857">
        <v>1</v>
      </c>
    </row>
    <row r="858" spans="1:19" x14ac:dyDescent="0.3">
      <c r="A858">
        <v>858</v>
      </c>
      <c r="B858" s="46">
        <v>40582</v>
      </c>
      <c r="C858">
        <v>2</v>
      </c>
      <c r="D858">
        <v>4</v>
      </c>
      <c r="E858" t="b">
        <v>0</v>
      </c>
      <c r="F858">
        <v>2</v>
      </c>
      <c r="G858" t="s">
        <v>35</v>
      </c>
      <c r="H858" t="s">
        <v>37</v>
      </c>
      <c r="I858">
        <v>1</v>
      </c>
      <c r="J858" t="s">
        <v>29</v>
      </c>
      <c r="K858">
        <v>0.26</v>
      </c>
      <c r="L858" t="s">
        <v>23</v>
      </c>
      <c r="M858">
        <v>0.2576</v>
      </c>
      <c r="N858">
        <v>0.93</v>
      </c>
      <c r="O858" t="s">
        <v>30</v>
      </c>
      <c r="P858">
        <v>0.16420000000000001</v>
      </c>
      <c r="Q858">
        <v>0</v>
      </c>
      <c r="R858">
        <v>3</v>
      </c>
      <c r="S858">
        <v>3</v>
      </c>
    </row>
    <row r="859" spans="1:19" x14ac:dyDescent="0.3">
      <c r="A859">
        <v>859</v>
      </c>
      <c r="B859" s="46">
        <v>40582</v>
      </c>
      <c r="C859">
        <v>2</v>
      </c>
      <c r="D859">
        <v>5</v>
      </c>
      <c r="E859" t="b">
        <v>0</v>
      </c>
      <c r="F859">
        <v>2</v>
      </c>
      <c r="G859" t="s">
        <v>35</v>
      </c>
      <c r="H859" t="s">
        <v>37</v>
      </c>
      <c r="I859">
        <v>1</v>
      </c>
      <c r="J859" t="s">
        <v>29</v>
      </c>
      <c r="K859">
        <v>0.26</v>
      </c>
      <c r="L859" t="s">
        <v>23</v>
      </c>
      <c r="M859">
        <v>0.2273</v>
      </c>
      <c r="N859">
        <v>0.81</v>
      </c>
      <c r="O859" t="s">
        <v>30</v>
      </c>
      <c r="P859">
        <v>0.32840000000000003</v>
      </c>
      <c r="Q859">
        <v>0</v>
      </c>
      <c r="R859">
        <v>2</v>
      </c>
      <c r="S859">
        <v>2</v>
      </c>
    </row>
    <row r="860" spans="1:19" x14ac:dyDescent="0.3">
      <c r="A860">
        <v>860</v>
      </c>
      <c r="B860" s="46">
        <v>40582</v>
      </c>
      <c r="C860">
        <v>2</v>
      </c>
      <c r="D860">
        <v>6</v>
      </c>
      <c r="E860" t="b">
        <v>0</v>
      </c>
      <c r="F860">
        <v>2</v>
      </c>
      <c r="G860" t="s">
        <v>35</v>
      </c>
      <c r="H860" t="s">
        <v>37</v>
      </c>
      <c r="I860">
        <v>1</v>
      </c>
      <c r="J860" t="s">
        <v>29</v>
      </c>
      <c r="K860">
        <v>0.26</v>
      </c>
      <c r="L860" t="s">
        <v>23</v>
      </c>
      <c r="M860">
        <v>0.2273</v>
      </c>
      <c r="N860">
        <v>0.7</v>
      </c>
      <c r="O860" t="s">
        <v>30</v>
      </c>
      <c r="P860">
        <v>0.32840000000000003</v>
      </c>
      <c r="Q860">
        <v>0</v>
      </c>
      <c r="R860">
        <v>39</v>
      </c>
      <c r="S860">
        <v>39</v>
      </c>
    </row>
    <row r="861" spans="1:19" x14ac:dyDescent="0.3">
      <c r="A861">
        <v>861</v>
      </c>
      <c r="B861" s="46">
        <v>40582</v>
      </c>
      <c r="C861">
        <v>2</v>
      </c>
      <c r="D861">
        <v>7</v>
      </c>
      <c r="E861" t="b">
        <v>0</v>
      </c>
      <c r="F861">
        <v>2</v>
      </c>
      <c r="G861" t="s">
        <v>35</v>
      </c>
      <c r="H861" t="s">
        <v>37</v>
      </c>
      <c r="I861">
        <v>1</v>
      </c>
      <c r="J861" t="s">
        <v>29</v>
      </c>
      <c r="K861">
        <v>0.24</v>
      </c>
      <c r="L861" t="s">
        <v>23</v>
      </c>
      <c r="M861">
        <v>0.19700000000000001</v>
      </c>
      <c r="N861">
        <v>0.65</v>
      </c>
      <c r="O861" t="s">
        <v>34</v>
      </c>
      <c r="P861">
        <v>0.41789999999999999</v>
      </c>
      <c r="Q861">
        <v>3</v>
      </c>
      <c r="R861">
        <v>97</v>
      </c>
      <c r="S861">
        <v>100</v>
      </c>
    </row>
    <row r="862" spans="1:19" x14ac:dyDescent="0.3">
      <c r="A862">
        <v>862</v>
      </c>
      <c r="B862" s="46">
        <v>40582</v>
      </c>
      <c r="C862">
        <v>2</v>
      </c>
      <c r="D862">
        <v>8</v>
      </c>
      <c r="E862" t="b">
        <v>0</v>
      </c>
      <c r="F862">
        <v>2</v>
      </c>
      <c r="G862" t="s">
        <v>35</v>
      </c>
      <c r="H862" t="s">
        <v>37</v>
      </c>
      <c r="I862">
        <v>1</v>
      </c>
      <c r="J862" t="s">
        <v>29</v>
      </c>
      <c r="K862">
        <v>0.24</v>
      </c>
      <c r="L862" t="s">
        <v>23</v>
      </c>
      <c r="M862">
        <v>0.19700000000000001</v>
      </c>
      <c r="N862">
        <v>0.56000000000000005</v>
      </c>
      <c r="O862" t="s">
        <v>34</v>
      </c>
      <c r="P862">
        <v>0.49249999999999999</v>
      </c>
      <c r="Q862">
        <v>7</v>
      </c>
      <c r="R862">
        <v>236</v>
      </c>
      <c r="S862">
        <v>243</v>
      </c>
    </row>
    <row r="863" spans="1:19" x14ac:dyDescent="0.3">
      <c r="A863">
        <v>863</v>
      </c>
      <c r="B863" s="46">
        <v>40582</v>
      </c>
      <c r="C863">
        <v>2</v>
      </c>
      <c r="D863">
        <v>9</v>
      </c>
      <c r="E863" t="b">
        <v>0</v>
      </c>
      <c r="F863">
        <v>2</v>
      </c>
      <c r="G863" t="s">
        <v>35</v>
      </c>
      <c r="H863" t="s">
        <v>37</v>
      </c>
      <c r="I863">
        <v>1</v>
      </c>
      <c r="J863" t="s">
        <v>29</v>
      </c>
      <c r="K863">
        <v>0.24</v>
      </c>
      <c r="L863" t="s">
        <v>23</v>
      </c>
      <c r="M863">
        <v>0.19700000000000001</v>
      </c>
      <c r="N863">
        <v>0.52</v>
      </c>
      <c r="O863" t="s">
        <v>34</v>
      </c>
      <c r="P863">
        <v>0.49249999999999999</v>
      </c>
      <c r="Q863">
        <v>7</v>
      </c>
      <c r="R863">
        <v>128</v>
      </c>
      <c r="S863">
        <v>135</v>
      </c>
    </row>
    <row r="864" spans="1:19" x14ac:dyDescent="0.3">
      <c r="A864">
        <v>864</v>
      </c>
      <c r="B864" s="46">
        <v>40582</v>
      </c>
      <c r="C864">
        <v>2</v>
      </c>
      <c r="D864">
        <v>10</v>
      </c>
      <c r="E864" t="b">
        <v>0</v>
      </c>
      <c r="F864">
        <v>2</v>
      </c>
      <c r="G864" t="s">
        <v>35</v>
      </c>
      <c r="H864" t="s">
        <v>37</v>
      </c>
      <c r="I864">
        <v>1</v>
      </c>
      <c r="J864" t="s">
        <v>29</v>
      </c>
      <c r="K864">
        <v>0.22</v>
      </c>
      <c r="L864" t="s">
        <v>23</v>
      </c>
      <c r="M864">
        <v>0.18179999999999999</v>
      </c>
      <c r="N864">
        <v>0.47</v>
      </c>
      <c r="O864" t="s">
        <v>34</v>
      </c>
      <c r="P864">
        <v>0.55220000000000002</v>
      </c>
      <c r="Q864">
        <v>4</v>
      </c>
      <c r="R864">
        <v>44</v>
      </c>
      <c r="S864">
        <v>48</v>
      </c>
    </row>
    <row r="865" spans="1:19" x14ac:dyDescent="0.3">
      <c r="A865">
        <v>865</v>
      </c>
      <c r="B865" s="46">
        <v>40582</v>
      </c>
      <c r="C865">
        <v>2</v>
      </c>
      <c r="D865">
        <v>11</v>
      </c>
      <c r="E865" t="b">
        <v>0</v>
      </c>
      <c r="F865">
        <v>2</v>
      </c>
      <c r="G865" t="s">
        <v>35</v>
      </c>
      <c r="H865" t="s">
        <v>37</v>
      </c>
      <c r="I865">
        <v>1</v>
      </c>
      <c r="J865" t="s">
        <v>29</v>
      </c>
      <c r="K865">
        <v>0.22</v>
      </c>
      <c r="L865" t="s">
        <v>23</v>
      </c>
      <c r="M865">
        <v>0.18179999999999999</v>
      </c>
      <c r="N865">
        <v>0.47</v>
      </c>
      <c r="O865" t="s">
        <v>34</v>
      </c>
      <c r="P865">
        <v>0.4627</v>
      </c>
      <c r="Q865">
        <v>1</v>
      </c>
      <c r="R865">
        <v>49</v>
      </c>
      <c r="S865">
        <v>50</v>
      </c>
    </row>
    <row r="866" spans="1:19" x14ac:dyDescent="0.3">
      <c r="A866">
        <v>866</v>
      </c>
      <c r="B866" s="46">
        <v>40582</v>
      </c>
      <c r="C866">
        <v>2</v>
      </c>
      <c r="D866">
        <v>12</v>
      </c>
      <c r="E866" t="b">
        <v>0</v>
      </c>
      <c r="F866">
        <v>2</v>
      </c>
      <c r="G866" t="s">
        <v>35</v>
      </c>
      <c r="H866" t="s">
        <v>37</v>
      </c>
      <c r="I866">
        <v>1</v>
      </c>
      <c r="J866" t="s">
        <v>29</v>
      </c>
      <c r="K866">
        <v>0.24</v>
      </c>
      <c r="L866" t="s">
        <v>23</v>
      </c>
      <c r="M866">
        <v>0.19700000000000001</v>
      </c>
      <c r="N866">
        <v>0.38</v>
      </c>
      <c r="O866" t="s">
        <v>34</v>
      </c>
      <c r="P866">
        <v>0.49249999999999999</v>
      </c>
      <c r="Q866">
        <v>2</v>
      </c>
      <c r="R866">
        <v>63</v>
      </c>
      <c r="S866">
        <v>65</v>
      </c>
    </row>
    <row r="867" spans="1:19" x14ac:dyDescent="0.3">
      <c r="A867">
        <v>867</v>
      </c>
      <c r="B867" s="46">
        <v>40582</v>
      </c>
      <c r="C867">
        <v>2</v>
      </c>
      <c r="D867">
        <v>13</v>
      </c>
      <c r="E867" t="b">
        <v>0</v>
      </c>
      <c r="F867">
        <v>2</v>
      </c>
      <c r="G867" t="s">
        <v>35</v>
      </c>
      <c r="H867" t="s">
        <v>37</v>
      </c>
      <c r="I867">
        <v>2</v>
      </c>
      <c r="J867" t="s">
        <v>31</v>
      </c>
      <c r="K867">
        <v>0.24</v>
      </c>
      <c r="L867" t="s">
        <v>23</v>
      </c>
      <c r="M867">
        <v>0.19700000000000001</v>
      </c>
      <c r="N867">
        <v>0.32</v>
      </c>
      <c r="O867" t="s">
        <v>34</v>
      </c>
      <c r="P867">
        <v>0.44779999999999998</v>
      </c>
      <c r="Q867">
        <v>2</v>
      </c>
      <c r="R867">
        <v>48</v>
      </c>
      <c r="S867">
        <v>50</v>
      </c>
    </row>
    <row r="868" spans="1:19" x14ac:dyDescent="0.3">
      <c r="A868">
        <v>868</v>
      </c>
      <c r="B868" s="46">
        <v>40582</v>
      </c>
      <c r="C868">
        <v>2</v>
      </c>
      <c r="D868">
        <v>14</v>
      </c>
      <c r="E868" t="b">
        <v>0</v>
      </c>
      <c r="F868">
        <v>2</v>
      </c>
      <c r="G868" t="s">
        <v>35</v>
      </c>
      <c r="H868" t="s">
        <v>37</v>
      </c>
      <c r="I868">
        <v>1</v>
      </c>
      <c r="J868" t="s">
        <v>29</v>
      </c>
      <c r="K868">
        <v>0.22</v>
      </c>
      <c r="L868" t="s">
        <v>23</v>
      </c>
      <c r="M868">
        <v>0.19700000000000001</v>
      </c>
      <c r="N868">
        <v>0.37</v>
      </c>
      <c r="O868" t="s">
        <v>34</v>
      </c>
      <c r="P868">
        <v>0.41789999999999999</v>
      </c>
      <c r="Q868">
        <v>3</v>
      </c>
      <c r="R868">
        <v>61</v>
      </c>
      <c r="S868">
        <v>64</v>
      </c>
    </row>
    <row r="869" spans="1:19" x14ac:dyDescent="0.3">
      <c r="A869">
        <v>869</v>
      </c>
      <c r="B869" s="46">
        <v>40582</v>
      </c>
      <c r="C869">
        <v>2</v>
      </c>
      <c r="D869">
        <v>15</v>
      </c>
      <c r="E869" t="b">
        <v>0</v>
      </c>
      <c r="F869">
        <v>2</v>
      </c>
      <c r="G869" t="s">
        <v>35</v>
      </c>
      <c r="H869" t="s">
        <v>37</v>
      </c>
      <c r="I869">
        <v>1</v>
      </c>
      <c r="J869" t="s">
        <v>29</v>
      </c>
      <c r="K869">
        <v>0.22</v>
      </c>
      <c r="L869" t="s">
        <v>23</v>
      </c>
      <c r="M869">
        <v>0.19700000000000001</v>
      </c>
      <c r="N869">
        <v>0.35</v>
      </c>
      <c r="O869" t="s">
        <v>34</v>
      </c>
      <c r="P869">
        <v>0.3881</v>
      </c>
      <c r="Q869">
        <v>6</v>
      </c>
      <c r="R869">
        <v>45</v>
      </c>
      <c r="S869">
        <v>51</v>
      </c>
    </row>
    <row r="870" spans="1:19" x14ac:dyDescent="0.3">
      <c r="A870">
        <v>870</v>
      </c>
      <c r="B870" s="46">
        <v>40582</v>
      </c>
      <c r="C870">
        <v>2</v>
      </c>
      <c r="D870">
        <v>16</v>
      </c>
      <c r="E870" t="b">
        <v>0</v>
      </c>
      <c r="F870">
        <v>2</v>
      </c>
      <c r="G870" t="s">
        <v>35</v>
      </c>
      <c r="H870" t="s">
        <v>37</v>
      </c>
      <c r="I870">
        <v>1</v>
      </c>
      <c r="J870" t="s">
        <v>29</v>
      </c>
      <c r="K870">
        <v>0.22</v>
      </c>
      <c r="L870" t="s">
        <v>23</v>
      </c>
      <c r="M870">
        <v>0.18179999999999999</v>
      </c>
      <c r="N870">
        <v>0.35</v>
      </c>
      <c r="O870" t="s">
        <v>34</v>
      </c>
      <c r="P870">
        <v>0.52239999999999998</v>
      </c>
      <c r="Q870">
        <v>4</v>
      </c>
      <c r="R870">
        <v>79</v>
      </c>
      <c r="S870">
        <v>83</v>
      </c>
    </row>
    <row r="871" spans="1:19" x14ac:dyDescent="0.3">
      <c r="A871">
        <v>871</v>
      </c>
      <c r="B871" s="46">
        <v>40582</v>
      </c>
      <c r="C871">
        <v>2</v>
      </c>
      <c r="D871">
        <v>17</v>
      </c>
      <c r="E871" t="b">
        <v>0</v>
      </c>
      <c r="F871">
        <v>2</v>
      </c>
      <c r="G871" t="s">
        <v>35</v>
      </c>
      <c r="H871" t="s">
        <v>37</v>
      </c>
      <c r="I871">
        <v>1</v>
      </c>
      <c r="J871" t="s">
        <v>29</v>
      </c>
      <c r="K871">
        <v>0.22</v>
      </c>
      <c r="L871" t="s">
        <v>23</v>
      </c>
      <c r="M871">
        <v>0.18179999999999999</v>
      </c>
      <c r="N871">
        <v>0.32</v>
      </c>
      <c r="O871" t="s">
        <v>34</v>
      </c>
      <c r="P871">
        <v>0.58209999999999995</v>
      </c>
      <c r="Q871">
        <v>4</v>
      </c>
      <c r="R871">
        <v>172</v>
      </c>
      <c r="S871">
        <v>176</v>
      </c>
    </row>
    <row r="872" spans="1:19" x14ac:dyDescent="0.3">
      <c r="A872">
        <v>872</v>
      </c>
      <c r="B872" s="46">
        <v>40582</v>
      </c>
      <c r="C872">
        <v>2</v>
      </c>
      <c r="D872">
        <v>18</v>
      </c>
      <c r="E872" t="b">
        <v>0</v>
      </c>
      <c r="F872">
        <v>2</v>
      </c>
      <c r="G872" t="s">
        <v>35</v>
      </c>
      <c r="H872" t="s">
        <v>37</v>
      </c>
      <c r="I872">
        <v>1</v>
      </c>
      <c r="J872" t="s">
        <v>29</v>
      </c>
      <c r="K872">
        <v>0.2</v>
      </c>
      <c r="L872" t="s">
        <v>23</v>
      </c>
      <c r="M872">
        <v>0.18179999999999999</v>
      </c>
      <c r="N872">
        <v>0.32</v>
      </c>
      <c r="O872" t="s">
        <v>34</v>
      </c>
      <c r="P872">
        <v>0.3881</v>
      </c>
      <c r="Q872">
        <v>1</v>
      </c>
      <c r="R872">
        <v>151</v>
      </c>
      <c r="S872">
        <v>152</v>
      </c>
    </row>
    <row r="873" spans="1:19" x14ac:dyDescent="0.3">
      <c r="A873">
        <v>873</v>
      </c>
      <c r="B873" s="46">
        <v>40582</v>
      </c>
      <c r="C873">
        <v>2</v>
      </c>
      <c r="D873">
        <v>19</v>
      </c>
      <c r="E873" t="b">
        <v>0</v>
      </c>
      <c r="F873">
        <v>2</v>
      </c>
      <c r="G873" t="s">
        <v>35</v>
      </c>
      <c r="H873" t="s">
        <v>37</v>
      </c>
      <c r="I873">
        <v>1</v>
      </c>
      <c r="J873" t="s">
        <v>29</v>
      </c>
      <c r="K873">
        <v>0.16</v>
      </c>
      <c r="L873" t="s">
        <v>23</v>
      </c>
      <c r="M873">
        <v>0.1212</v>
      </c>
      <c r="N873">
        <v>0.4</v>
      </c>
      <c r="O873" t="s">
        <v>34</v>
      </c>
      <c r="P873">
        <v>0.4627</v>
      </c>
      <c r="Q873">
        <v>1</v>
      </c>
      <c r="R873">
        <v>100</v>
      </c>
      <c r="S873">
        <v>101</v>
      </c>
    </row>
    <row r="874" spans="1:19" x14ac:dyDescent="0.3">
      <c r="A874">
        <v>874</v>
      </c>
      <c r="B874" s="46">
        <v>40582</v>
      </c>
      <c r="C874">
        <v>2</v>
      </c>
      <c r="D874">
        <v>20</v>
      </c>
      <c r="E874" t="b">
        <v>0</v>
      </c>
      <c r="F874">
        <v>2</v>
      </c>
      <c r="G874" t="s">
        <v>35</v>
      </c>
      <c r="H874" t="s">
        <v>37</v>
      </c>
      <c r="I874">
        <v>1</v>
      </c>
      <c r="J874" t="s">
        <v>29</v>
      </c>
      <c r="K874">
        <v>0.16</v>
      </c>
      <c r="L874" t="s">
        <v>23</v>
      </c>
      <c r="M874">
        <v>0.13639999999999999</v>
      </c>
      <c r="N874">
        <v>0.4</v>
      </c>
      <c r="O874" t="s">
        <v>34</v>
      </c>
      <c r="P874">
        <v>0.32840000000000003</v>
      </c>
      <c r="Q874">
        <v>3</v>
      </c>
      <c r="R874">
        <v>53</v>
      </c>
      <c r="S874">
        <v>56</v>
      </c>
    </row>
    <row r="875" spans="1:19" x14ac:dyDescent="0.3">
      <c r="A875">
        <v>875</v>
      </c>
      <c r="B875" s="46">
        <v>40582</v>
      </c>
      <c r="C875">
        <v>2</v>
      </c>
      <c r="D875">
        <v>21</v>
      </c>
      <c r="E875" t="b">
        <v>0</v>
      </c>
      <c r="F875">
        <v>2</v>
      </c>
      <c r="G875" t="s">
        <v>35</v>
      </c>
      <c r="H875" t="s">
        <v>37</v>
      </c>
      <c r="I875">
        <v>1</v>
      </c>
      <c r="J875" t="s">
        <v>29</v>
      </c>
      <c r="K875">
        <v>0.14000000000000001</v>
      </c>
      <c r="L875" t="s">
        <v>23</v>
      </c>
      <c r="M875">
        <v>0.1061</v>
      </c>
      <c r="N875">
        <v>0.33</v>
      </c>
      <c r="O875" t="s">
        <v>34</v>
      </c>
      <c r="P875">
        <v>0.4627</v>
      </c>
      <c r="Q875">
        <v>8</v>
      </c>
      <c r="R875">
        <v>46</v>
      </c>
      <c r="S875">
        <v>54</v>
      </c>
    </row>
    <row r="876" spans="1:19" x14ac:dyDescent="0.3">
      <c r="A876">
        <v>876</v>
      </c>
      <c r="B876" s="46">
        <v>40582</v>
      </c>
      <c r="C876">
        <v>2</v>
      </c>
      <c r="D876">
        <v>22</v>
      </c>
      <c r="E876" t="b">
        <v>0</v>
      </c>
      <c r="F876">
        <v>2</v>
      </c>
      <c r="G876" t="s">
        <v>35</v>
      </c>
      <c r="H876" t="s">
        <v>37</v>
      </c>
      <c r="I876">
        <v>1</v>
      </c>
      <c r="J876" t="s">
        <v>29</v>
      </c>
      <c r="K876">
        <v>0.12</v>
      </c>
      <c r="L876" t="s">
        <v>23</v>
      </c>
      <c r="M876">
        <v>0.1061</v>
      </c>
      <c r="N876">
        <v>0.33</v>
      </c>
      <c r="O876" t="s">
        <v>34</v>
      </c>
      <c r="P876">
        <v>0.35820000000000002</v>
      </c>
      <c r="Q876">
        <v>0</v>
      </c>
      <c r="R876">
        <v>29</v>
      </c>
      <c r="S876">
        <v>29</v>
      </c>
    </row>
    <row r="877" spans="1:19" x14ac:dyDescent="0.3">
      <c r="A877">
        <v>877</v>
      </c>
      <c r="B877" s="46">
        <v>40582</v>
      </c>
      <c r="C877">
        <v>2</v>
      </c>
      <c r="D877">
        <v>23</v>
      </c>
      <c r="E877" t="b">
        <v>0</v>
      </c>
      <c r="F877">
        <v>2</v>
      </c>
      <c r="G877" t="s">
        <v>35</v>
      </c>
      <c r="H877" t="s">
        <v>37</v>
      </c>
      <c r="I877">
        <v>1</v>
      </c>
      <c r="J877" t="s">
        <v>29</v>
      </c>
      <c r="K877">
        <v>0.12</v>
      </c>
      <c r="L877" t="s">
        <v>23</v>
      </c>
      <c r="M877">
        <v>0.1061</v>
      </c>
      <c r="N877">
        <v>0.33</v>
      </c>
      <c r="O877" t="s">
        <v>34</v>
      </c>
      <c r="P877">
        <v>0.32840000000000003</v>
      </c>
      <c r="Q877">
        <v>3</v>
      </c>
      <c r="R877">
        <v>9</v>
      </c>
      <c r="S877">
        <v>12</v>
      </c>
    </row>
    <row r="878" spans="1:19" x14ac:dyDescent="0.3">
      <c r="A878">
        <v>878</v>
      </c>
      <c r="B878" s="46">
        <v>40583</v>
      </c>
      <c r="C878">
        <v>2</v>
      </c>
      <c r="D878">
        <v>0</v>
      </c>
      <c r="E878" t="b">
        <v>0</v>
      </c>
      <c r="F878">
        <v>3</v>
      </c>
      <c r="G878" t="s">
        <v>35</v>
      </c>
      <c r="H878" t="s">
        <v>38</v>
      </c>
      <c r="I878">
        <v>1</v>
      </c>
      <c r="J878" t="s">
        <v>29</v>
      </c>
      <c r="K878">
        <v>0.1</v>
      </c>
      <c r="L878" t="s">
        <v>23</v>
      </c>
      <c r="M878">
        <v>7.5800000000000006E-2</v>
      </c>
      <c r="N878">
        <v>0.36</v>
      </c>
      <c r="O878" t="s">
        <v>34</v>
      </c>
      <c r="P878">
        <v>0.35820000000000002</v>
      </c>
      <c r="Q878">
        <v>0</v>
      </c>
      <c r="R878">
        <v>17</v>
      </c>
      <c r="S878">
        <v>17</v>
      </c>
    </row>
    <row r="879" spans="1:19" x14ac:dyDescent="0.3">
      <c r="A879">
        <v>879</v>
      </c>
      <c r="B879" s="46">
        <v>40583</v>
      </c>
      <c r="C879">
        <v>2</v>
      </c>
      <c r="D879">
        <v>1</v>
      </c>
      <c r="E879" t="b">
        <v>0</v>
      </c>
      <c r="F879">
        <v>3</v>
      </c>
      <c r="G879" t="s">
        <v>35</v>
      </c>
      <c r="H879" t="s">
        <v>38</v>
      </c>
      <c r="I879">
        <v>1</v>
      </c>
      <c r="J879" t="s">
        <v>29</v>
      </c>
      <c r="K879">
        <v>0.1</v>
      </c>
      <c r="L879" t="s">
        <v>23</v>
      </c>
      <c r="M879">
        <v>0.1061</v>
      </c>
      <c r="N879">
        <v>0.36</v>
      </c>
      <c r="O879" t="s">
        <v>34</v>
      </c>
      <c r="P879">
        <v>0.22389999999999999</v>
      </c>
      <c r="Q879">
        <v>0</v>
      </c>
      <c r="R879">
        <v>7</v>
      </c>
      <c r="S879">
        <v>7</v>
      </c>
    </row>
    <row r="880" spans="1:19" x14ac:dyDescent="0.3">
      <c r="A880">
        <v>880</v>
      </c>
      <c r="B880" s="46">
        <v>40583</v>
      </c>
      <c r="C880">
        <v>2</v>
      </c>
      <c r="D880">
        <v>2</v>
      </c>
      <c r="E880" t="b">
        <v>0</v>
      </c>
      <c r="F880">
        <v>3</v>
      </c>
      <c r="G880" t="s">
        <v>35</v>
      </c>
      <c r="H880" t="s">
        <v>38</v>
      </c>
      <c r="I880">
        <v>1</v>
      </c>
      <c r="J880" t="s">
        <v>29</v>
      </c>
      <c r="K880">
        <v>0.08</v>
      </c>
      <c r="L880" t="s">
        <v>30</v>
      </c>
      <c r="M880">
        <v>7.5800000000000006E-2</v>
      </c>
      <c r="N880">
        <v>0.38</v>
      </c>
      <c r="O880" t="s">
        <v>34</v>
      </c>
      <c r="P880">
        <v>0.28360000000000002</v>
      </c>
      <c r="Q880">
        <v>1</v>
      </c>
      <c r="R880">
        <v>2</v>
      </c>
      <c r="S880">
        <v>3</v>
      </c>
    </row>
    <row r="881" spans="1:19" x14ac:dyDescent="0.3">
      <c r="A881">
        <v>881</v>
      </c>
      <c r="B881" s="46">
        <v>40583</v>
      </c>
      <c r="C881">
        <v>2</v>
      </c>
      <c r="D881">
        <v>3</v>
      </c>
      <c r="E881" t="b">
        <v>0</v>
      </c>
      <c r="F881">
        <v>3</v>
      </c>
      <c r="G881" t="s">
        <v>35</v>
      </c>
      <c r="H881" t="s">
        <v>38</v>
      </c>
      <c r="I881">
        <v>1</v>
      </c>
      <c r="J881" t="s">
        <v>29</v>
      </c>
      <c r="K881">
        <v>0.06</v>
      </c>
      <c r="L881" t="s">
        <v>30</v>
      </c>
      <c r="M881">
        <v>7.5800000000000006E-2</v>
      </c>
      <c r="N881">
        <v>0.45</v>
      </c>
      <c r="O881" t="s">
        <v>34</v>
      </c>
      <c r="P881">
        <v>0.1343</v>
      </c>
      <c r="Q881">
        <v>0</v>
      </c>
      <c r="R881">
        <v>2</v>
      </c>
      <c r="S881">
        <v>2</v>
      </c>
    </row>
    <row r="882" spans="1:19" x14ac:dyDescent="0.3">
      <c r="A882">
        <v>882</v>
      </c>
      <c r="B882" s="46">
        <v>40583</v>
      </c>
      <c r="C882">
        <v>2</v>
      </c>
      <c r="D882">
        <v>5</v>
      </c>
      <c r="E882" t="b">
        <v>0</v>
      </c>
      <c r="F882">
        <v>3</v>
      </c>
      <c r="G882" t="s">
        <v>35</v>
      </c>
      <c r="H882" t="s">
        <v>38</v>
      </c>
      <c r="I882">
        <v>1</v>
      </c>
      <c r="J882" t="s">
        <v>29</v>
      </c>
      <c r="K882">
        <v>0.06</v>
      </c>
      <c r="L882" t="s">
        <v>30</v>
      </c>
      <c r="M882">
        <v>0.1061</v>
      </c>
      <c r="N882">
        <v>0.45</v>
      </c>
      <c r="O882" t="s">
        <v>34</v>
      </c>
      <c r="P882">
        <v>0.1045</v>
      </c>
      <c r="Q882">
        <v>0</v>
      </c>
      <c r="R882">
        <v>7</v>
      </c>
      <c r="S882">
        <v>7</v>
      </c>
    </row>
    <row r="883" spans="1:19" x14ac:dyDescent="0.3">
      <c r="A883">
        <v>883</v>
      </c>
      <c r="B883" s="46">
        <v>40583</v>
      </c>
      <c r="C883">
        <v>2</v>
      </c>
      <c r="D883">
        <v>6</v>
      </c>
      <c r="E883" t="b">
        <v>0</v>
      </c>
      <c r="F883">
        <v>3</v>
      </c>
      <c r="G883" t="s">
        <v>35</v>
      </c>
      <c r="H883" t="s">
        <v>38</v>
      </c>
      <c r="I883">
        <v>1</v>
      </c>
      <c r="J883" t="s">
        <v>29</v>
      </c>
      <c r="K883">
        <v>0.06</v>
      </c>
      <c r="L883" t="s">
        <v>30</v>
      </c>
      <c r="M883">
        <v>0.1515</v>
      </c>
      <c r="N883">
        <v>0.45</v>
      </c>
      <c r="O883" t="s">
        <v>34</v>
      </c>
      <c r="P883">
        <v>0</v>
      </c>
      <c r="Q883">
        <v>0</v>
      </c>
      <c r="R883">
        <v>43</v>
      </c>
      <c r="S883">
        <v>43</v>
      </c>
    </row>
    <row r="884" spans="1:19" x14ac:dyDescent="0.3">
      <c r="A884">
        <v>884</v>
      </c>
      <c r="B884" s="46">
        <v>40583</v>
      </c>
      <c r="C884">
        <v>2</v>
      </c>
      <c r="D884">
        <v>7</v>
      </c>
      <c r="E884" t="b">
        <v>0</v>
      </c>
      <c r="F884">
        <v>3</v>
      </c>
      <c r="G884" t="s">
        <v>35</v>
      </c>
      <c r="H884" t="s">
        <v>38</v>
      </c>
      <c r="I884">
        <v>1</v>
      </c>
      <c r="J884" t="s">
        <v>29</v>
      </c>
      <c r="K884">
        <v>0.06</v>
      </c>
      <c r="L884" t="s">
        <v>30</v>
      </c>
      <c r="M884">
        <v>0.1061</v>
      </c>
      <c r="N884">
        <v>0.49</v>
      </c>
      <c r="O884" t="s">
        <v>34</v>
      </c>
      <c r="P884">
        <v>0.1045</v>
      </c>
      <c r="Q884">
        <v>4</v>
      </c>
      <c r="R884">
        <v>95</v>
      </c>
      <c r="S884">
        <v>99</v>
      </c>
    </row>
    <row r="885" spans="1:19" x14ac:dyDescent="0.3">
      <c r="A885">
        <v>885</v>
      </c>
      <c r="B885" s="46">
        <v>40583</v>
      </c>
      <c r="C885">
        <v>2</v>
      </c>
      <c r="D885">
        <v>8</v>
      </c>
      <c r="E885" t="b">
        <v>0</v>
      </c>
      <c r="F885">
        <v>3</v>
      </c>
      <c r="G885" t="s">
        <v>35</v>
      </c>
      <c r="H885" t="s">
        <v>38</v>
      </c>
      <c r="I885">
        <v>1</v>
      </c>
      <c r="J885" t="s">
        <v>29</v>
      </c>
      <c r="K885">
        <v>0.1</v>
      </c>
      <c r="L885" t="s">
        <v>23</v>
      </c>
      <c r="M885">
        <v>0.13639999999999999</v>
      </c>
      <c r="N885">
        <v>0.42</v>
      </c>
      <c r="O885" t="s">
        <v>34</v>
      </c>
      <c r="P885">
        <v>0</v>
      </c>
      <c r="Q885">
        <v>1</v>
      </c>
      <c r="R885">
        <v>198</v>
      </c>
      <c r="S885">
        <v>199</v>
      </c>
    </row>
    <row r="886" spans="1:19" x14ac:dyDescent="0.3">
      <c r="A886">
        <v>886</v>
      </c>
      <c r="B886" s="46">
        <v>40583</v>
      </c>
      <c r="C886">
        <v>2</v>
      </c>
      <c r="D886">
        <v>9</v>
      </c>
      <c r="E886" t="b">
        <v>0</v>
      </c>
      <c r="F886">
        <v>3</v>
      </c>
      <c r="G886" t="s">
        <v>35</v>
      </c>
      <c r="H886" t="s">
        <v>38</v>
      </c>
      <c r="I886">
        <v>1</v>
      </c>
      <c r="J886" t="s">
        <v>29</v>
      </c>
      <c r="K886">
        <v>0.12</v>
      </c>
      <c r="L886" t="s">
        <v>23</v>
      </c>
      <c r="M886">
        <v>0.13639999999999999</v>
      </c>
      <c r="N886">
        <v>0.39</v>
      </c>
      <c r="O886" t="s">
        <v>34</v>
      </c>
      <c r="P886">
        <v>0.16420000000000001</v>
      </c>
      <c r="Q886">
        <v>4</v>
      </c>
      <c r="R886">
        <v>119</v>
      </c>
      <c r="S886">
        <v>123</v>
      </c>
    </row>
    <row r="887" spans="1:19" x14ac:dyDescent="0.3">
      <c r="A887">
        <v>887</v>
      </c>
      <c r="B887" s="46">
        <v>40583</v>
      </c>
      <c r="C887">
        <v>2</v>
      </c>
      <c r="D887">
        <v>10</v>
      </c>
      <c r="E887" t="b">
        <v>0</v>
      </c>
      <c r="F887">
        <v>3</v>
      </c>
      <c r="G887" t="s">
        <v>35</v>
      </c>
      <c r="H887" t="s">
        <v>38</v>
      </c>
      <c r="I887">
        <v>1</v>
      </c>
      <c r="J887" t="s">
        <v>29</v>
      </c>
      <c r="K887">
        <v>0.14000000000000001</v>
      </c>
      <c r="L887" t="s">
        <v>23</v>
      </c>
      <c r="M887">
        <v>0.18179999999999999</v>
      </c>
      <c r="N887">
        <v>0.36</v>
      </c>
      <c r="O887" t="s">
        <v>34</v>
      </c>
      <c r="P887">
        <v>0</v>
      </c>
      <c r="Q887">
        <v>8</v>
      </c>
      <c r="R887">
        <v>51</v>
      </c>
      <c r="S887">
        <v>59</v>
      </c>
    </row>
    <row r="888" spans="1:19" x14ac:dyDescent="0.3">
      <c r="A888">
        <v>888</v>
      </c>
      <c r="B888" s="46">
        <v>40583</v>
      </c>
      <c r="C888">
        <v>2</v>
      </c>
      <c r="D888">
        <v>11</v>
      </c>
      <c r="E888" t="b">
        <v>0</v>
      </c>
      <c r="F888">
        <v>3</v>
      </c>
      <c r="G888" t="s">
        <v>35</v>
      </c>
      <c r="H888" t="s">
        <v>38</v>
      </c>
      <c r="I888">
        <v>2</v>
      </c>
      <c r="J888" t="s">
        <v>31</v>
      </c>
      <c r="K888">
        <v>0.14000000000000001</v>
      </c>
      <c r="L888" t="s">
        <v>23</v>
      </c>
      <c r="M888">
        <v>0.1515</v>
      </c>
      <c r="N888">
        <v>0.43</v>
      </c>
      <c r="O888" t="s">
        <v>34</v>
      </c>
      <c r="P888">
        <v>0.16420000000000001</v>
      </c>
      <c r="Q888">
        <v>1</v>
      </c>
      <c r="R888">
        <v>40</v>
      </c>
      <c r="S888">
        <v>41</v>
      </c>
    </row>
    <row r="889" spans="1:19" x14ac:dyDescent="0.3">
      <c r="A889">
        <v>889</v>
      </c>
      <c r="B889" s="46">
        <v>40583</v>
      </c>
      <c r="C889">
        <v>2</v>
      </c>
      <c r="D889">
        <v>12</v>
      </c>
      <c r="E889" t="b">
        <v>0</v>
      </c>
      <c r="F889">
        <v>3</v>
      </c>
      <c r="G889" t="s">
        <v>35</v>
      </c>
      <c r="H889" t="s">
        <v>38</v>
      </c>
      <c r="I889">
        <v>2</v>
      </c>
      <c r="J889" t="s">
        <v>31</v>
      </c>
      <c r="K889">
        <v>0.18</v>
      </c>
      <c r="L889" t="s">
        <v>23</v>
      </c>
      <c r="M889">
        <v>0.18179999999999999</v>
      </c>
      <c r="N889">
        <v>0.4</v>
      </c>
      <c r="O889" t="s">
        <v>34</v>
      </c>
      <c r="P889">
        <v>0.22389999999999999</v>
      </c>
      <c r="Q889">
        <v>4</v>
      </c>
      <c r="R889">
        <v>57</v>
      </c>
      <c r="S889">
        <v>61</v>
      </c>
    </row>
    <row r="890" spans="1:19" x14ac:dyDescent="0.3">
      <c r="A890">
        <v>890</v>
      </c>
      <c r="B890" s="46">
        <v>40583</v>
      </c>
      <c r="C890">
        <v>2</v>
      </c>
      <c r="D890">
        <v>13</v>
      </c>
      <c r="E890" t="b">
        <v>0</v>
      </c>
      <c r="F890">
        <v>3</v>
      </c>
      <c r="G890" t="s">
        <v>35</v>
      </c>
      <c r="H890" t="s">
        <v>38</v>
      </c>
      <c r="I890">
        <v>1</v>
      </c>
      <c r="J890" t="s">
        <v>29</v>
      </c>
      <c r="K890">
        <v>0.18</v>
      </c>
      <c r="L890" t="s">
        <v>23</v>
      </c>
      <c r="M890">
        <v>0.16669999999999999</v>
      </c>
      <c r="N890">
        <v>0.4</v>
      </c>
      <c r="O890" t="s">
        <v>34</v>
      </c>
      <c r="P890">
        <v>0.25369999999999998</v>
      </c>
      <c r="Q890">
        <v>2</v>
      </c>
      <c r="R890">
        <v>67</v>
      </c>
      <c r="S890">
        <v>69</v>
      </c>
    </row>
    <row r="891" spans="1:19" x14ac:dyDescent="0.3">
      <c r="A891">
        <v>891</v>
      </c>
      <c r="B891" s="46">
        <v>40583</v>
      </c>
      <c r="C891">
        <v>2</v>
      </c>
      <c r="D891">
        <v>14</v>
      </c>
      <c r="E891" t="b">
        <v>0</v>
      </c>
      <c r="F891">
        <v>3</v>
      </c>
      <c r="G891" t="s">
        <v>35</v>
      </c>
      <c r="H891" t="s">
        <v>38</v>
      </c>
      <c r="I891">
        <v>1</v>
      </c>
      <c r="J891" t="s">
        <v>29</v>
      </c>
      <c r="K891">
        <v>0.2</v>
      </c>
      <c r="L891" t="s">
        <v>23</v>
      </c>
      <c r="M891">
        <v>0.18179999999999999</v>
      </c>
      <c r="N891">
        <v>0.34</v>
      </c>
      <c r="O891" t="s">
        <v>34</v>
      </c>
      <c r="P891">
        <v>0.29849999999999999</v>
      </c>
      <c r="Q891">
        <v>2</v>
      </c>
      <c r="R891">
        <v>56</v>
      </c>
      <c r="S891">
        <v>58</v>
      </c>
    </row>
    <row r="892" spans="1:19" x14ac:dyDescent="0.3">
      <c r="A892">
        <v>892</v>
      </c>
      <c r="B892" s="46">
        <v>40583</v>
      </c>
      <c r="C892">
        <v>2</v>
      </c>
      <c r="D892">
        <v>15</v>
      </c>
      <c r="E892" t="b">
        <v>0</v>
      </c>
      <c r="F892">
        <v>3</v>
      </c>
      <c r="G892" t="s">
        <v>35</v>
      </c>
      <c r="H892" t="s">
        <v>38</v>
      </c>
      <c r="I892">
        <v>2</v>
      </c>
      <c r="J892" t="s">
        <v>31</v>
      </c>
      <c r="K892">
        <v>0.2</v>
      </c>
      <c r="L892" t="s">
        <v>23</v>
      </c>
      <c r="M892">
        <v>0.18179999999999999</v>
      </c>
      <c r="N892">
        <v>0.34</v>
      </c>
      <c r="O892" t="s">
        <v>34</v>
      </c>
      <c r="P892">
        <v>0.28360000000000002</v>
      </c>
      <c r="Q892">
        <v>3</v>
      </c>
      <c r="R892">
        <v>61</v>
      </c>
      <c r="S892">
        <v>64</v>
      </c>
    </row>
    <row r="893" spans="1:19" x14ac:dyDescent="0.3">
      <c r="A893">
        <v>893</v>
      </c>
      <c r="B893" s="46">
        <v>40583</v>
      </c>
      <c r="C893">
        <v>2</v>
      </c>
      <c r="D893">
        <v>16</v>
      </c>
      <c r="E893" t="b">
        <v>0</v>
      </c>
      <c r="F893">
        <v>3</v>
      </c>
      <c r="G893" t="s">
        <v>35</v>
      </c>
      <c r="H893" t="s">
        <v>38</v>
      </c>
      <c r="I893">
        <v>2</v>
      </c>
      <c r="J893" t="s">
        <v>31</v>
      </c>
      <c r="K893">
        <v>0.2</v>
      </c>
      <c r="L893" t="s">
        <v>23</v>
      </c>
      <c r="M893">
        <v>0.19700000000000001</v>
      </c>
      <c r="N893">
        <v>0.37</v>
      </c>
      <c r="O893" t="s">
        <v>34</v>
      </c>
      <c r="P893">
        <v>0.25369999999999998</v>
      </c>
      <c r="Q893">
        <v>7</v>
      </c>
      <c r="R893">
        <v>72</v>
      </c>
      <c r="S893">
        <v>79</v>
      </c>
    </row>
    <row r="894" spans="1:19" x14ac:dyDescent="0.3">
      <c r="A894">
        <v>894</v>
      </c>
      <c r="B894" s="46">
        <v>40583</v>
      </c>
      <c r="C894">
        <v>2</v>
      </c>
      <c r="D894">
        <v>17</v>
      </c>
      <c r="E894" t="b">
        <v>0</v>
      </c>
      <c r="F894">
        <v>3</v>
      </c>
      <c r="G894" t="s">
        <v>35</v>
      </c>
      <c r="H894" t="s">
        <v>38</v>
      </c>
      <c r="I894">
        <v>2</v>
      </c>
      <c r="J894" t="s">
        <v>31</v>
      </c>
      <c r="K894">
        <v>0.2</v>
      </c>
      <c r="L894" t="s">
        <v>23</v>
      </c>
      <c r="M894">
        <v>0.19700000000000001</v>
      </c>
      <c r="N894">
        <v>0.34</v>
      </c>
      <c r="O894" t="s">
        <v>34</v>
      </c>
      <c r="P894">
        <v>0.25369999999999998</v>
      </c>
      <c r="Q894">
        <v>9</v>
      </c>
      <c r="R894">
        <v>157</v>
      </c>
      <c r="S894">
        <v>166</v>
      </c>
    </row>
    <row r="895" spans="1:19" x14ac:dyDescent="0.3">
      <c r="A895">
        <v>895</v>
      </c>
      <c r="B895" s="46">
        <v>40583</v>
      </c>
      <c r="C895">
        <v>2</v>
      </c>
      <c r="D895">
        <v>18</v>
      </c>
      <c r="E895" t="b">
        <v>0</v>
      </c>
      <c r="F895">
        <v>3</v>
      </c>
      <c r="G895" t="s">
        <v>35</v>
      </c>
      <c r="H895" t="s">
        <v>38</v>
      </c>
      <c r="I895">
        <v>2</v>
      </c>
      <c r="J895" t="s">
        <v>31</v>
      </c>
      <c r="K895">
        <v>0.18</v>
      </c>
      <c r="L895" t="s">
        <v>23</v>
      </c>
      <c r="M895">
        <v>0.16669999999999999</v>
      </c>
      <c r="N895">
        <v>0.47</v>
      </c>
      <c r="O895" t="s">
        <v>34</v>
      </c>
      <c r="P895">
        <v>0.29849999999999999</v>
      </c>
      <c r="Q895">
        <v>2</v>
      </c>
      <c r="R895">
        <v>168</v>
      </c>
      <c r="S895">
        <v>170</v>
      </c>
    </row>
    <row r="896" spans="1:19" x14ac:dyDescent="0.3">
      <c r="A896">
        <v>896</v>
      </c>
      <c r="B896" s="46">
        <v>40583</v>
      </c>
      <c r="C896">
        <v>2</v>
      </c>
      <c r="D896">
        <v>19</v>
      </c>
      <c r="E896" t="b">
        <v>0</v>
      </c>
      <c r="F896">
        <v>3</v>
      </c>
      <c r="G896" t="s">
        <v>35</v>
      </c>
      <c r="H896" t="s">
        <v>38</v>
      </c>
      <c r="I896">
        <v>3</v>
      </c>
      <c r="J896" t="s">
        <v>32</v>
      </c>
      <c r="K896">
        <v>0.14000000000000001</v>
      </c>
      <c r="L896" t="s">
        <v>23</v>
      </c>
      <c r="M896">
        <v>0.1212</v>
      </c>
      <c r="N896">
        <v>0.86</v>
      </c>
      <c r="O896" t="s">
        <v>30</v>
      </c>
      <c r="P896">
        <v>0.25369999999999998</v>
      </c>
      <c r="Q896">
        <v>1</v>
      </c>
      <c r="R896">
        <v>87</v>
      </c>
      <c r="S896">
        <v>88</v>
      </c>
    </row>
    <row r="897" spans="1:19" x14ac:dyDescent="0.3">
      <c r="A897">
        <v>897</v>
      </c>
      <c r="B897" s="46">
        <v>40583</v>
      </c>
      <c r="C897">
        <v>2</v>
      </c>
      <c r="D897">
        <v>20</v>
      </c>
      <c r="E897" t="b">
        <v>0</v>
      </c>
      <c r="F897">
        <v>3</v>
      </c>
      <c r="G897" t="s">
        <v>35</v>
      </c>
      <c r="H897" t="s">
        <v>38</v>
      </c>
      <c r="I897">
        <v>3</v>
      </c>
      <c r="J897" t="s">
        <v>32</v>
      </c>
      <c r="K897">
        <v>0.14000000000000001</v>
      </c>
      <c r="L897" t="s">
        <v>23</v>
      </c>
      <c r="M897">
        <v>0.1515</v>
      </c>
      <c r="N897">
        <v>0.86</v>
      </c>
      <c r="O897" t="s">
        <v>30</v>
      </c>
      <c r="P897">
        <v>0.16420000000000001</v>
      </c>
      <c r="Q897">
        <v>0</v>
      </c>
      <c r="R897">
        <v>84</v>
      </c>
      <c r="S897">
        <v>84</v>
      </c>
    </row>
    <row r="898" spans="1:19" x14ac:dyDescent="0.3">
      <c r="A898">
        <v>898</v>
      </c>
      <c r="B898" s="46">
        <v>40583</v>
      </c>
      <c r="C898">
        <v>2</v>
      </c>
      <c r="D898">
        <v>21</v>
      </c>
      <c r="E898" t="b">
        <v>0</v>
      </c>
      <c r="F898">
        <v>3</v>
      </c>
      <c r="G898" t="s">
        <v>35</v>
      </c>
      <c r="H898" t="s">
        <v>38</v>
      </c>
      <c r="I898">
        <v>2</v>
      </c>
      <c r="J898" t="s">
        <v>31</v>
      </c>
      <c r="K898">
        <v>0.14000000000000001</v>
      </c>
      <c r="L898" t="s">
        <v>23</v>
      </c>
      <c r="M898">
        <v>0.1515</v>
      </c>
      <c r="N898">
        <v>0.86</v>
      </c>
      <c r="O898" t="s">
        <v>30</v>
      </c>
      <c r="P898">
        <v>0.16420000000000001</v>
      </c>
      <c r="Q898">
        <v>0</v>
      </c>
      <c r="R898">
        <v>83</v>
      </c>
      <c r="S898">
        <v>83</v>
      </c>
    </row>
    <row r="899" spans="1:19" x14ac:dyDescent="0.3">
      <c r="A899">
        <v>899</v>
      </c>
      <c r="B899" s="46">
        <v>40583</v>
      </c>
      <c r="C899">
        <v>2</v>
      </c>
      <c r="D899">
        <v>22</v>
      </c>
      <c r="E899" t="b">
        <v>0</v>
      </c>
      <c r="F899">
        <v>3</v>
      </c>
      <c r="G899" t="s">
        <v>35</v>
      </c>
      <c r="H899" t="s">
        <v>38</v>
      </c>
      <c r="I899">
        <v>3</v>
      </c>
      <c r="J899" t="s">
        <v>32</v>
      </c>
      <c r="K899">
        <v>0.16</v>
      </c>
      <c r="L899" t="s">
        <v>23</v>
      </c>
      <c r="M899">
        <v>0.16669999999999999</v>
      </c>
      <c r="N899">
        <v>0.8</v>
      </c>
      <c r="O899" t="s">
        <v>30</v>
      </c>
      <c r="P899">
        <v>0.16420000000000001</v>
      </c>
      <c r="Q899">
        <v>4</v>
      </c>
      <c r="R899">
        <v>42</v>
      </c>
      <c r="S899">
        <v>46</v>
      </c>
    </row>
    <row r="900" spans="1:19" x14ac:dyDescent="0.3">
      <c r="A900">
        <v>900</v>
      </c>
      <c r="B900" s="46">
        <v>40583</v>
      </c>
      <c r="C900">
        <v>2</v>
      </c>
      <c r="D900">
        <v>23</v>
      </c>
      <c r="E900" t="b">
        <v>0</v>
      </c>
      <c r="F900">
        <v>3</v>
      </c>
      <c r="G900" t="s">
        <v>35</v>
      </c>
      <c r="H900" t="s">
        <v>38</v>
      </c>
      <c r="I900">
        <v>3</v>
      </c>
      <c r="J900" t="s">
        <v>32</v>
      </c>
      <c r="K900">
        <v>0.16</v>
      </c>
      <c r="L900" t="s">
        <v>23</v>
      </c>
      <c r="M900">
        <v>0.1515</v>
      </c>
      <c r="N900">
        <v>0.8</v>
      </c>
      <c r="O900" t="s">
        <v>30</v>
      </c>
      <c r="P900">
        <v>0.19400000000000001</v>
      </c>
      <c r="Q900">
        <v>0</v>
      </c>
      <c r="R900">
        <v>37</v>
      </c>
      <c r="S900">
        <v>37</v>
      </c>
    </row>
    <row r="901" spans="1:19" x14ac:dyDescent="0.3">
      <c r="A901">
        <v>901</v>
      </c>
      <c r="B901" s="46">
        <v>40584</v>
      </c>
      <c r="C901">
        <v>2</v>
      </c>
      <c r="D901">
        <v>0</v>
      </c>
      <c r="E901" t="b">
        <v>0</v>
      </c>
      <c r="F901">
        <v>4</v>
      </c>
      <c r="G901" t="s">
        <v>35</v>
      </c>
      <c r="H901" t="s">
        <v>39</v>
      </c>
      <c r="I901">
        <v>3</v>
      </c>
      <c r="J901" t="s">
        <v>32</v>
      </c>
      <c r="K901">
        <v>0.14000000000000001</v>
      </c>
      <c r="L901" t="s">
        <v>23</v>
      </c>
      <c r="M901">
        <v>0.13639999999999999</v>
      </c>
      <c r="N901">
        <v>0.86</v>
      </c>
      <c r="O901" t="s">
        <v>30</v>
      </c>
      <c r="P901">
        <v>0.19400000000000001</v>
      </c>
      <c r="Q901">
        <v>0</v>
      </c>
      <c r="R901">
        <v>16</v>
      </c>
      <c r="S901">
        <v>16</v>
      </c>
    </row>
    <row r="902" spans="1:19" x14ac:dyDescent="0.3">
      <c r="A902">
        <v>902</v>
      </c>
      <c r="B902" s="46">
        <v>40584</v>
      </c>
      <c r="C902">
        <v>2</v>
      </c>
      <c r="D902">
        <v>1</v>
      </c>
      <c r="E902" t="b">
        <v>0</v>
      </c>
      <c r="F902">
        <v>4</v>
      </c>
      <c r="G902" t="s">
        <v>35</v>
      </c>
      <c r="H902" t="s">
        <v>39</v>
      </c>
      <c r="I902">
        <v>3</v>
      </c>
      <c r="J902" t="s">
        <v>32</v>
      </c>
      <c r="K902">
        <v>0.14000000000000001</v>
      </c>
      <c r="L902" t="s">
        <v>23</v>
      </c>
      <c r="M902">
        <v>0.1515</v>
      </c>
      <c r="N902">
        <v>0.8</v>
      </c>
      <c r="O902" t="s">
        <v>30</v>
      </c>
      <c r="P902">
        <v>0.1343</v>
      </c>
      <c r="Q902">
        <v>0</v>
      </c>
      <c r="R902">
        <v>7</v>
      </c>
      <c r="S902">
        <v>7</v>
      </c>
    </row>
    <row r="903" spans="1:19" x14ac:dyDescent="0.3">
      <c r="A903">
        <v>903</v>
      </c>
      <c r="B903" s="46">
        <v>40584</v>
      </c>
      <c r="C903">
        <v>2</v>
      </c>
      <c r="D903">
        <v>2</v>
      </c>
      <c r="E903" t="b">
        <v>0</v>
      </c>
      <c r="F903">
        <v>4</v>
      </c>
      <c r="G903" t="s">
        <v>35</v>
      </c>
      <c r="H903" t="s">
        <v>39</v>
      </c>
      <c r="I903">
        <v>3</v>
      </c>
      <c r="J903" t="s">
        <v>32</v>
      </c>
      <c r="K903">
        <v>0.14000000000000001</v>
      </c>
      <c r="L903" t="s">
        <v>23</v>
      </c>
      <c r="M903">
        <v>0.1515</v>
      </c>
      <c r="N903">
        <v>0.8</v>
      </c>
      <c r="O903" t="s">
        <v>30</v>
      </c>
      <c r="P903">
        <v>0.1343</v>
      </c>
      <c r="Q903">
        <v>0</v>
      </c>
      <c r="R903">
        <v>3</v>
      </c>
      <c r="S903">
        <v>3</v>
      </c>
    </row>
    <row r="904" spans="1:19" x14ac:dyDescent="0.3">
      <c r="A904">
        <v>904</v>
      </c>
      <c r="B904" s="46">
        <v>40584</v>
      </c>
      <c r="C904">
        <v>2</v>
      </c>
      <c r="D904">
        <v>4</v>
      </c>
      <c r="E904" t="b">
        <v>0</v>
      </c>
      <c r="F904">
        <v>4</v>
      </c>
      <c r="G904" t="s">
        <v>35</v>
      </c>
      <c r="H904" t="s">
        <v>39</v>
      </c>
      <c r="I904">
        <v>2</v>
      </c>
      <c r="J904" t="s">
        <v>31</v>
      </c>
      <c r="K904">
        <v>0.14000000000000001</v>
      </c>
      <c r="L904" t="s">
        <v>23</v>
      </c>
      <c r="M904">
        <v>0.13639999999999999</v>
      </c>
      <c r="N904">
        <v>0.59</v>
      </c>
      <c r="O904" t="s">
        <v>34</v>
      </c>
      <c r="P904">
        <v>0.22389999999999999</v>
      </c>
      <c r="Q904">
        <v>0</v>
      </c>
      <c r="R904">
        <v>1</v>
      </c>
      <c r="S904">
        <v>1</v>
      </c>
    </row>
    <row r="905" spans="1:19" x14ac:dyDescent="0.3">
      <c r="A905">
        <v>905</v>
      </c>
      <c r="B905" s="46">
        <v>40584</v>
      </c>
      <c r="C905">
        <v>2</v>
      </c>
      <c r="D905">
        <v>5</v>
      </c>
      <c r="E905" t="b">
        <v>0</v>
      </c>
      <c r="F905">
        <v>4</v>
      </c>
      <c r="G905" t="s">
        <v>35</v>
      </c>
      <c r="H905" t="s">
        <v>39</v>
      </c>
      <c r="I905">
        <v>2</v>
      </c>
      <c r="J905" t="s">
        <v>31</v>
      </c>
      <c r="K905">
        <v>0.12</v>
      </c>
      <c r="L905" t="s">
        <v>23</v>
      </c>
      <c r="M905">
        <v>0.1212</v>
      </c>
      <c r="N905">
        <v>0.5</v>
      </c>
      <c r="O905" t="s">
        <v>34</v>
      </c>
      <c r="P905">
        <v>0.22389999999999999</v>
      </c>
      <c r="Q905">
        <v>0</v>
      </c>
      <c r="R905">
        <v>6</v>
      </c>
      <c r="S905">
        <v>6</v>
      </c>
    </row>
    <row r="906" spans="1:19" x14ac:dyDescent="0.3">
      <c r="A906">
        <v>906</v>
      </c>
      <c r="B906" s="46">
        <v>40584</v>
      </c>
      <c r="C906">
        <v>2</v>
      </c>
      <c r="D906">
        <v>6</v>
      </c>
      <c r="E906" t="b">
        <v>0</v>
      </c>
      <c r="F906">
        <v>4</v>
      </c>
      <c r="G906" t="s">
        <v>35</v>
      </c>
      <c r="H906" t="s">
        <v>39</v>
      </c>
      <c r="I906">
        <v>2</v>
      </c>
      <c r="J906" t="s">
        <v>31</v>
      </c>
      <c r="K906">
        <v>0.12</v>
      </c>
      <c r="L906" t="s">
        <v>23</v>
      </c>
      <c r="M906">
        <v>0.1212</v>
      </c>
      <c r="N906">
        <v>0.54</v>
      </c>
      <c r="O906" t="s">
        <v>34</v>
      </c>
      <c r="P906">
        <v>0.28360000000000002</v>
      </c>
      <c r="Q906">
        <v>0</v>
      </c>
      <c r="R906">
        <v>26</v>
      </c>
      <c r="S906">
        <v>26</v>
      </c>
    </row>
    <row r="907" spans="1:19" x14ac:dyDescent="0.3">
      <c r="A907">
        <v>907</v>
      </c>
      <c r="B907" s="46">
        <v>40584</v>
      </c>
      <c r="C907">
        <v>2</v>
      </c>
      <c r="D907">
        <v>7</v>
      </c>
      <c r="E907" t="b">
        <v>0</v>
      </c>
      <c r="F907">
        <v>4</v>
      </c>
      <c r="G907" t="s">
        <v>35</v>
      </c>
      <c r="H907" t="s">
        <v>39</v>
      </c>
      <c r="I907">
        <v>1</v>
      </c>
      <c r="J907" t="s">
        <v>29</v>
      </c>
      <c r="K907">
        <v>0.1</v>
      </c>
      <c r="L907" t="s">
        <v>23</v>
      </c>
      <c r="M907">
        <v>7.5800000000000006E-2</v>
      </c>
      <c r="N907">
        <v>0.5</v>
      </c>
      <c r="O907" t="s">
        <v>34</v>
      </c>
      <c r="P907">
        <v>0.41789999999999999</v>
      </c>
      <c r="Q907">
        <v>0</v>
      </c>
      <c r="R907">
        <v>99</v>
      </c>
      <c r="S907">
        <v>99</v>
      </c>
    </row>
    <row r="908" spans="1:19" x14ac:dyDescent="0.3">
      <c r="A908">
        <v>908</v>
      </c>
      <c r="B908" s="46">
        <v>40584</v>
      </c>
      <c r="C908">
        <v>2</v>
      </c>
      <c r="D908">
        <v>8</v>
      </c>
      <c r="E908" t="b">
        <v>0</v>
      </c>
      <c r="F908">
        <v>4</v>
      </c>
      <c r="G908" t="s">
        <v>35</v>
      </c>
      <c r="H908" t="s">
        <v>39</v>
      </c>
      <c r="I908">
        <v>1</v>
      </c>
      <c r="J908" t="s">
        <v>29</v>
      </c>
      <c r="K908">
        <v>0.1</v>
      </c>
      <c r="L908" t="s">
        <v>23</v>
      </c>
      <c r="M908">
        <v>7.5800000000000006E-2</v>
      </c>
      <c r="N908">
        <v>0.49</v>
      </c>
      <c r="O908" t="s">
        <v>34</v>
      </c>
      <c r="P908">
        <v>0.32840000000000003</v>
      </c>
      <c r="Q908">
        <v>5</v>
      </c>
      <c r="R908">
        <v>173</v>
      </c>
      <c r="S908">
        <v>178</v>
      </c>
    </row>
    <row r="909" spans="1:19" x14ac:dyDescent="0.3">
      <c r="A909">
        <v>909</v>
      </c>
      <c r="B909" s="46">
        <v>40584</v>
      </c>
      <c r="C909">
        <v>2</v>
      </c>
      <c r="D909">
        <v>9</v>
      </c>
      <c r="E909" t="b">
        <v>0</v>
      </c>
      <c r="F909">
        <v>4</v>
      </c>
      <c r="G909" t="s">
        <v>35</v>
      </c>
      <c r="H909" t="s">
        <v>39</v>
      </c>
      <c r="I909">
        <v>1</v>
      </c>
      <c r="J909" t="s">
        <v>29</v>
      </c>
      <c r="K909">
        <v>0.12</v>
      </c>
      <c r="L909" t="s">
        <v>23</v>
      </c>
      <c r="M909">
        <v>0.1061</v>
      </c>
      <c r="N909">
        <v>0.42</v>
      </c>
      <c r="O909" t="s">
        <v>34</v>
      </c>
      <c r="P909">
        <v>0.35820000000000002</v>
      </c>
      <c r="Q909">
        <v>1</v>
      </c>
      <c r="R909">
        <v>121</v>
      </c>
      <c r="S909">
        <v>122</v>
      </c>
    </row>
    <row r="910" spans="1:19" x14ac:dyDescent="0.3">
      <c r="A910">
        <v>910</v>
      </c>
      <c r="B910" s="46">
        <v>40584</v>
      </c>
      <c r="C910">
        <v>2</v>
      </c>
      <c r="D910">
        <v>10</v>
      </c>
      <c r="E910" t="b">
        <v>0</v>
      </c>
      <c r="F910">
        <v>4</v>
      </c>
      <c r="G910" t="s">
        <v>35</v>
      </c>
      <c r="H910" t="s">
        <v>39</v>
      </c>
      <c r="I910">
        <v>1</v>
      </c>
      <c r="J910" t="s">
        <v>29</v>
      </c>
      <c r="K910">
        <v>0.12</v>
      </c>
      <c r="L910" t="s">
        <v>23</v>
      </c>
      <c r="M910">
        <v>0.1061</v>
      </c>
      <c r="N910">
        <v>0.42</v>
      </c>
      <c r="O910" t="s">
        <v>34</v>
      </c>
      <c r="P910">
        <v>0.29849999999999999</v>
      </c>
      <c r="Q910">
        <v>1</v>
      </c>
      <c r="R910">
        <v>34</v>
      </c>
      <c r="S910">
        <v>35</v>
      </c>
    </row>
    <row r="911" spans="1:19" x14ac:dyDescent="0.3">
      <c r="A911">
        <v>911</v>
      </c>
      <c r="B911" s="46">
        <v>40584</v>
      </c>
      <c r="C911">
        <v>2</v>
      </c>
      <c r="D911">
        <v>11</v>
      </c>
      <c r="E911" t="b">
        <v>0</v>
      </c>
      <c r="F911">
        <v>4</v>
      </c>
      <c r="G911" t="s">
        <v>35</v>
      </c>
      <c r="H911" t="s">
        <v>39</v>
      </c>
      <c r="I911">
        <v>1</v>
      </c>
      <c r="J911" t="s">
        <v>29</v>
      </c>
      <c r="K911">
        <v>0.14000000000000001</v>
      </c>
      <c r="L911" t="s">
        <v>23</v>
      </c>
      <c r="M911">
        <v>0.1212</v>
      </c>
      <c r="N911">
        <v>0.39</v>
      </c>
      <c r="O911" t="s">
        <v>34</v>
      </c>
      <c r="P911">
        <v>0.35820000000000002</v>
      </c>
      <c r="Q911">
        <v>1</v>
      </c>
      <c r="R911">
        <v>44</v>
      </c>
      <c r="S911">
        <v>45</v>
      </c>
    </row>
    <row r="912" spans="1:19" x14ac:dyDescent="0.3">
      <c r="A912">
        <v>912</v>
      </c>
      <c r="B912" s="46">
        <v>40584</v>
      </c>
      <c r="C912">
        <v>2</v>
      </c>
      <c r="D912">
        <v>12</v>
      </c>
      <c r="E912" t="b">
        <v>0</v>
      </c>
      <c r="F912">
        <v>4</v>
      </c>
      <c r="G912" t="s">
        <v>35</v>
      </c>
      <c r="H912" t="s">
        <v>39</v>
      </c>
      <c r="I912">
        <v>1</v>
      </c>
      <c r="J912" t="s">
        <v>29</v>
      </c>
      <c r="K912">
        <v>0.16</v>
      </c>
      <c r="L912" t="s">
        <v>23</v>
      </c>
      <c r="M912">
        <v>0.13639999999999999</v>
      </c>
      <c r="N912">
        <v>0.34</v>
      </c>
      <c r="O912" t="s">
        <v>34</v>
      </c>
      <c r="P912">
        <v>0.3881</v>
      </c>
      <c r="Q912">
        <v>4</v>
      </c>
      <c r="R912">
        <v>65</v>
      </c>
      <c r="S912">
        <v>69</v>
      </c>
    </row>
    <row r="913" spans="1:19" x14ac:dyDescent="0.3">
      <c r="A913">
        <v>913</v>
      </c>
      <c r="B913" s="46">
        <v>40584</v>
      </c>
      <c r="C913">
        <v>2</v>
      </c>
      <c r="D913">
        <v>13</v>
      </c>
      <c r="E913" t="b">
        <v>0</v>
      </c>
      <c r="F913">
        <v>4</v>
      </c>
      <c r="G913" t="s">
        <v>35</v>
      </c>
      <c r="H913" t="s">
        <v>39</v>
      </c>
      <c r="I913">
        <v>1</v>
      </c>
      <c r="J913" t="s">
        <v>29</v>
      </c>
      <c r="K913">
        <v>0.18</v>
      </c>
      <c r="L913" t="s">
        <v>23</v>
      </c>
      <c r="M913">
        <v>0.16669999999999999</v>
      </c>
      <c r="N913">
        <v>0.28999999999999998</v>
      </c>
      <c r="O913" t="s">
        <v>34</v>
      </c>
      <c r="P913">
        <v>0.29849999999999999</v>
      </c>
      <c r="Q913">
        <v>3</v>
      </c>
      <c r="R913">
        <v>59</v>
      </c>
      <c r="S913">
        <v>62</v>
      </c>
    </row>
    <row r="914" spans="1:19" x14ac:dyDescent="0.3">
      <c r="A914">
        <v>914</v>
      </c>
      <c r="B914" s="46">
        <v>40584</v>
      </c>
      <c r="C914">
        <v>2</v>
      </c>
      <c r="D914">
        <v>14</v>
      </c>
      <c r="E914" t="b">
        <v>0</v>
      </c>
      <c r="F914">
        <v>4</v>
      </c>
      <c r="G914" t="s">
        <v>35</v>
      </c>
      <c r="H914" t="s">
        <v>39</v>
      </c>
      <c r="I914">
        <v>1</v>
      </c>
      <c r="J914" t="s">
        <v>29</v>
      </c>
      <c r="K914">
        <v>0.2</v>
      </c>
      <c r="L914" t="s">
        <v>23</v>
      </c>
      <c r="M914">
        <v>0.18179999999999999</v>
      </c>
      <c r="N914">
        <v>0.27</v>
      </c>
      <c r="O914" t="s">
        <v>34</v>
      </c>
      <c r="P914">
        <v>0.28360000000000002</v>
      </c>
      <c r="Q914">
        <v>6</v>
      </c>
      <c r="R914">
        <v>42</v>
      </c>
      <c r="S914">
        <v>48</v>
      </c>
    </row>
    <row r="915" spans="1:19" x14ac:dyDescent="0.3">
      <c r="A915">
        <v>915</v>
      </c>
      <c r="B915" s="46">
        <v>40584</v>
      </c>
      <c r="C915">
        <v>2</v>
      </c>
      <c r="D915">
        <v>15</v>
      </c>
      <c r="E915" t="b">
        <v>0</v>
      </c>
      <c r="F915">
        <v>4</v>
      </c>
      <c r="G915" t="s">
        <v>35</v>
      </c>
      <c r="H915" t="s">
        <v>39</v>
      </c>
      <c r="I915">
        <v>1</v>
      </c>
      <c r="J915" t="s">
        <v>29</v>
      </c>
      <c r="K915">
        <v>0.2</v>
      </c>
      <c r="L915" t="s">
        <v>23</v>
      </c>
      <c r="M915">
        <v>0.19700000000000001</v>
      </c>
      <c r="N915">
        <v>0.25</v>
      </c>
      <c r="O915" t="s">
        <v>34</v>
      </c>
      <c r="P915">
        <v>0.25369999999999998</v>
      </c>
      <c r="Q915">
        <v>0</v>
      </c>
      <c r="R915">
        <v>50</v>
      </c>
      <c r="S915">
        <v>50</v>
      </c>
    </row>
    <row r="916" spans="1:19" x14ac:dyDescent="0.3">
      <c r="A916">
        <v>916</v>
      </c>
      <c r="B916" s="46">
        <v>40584</v>
      </c>
      <c r="C916">
        <v>2</v>
      </c>
      <c r="D916">
        <v>16</v>
      </c>
      <c r="E916" t="b">
        <v>0</v>
      </c>
      <c r="F916">
        <v>4</v>
      </c>
      <c r="G916" t="s">
        <v>35</v>
      </c>
      <c r="H916" t="s">
        <v>39</v>
      </c>
      <c r="I916">
        <v>1</v>
      </c>
      <c r="J916" t="s">
        <v>29</v>
      </c>
      <c r="K916">
        <v>0.2</v>
      </c>
      <c r="L916" t="s">
        <v>23</v>
      </c>
      <c r="M916">
        <v>0.18179999999999999</v>
      </c>
      <c r="N916">
        <v>0.27</v>
      </c>
      <c r="O916" t="s">
        <v>34</v>
      </c>
      <c r="P916">
        <v>0.29849999999999999</v>
      </c>
      <c r="Q916">
        <v>4</v>
      </c>
      <c r="R916">
        <v>76</v>
      </c>
      <c r="S916">
        <v>80</v>
      </c>
    </row>
    <row r="917" spans="1:19" x14ac:dyDescent="0.3">
      <c r="A917">
        <v>917</v>
      </c>
      <c r="B917" s="46">
        <v>40584</v>
      </c>
      <c r="C917">
        <v>2</v>
      </c>
      <c r="D917">
        <v>17</v>
      </c>
      <c r="E917" t="b">
        <v>0</v>
      </c>
      <c r="F917">
        <v>4</v>
      </c>
      <c r="G917" t="s">
        <v>35</v>
      </c>
      <c r="H917" t="s">
        <v>39</v>
      </c>
      <c r="I917">
        <v>1</v>
      </c>
      <c r="J917" t="s">
        <v>29</v>
      </c>
      <c r="K917">
        <v>0.18</v>
      </c>
      <c r="L917" t="s">
        <v>23</v>
      </c>
      <c r="M917">
        <v>0.18179999999999999</v>
      </c>
      <c r="N917">
        <v>0.26</v>
      </c>
      <c r="O917" t="s">
        <v>34</v>
      </c>
      <c r="P917">
        <v>0.19400000000000001</v>
      </c>
      <c r="Q917">
        <v>6</v>
      </c>
      <c r="R917">
        <v>159</v>
      </c>
      <c r="S917">
        <v>165</v>
      </c>
    </row>
    <row r="918" spans="1:19" x14ac:dyDescent="0.3">
      <c r="A918">
        <v>918</v>
      </c>
      <c r="B918" s="46">
        <v>40584</v>
      </c>
      <c r="C918">
        <v>2</v>
      </c>
      <c r="D918">
        <v>18</v>
      </c>
      <c r="E918" t="b">
        <v>0</v>
      </c>
      <c r="F918">
        <v>4</v>
      </c>
      <c r="G918" t="s">
        <v>35</v>
      </c>
      <c r="H918" t="s">
        <v>39</v>
      </c>
      <c r="I918">
        <v>1</v>
      </c>
      <c r="J918" t="s">
        <v>29</v>
      </c>
      <c r="K918">
        <v>0.16</v>
      </c>
      <c r="L918" t="s">
        <v>23</v>
      </c>
      <c r="M918">
        <v>0.18179999999999999</v>
      </c>
      <c r="N918">
        <v>0.28000000000000003</v>
      </c>
      <c r="O918" t="s">
        <v>34</v>
      </c>
      <c r="P918">
        <v>0.1343</v>
      </c>
      <c r="Q918">
        <v>3</v>
      </c>
      <c r="R918">
        <v>157</v>
      </c>
      <c r="S918">
        <v>160</v>
      </c>
    </row>
    <row r="919" spans="1:19" x14ac:dyDescent="0.3">
      <c r="A919">
        <v>919</v>
      </c>
      <c r="B919" s="46">
        <v>40584</v>
      </c>
      <c r="C919">
        <v>2</v>
      </c>
      <c r="D919">
        <v>19</v>
      </c>
      <c r="E919" t="b">
        <v>0</v>
      </c>
      <c r="F919">
        <v>4</v>
      </c>
      <c r="G919" t="s">
        <v>35</v>
      </c>
      <c r="H919" t="s">
        <v>39</v>
      </c>
      <c r="I919">
        <v>1</v>
      </c>
      <c r="J919" t="s">
        <v>29</v>
      </c>
      <c r="K919">
        <v>0.14000000000000001</v>
      </c>
      <c r="L919" t="s">
        <v>23</v>
      </c>
      <c r="M919">
        <v>0.16669999999999999</v>
      </c>
      <c r="N919">
        <v>0.28000000000000003</v>
      </c>
      <c r="O919" t="s">
        <v>34</v>
      </c>
      <c r="P919">
        <v>0.1045</v>
      </c>
      <c r="Q919">
        <v>2</v>
      </c>
      <c r="R919">
        <v>110</v>
      </c>
      <c r="S919">
        <v>112</v>
      </c>
    </row>
    <row r="920" spans="1:19" x14ac:dyDescent="0.3">
      <c r="A920">
        <v>920</v>
      </c>
      <c r="B920" s="46">
        <v>40584</v>
      </c>
      <c r="C920">
        <v>2</v>
      </c>
      <c r="D920">
        <v>20</v>
      </c>
      <c r="E920" t="b">
        <v>0</v>
      </c>
      <c r="F920">
        <v>4</v>
      </c>
      <c r="G920" t="s">
        <v>35</v>
      </c>
      <c r="H920" t="s">
        <v>39</v>
      </c>
      <c r="I920">
        <v>1</v>
      </c>
      <c r="J920" t="s">
        <v>29</v>
      </c>
      <c r="K920">
        <v>0.14000000000000001</v>
      </c>
      <c r="L920" t="s">
        <v>23</v>
      </c>
      <c r="M920">
        <v>0.18179999999999999</v>
      </c>
      <c r="N920">
        <v>0.31</v>
      </c>
      <c r="O920" t="s">
        <v>34</v>
      </c>
      <c r="P920">
        <v>8.9599999999999999E-2</v>
      </c>
      <c r="Q920">
        <v>4</v>
      </c>
      <c r="R920">
        <v>93</v>
      </c>
      <c r="S920">
        <v>97</v>
      </c>
    </row>
    <row r="921" spans="1:19" x14ac:dyDescent="0.3">
      <c r="A921">
        <v>921</v>
      </c>
      <c r="B921" s="46">
        <v>40584</v>
      </c>
      <c r="C921">
        <v>2</v>
      </c>
      <c r="D921">
        <v>21</v>
      </c>
      <c r="E921" t="b">
        <v>0</v>
      </c>
      <c r="F921">
        <v>4</v>
      </c>
      <c r="G921" t="s">
        <v>35</v>
      </c>
      <c r="H921" t="s">
        <v>39</v>
      </c>
      <c r="I921">
        <v>1</v>
      </c>
      <c r="J921" t="s">
        <v>29</v>
      </c>
      <c r="K921">
        <v>0.14000000000000001</v>
      </c>
      <c r="L921" t="s">
        <v>23</v>
      </c>
      <c r="M921">
        <v>0.21210000000000001</v>
      </c>
      <c r="N921">
        <v>0.39</v>
      </c>
      <c r="O921" t="s">
        <v>34</v>
      </c>
      <c r="P921">
        <v>0</v>
      </c>
      <c r="Q921">
        <v>2</v>
      </c>
      <c r="R921">
        <v>70</v>
      </c>
      <c r="S921">
        <v>72</v>
      </c>
    </row>
    <row r="922" spans="1:19" x14ac:dyDescent="0.3">
      <c r="A922">
        <v>922</v>
      </c>
      <c r="B922" s="46">
        <v>40584</v>
      </c>
      <c r="C922">
        <v>2</v>
      </c>
      <c r="D922">
        <v>22</v>
      </c>
      <c r="E922" t="b">
        <v>0</v>
      </c>
      <c r="F922">
        <v>4</v>
      </c>
      <c r="G922" t="s">
        <v>35</v>
      </c>
      <c r="H922" t="s">
        <v>39</v>
      </c>
      <c r="I922">
        <v>1</v>
      </c>
      <c r="J922" t="s">
        <v>29</v>
      </c>
      <c r="K922">
        <v>0.12</v>
      </c>
      <c r="L922" t="s">
        <v>23</v>
      </c>
      <c r="M922">
        <v>0.19700000000000001</v>
      </c>
      <c r="N922">
        <v>0.39</v>
      </c>
      <c r="O922" t="s">
        <v>34</v>
      </c>
      <c r="P922">
        <v>0</v>
      </c>
      <c r="Q922">
        <v>4</v>
      </c>
      <c r="R922">
        <v>47</v>
      </c>
      <c r="S922">
        <v>51</v>
      </c>
    </row>
    <row r="923" spans="1:19" x14ac:dyDescent="0.3">
      <c r="A923">
        <v>923</v>
      </c>
      <c r="B923" s="46">
        <v>40584</v>
      </c>
      <c r="C923">
        <v>2</v>
      </c>
      <c r="D923">
        <v>23</v>
      </c>
      <c r="E923" t="b">
        <v>0</v>
      </c>
      <c r="F923">
        <v>4</v>
      </c>
      <c r="G923" t="s">
        <v>35</v>
      </c>
      <c r="H923" t="s">
        <v>39</v>
      </c>
      <c r="I923">
        <v>1</v>
      </c>
      <c r="J923" t="s">
        <v>29</v>
      </c>
      <c r="K923">
        <v>0.12</v>
      </c>
      <c r="L923" t="s">
        <v>23</v>
      </c>
      <c r="M923">
        <v>0.1515</v>
      </c>
      <c r="N923">
        <v>0.42</v>
      </c>
      <c r="O923" t="s">
        <v>34</v>
      </c>
      <c r="P923">
        <v>0.1045</v>
      </c>
      <c r="Q923">
        <v>1</v>
      </c>
      <c r="R923">
        <v>33</v>
      </c>
      <c r="S923">
        <v>34</v>
      </c>
    </row>
    <row r="924" spans="1:19" x14ac:dyDescent="0.3">
      <c r="A924">
        <v>924</v>
      </c>
      <c r="B924" s="46">
        <v>40585</v>
      </c>
      <c r="C924">
        <v>2</v>
      </c>
      <c r="D924">
        <v>0</v>
      </c>
      <c r="E924" t="b">
        <v>0</v>
      </c>
      <c r="F924">
        <v>5</v>
      </c>
      <c r="G924" t="s">
        <v>35</v>
      </c>
      <c r="H924" t="s">
        <v>40</v>
      </c>
      <c r="I924">
        <v>1</v>
      </c>
      <c r="J924" t="s">
        <v>29</v>
      </c>
      <c r="K924">
        <v>0.1</v>
      </c>
      <c r="L924" t="s">
        <v>23</v>
      </c>
      <c r="M924">
        <v>0.13639999999999999</v>
      </c>
      <c r="N924">
        <v>0.49</v>
      </c>
      <c r="O924" t="s">
        <v>34</v>
      </c>
      <c r="P924">
        <v>0.1045</v>
      </c>
      <c r="Q924">
        <v>2</v>
      </c>
      <c r="R924">
        <v>12</v>
      </c>
      <c r="S924">
        <v>14</v>
      </c>
    </row>
    <row r="925" spans="1:19" x14ac:dyDescent="0.3">
      <c r="A925">
        <v>925</v>
      </c>
      <c r="B925" s="46">
        <v>40585</v>
      </c>
      <c r="C925">
        <v>2</v>
      </c>
      <c r="D925">
        <v>1</v>
      </c>
      <c r="E925" t="b">
        <v>0</v>
      </c>
      <c r="F925">
        <v>5</v>
      </c>
      <c r="G925" t="s">
        <v>35</v>
      </c>
      <c r="H925" t="s">
        <v>40</v>
      </c>
      <c r="I925">
        <v>1</v>
      </c>
      <c r="J925" t="s">
        <v>29</v>
      </c>
      <c r="K925">
        <v>0.1</v>
      </c>
      <c r="L925" t="s">
        <v>23</v>
      </c>
      <c r="M925">
        <v>0.13639999999999999</v>
      </c>
      <c r="N925">
        <v>0.54</v>
      </c>
      <c r="O925" t="s">
        <v>34</v>
      </c>
      <c r="P925">
        <v>8.9599999999999999E-2</v>
      </c>
      <c r="Q925">
        <v>1</v>
      </c>
      <c r="R925">
        <v>6</v>
      </c>
      <c r="S925">
        <v>7</v>
      </c>
    </row>
    <row r="926" spans="1:19" x14ac:dyDescent="0.3">
      <c r="A926">
        <v>926</v>
      </c>
      <c r="B926" s="46">
        <v>40585</v>
      </c>
      <c r="C926">
        <v>2</v>
      </c>
      <c r="D926">
        <v>2</v>
      </c>
      <c r="E926" t="b">
        <v>0</v>
      </c>
      <c r="F926">
        <v>5</v>
      </c>
      <c r="G926" t="s">
        <v>35</v>
      </c>
      <c r="H926" t="s">
        <v>40</v>
      </c>
      <c r="I926">
        <v>1</v>
      </c>
      <c r="J926" t="s">
        <v>29</v>
      </c>
      <c r="K926">
        <v>0.1</v>
      </c>
      <c r="L926" t="s">
        <v>23</v>
      </c>
      <c r="M926">
        <v>0.13639999999999999</v>
      </c>
      <c r="N926">
        <v>0.54</v>
      </c>
      <c r="O926" t="s">
        <v>34</v>
      </c>
      <c r="P926">
        <v>8.9599999999999999E-2</v>
      </c>
      <c r="Q926">
        <v>0</v>
      </c>
      <c r="R926">
        <v>3</v>
      </c>
      <c r="S926">
        <v>3</v>
      </c>
    </row>
    <row r="927" spans="1:19" x14ac:dyDescent="0.3">
      <c r="A927">
        <v>927</v>
      </c>
      <c r="B927" s="46">
        <v>40585</v>
      </c>
      <c r="C927">
        <v>2</v>
      </c>
      <c r="D927">
        <v>5</v>
      </c>
      <c r="E927" t="b">
        <v>0</v>
      </c>
      <c r="F927">
        <v>5</v>
      </c>
      <c r="G927" t="s">
        <v>35</v>
      </c>
      <c r="H927" t="s">
        <v>40</v>
      </c>
      <c r="I927">
        <v>1</v>
      </c>
      <c r="J927" t="s">
        <v>29</v>
      </c>
      <c r="K927">
        <v>0.08</v>
      </c>
      <c r="L927" t="s">
        <v>30</v>
      </c>
      <c r="M927">
        <v>0.1212</v>
      </c>
      <c r="N927">
        <v>0.63</v>
      </c>
      <c r="O927" t="s">
        <v>34</v>
      </c>
      <c r="P927">
        <v>8.9599999999999999E-2</v>
      </c>
      <c r="Q927">
        <v>0</v>
      </c>
      <c r="R927">
        <v>4</v>
      </c>
      <c r="S927">
        <v>4</v>
      </c>
    </row>
    <row r="928" spans="1:19" x14ac:dyDescent="0.3">
      <c r="A928">
        <v>928</v>
      </c>
      <c r="B928" s="46">
        <v>40585</v>
      </c>
      <c r="C928">
        <v>2</v>
      </c>
      <c r="D928">
        <v>6</v>
      </c>
      <c r="E928" t="b">
        <v>0</v>
      </c>
      <c r="F928">
        <v>5</v>
      </c>
      <c r="G928" t="s">
        <v>35</v>
      </c>
      <c r="H928" t="s">
        <v>40</v>
      </c>
      <c r="I928">
        <v>1</v>
      </c>
      <c r="J928" t="s">
        <v>29</v>
      </c>
      <c r="K928">
        <v>0.1</v>
      </c>
      <c r="L928" t="s">
        <v>23</v>
      </c>
      <c r="M928">
        <v>0.18179999999999999</v>
      </c>
      <c r="N928">
        <v>0.68</v>
      </c>
      <c r="O928" t="s">
        <v>34</v>
      </c>
      <c r="P928">
        <v>0</v>
      </c>
      <c r="Q928">
        <v>1</v>
      </c>
      <c r="R928">
        <v>23</v>
      </c>
      <c r="S928">
        <v>24</v>
      </c>
    </row>
    <row r="929" spans="1:19" x14ac:dyDescent="0.3">
      <c r="A929">
        <v>929</v>
      </c>
      <c r="B929" s="46">
        <v>40585</v>
      </c>
      <c r="C929">
        <v>2</v>
      </c>
      <c r="D929">
        <v>7</v>
      </c>
      <c r="E929" t="b">
        <v>0</v>
      </c>
      <c r="F929">
        <v>5</v>
      </c>
      <c r="G929" t="s">
        <v>35</v>
      </c>
      <c r="H929" t="s">
        <v>40</v>
      </c>
      <c r="I929">
        <v>1</v>
      </c>
      <c r="J929" t="s">
        <v>29</v>
      </c>
      <c r="K929">
        <v>0.08</v>
      </c>
      <c r="L929" t="s">
        <v>30</v>
      </c>
      <c r="M929">
        <v>0.16669999999999999</v>
      </c>
      <c r="N929">
        <v>0.73</v>
      </c>
      <c r="O929" t="s">
        <v>30</v>
      </c>
      <c r="P929">
        <v>0</v>
      </c>
      <c r="Q929">
        <v>1</v>
      </c>
      <c r="R929">
        <v>73</v>
      </c>
      <c r="S929">
        <v>74</v>
      </c>
    </row>
    <row r="930" spans="1:19" x14ac:dyDescent="0.3">
      <c r="A930">
        <v>930</v>
      </c>
      <c r="B930" s="46">
        <v>40585</v>
      </c>
      <c r="C930">
        <v>2</v>
      </c>
      <c r="D930">
        <v>8</v>
      </c>
      <c r="E930" t="b">
        <v>0</v>
      </c>
      <c r="F930">
        <v>5</v>
      </c>
      <c r="G930" t="s">
        <v>35</v>
      </c>
      <c r="H930" t="s">
        <v>40</v>
      </c>
      <c r="I930">
        <v>1</v>
      </c>
      <c r="J930" t="s">
        <v>29</v>
      </c>
      <c r="K930">
        <v>0.1</v>
      </c>
      <c r="L930" t="s">
        <v>23</v>
      </c>
      <c r="M930">
        <v>0.1212</v>
      </c>
      <c r="N930">
        <v>0.74</v>
      </c>
      <c r="O930" t="s">
        <v>30</v>
      </c>
      <c r="P930">
        <v>0.16420000000000001</v>
      </c>
      <c r="Q930">
        <v>4</v>
      </c>
      <c r="R930">
        <v>212</v>
      </c>
      <c r="S930">
        <v>216</v>
      </c>
    </row>
    <row r="931" spans="1:19" x14ac:dyDescent="0.3">
      <c r="A931">
        <v>931</v>
      </c>
      <c r="B931" s="46">
        <v>40585</v>
      </c>
      <c r="C931">
        <v>2</v>
      </c>
      <c r="D931">
        <v>9</v>
      </c>
      <c r="E931" t="b">
        <v>0</v>
      </c>
      <c r="F931">
        <v>5</v>
      </c>
      <c r="G931" t="s">
        <v>35</v>
      </c>
      <c r="H931" t="s">
        <v>40</v>
      </c>
      <c r="I931">
        <v>1</v>
      </c>
      <c r="J931" t="s">
        <v>29</v>
      </c>
      <c r="K931">
        <v>0.12</v>
      </c>
      <c r="L931" t="s">
        <v>23</v>
      </c>
      <c r="M931">
        <v>0.1212</v>
      </c>
      <c r="N931">
        <v>0.74</v>
      </c>
      <c r="O931" t="s">
        <v>30</v>
      </c>
      <c r="P931">
        <v>0.22389999999999999</v>
      </c>
      <c r="Q931">
        <v>8</v>
      </c>
      <c r="R931">
        <v>132</v>
      </c>
      <c r="S931">
        <v>140</v>
      </c>
    </row>
    <row r="932" spans="1:19" x14ac:dyDescent="0.3">
      <c r="A932">
        <v>932</v>
      </c>
      <c r="B932" s="46">
        <v>40585</v>
      </c>
      <c r="C932">
        <v>2</v>
      </c>
      <c r="D932">
        <v>10</v>
      </c>
      <c r="E932" t="b">
        <v>0</v>
      </c>
      <c r="F932">
        <v>5</v>
      </c>
      <c r="G932" t="s">
        <v>35</v>
      </c>
      <c r="H932" t="s">
        <v>40</v>
      </c>
      <c r="I932">
        <v>1</v>
      </c>
      <c r="J932" t="s">
        <v>29</v>
      </c>
      <c r="K932">
        <v>0.14000000000000001</v>
      </c>
      <c r="L932" t="s">
        <v>23</v>
      </c>
      <c r="M932">
        <v>0.13639999999999999</v>
      </c>
      <c r="N932">
        <v>0.69</v>
      </c>
      <c r="O932" t="s">
        <v>34</v>
      </c>
      <c r="P932">
        <v>0.19400000000000001</v>
      </c>
      <c r="Q932">
        <v>5</v>
      </c>
      <c r="R932">
        <v>39</v>
      </c>
      <c r="S932">
        <v>44</v>
      </c>
    </row>
    <row r="933" spans="1:19" x14ac:dyDescent="0.3">
      <c r="A933">
        <v>933</v>
      </c>
      <c r="B933" s="46">
        <v>40585</v>
      </c>
      <c r="C933">
        <v>2</v>
      </c>
      <c r="D933">
        <v>11</v>
      </c>
      <c r="E933" t="b">
        <v>0</v>
      </c>
      <c r="F933">
        <v>5</v>
      </c>
      <c r="G933" t="s">
        <v>35</v>
      </c>
      <c r="H933" t="s">
        <v>40</v>
      </c>
      <c r="I933">
        <v>1</v>
      </c>
      <c r="J933" t="s">
        <v>29</v>
      </c>
      <c r="K933">
        <v>0.22</v>
      </c>
      <c r="L933" t="s">
        <v>23</v>
      </c>
      <c r="M933">
        <v>0.2273</v>
      </c>
      <c r="N933">
        <v>0.47</v>
      </c>
      <c r="O933" t="s">
        <v>34</v>
      </c>
      <c r="P933">
        <v>0.1343</v>
      </c>
      <c r="Q933">
        <v>12</v>
      </c>
      <c r="R933">
        <v>52</v>
      </c>
      <c r="S933">
        <v>64</v>
      </c>
    </row>
    <row r="934" spans="1:19" x14ac:dyDescent="0.3">
      <c r="A934">
        <v>934</v>
      </c>
      <c r="B934" s="46">
        <v>40585</v>
      </c>
      <c r="C934">
        <v>2</v>
      </c>
      <c r="D934">
        <v>12</v>
      </c>
      <c r="E934" t="b">
        <v>0</v>
      </c>
      <c r="F934">
        <v>5</v>
      </c>
      <c r="G934" t="s">
        <v>35</v>
      </c>
      <c r="H934" t="s">
        <v>40</v>
      </c>
      <c r="I934">
        <v>1</v>
      </c>
      <c r="J934" t="s">
        <v>29</v>
      </c>
      <c r="K934">
        <v>0.22</v>
      </c>
      <c r="L934" t="s">
        <v>23</v>
      </c>
      <c r="M934">
        <v>0.2273</v>
      </c>
      <c r="N934">
        <v>0.47</v>
      </c>
      <c r="O934" t="s">
        <v>34</v>
      </c>
      <c r="P934">
        <v>0.1343</v>
      </c>
      <c r="Q934">
        <v>7</v>
      </c>
      <c r="R934">
        <v>64</v>
      </c>
      <c r="S934">
        <v>71</v>
      </c>
    </row>
    <row r="935" spans="1:19" x14ac:dyDescent="0.3">
      <c r="A935">
        <v>935</v>
      </c>
      <c r="B935" s="46">
        <v>40585</v>
      </c>
      <c r="C935">
        <v>2</v>
      </c>
      <c r="D935">
        <v>13</v>
      </c>
      <c r="E935" t="b">
        <v>0</v>
      </c>
      <c r="F935">
        <v>5</v>
      </c>
      <c r="G935" t="s">
        <v>35</v>
      </c>
      <c r="H935" t="s">
        <v>40</v>
      </c>
      <c r="I935">
        <v>1</v>
      </c>
      <c r="J935" t="s">
        <v>29</v>
      </c>
      <c r="K935">
        <v>0.24</v>
      </c>
      <c r="L935" t="s">
        <v>23</v>
      </c>
      <c r="M935">
        <v>0.2273</v>
      </c>
      <c r="N935">
        <v>0.35</v>
      </c>
      <c r="O935" t="s">
        <v>34</v>
      </c>
      <c r="P935">
        <v>0.19400000000000001</v>
      </c>
      <c r="Q935">
        <v>21</v>
      </c>
      <c r="R935">
        <v>89</v>
      </c>
      <c r="S935">
        <v>110</v>
      </c>
    </row>
    <row r="936" spans="1:19" x14ac:dyDescent="0.3">
      <c r="A936">
        <v>936</v>
      </c>
      <c r="B936" s="46">
        <v>40585</v>
      </c>
      <c r="C936">
        <v>2</v>
      </c>
      <c r="D936">
        <v>14</v>
      </c>
      <c r="E936" t="b">
        <v>0</v>
      </c>
      <c r="F936">
        <v>5</v>
      </c>
      <c r="G936" t="s">
        <v>35</v>
      </c>
      <c r="H936" t="s">
        <v>40</v>
      </c>
      <c r="I936">
        <v>1</v>
      </c>
      <c r="J936" t="s">
        <v>29</v>
      </c>
      <c r="K936">
        <v>0.3</v>
      </c>
      <c r="L936" t="s">
        <v>23</v>
      </c>
      <c r="M936">
        <v>0.28789999999999999</v>
      </c>
      <c r="N936">
        <v>0.26</v>
      </c>
      <c r="O936" t="s">
        <v>34</v>
      </c>
      <c r="P936">
        <v>0.25369999999999998</v>
      </c>
      <c r="Q936">
        <v>17</v>
      </c>
      <c r="R936">
        <v>67</v>
      </c>
      <c r="S936">
        <v>84</v>
      </c>
    </row>
    <row r="937" spans="1:19" x14ac:dyDescent="0.3">
      <c r="A937">
        <v>937</v>
      </c>
      <c r="B937" s="46">
        <v>40585</v>
      </c>
      <c r="C937">
        <v>2</v>
      </c>
      <c r="D937">
        <v>15</v>
      </c>
      <c r="E937" t="b">
        <v>0</v>
      </c>
      <c r="F937">
        <v>5</v>
      </c>
      <c r="G937" t="s">
        <v>35</v>
      </c>
      <c r="H937" t="s">
        <v>40</v>
      </c>
      <c r="I937">
        <v>1</v>
      </c>
      <c r="J937" t="s">
        <v>29</v>
      </c>
      <c r="K937">
        <v>0.32</v>
      </c>
      <c r="L937" t="s">
        <v>23</v>
      </c>
      <c r="M937">
        <v>0.31819999999999998</v>
      </c>
      <c r="N937">
        <v>0.21</v>
      </c>
      <c r="O937" t="s">
        <v>34</v>
      </c>
      <c r="P937">
        <v>0.16420000000000001</v>
      </c>
      <c r="Q937">
        <v>12</v>
      </c>
      <c r="R937">
        <v>62</v>
      </c>
      <c r="S937">
        <v>74</v>
      </c>
    </row>
    <row r="938" spans="1:19" x14ac:dyDescent="0.3">
      <c r="A938">
        <v>938</v>
      </c>
      <c r="B938" s="46">
        <v>40585</v>
      </c>
      <c r="C938">
        <v>2</v>
      </c>
      <c r="D938">
        <v>16</v>
      </c>
      <c r="E938" t="b">
        <v>0</v>
      </c>
      <c r="F938">
        <v>5</v>
      </c>
      <c r="G938" t="s">
        <v>35</v>
      </c>
      <c r="H938" t="s">
        <v>40</v>
      </c>
      <c r="I938">
        <v>1</v>
      </c>
      <c r="J938" t="s">
        <v>29</v>
      </c>
      <c r="K938">
        <v>0.3</v>
      </c>
      <c r="L938" t="s">
        <v>23</v>
      </c>
      <c r="M938">
        <v>0.28789999999999999</v>
      </c>
      <c r="N938">
        <v>0.28000000000000003</v>
      </c>
      <c r="O938" t="s">
        <v>34</v>
      </c>
      <c r="P938">
        <v>0.19400000000000001</v>
      </c>
      <c r="Q938">
        <v>14</v>
      </c>
      <c r="R938">
        <v>111</v>
      </c>
      <c r="S938">
        <v>125</v>
      </c>
    </row>
    <row r="939" spans="1:19" x14ac:dyDescent="0.3">
      <c r="A939">
        <v>939</v>
      </c>
      <c r="B939" s="46">
        <v>40585</v>
      </c>
      <c r="C939">
        <v>2</v>
      </c>
      <c r="D939">
        <v>17</v>
      </c>
      <c r="E939" t="b">
        <v>0</v>
      </c>
      <c r="F939">
        <v>5</v>
      </c>
      <c r="G939" t="s">
        <v>35</v>
      </c>
      <c r="H939" t="s">
        <v>40</v>
      </c>
      <c r="I939">
        <v>1</v>
      </c>
      <c r="J939" t="s">
        <v>29</v>
      </c>
      <c r="K939">
        <v>0.3</v>
      </c>
      <c r="L939" t="s">
        <v>23</v>
      </c>
      <c r="M939">
        <v>0.33329999999999999</v>
      </c>
      <c r="N939">
        <v>0.24</v>
      </c>
      <c r="O939" t="s">
        <v>34</v>
      </c>
      <c r="P939">
        <v>0</v>
      </c>
      <c r="Q939">
        <v>18</v>
      </c>
      <c r="R939">
        <v>193</v>
      </c>
      <c r="S939">
        <v>211</v>
      </c>
    </row>
    <row r="940" spans="1:19" x14ac:dyDescent="0.3">
      <c r="A940">
        <v>940</v>
      </c>
      <c r="B940" s="46">
        <v>40585</v>
      </c>
      <c r="C940">
        <v>2</v>
      </c>
      <c r="D940">
        <v>18</v>
      </c>
      <c r="E940" t="b">
        <v>0</v>
      </c>
      <c r="F940">
        <v>5</v>
      </c>
      <c r="G940" t="s">
        <v>35</v>
      </c>
      <c r="H940" t="s">
        <v>40</v>
      </c>
      <c r="I940">
        <v>1</v>
      </c>
      <c r="J940" t="s">
        <v>29</v>
      </c>
      <c r="K940">
        <v>0.28000000000000003</v>
      </c>
      <c r="L940" t="s">
        <v>23</v>
      </c>
      <c r="M940">
        <v>0.31819999999999998</v>
      </c>
      <c r="N940">
        <v>0.28000000000000003</v>
      </c>
      <c r="O940" t="s">
        <v>34</v>
      </c>
      <c r="P940">
        <v>0</v>
      </c>
      <c r="Q940">
        <v>9</v>
      </c>
      <c r="R940">
        <v>165</v>
      </c>
      <c r="S940">
        <v>174</v>
      </c>
    </row>
    <row r="941" spans="1:19" x14ac:dyDescent="0.3">
      <c r="A941">
        <v>941</v>
      </c>
      <c r="B941" s="46">
        <v>40585</v>
      </c>
      <c r="C941">
        <v>2</v>
      </c>
      <c r="D941">
        <v>19</v>
      </c>
      <c r="E941" t="b">
        <v>0</v>
      </c>
      <c r="F941">
        <v>5</v>
      </c>
      <c r="G941" t="s">
        <v>35</v>
      </c>
      <c r="H941" t="s">
        <v>40</v>
      </c>
      <c r="I941">
        <v>1</v>
      </c>
      <c r="J941" t="s">
        <v>29</v>
      </c>
      <c r="K941">
        <v>0.26</v>
      </c>
      <c r="L941" t="s">
        <v>23</v>
      </c>
      <c r="M941">
        <v>0.30299999999999999</v>
      </c>
      <c r="N941">
        <v>0.33</v>
      </c>
      <c r="O941" t="s">
        <v>34</v>
      </c>
      <c r="P941">
        <v>0</v>
      </c>
      <c r="Q941">
        <v>7</v>
      </c>
      <c r="R941">
        <v>94</v>
      </c>
      <c r="S941">
        <v>101</v>
      </c>
    </row>
    <row r="942" spans="1:19" x14ac:dyDescent="0.3">
      <c r="A942">
        <v>942</v>
      </c>
      <c r="B942" s="46">
        <v>40585</v>
      </c>
      <c r="C942">
        <v>2</v>
      </c>
      <c r="D942">
        <v>20</v>
      </c>
      <c r="E942" t="b">
        <v>0</v>
      </c>
      <c r="F942">
        <v>5</v>
      </c>
      <c r="G942" t="s">
        <v>35</v>
      </c>
      <c r="H942" t="s">
        <v>40</v>
      </c>
      <c r="I942">
        <v>1</v>
      </c>
      <c r="J942" t="s">
        <v>29</v>
      </c>
      <c r="K942">
        <v>0.22</v>
      </c>
      <c r="L942" t="s">
        <v>23</v>
      </c>
      <c r="M942">
        <v>0.2273</v>
      </c>
      <c r="N942">
        <v>0.55000000000000004</v>
      </c>
      <c r="O942" t="s">
        <v>34</v>
      </c>
      <c r="P942">
        <v>0.1343</v>
      </c>
      <c r="Q942">
        <v>2</v>
      </c>
      <c r="R942">
        <v>61</v>
      </c>
      <c r="S942">
        <v>63</v>
      </c>
    </row>
    <row r="943" spans="1:19" x14ac:dyDescent="0.3">
      <c r="A943">
        <v>943</v>
      </c>
      <c r="B943" s="46">
        <v>40585</v>
      </c>
      <c r="C943">
        <v>2</v>
      </c>
      <c r="D943">
        <v>21</v>
      </c>
      <c r="E943" t="b">
        <v>0</v>
      </c>
      <c r="F943">
        <v>5</v>
      </c>
      <c r="G943" t="s">
        <v>35</v>
      </c>
      <c r="H943" t="s">
        <v>40</v>
      </c>
      <c r="I943">
        <v>1</v>
      </c>
      <c r="J943" t="s">
        <v>29</v>
      </c>
      <c r="K943">
        <v>0.2</v>
      </c>
      <c r="L943" t="s">
        <v>23</v>
      </c>
      <c r="M943">
        <v>0.21210000000000001</v>
      </c>
      <c r="N943">
        <v>0.59</v>
      </c>
      <c r="O943" t="s">
        <v>34</v>
      </c>
      <c r="P943">
        <v>0.1343</v>
      </c>
      <c r="Q943">
        <v>1</v>
      </c>
      <c r="R943">
        <v>46</v>
      </c>
      <c r="S943">
        <v>47</v>
      </c>
    </row>
    <row r="944" spans="1:19" x14ac:dyDescent="0.3">
      <c r="A944">
        <v>944</v>
      </c>
      <c r="B944" s="46">
        <v>40585</v>
      </c>
      <c r="C944">
        <v>2</v>
      </c>
      <c r="D944">
        <v>22</v>
      </c>
      <c r="E944" t="b">
        <v>0</v>
      </c>
      <c r="F944">
        <v>5</v>
      </c>
      <c r="G944" t="s">
        <v>35</v>
      </c>
      <c r="H944" t="s">
        <v>40</v>
      </c>
      <c r="I944">
        <v>1</v>
      </c>
      <c r="J944" t="s">
        <v>29</v>
      </c>
      <c r="K944">
        <v>0.2</v>
      </c>
      <c r="L944" t="s">
        <v>23</v>
      </c>
      <c r="M944">
        <v>0.2273</v>
      </c>
      <c r="N944">
        <v>0.64</v>
      </c>
      <c r="O944" t="s">
        <v>34</v>
      </c>
      <c r="P944">
        <v>8.9599999999999999E-2</v>
      </c>
      <c r="Q944">
        <v>2</v>
      </c>
      <c r="R944">
        <v>41</v>
      </c>
      <c r="S944">
        <v>43</v>
      </c>
    </row>
    <row r="945" spans="1:19" x14ac:dyDescent="0.3">
      <c r="A945">
        <v>945</v>
      </c>
      <c r="B945" s="46">
        <v>40585</v>
      </c>
      <c r="C945">
        <v>2</v>
      </c>
      <c r="D945">
        <v>23</v>
      </c>
      <c r="E945" t="b">
        <v>0</v>
      </c>
      <c r="F945">
        <v>5</v>
      </c>
      <c r="G945" t="s">
        <v>35</v>
      </c>
      <c r="H945" t="s">
        <v>40</v>
      </c>
      <c r="I945">
        <v>1</v>
      </c>
      <c r="J945" t="s">
        <v>29</v>
      </c>
      <c r="K945">
        <v>0.18</v>
      </c>
      <c r="L945" t="s">
        <v>23</v>
      </c>
      <c r="M945">
        <v>0.2424</v>
      </c>
      <c r="N945">
        <v>0.69</v>
      </c>
      <c r="O945" t="s">
        <v>34</v>
      </c>
      <c r="P945">
        <v>0</v>
      </c>
      <c r="Q945">
        <v>5</v>
      </c>
      <c r="R945">
        <v>48</v>
      </c>
      <c r="S945">
        <v>53</v>
      </c>
    </row>
    <row r="946" spans="1:19" x14ac:dyDescent="0.3">
      <c r="A946">
        <v>946</v>
      </c>
      <c r="B946" s="46">
        <v>40586</v>
      </c>
      <c r="C946">
        <v>2</v>
      </c>
      <c r="D946">
        <v>0</v>
      </c>
      <c r="E946" t="b">
        <v>0</v>
      </c>
      <c r="F946">
        <v>6</v>
      </c>
      <c r="G946" t="s">
        <v>27</v>
      </c>
      <c r="H946" t="s">
        <v>28</v>
      </c>
      <c r="I946">
        <v>1</v>
      </c>
      <c r="J946" t="s">
        <v>29</v>
      </c>
      <c r="K946">
        <v>0.16</v>
      </c>
      <c r="L946" t="s">
        <v>23</v>
      </c>
      <c r="M946">
        <v>0.19700000000000001</v>
      </c>
      <c r="N946">
        <v>0.69</v>
      </c>
      <c r="O946" t="s">
        <v>34</v>
      </c>
      <c r="P946">
        <v>8.9599999999999999E-2</v>
      </c>
      <c r="Q946">
        <v>3</v>
      </c>
      <c r="R946">
        <v>27</v>
      </c>
      <c r="S946">
        <v>30</v>
      </c>
    </row>
    <row r="947" spans="1:19" x14ac:dyDescent="0.3">
      <c r="A947">
        <v>947</v>
      </c>
      <c r="B947" s="46">
        <v>40586</v>
      </c>
      <c r="C947">
        <v>2</v>
      </c>
      <c r="D947">
        <v>1</v>
      </c>
      <c r="E947" t="b">
        <v>0</v>
      </c>
      <c r="F947">
        <v>6</v>
      </c>
      <c r="G947" t="s">
        <v>27</v>
      </c>
      <c r="H947" t="s">
        <v>28</v>
      </c>
      <c r="I947">
        <v>1</v>
      </c>
      <c r="J947" t="s">
        <v>29</v>
      </c>
      <c r="K947">
        <v>0.14000000000000001</v>
      </c>
      <c r="L947" t="s">
        <v>23</v>
      </c>
      <c r="M947">
        <v>0.21210000000000001</v>
      </c>
      <c r="N947">
        <v>0.86</v>
      </c>
      <c r="O947" t="s">
        <v>30</v>
      </c>
      <c r="P947">
        <v>0</v>
      </c>
      <c r="Q947">
        <v>2</v>
      </c>
      <c r="R947">
        <v>22</v>
      </c>
      <c r="S947">
        <v>24</v>
      </c>
    </row>
    <row r="948" spans="1:19" x14ac:dyDescent="0.3">
      <c r="A948">
        <v>948</v>
      </c>
      <c r="B948" s="46">
        <v>40586</v>
      </c>
      <c r="C948">
        <v>2</v>
      </c>
      <c r="D948">
        <v>2</v>
      </c>
      <c r="E948" t="b">
        <v>0</v>
      </c>
      <c r="F948">
        <v>6</v>
      </c>
      <c r="G948" t="s">
        <v>27</v>
      </c>
      <c r="H948" t="s">
        <v>28</v>
      </c>
      <c r="I948">
        <v>1</v>
      </c>
      <c r="J948" t="s">
        <v>29</v>
      </c>
      <c r="K948">
        <v>0.14000000000000001</v>
      </c>
      <c r="L948" t="s">
        <v>23</v>
      </c>
      <c r="M948">
        <v>0.21210000000000001</v>
      </c>
      <c r="N948">
        <v>0.8</v>
      </c>
      <c r="O948" t="s">
        <v>30</v>
      </c>
      <c r="P948">
        <v>0</v>
      </c>
      <c r="Q948">
        <v>2</v>
      </c>
      <c r="R948">
        <v>13</v>
      </c>
      <c r="S948">
        <v>15</v>
      </c>
    </row>
    <row r="949" spans="1:19" x14ac:dyDescent="0.3">
      <c r="A949">
        <v>949</v>
      </c>
      <c r="B949" s="46">
        <v>40586</v>
      </c>
      <c r="C949">
        <v>2</v>
      </c>
      <c r="D949">
        <v>3</v>
      </c>
      <c r="E949" t="b">
        <v>0</v>
      </c>
      <c r="F949">
        <v>6</v>
      </c>
      <c r="G949" t="s">
        <v>27</v>
      </c>
      <c r="H949" t="s">
        <v>28</v>
      </c>
      <c r="I949">
        <v>1</v>
      </c>
      <c r="J949" t="s">
        <v>29</v>
      </c>
      <c r="K949">
        <v>0.12</v>
      </c>
      <c r="L949" t="s">
        <v>23</v>
      </c>
      <c r="M949">
        <v>0.19700000000000001</v>
      </c>
      <c r="N949">
        <v>0.8</v>
      </c>
      <c r="O949" t="s">
        <v>30</v>
      </c>
      <c r="P949">
        <v>0</v>
      </c>
      <c r="Q949">
        <v>3</v>
      </c>
      <c r="R949">
        <v>7</v>
      </c>
      <c r="S949">
        <v>10</v>
      </c>
    </row>
    <row r="950" spans="1:19" x14ac:dyDescent="0.3">
      <c r="A950">
        <v>950</v>
      </c>
      <c r="B950" s="46">
        <v>40586</v>
      </c>
      <c r="C950">
        <v>2</v>
      </c>
      <c r="D950">
        <v>4</v>
      </c>
      <c r="E950" t="b">
        <v>0</v>
      </c>
      <c r="F950">
        <v>6</v>
      </c>
      <c r="G950" t="s">
        <v>27</v>
      </c>
      <c r="H950" t="s">
        <v>28</v>
      </c>
      <c r="I950">
        <v>1</v>
      </c>
      <c r="J950" t="s">
        <v>29</v>
      </c>
      <c r="K950">
        <v>0.12</v>
      </c>
      <c r="L950" t="s">
        <v>23</v>
      </c>
      <c r="M950">
        <v>0.16669999999999999</v>
      </c>
      <c r="N950">
        <v>0.74</v>
      </c>
      <c r="O950" t="s">
        <v>30</v>
      </c>
      <c r="P950">
        <v>8.9599999999999999E-2</v>
      </c>
      <c r="Q950">
        <v>0</v>
      </c>
      <c r="R950">
        <v>4</v>
      </c>
      <c r="S950">
        <v>4</v>
      </c>
    </row>
    <row r="951" spans="1:19" x14ac:dyDescent="0.3">
      <c r="A951">
        <v>951</v>
      </c>
      <c r="B951" s="46">
        <v>40586</v>
      </c>
      <c r="C951">
        <v>2</v>
      </c>
      <c r="D951">
        <v>5</v>
      </c>
      <c r="E951" t="b">
        <v>0</v>
      </c>
      <c r="F951">
        <v>6</v>
      </c>
      <c r="G951" t="s">
        <v>27</v>
      </c>
      <c r="H951" t="s">
        <v>28</v>
      </c>
      <c r="I951">
        <v>1</v>
      </c>
      <c r="J951" t="s">
        <v>29</v>
      </c>
      <c r="K951">
        <v>0.12</v>
      </c>
      <c r="L951" t="s">
        <v>23</v>
      </c>
      <c r="M951">
        <v>0.16669999999999999</v>
      </c>
      <c r="N951">
        <v>0.74</v>
      </c>
      <c r="O951" t="s">
        <v>30</v>
      </c>
      <c r="P951">
        <v>8.9599999999999999E-2</v>
      </c>
      <c r="Q951">
        <v>0</v>
      </c>
      <c r="R951">
        <v>1</v>
      </c>
      <c r="S951">
        <v>1</v>
      </c>
    </row>
    <row r="952" spans="1:19" x14ac:dyDescent="0.3">
      <c r="A952">
        <v>952</v>
      </c>
      <c r="B952" s="46">
        <v>40586</v>
      </c>
      <c r="C952">
        <v>2</v>
      </c>
      <c r="D952">
        <v>6</v>
      </c>
      <c r="E952" t="b">
        <v>0</v>
      </c>
      <c r="F952">
        <v>6</v>
      </c>
      <c r="G952" t="s">
        <v>27</v>
      </c>
      <c r="H952" t="s">
        <v>28</v>
      </c>
      <c r="I952">
        <v>1</v>
      </c>
      <c r="J952" t="s">
        <v>29</v>
      </c>
      <c r="K952">
        <v>0.12</v>
      </c>
      <c r="L952" t="s">
        <v>23</v>
      </c>
      <c r="M952">
        <v>0.13639999999999999</v>
      </c>
      <c r="N952">
        <v>0.93</v>
      </c>
      <c r="O952" t="s">
        <v>30</v>
      </c>
      <c r="P952">
        <v>0.19400000000000001</v>
      </c>
      <c r="Q952">
        <v>1</v>
      </c>
      <c r="R952">
        <v>1</v>
      </c>
      <c r="S952">
        <v>2</v>
      </c>
    </row>
    <row r="953" spans="1:19" x14ac:dyDescent="0.3">
      <c r="A953">
        <v>953</v>
      </c>
      <c r="B953" s="46">
        <v>40586</v>
      </c>
      <c r="C953">
        <v>2</v>
      </c>
      <c r="D953">
        <v>7</v>
      </c>
      <c r="E953" t="b">
        <v>0</v>
      </c>
      <c r="F953">
        <v>6</v>
      </c>
      <c r="G953" t="s">
        <v>27</v>
      </c>
      <c r="H953" t="s">
        <v>28</v>
      </c>
      <c r="I953">
        <v>1</v>
      </c>
      <c r="J953" t="s">
        <v>29</v>
      </c>
      <c r="K953">
        <v>0.12</v>
      </c>
      <c r="L953" t="s">
        <v>23</v>
      </c>
      <c r="M953">
        <v>0.1515</v>
      </c>
      <c r="N953">
        <v>0.8</v>
      </c>
      <c r="O953" t="s">
        <v>30</v>
      </c>
      <c r="P953">
        <v>0.1045</v>
      </c>
      <c r="Q953">
        <v>2</v>
      </c>
      <c r="R953">
        <v>9</v>
      </c>
      <c r="S953">
        <v>11</v>
      </c>
    </row>
    <row r="954" spans="1:19" x14ac:dyDescent="0.3">
      <c r="A954">
        <v>954</v>
      </c>
      <c r="B954" s="46">
        <v>40586</v>
      </c>
      <c r="C954">
        <v>2</v>
      </c>
      <c r="D954">
        <v>8</v>
      </c>
      <c r="E954" t="b">
        <v>0</v>
      </c>
      <c r="F954">
        <v>6</v>
      </c>
      <c r="G954" t="s">
        <v>27</v>
      </c>
      <c r="H954" t="s">
        <v>28</v>
      </c>
      <c r="I954">
        <v>1</v>
      </c>
      <c r="J954" t="s">
        <v>29</v>
      </c>
      <c r="K954">
        <v>0.14000000000000001</v>
      </c>
      <c r="L954" t="s">
        <v>23</v>
      </c>
      <c r="M954">
        <v>0.1515</v>
      </c>
      <c r="N954">
        <v>0.86</v>
      </c>
      <c r="O954" t="s">
        <v>30</v>
      </c>
      <c r="P954">
        <v>0.1343</v>
      </c>
      <c r="Q954">
        <v>2</v>
      </c>
      <c r="R954">
        <v>28</v>
      </c>
      <c r="S954">
        <v>30</v>
      </c>
    </row>
    <row r="955" spans="1:19" x14ac:dyDescent="0.3">
      <c r="A955">
        <v>955</v>
      </c>
      <c r="B955" s="46">
        <v>40586</v>
      </c>
      <c r="C955">
        <v>2</v>
      </c>
      <c r="D955">
        <v>9</v>
      </c>
      <c r="E955" t="b">
        <v>0</v>
      </c>
      <c r="F955">
        <v>6</v>
      </c>
      <c r="G955" t="s">
        <v>27</v>
      </c>
      <c r="H955" t="s">
        <v>28</v>
      </c>
      <c r="I955">
        <v>1</v>
      </c>
      <c r="J955" t="s">
        <v>29</v>
      </c>
      <c r="K955">
        <v>0.16</v>
      </c>
      <c r="L955" t="s">
        <v>23</v>
      </c>
      <c r="M955">
        <v>0.18179999999999999</v>
      </c>
      <c r="N955">
        <v>0.64</v>
      </c>
      <c r="O955" t="s">
        <v>34</v>
      </c>
      <c r="P955">
        <v>0.1343</v>
      </c>
      <c r="Q955">
        <v>5</v>
      </c>
      <c r="R955">
        <v>38</v>
      </c>
      <c r="S955">
        <v>43</v>
      </c>
    </row>
    <row r="956" spans="1:19" x14ac:dyDescent="0.3">
      <c r="A956">
        <v>956</v>
      </c>
      <c r="B956" s="46">
        <v>40586</v>
      </c>
      <c r="C956">
        <v>2</v>
      </c>
      <c r="D956">
        <v>10</v>
      </c>
      <c r="E956" t="b">
        <v>0</v>
      </c>
      <c r="F956">
        <v>6</v>
      </c>
      <c r="G956" t="s">
        <v>27</v>
      </c>
      <c r="H956" t="s">
        <v>28</v>
      </c>
      <c r="I956">
        <v>1</v>
      </c>
      <c r="J956" t="s">
        <v>29</v>
      </c>
      <c r="K956">
        <v>0.22</v>
      </c>
      <c r="L956" t="s">
        <v>23</v>
      </c>
      <c r="M956">
        <v>0.21210000000000001</v>
      </c>
      <c r="N956">
        <v>0.41</v>
      </c>
      <c r="O956" t="s">
        <v>34</v>
      </c>
      <c r="P956">
        <v>0.25369999999999998</v>
      </c>
      <c r="Q956">
        <v>13</v>
      </c>
      <c r="R956">
        <v>71</v>
      </c>
      <c r="S956">
        <v>84</v>
      </c>
    </row>
    <row r="957" spans="1:19" x14ac:dyDescent="0.3">
      <c r="A957">
        <v>957</v>
      </c>
      <c r="B957" s="46">
        <v>40586</v>
      </c>
      <c r="C957">
        <v>2</v>
      </c>
      <c r="D957">
        <v>11</v>
      </c>
      <c r="E957" t="b">
        <v>0</v>
      </c>
      <c r="F957">
        <v>6</v>
      </c>
      <c r="G957" t="s">
        <v>27</v>
      </c>
      <c r="H957" t="s">
        <v>28</v>
      </c>
      <c r="I957">
        <v>1</v>
      </c>
      <c r="J957" t="s">
        <v>29</v>
      </c>
      <c r="K957">
        <v>0.3</v>
      </c>
      <c r="L957" t="s">
        <v>23</v>
      </c>
      <c r="M957">
        <v>0.2727</v>
      </c>
      <c r="N957">
        <v>0.28000000000000003</v>
      </c>
      <c r="O957" t="s">
        <v>34</v>
      </c>
      <c r="P957">
        <v>0.32840000000000003</v>
      </c>
      <c r="Q957">
        <v>30</v>
      </c>
      <c r="R957">
        <v>84</v>
      </c>
      <c r="S957">
        <v>114</v>
      </c>
    </row>
    <row r="958" spans="1:19" x14ac:dyDescent="0.3">
      <c r="A958">
        <v>958</v>
      </c>
      <c r="B958" s="46">
        <v>40586</v>
      </c>
      <c r="C958">
        <v>2</v>
      </c>
      <c r="D958">
        <v>12</v>
      </c>
      <c r="E958" t="b">
        <v>0</v>
      </c>
      <c r="F958">
        <v>6</v>
      </c>
      <c r="G958" t="s">
        <v>27</v>
      </c>
      <c r="H958" t="s">
        <v>28</v>
      </c>
      <c r="I958">
        <v>1</v>
      </c>
      <c r="J958" t="s">
        <v>29</v>
      </c>
      <c r="K958">
        <v>0.3</v>
      </c>
      <c r="L958" t="s">
        <v>23</v>
      </c>
      <c r="M958">
        <v>0.2727</v>
      </c>
      <c r="N958">
        <v>0.39</v>
      </c>
      <c r="O958" t="s">
        <v>34</v>
      </c>
      <c r="P958">
        <v>0.4627</v>
      </c>
      <c r="Q958">
        <v>27</v>
      </c>
      <c r="R958">
        <v>93</v>
      </c>
      <c r="S958">
        <v>120</v>
      </c>
    </row>
    <row r="959" spans="1:19" x14ac:dyDescent="0.3">
      <c r="A959">
        <v>959</v>
      </c>
      <c r="B959" s="46">
        <v>40586</v>
      </c>
      <c r="C959">
        <v>2</v>
      </c>
      <c r="D959">
        <v>13</v>
      </c>
      <c r="E959" t="b">
        <v>0</v>
      </c>
      <c r="F959">
        <v>6</v>
      </c>
      <c r="G959" t="s">
        <v>27</v>
      </c>
      <c r="H959" t="s">
        <v>28</v>
      </c>
      <c r="I959">
        <v>1</v>
      </c>
      <c r="J959" t="s">
        <v>29</v>
      </c>
      <c r="K959">
        <v>0.3</v>
      </c>
      <c r="L959" t="s">
        <v>23</v>
      </c>
      <c r="M959">
        <v>0.2727</v>
      </c>
      <c r="N959">
        <v>0.39</v>
      </c>
      <c r="O959" t="s">
        <v>34</v>
      </c>
      <c r="P959">
        <v>0.41789999999999999</v>
      </c>
      <c r="Q959">
        <v>32</v>
      </c>
      <c r="R959">
        <v>103</v>
      </c>
      <c r="S959">
        <v>135</v>
      </c>
    </row>
    <row r="960" spans="1:19" x14ac:dyDescent="0.3">
      <c r="A960">
        <v>960</v>
      </c>
      <c r="B960" s="46">
        <v>40586</v>
      </c>
      <c r="C960">
        <v>2</v>
      </c>
      <c r="D960">
        <v>14</v>
      </c>
      <c r="E960" t="b">
        <v>0</v>
      </c>
      <c r="F960">
        <v>6</v>
      </c>
      <c r="G960" t="s">
        <v>27</v>
      </c>
      <c r="H960" t="s">
        <v>28</v>
      </c>
      <c r="I960">
        <v>1</v>
      </c>
      <c r="J960" t="s">
        <v>29</v>
      </c>
      <c r="K960">
        <v>0.34</v>
      </c>
      <c r="L960" t="s">
        <v>23</v>
      </c>
      <c r="M960">
        <v>0.31819999999999998</v>
      </c>
      <c r="N960">
        <v>0.31</v>
      </c>
      <c r="O960" t="s">
        <v>34</v>
      </c>
      <c r="P960">
        <v>0.28360000000000002</v>
      </c>
      <c r="Q960">
        <v>30</v>
      </c>
      <c r="R960">
        <v>90</v>
      </c>
      <c r="S960">
        <v>120</v>
      </c>
    </row>
    <row r="961" spans="1:19" x14ac:dyDescent="0.3">
      <c r="A961">
        <v>961</v>
      </c>
      <c r="B961" s="46">
        <v>40586</v>
      </c>
      <c r="C961">
        <v>2</v>
      </c>
      <c r="D961">
        <v>15</v>
      </c>
      <c r="E961" t="b">
        <v>0</v>
      </c>
      <c r="F961">
        <v>6</v>
      </c>
      <c r="G961" t="s">
        <v>27</v>
      </c>
      <c r="H961" t="s">
        <v>28</v>
      </c>
      <c r="I961">
        <v>1</v>
      </c>
      <c r="J961" t="s">
        <v>29</v>
      </c>
      <c r="K961">
        <v>0.34</v>
      </c>
      <c r="L961" t="s">
        <v>23</v>
      </c>
      <c r="M961">
        <v>0.30299999999999999</v>
      </c>
      <c r="N961">
        <v>0.28999999999999998</v>
      </c>
      <c r="O961" t="s">
        <v>34</v>
      </c>
      <c r="P961">
        <v>0.41789999999999999</v>
      </c>
      <c r="Q961">
        <v>47</v>
      </c>
      <c r="R961">
        <v>127</v>
      </c>
      <c r="S961">
        <v>174</v>
      </c>
    </row>
    <row r="962" spans="1:19" x14ac:dyDescent="0.3">
      <c r="A962">
        <v>962</v>
      </c>
      <c r="B962" s="46">
        <v>40586</v>
      </c>
      <c r="C962">
        <v>2</v>
      </c>
      <c r="D962">
        <v>16</v>
      </c>
      <c r="E962" t="b">
        <v>0</v>
      </c>
      <c r="F962">
        <v>6</v>
      </c>
      <c r="G962" t="s">
        <v>27</v>
      </c>
      <c r="H962" t="s">
        <v>28</v>
      </c>
      <c r="I962">
        <v>1</v>
      </c>
      <c r="J962" t="s">
        <v>29</v>
      </c>
      <c r="K962">
        <v>0.34</v>
      </c>
      <c r="L962" t="s">
        <v>23</v>
      </c>
      <c r="M962">
        <v>0.30299999999999999</v>
      </c>
      <c r="N962">
        <v>0.28999999999999998</v>
      </c>
      <c r="O962" t="s">
        <v>34</v>
      </c>
      <c r="P962">
        <v>0.41789999999999999</v>
      </c>
      <c r="Q962">
        <v>42</v>
      </c>
      <c r="R962">
        <v>103</v>
      </c>
      <c r="S962">
        <v>145</v>
      </c>
    </row>
    <row r="963" spans="1:19" x14ac:dyDescent="0.3">
      <c r="A963">
        <v>963</v>
      </c>
      <c r="B963" s="46">
        <v>40586</v>
      </c>
      <c r="C963">
        <v>2</v>
      </c>
      <c r="D963">
        <v>17</v>
      </c>
      <c r="E963" t="b">
        <v>0</v>
      </c>
      <c r="F963">
        <v>6</v>
      </c>
      <c r="G963" t="s">
        <v>27</v>
      </c>
      <c r="H963" t="s">
        <v>28</v>
      </c>
      <c r="I963">
        <v>1</v>
      </c>
      <c r="J963" t="s">
        <v>29</v>
      </c>
      <c r="K963">
        <v>0.32</v>
      </c>
      <c r="L963" t="s">
        <v>23</v>
      </c>
      <c r="M963">
        <v>0.28789999999999999</v>
      </c>
      <c r="N963">
        <v>0.31</v>
      </c>
      <c r="O963" t="s">
        <v>34</v>
      </c>
      <c r="P963">
        <v>0.52239999999999998</v>
      </c>
      <c r="Q963">
        <v>24</v>
      </c>
      <c r="R963">
        <v>113</v>
      </c>
      <c r="S963">
        <v>137</v>
      </c>
    </row>
    <row r="964" spans="1:19" x14ac:dyDescent="0.3">
      <c r="A964">
        <v>964</v>
      </c>
      <c r="B964" s="46">
        <v>40586</v>
      </c>
      <c r="C964">
        <v>2</v>
      </c>
      <c r="D964">
        <v>18</v>
      </c>
      <c r="E964" t="b">
        <v>0</v>
      </c>
      <c r="F964">
        <v>6</v>
      </c>
      <c r="G964" t="s">
        <v>27</v>
      </c>
      <c r="H964" t="s">
        <v>28</v>
      </c>
      <c r="I964">
        <v>1</v>
      </c>
      <c r="J964" t="s">
        <v>29</v>
      </c>
      <c r="K964">
        <v>0.28000000000000003</v>
      </c>
      <c r="L964" t="s">
        <v>23</v>
      </c>
      <c r="M964">
        <v>0.2576</v>
      </c>
      <c r="N964">
        <v>0.38</v>
      </c>
      <c r="O964" t="s">
        <v>34</v>
      </c>
      <c r="P964">
        <v>0.32840000000000003</v>
      </c>
      <c r="Q964">
        <v>4</v>
      </c>
      <c r="R964">
        <v>60</v>
      </c>
      <c r="S964">
        <v>64</v>
      </c>
    </row>
    <row r="965" spans="1:19" x14ac:dyDescent="0.3">
      <c r="A965">
        <v>965</v>
      </c>
      <c r="B965" s="46">
        <v>40586</v>
      </c>
      <c r="C965">
        <v>2</v>
      </c>
      <c r="D965">
        <v>19</v>
      </c>
      <c r="E965" t="b">
        <v>0</v>
      </c>
      <c r="F965">
        <v>6</v>
      </c>
      <c r="G965" t="s">
        <v>27</v>
      </c>
      <c r="H965" t="s">
        <v>28</v>
      </c>
      <c r="I965">
        <v>1</v>
      </c>
      <c r="J965" t="s">
        <v>29</v>
      </c>
      <c r="K965">
        <v>0.28000000000000003</v>
      </c>
      <c r="L965" t="s">
        <v>23</v>
      </c>
      <c r="M965">
        <v>0.2727</v>
      </c>
      <c r="N965">
        <v>0.38</v>
      </c>
      <c r="O965" t="s">
        <v>34</v>
      </c>
      <c r="P965">
        <v>0.16420000000000001</v>
      </c>
      <c r="Q965">
        <v>2</v>
      </c>
      <c r="R965">
        <v>39</v>
      </c>
      <c r="S965">
        <v>41</v>
      </c>
    </row>
    <row r="966" spans="1:19" x14ac:dyDescent="0.3">
      <c r="A966">
        <v>966</v>
      </c>
      <c r="B966" s="46">
        <v>40586</v>
      </c>
      <c r="C966">
        <v>2</v>
      </c>
      <c r="D966">
        <v>20</v>
      </c>
      <c r="E966" t="b">
        <v>0</v>
      </c>
      <c r="F966">
        <v>6</v>
      </c>
      <c r="G966" t="s">
        <v>27</v>
      </c>
      <c r="H966" t="s">
        <v>28</v>
      </c>
      <c r="I966">
        <v>1</v>
      </c>
      <c r="J966" t="s">
        <v>29</v>
      </c>
      <c r="K966">
        <v>0.26</v>
      </c>
      <c r="L966" t="s">
        <v>23</v>
      </c>
      <c r="M966">
        <v>0.2576</v>
      </c>
      <c r="N966">
        <v>0.41</v>
      </c>
      <c r="O966" t="s">
        <v>34</v>
      </c>
      <c r="P966">
        <v>0.22389999999999999</v>
      </c>
      <c r="Q966">
        <v>1</v>
      </c>
      <c r="R966">
        <v>39</v>
      </c>
      <c r="S966">
        <v>40</v>
      </c>
    </row>
    <row r="967" spans="1:19" x14ac:dyDescent="0.3">
      <c r="A967">
        <v>967</v>
      </c>
      <c r="B967" s="46">
        <v>40586</v>
      </c>
      <c r="C967">
        <v>2</v>
      </c>
      <c r="D967">
        <v>21</v>
      </c>
      <c r="E967" t="b">
        <v>0</v>
      </c>
      <c r="F967">
        <v>6</v>
      </c>
      <c r="G967" t="s">
        <v>27</v>
      </c>
      <c r="H967" t="s">
        <v>28</v>
      </c>
      <c r="I967">
        <v>1</v>
      </c>
      <c r="J967" t="s">
        <v>29</v>
      </c>
      <c r="K967">
        <v>0.26</v>
      </c>
      <c r="L967" t="s">
        <v>23</v>
      </c>
      <c r="M967">
        <v>0.30299999999999999</v>
      </c>
      <c r="N967">
        <v>0.41</v>
      </c>
      <c r="O967" t="s">
        <v>34</v>
      </c>
      <c r="P967">
        <v>0</v>
      </c>
      <c r="Q967">
        <v>9</v>
      </c>
      <c r="R967">
        <v>42</v>
      </c>
      <c r="S967">
        <v>51</v>
      </c>
    </row>
    <row r="968" spans="1:19" x14ac:dyDescent="0.3">
      <c r="A968">
        <v>968</v>
      </c>
      <c r="B968" s="46">
        <v>40586</v>
      </c>
      <c r="C968">
        <v>2</v>
      </c>
      <c r="D968">
        <v>22</v>
      </c>
      <c r="E968" t="b">
        <v>0</v>
      </c>
      <c r="F968">
        <v>6</v>
      </c>
      <c r="G968" t="s">
        <v>27</v>
      </c>
      <c r="H968" t="s">
        <v>28</v>
      </c>
      <c r="I968">
        <v>1</v>
      </c>
      <c r="J968" t="s">
        <v>29</v>
      </c>
      <c r="K968">
        <v>0.24</v>
      </c>
      <c r="L968" t="s">
        <v>23</v>
      </c>
      <c r="M968">
        <v>0.2576</v>
      </c>
      <c r="N968">
        <v>0.44</v>
      </c>
      <c r="O968" t="s">
        <v>34</v>
      </c>
      <c r="P968">
        <v>8.9599999999999999E-2</v>
      </c>
      <c r="Q968">
        <v>6</v>
      </c>
      <c r="R968">
        <v>39</v>
      </c>
      <c r="S968">
        <v>45</v>
      </c>
    </row>
    <row r="969" spans="1:19" x14ac:dyDescent="0.3">
      <c r="A969">
        <v>969</v>
      </c>
      <c r="B969" s="46">
        <v>40586</v>
      </c>
      <c r="C969">
        <v>2</v>
      </c>
      <c r="D969">
        <v>23</v>
      </c>
      <c r="E969" t="b">
        <v>0</v>
      </c>
      <c r="F969">
        <v>6</v>
      </c>
      <c r="G969" t="s">
        <v>27</v>
      </c>
      <c r="H969" t="s">
        <v>28</v>
      </c>
      <c r="I969">
        <v>1</v>
      </c>
      <c r="J969" t="s">
        <v>29</v>
      </c>
      <c r="K969">
        <v>0.22</v>
      </c>
      <c r="L969" t="s">
        <v>23</v>
      </c>
      <c r="M969">
        <v>0.2273</v>
      </c>
      <c r="N969">
        <v>0.51</v>
      </c>
      <c r="O969" t="s">
        <v>34</v>
      </c>
      <c r="P969">
        <v>0.1343</v>
      </c>
      <c r="Q969">
        <v>1</v>
      </c>
      <c r="R969">
        <v>31</v>
      </c>
      <c r="S969">
        <v>32</v>
      </c>
    </row>
    <row r="970" spans="1:19" x14ac:dyDescent="0.3">
      <c r="A970">
        <v>970</v>
      </c>
      <c r="B970" s="46">
        <v>40587</v>
      </c>
      <c r="C970">
        <v>2</v>
      </c>
      <c r="D970">
        <v>0</v>
      </c>
      <c r="E970" t="b">
        <v>0</v>
      </c>
      <c r="F970">
        <v>0</v>
      </c>
      <c r="G970" t="s">
        <v>27</v>
      </c>
      <c r="H970" t="s">
        <v>33</v>
      </c>
      <c r="I970">
        <v>1</v>
      </c>
      <c r="J970" t="s">
        <v>29</v>
      </c>
      <c r="K970">
        <v>0.2</v>
      </c>
      <c r="L970" t="s">
        <v>23</v>
      </c>
      <c r="M970">
        <v>0.2273</v>
      </c>
      <c r="N970">
        <v>0.64</v>
      </c>
      <c r="O970" t="s">
        <v>34</v>
      </c>
      <c r="P970">
        <v>0.1045</v>
      </c>
      <c r="Q970">
        <v>5</v>
      </c>
      <c r="R970">
        <v>34</v>
      </c>
      <c r="S970">
        <v>39</v>
      </c>
    </row>
    <row r="971" spans="1:19" x14ac:dyDescent="0.3">
      <c r="A971">
        <v>971</v>
      </c>
      <c r="B971" s="46">
        <v>40587</v>
      </c>
      <c r="C971">
        <v>2</v>
      </c>
      <c r="D971">
        <v>1</v>
      </c>
      <c r="E971" t="b">
        <v>0</v>
      </c>
      <c r="F971">
        <v>0</v>
      </c>
      <c r="G971" t="s">
        <v>27</v>
      </c>
      <c r="H971" t="s">
        <v>33</v>
      </c>
      <c r="I971">
        <v>1</v>
      </c>
      <c r="J971" t="s">
        <v>29</v>
      </c>
      <c r="K971">
        <v>0.2</v>
      </c>
      <c r="L971" t="s">
        <v>23</v>
      </c>
      <c r="M971">
        <v>0.2273</v>
      </c>
      <c r="N971">
        <v>0.59</v>
      </c>
      <c r="O971" t="s">
        <v>34</v>
      </c>
      <c r="P971">
        <v>8.9599999999999999E-2</v>
      </c>
      <c r="Q971">
        <v>1</v>
      </c>
      <c r="R971">
        <v>23</v>
      </c>
      <c r="S971">
        <v>24</v>
      </c>
    </row>
    <row r="972" spans="1:19" x14ac:dyDescent="0.3">
      <c r="A972">
        <v>972</v>
      </c>
      <c r="B972" s="46">
        <v>40587</v>
      </c>
      <c r="C972">
        <v>2</v>
      </c>
      <c r="D972">
        <v>2</v>
      </c>
      <c r="E972" t="b">
        <v>0</v>
      </c>
      <c r="F972">
        <v>0</v>
      </c>
      <c r="G972" t="s">
        <v>27</v>
      </c>
      <c r="H972" t="s">
        <v>33</v>
      </c>
      <c r="I972">
        <v>2</v>
      </c>
      <c r="J972" t="s">
        <v>31</v>
      </c>
      <c r="K972">
        <v>0.2</v>
      </c>
      <c r="L972" t="s">
        <v>23</v>
      </c>
      <c r="M972">
        <v>0.2273</v>
      </c>
      <c r="N972">
        <v>0.75</v>
      </c>
      <c r="O972" t="s">
        <v>30</v>
      </c>
      <c r="P972">
        <v>8.9599999999999999E-2</v>
      </c>
      <c r="Q972">
        <v>1</v>
      </c>
      <c r="R972">
        <v>19</v>
      </c>
      <c r="S972">
        <v>20</v>
      </c>
    </row>
    <row r="973" spans="1:19" x14ac:dyDescent="0.3">
      <c r="A973">
        <v>973</v>
      </c>
      <c r="B973" s="46">
        <v>40587</v>
      </c>
      <c r="C973">
        <v>2</v>
      </c>
      <c r="D973">
        <v>3</v>
      </c>
      <c r="E973" t="b">
        <v>0</v>
      </c>
      <c r="F973">
        <v>0</v>
      </c>
      <c r="G973" t="s">
        <v>27</v>
      </c>
      <c r="H973" t="s">
        <v>33</v>
      </c>
      <c r="I973">
        <v>2</v>
      </c>
      <c r="J973" t="s">
        <v>31</v>
      </c>
      <c r="K973">
        <v>0.2</v>
      </c>
      <c r="L973" t="s">
        <v>23</v>
      </c>
      <c r="M973">
        <v>0.2273</v>
      </c>
      <c r="N973">
        <v>0.69</v>
      </c>
      <c r="O973" t="s">
        <v>34</v>
      </c>
      <c r="P973">
        <v>0.1045</v>
      </c>
      <c r="Q973">
        <v>4</v>
      </c>
      <c r="R973">
        <v>8</v>
      </c>
      <c r="S973">
        <v>12</v>
      </c>
    </row>
    <row r="974" spans="1:19" x14ac:dyDescent="0.3">
      <c r="A974">
        <v>974</v>
      </c>
      <c r="B974" s="46">
        <v>40587</v>
      </c>
      <c r="C974">
        <v>2</v>
      </c>
      <c r="D974">
        <v>4</v>
      </c>
      <c r="E974" t="b">
        <v>0</v>
      </c>
      <c r="F974">
        <v>0</v>
      </c>
      <c r="G974" t="s">
        <v>27</v>
      </c>
      <c r="H974" t="s">
        <v>33</v>
      </c>
      <c r="I974">
        <v>2</v>
      </c>
      <c r="J974" t="s">
        <v>31</v>
      </c>
      <c r="K974">
        <v>0.2</v>
      </c>
      <c r="L974" t="s">
        <v>23</v>
      </c>
      <c r="M974">
        <v>0.21210000000000001</v>
      </c>
      <c r="N974">
        <v>0.69</v>
      </c>
      <c r="O974" t="s">
        <v>34</v>
      </c>
      <c r="P974">
        <v>0.16420000000000001</v>
      </c>
      <c r="Q974">
        <v>0</v>
      </c>
      <c r="R974">
        <v>2</v>
      </c>
      <c r="S974">
        <v>2</v>
      </c>
    </row>
    <row r="975" spans="1:19" x14ac:dyDescent="0.3">
      <c r="A975">
        <v>975</v>
      </c>
      <c r="B975" s="46">
        <v>40587</v>
      </c>
      <c r="C975">
        <v>2</v>
      </c>
      <c r="D975">
        <v>6</v>
      </c>
      <c r="E975" t="b">
        <v>0</v>
      </c>
      <c r="F975">
        <v>0</v>
      </c>
      <c r="G975" t="s">
        <v>27</v>
      </c>
      <c r="H975" t="s">
        <v>33</v>
      </c>
      <c r="I975">
        <v>2</v>
      </c>
      <c r="J975" t="s">
        <v>31</v>
      </c>
      <c r="K975">
        <v>0.2</v>
      </c>
      <c r="L975" t="s">
        <v>23</v>
      </c>
      <c r="M975">
        <v>0.21210000000000001</v>
      </c>
      <c r="N975">
        <v>0.69</v>
      </c>
      <c r="O975" t="s">
        <v>34</v>
      </c>
      <c r="P975">
        <v>0.1343</v>
      </c>
      <c r="Q975">
        <v>2</v>
      </c>
      <c r="R975">
        <v>3</v>
      </c>
      <c r="S975">
        <v>5</v>
      </c>
    </row>
    <row r="976" spans="1:19" x14ac:dyDescent="0.3">
      <c r="A976">
        <v>976</v>
      </c>
      <c r="B976" s="46">
        <v>40587</v>
      </c>
      <c r="C976">
        <v>2</v>
      </c>
      <c r="D976">
        <v>7</v>
      </c>
      <c r="E976" t="b">
        <v>0</v>
      </c>
      <c r="F976">
        <v>0</v>
      </c>
      <c r="G976" t="s">
        <v>27</v>
      </c>
      <c r="H976" t="s">
        <v>33</v>
      </c>
      <c r="I976">
        <v>2</v>
      </c>
      <c r="J976" t="s">
        <v>31</v>
      </c>
      <c r="K976">
        <v>0.22</v>
      </c>
      <c r="L976" t="s">
        <v>23</v>
      </c>
      <c r="M976">
        <v>0.2727</v>
      </c>
      <c r="N976">
        <v>0.55000000000000004</v>
      </c>
      <c r="O976" t="s">
        <v>34</v>
      </c>
      <c r="P976">
        <v>0</v>
      </c>
      <c r="Q976">
        <v>0</v>
      </c>
      <c r="R976">
        <v>3</v>
      </c>
      <c r="S976">
        <v>3</v>
      </c>
    </row>
    <row r="977" spans="1:19" x14ac:dyDescent="0.3">
      <c r="A977">
        <v>977</v>
      </c>
      <c r="B977" s="46">
        <v>40587</v>
      </c>
      <c r="C977">
        <v>2</v>
      </c>
      <c r="D977">
        <v>8</v>
      </c>
      <c r="E977" t="b">
        <v>0</v>
      </c>
      <c r="F977">
        <v>0</v>
      </c>
      <c r="G977" t="s">
        <v>27</v>
      </c>
      <c r="H977" t="s">
        <v>33</v>
      </c>
      <c r="I977">
        <v>2</v>
      </c>
      <c r="J977" t="s">
        <v>31</v>
      </c>
      <c r="K977">
        <v>0.22</v>
      </c>
      <c r="L977" t="s">
        <v>23</v>
      </c>
      <c r="M977">
        <v>0.2273</v>
      </c>
      <c r="N977">
        <v>0.64</v>
      </c>
      <c r="O977" t="s">
        <v>34</v>
      </c>
      <c r="P977">
        <v>0.19400000000000001</v>
      </c>
      <c r="Q977">
        <v>1</v>
      </c>
      <c r="R977">
        <v>11</v>
      </c>
      <c r="S977">
        <v>12</v>
      </c>
    </row>
    <row r="978" spans="1:19" x14ac:dyDescent="0.3">
      <c r="A978">
        <v>978</v>
      </c>
      <c r="B978" s="46">
        <v>40587</v>
      </c>
      <c r="C978">
        <v>2</v>
      </c>
      <c r="D978">
        <v>9</v>
      </c>
      <c r="E978" t="b">
        <v>0</v>
      </c>
      <c r="F978">
        <v>0</v>
      </c>
      <c r="G978" t="s">
        <v>27</v>
      </c>
      <c r="H978" t="s">
        <v>33</v>
      </c>
      <c r="I978">
        <v>2</v>
      </c>
      <c r="J978" t="s">
        <v>31</v>
      </c>
      <c r="K978">
        <v>0.24</v>
      </c>
      <c r="L978" t="s">
        <v>23</v>
      </c>
      <c r="M978">
        <v>0.2273</v>
      </c>
      <c r="N978">
        <v>0.6</v>
      </c>
      <c r="O978" t="s">
        <v>34</v>
      </c>
      <c r="P978">
        <v>0.22389999999999999</v>
      </c>
      <c r="Q978">
        <v>12</v>
      </c>
      <c r="R978">
        <v>35</v>
      </c>
      <c r="S978">
        <v>47</v>
      </c>
    </row>
    <row r="979" spans="1:19" x14ac:dyDescent="0.3">
      <c r="A979">
        <v>979</v>
      </c>
      <c r="B979" s="46">
        <v>40587</v>
      </c>
      <c r="C979">
        <v>2</v>
      </c>
      <c r="D979">
        <v>10</v>
      </c>
      <c r="E979" t="b">
        <v>0</v>
      </c>
      <c r="F979">
        <v>0</v>
      </c>
      <c r="G979" t="s">
        <v>27</v>
      </c>
      <c r="H979" t="s">
        <v>33</v>
      </c>
      <c r="I979">
        <v>1</v>
      </c>
      <c r="J979" t="s">
        <v>29</v>
      </c>
      <c r="K979">
        <v>0.3</v>
      </c>
      <c r="L979" t="s">
        <v>23</v>
      </c>
      <c r="M979">
        <v>0.2727</v>
      </c>
      <c r="N979">
        <v>0.45</v>
      </c>
      <c r="O979" t="s">
        <v>34</v>
      </c>
      <c r="P979">
        <v>0.32840000000000003</v>
      </c>
      <c r="Q979">
        <v>19</v>
      </c>
      <c r="R979">
        <v>86</v>
      </c>
      <c r="S979">
        <v>105</v>
      </c>
    </row>
    <row r="980" spans="1:19" x14ac:dyDescent="0.3">
      <c r="A980">
        <v>980</v>
      </c>
      <c r="B980" s="46">
        <v>40587</v>
      </c>
      <c r="C980">
        <v>2</v>
      </c>
      <c r="D980">
        <v>11</v>
      </c>
      <c r="E980" t="b">
        <v>0</v>
      </c>
      <c r="F980">
        <v>0</v>
      </c>
      <c r="G980" t="s">
        <v>27</v>
      </c>
      <c r="H980" t="s">
        <v>33</v>
      </c>
      <c r="I980">
        <v>1</v>
      </c>
      <c r="J980" t="s">
        <v>29</v>
      </c>
      <c r="K980">
        <v>0.32</v>
      </c>
      <c r="L980" t="s">
        <v>23</v>
      </c>
      <c r="M980">
        <v>0.28789999999999999</v>
      </c>
      <c r="N980">
        <v>0.39</v>
      </c>
      <c r="O980" t="s">
        <v>34</v>
      </c>
      <c r="P980">
        <v>0.44779999999999998</v>
      </c>
      <c r="Q980">
        <v>26</v>
      </c>
      <c r="R980">
        <v>86</v>
      </c>
      <c r="S980">
        <v>112</v>
      </c>
    </row>
    <row r="981" spans="1:19" x14ac:dyDescent="0.3">
      <c r="A981">
        <v>981</v>
      </c>
      <c r="B981" s="46">
        <v>40587</v>
      </c>
      <c r="C981">
        <v>2</v>
      </c>
      <c r="D981">
        <v>12</v>
      </c>
      <c r="E981" t="b">
        <v>0</v>
      </c>
      <c r="F981">
        <v>0</v>
      </c>
      <c r="G981" t="s">
        <v>27</v>
      </c>
      <c r="H981" t="s">
        <v>33</v>
      </c>
      <c r="I981">
        <v>1</v>
      </c>
      <c r="J981" t="s">
        <v>29</v>
      </c>
      <c r="K981">
        <v>0.36</v>
      </c>
      <c r="L981" t="s">
        <v>30</v>
      </c>
      <c r="M981">
        <v>0.31819999999999998</v>
      </c>
      <c r="N981">
        <v>0.32</v>
      </c>
      <c r="O981" t="s">
        <v>34</v>
      </c>
      <c r="P981">
        <v>0.4627</v>
      </c>
      <c r="Q981">
        <v>58</v>
      </c>
      <c r="R981">
        <v>94</v>
      </c>
      <c r="S981">
        <v>152</v>
      </c>
    </row>
    <row r="982" spans="1:19" x14ac:dyDescent="0.3">
      <c r="A982">
        <v>982</v>
      </c>
      <c r="B982" s="46">
        <v>40587</v>
      </c>
      <c r="C982">
        <v>2</v>
      </c>
      <c r="D982">
        <v>13</v>
      </c>
      <c r="E982" t="b">
        <v>0</v>
      </c>
      <c r="F982">
        <v>0</v>
      </c>
      <c r="G982" t="s">
        <v>27</v>
      </c>
      <c r="H982" t="s">
        <v>33</v>
      </c>
      <c r="I982">
        <v>1</v>
      </c>
      <c r="J982" t="s">
        <v>29</v>
      </c>
      <c r="K982">
        <v>0.38</v>
      </c>
      <c r="L982" t="s">
        <v>30</v>
      </c>
      <c r="M982">
        <v>0.39389999999999997</v>
      </c>
      <c r="N982">
        <v>0.28999999999999998</v>
      </c>
      <c r="O982" t="s">
        <v>34</v>
      </c>
      <c r="P982">
        <v>0.35820000000000002</v>
      </c>
      <c r="Q982">
        <v>62</v>
      </c>
      <c r="R982">
        <v>92</v>
      </c>
      <c r="S982">
        <v>154</v>
      </c>
    </row>
    <row r="983" spans="1:19" x14ac:dyDescent="0.3">
      <c r="A983">
        <v>983</v>
      </c>
      <c r="B983" s="46">
        <v>40587</v>
      </c>
      <c r="C983">
        <v>2</v>
      </c>
      <c r="D983">
        <v>14</v>
      </c>
      <c r="E983" t="b">
        <v>0</v>
      </c>
      <c r="F983">
        <v>0</v>
      </c>
      <c r="G983" t="s">
        <v>27</v>
      </c>
      <c r="H983" t="s">
        <v>33</v>
      </c>
      <c r="I983">
        <v>2</v>
      </c>
      <c r="J983" t="s">
        <v>31</v>
      </c>
      <c r="K983">
        <v>0.4</v>
      </c>
      <c r="L983" t="s">
        <v>30</v>
      </c>
      <c r="M983">
        <v>0.40910000000000002</v>
      </c>
      <c r="N983">
        <v>0.3</v>
      </c>
      <c r="O983" t="s">
        <v>34</v>
      </c>
      <c r="P983">
        <v>0.41789999999999999</v>
      </c>
      <c r="Q983">
        <v>51</v>
      </c>
      <c r="R983">
        <v>110</v>
      </c>
      <c r="S983">
        <v>161</v>
      </c>
    </row>
    <row r="984" spans="1:19" x14ac:dyDescent="0.3">
      <c r="A984">
        <v>984</v>
      </c>
      <c r="B984" s="46">
        <v>40587</v>
      </c>
      <c r="C984">
        <v>2</v>
      </c>
      <c r="D984">
        <v>15</v>
      </c>
      <c r="E984" t="b">
        <v>0</v>
      </c>
      <c r="F984">
        <v>0</v>
      </c>
      <c r="G984" t="s">
        <v>27</v>
      </c>
      <c r="H984" t="s">
        <v>33</v>
      </c>
      <c r="I984">
        <v>2</v>
      </c>
      <c r="J984" t="s">
        <v>31</v>
      </c>
      <c r="K984">
        <v>0.4</v>
      </c>
      <c r="L984" t="s">
        <v>30</v>
      </c>
      <c r="M984">
        <v>0.40910000000000002</v>
      </c>
      <c r="N984">
        <v>0.3</v>
      </c>
      <c r="O984" t="s">
        <v>34</v>
      </c>
      <c r="P984">
        <v>0.29849999999999999</v>
      </c>
      <c r="Q984">
        <v>40</v>
      </c>
      <c r="R984">
        <v>122</v>
      </c>
      <c r="S984">
        <v>162</v>
      </c>
    </row>
    <row r="985" spans="1:19" x14ac:dyDescent="0.3">
      <c r="A985">
        <v>985</v>
      </c>
      <c r="B985" s="46">
        <v>40587</v>
      </c>
      <c r="C985">
        <v>2</v>
      </c>
      <c r="D985">
        <v>16</v>
      </c>
      <c r="E985" t="b">
        <v>0</v>
      </c>
      <c r="F985">
        <v>0</v>
      </c>
      <c r="G985" t="s">
        <v>27</v>
      </c>
      <c r="H985" t="s">
        <v>33</v>
      </c>
      <c r="I985">
        <v>2</v>
      </c>
      <c r="J985" t="s">
        <v>31</v>
      </c>
      <c r="K985">
        <v>0.42</v>
      </c>
      <c r="L985" t="s">
        <v>30</v>
      </c>
      <c r="M985">
        <v>0.42420000000000002</v>
      </c>
      <c r="N985">
        <v>0.28000000000000003</v>
      </c>
      <c r="O985" t="s">
        <v>34</v>
      </c>
      <c r="P985">
        <v>0.32840000000000003</v>
      </c>
      <c r="Q985">
        <v>28</v>
      </c>
      <c r="R985">
        <v>106</v>
      </c>
      <c r="S985">
        <v>134</v>
      </c>
    </row>
    <row r="986" spans="1:19" x14ac:dyDescent="0.3">
      <c r="A986">
        <v>986</v>
      </c>
      <c r="B986" s="46">
        <v>40587</v>
      </c>
      <c r="C986">
        <v>2</v>
      </c>
      <c r="D986">
        <v>17</v>
      </c>
      <c r="E986" t="b">
        <v>0</v>
      </c>
      <c r="F986">
        <v>0</v>
      </c>
      <c r="G986" t="s">
        <v>27</v>
      </c>
      <c r="H986" t="s">
        <v>33</v>
      </c>
      <c r="I986">
        <v>1</v>
      </c>
      <c r="J986" t="s">
        <v>29</v>
      </c>
      <c r="K986">
        <v>0.42</v>
      </c>
      <c r="L986" t="s">
        <v>30</v>
      </c>
      <c r="M986">
        <v>0.42420000000000002</v>
      </c>
      <c r="N986">
        <v>0.28000000000000003</v>
      </c>
      <c r="O986" t="s">
        <v>34</v>
      </c>
      <c r="P986">
        <v>0.32840000000000003</v>
      </c>
      <c r="Q986">
        <v>30</v>
      </c>
      <c r="R986">
        <v>95</v>
      </c>
      <c r="S986">
        <v>125</v>
      </c>
    </row>
    <row r="987" spans="1:19" x14ac:dyDescent="0.3">
      <c r="A987">
        <v>987</v>
      </c>
      <c r="B987" s="46">
        <v>40587</v>
      </c>
      <c r="C987">
        <v>2</v>
      </c>
      <c r="D987">
        <v>18</v>
      </c>
      <c r="E987" t="b">
        <v>0</v>
      </c>
      <c r="F987">
        <v>0</v>
      </c>
      <c r="G987" t="s">
        <v>27</v>
      </c>
      <c r="H987" t="s">
        <v>33</v>
      </c>
      <c r="I987">
        <v>1</v>
      </c>
      <c r="J987" t="s">
        <v>29</v>
      </c>
      <c r="K987">
        <v>0.4</v>
      </c>
      <c r="L987" t="s">
        <v>30</v>
      </c>
      <c r="M987">
        <v>0.40910000000000002</v>
      </c>
      <c r="N987">
        <v>0.32</v>
      </c>
      <c r="O987" t="s">
        <v>34</v>
      </c>
      <c r="P987">
        <v>0.29849999999999999</v>
      </c>
      <c r="Q987">
        <v>17</v>
      </c>
      <c r="R987">
        <v>78</v>
      </c>
      <c r="S987">
        <v>95</v>
      </c>
    </row>
    <row r="988" spans="1:19" x14ac:dyDescent="0.3">
      <c r="A988">
        <v>988</v>
      </c>
      <c r="B988" s="46">
        <v>40587</v>
      </c>
      <c r="C988">
        <v>2</v>
      </c>
      <c r="D988">
        <v>19</v>
      </c>
      <c r="E988" t="b">
        <v>0</v>
      </c>
      <c r="F988">
        <v>0</v>
      </c>
      <c r="G988" t="s">
        <v>27</v>
      </c>
      <c r="H988" t="s">
        <v>33</v>
      </c>
      <c r="I988">
        <v>1</v>
      </c>
      <c r="J988" t="s">
        <v>29</v>
      </c>
      <c r="K988">
        <v>0.4</v>
      </c>
      <c r="L988" t="s">
        <v>30</v>
      </c>
      <c r="M988">
        <v>0.40910000000000002</v>
      </c>
      <c r="N988">
        <v>0.35</v>
      </c>
      <c r="O988" t="s">
        <v>34</v>
      </c>
      <c r="P988">
        <v>0.28360000000000002</v>
      </c>
      <c r="Q988">
        <v>11</v>
      </c>
      <c r="R988">
        <v>50</v>
      </c>
      <c r="S988">
        <v>61</v>
      </c>
    </row>
    <row r="989" spans="1:19" x14ac:dyDescent="0.3">
      <c r="A989">
        <v>989</v>
      </c>
      <c r="B989" s="46">
        <v>40587</v>
      </c>
      <c r="C989">
        <v>2</v>
      </c>
      <c r="D989">
        <v>20</v>
      </c>
      <c r="E989" t="b">
        <v>0</v>
      </c>
      <c r="F989">
        <v>0</v>
      </c>
      <c r="G989" t="s">
        <v>27</v>
      </c>
      <c r="H989" t="s">
        <v>33</v>
      </c>
      <c r="I989">
        <v>1</v>
      </c>
      <c r="J989" t="s">
        <v>29</v>
      </c>
      <c r="K989">
        <v>0.4</v>
      </c>
      <c r="L989" t="s">
        <v>30</v>
      </c>
      <c r="M989">
        <v>0.40910000000000002</v>
      </c>
      <c r="N989">
        <v>0.35</v>
      </c>
      <c r="O989" t="s">
        <v>34</v>
      </c>
      <c r="P989">
        <v>0.32840000000000003</v>
      </c>
      <c r="Q989">
        <v>15</v>
      </c>
      <c r="R989">
        <v>32</v>
      </c>
      <c r="S989">
        <v>47</v>
      </c>
    </row>
    <row r="990" spans="1:19" x14ac:dyDescent="0.3">
      <c r="A990">
        <v>990</v>
      </c>
      <c r="B990" s="46">
        <v>40587</v>
      </c>
      <c r="C990">
        <v>2</v>
      </c>
      <c r="D990">
        <v>21</v>
      </c>
      <c r="E990" t="b">
        <v>0</v>
      </c>
      <c r="F990">
        <v>0</v>
      </c>
      <c r="G990" t="s">
        <v>27</v>
      </c>
      <c r="H990" t="s">
        <v>33</v>
      </c>
      <c r="I990">
        <v>1</v>
      </c>
      <c r="J990" t="s">
        <v>29</v>
      </c>
      <c r="K990">
        <v>0.4</v>
      </c>
      <c r="L990" t="s">
        <v>30</v>
      </c>
      <c r="M990">
        <v>0.40910000000000002</v>
      </c>
      <c r="N990">
        <v>0.35</v>
      </c>
      <c r="O990" t="s">
        <v>34</v>
      </c>
      <c r="P990">
        <v>0.35820000000000002</v>
      </c>
      <c r="Q990">
        <v>6</v>
      </c>
      <c r="R990">
        <v>45</v>
      </c>
      <c r="S990">
        <v>51</v>
      </c>
    </row>
    <row r="991" spans="1:19" x14ac:dyDescent="0.3">
      <c r="A991">
        <v>991</v>
      </c>
      <c r="B991" s="46">
        <v>40587</v>
      </c>
      <c r="C991">
        <v>2</v>
      </c>
      <c r="D991">
        <v>22</v>
      </c>
      <c r="E991" t="b">
        <v>0</v>
      </c>
      <c r="F991">
        <v>0</v>
      </c>
      <c r="G991" t="s">
        <v>27</v>
      </c>
      <c r="H991" t="s">
        <v>33</v>
      </c>
      <c r="I991">
        <v>1</v>
      </c>
      <c r="J991" t="s">
        <v>29</v>
      </c>
      <c r="K991">
        <v>0.4</v>
      </c>
      <c r="L991" t="s">
        <v>30</v>
      </c>
      <c r="M991">
        <v>0.40910000000000002</v>
      </c>
      <c r="N991">
        <v>0.35</v>
      </c>
      <c r="O991" t="s">
        <v>34</v>
      </c>
      <c r="P991">
        <v>0.29849999999999999</v>
      </c>
      <c r="Q991">
        <v>5</v>
      </c>
      <c r="R991">
        <v>31</v>
      </c>
      <c r="S991">
        <v>36</v>
      </c>
    </row>
    <row r="992" spans="1:19" x14ac:dyDescent="0.3">
      <c r="A992">
        <v>992</v>
      </c>
      <c r="B992" s="46">
        <v>40587</v>
      </c>
      <c r="C992">
        <v>2</v>
      </c>
      <c r="D992">
        <v>23</v>
      </c>
      <c r="E992" t="b">
        <v>0</v>
      </c>
      <c r="F992">
        <v>0</v>
      </c>
      <c r="G992" t="s">
        <v>27</v>
      </c>
      <c r="H992" t="s">
        <v>33</v>
      </c>
      <c r="I992">
        <v>1</v>
      </c>
      <c r="J992" t="s">
        <v>29</v>
      </c>
      <c r="K992">
        <v>0.4</v>
      </c>
      <c r="L992" t="s">
        <v>30</v>
      </c>
      <c r="M992">
        <v>0.40910000000000002</v>
      </c>
      <c r="N992">
        <v>0.35</v>
      </c>
      <c r="O992" t="s">
        <v>34</v>
      </c>
      <c r="P992">
        <v>0.35820000000000002</v>
      </c>
      <c r="Q992">
        <v>3</v>
      </c>
      <c r="R992">
        <v>27</v>
      </c>
      <c r="S992">
        <v>30</v>
      </c>
    </row>
    <row r="993" spans="1:19" x14ac:dyDescent="0.3">
      <c r="A993">
        <v>993</v>
      </c>
      <c r="B993" s="46">
        <v>40588</v>
      </c>
      <c r="C993">
        <v>2</v>
      </c>
      <c r="D993">
        <v>0</v>
      </c>
      <c r="E993" t="b">
        <v>0</v>
      </c>
      <c r="F993">
        <v>1</v>
      </c>
      <c r="G993" t="s">
        <v>35</v>
      </c>
      <c r="H993" t="s">
        <v>36</v>
      </c>
      <c r="I993">
        <v>1</v>
      </c>
      <c r="J993" t="s">
        <v>29</v>
      </c>
      <c r="K993">
        <v>0.38</v>
      </c>
      <c r="L993" t="s">
        <v>30</v>
      </c>
      <c r="M993">
        <v>0.39389999999999997</v>
      </c>
      <c r="N993">
        <v>0.37</v>
      </c>
      <c r="O993" t="s">
        <v>34</v>
      </c>
      <c r="P993">
        <v>0.35820000000000002</v>
      </c>
      <c r="Q993">
        <v>3</v>
      </c>
      <c r="R993">
        <v>8</v>
      </c>
      <c r="S993">
        <v>11</v>
      </c>
    </row>
    <row r="994" spans="1:19" x14ac:dyDescent="0.3">
      <c r="A994">
        <v>994</v>
      </c>
      <c r="B994" s="46">
        <v>40588</v>
      </c>
      <c r="C994">
        <v>2</v>
      </c>
      <c r="D994">
        <v>1</v>
      </c>
      <c r="E994" t="b">
        <v>0</v>
      </c>
      <c r="F994">
        <v>1</v>
      </c>
      <c r="G994" t="s">
        <v>35</v>
      </c>
      <c r="H994" t="s">
        <v>36</v>
      </c>
      <c r="I994">
        <v>1</v>
      </c>
      <c r="J994" t="s">
        <v>29</v>
      </c>
      <c r="K994">
        <v>0.38</v>
      </c>
      <c r="L994" t="s">
        <v>30</v>
      </c>
      <c r="M994">
        <v>0.39389999999999997</v>
      </c>
      <c r="N994">
        <v>0.37</v>
      </c>
      <c r="O994" t="s">
        <v>34</v>
      </c>
      <c r="P994">
        <v>0.35820000000000002</v>
      </c>
      <c r="Q994">
        <v>1</v>
      </c>
      <c r="R994">
        <v>6</v>
      </c>
      <c r="S994">
        <v>7</v>
      </c>
    </row>
    <row r="995" spans="1:19" x14ac:dyDescent="0.3">
      <c r="A995">
        <v>995</v>
      </c>
      <c r="B995" s="46">
        <v>40588</v>
      </c>
      <c r="C995">
        <v>2</v>
      </c>
      <c r="D995">
        <v>2</v>
      </c>
      <c r="E995" t="b">
        <v>0</v>
      </c>
      <c r="F995">
        <v>1</v>
      </c>
      <c r="G995" t="s">
        <v>35</v>
      </c>
      <c r="H995" t="s">
        <v>36</v>
      </c>
      <c r="I995">
        <v>1</v>
      </c>
      <c r="J995" t="s">
        <v>29</v>
      </c>
      <c r="K995">
        <v>0.36</v>
      </c>
      <c r="L995" t="s">
        <v>30</v>
      </c>
      <c r="M995">
        <v>0.33329999999999999</v>
      </c>
      <c r="N995">
        <v>0.4</v>
      </c>
      <c r="O995" t="s">
        <v>34</v>
      </c>
      <c r="P995">
        <v>0.29849999999999999</v>
      </c>
      <c r="Q995">
        <v>0</v>
      </c>
      <c r="R995">
        <v>2</v>
      </c>
      <c r="S995">
        <v>2</v>
      </c>
    </row>
    <row r="996" spans="1:19" x14ac:dyDescent="0.3">
      <c r="A996">
        <v>996</v>
      </c>
      <c r="B996" s="46">
        <v>40588</v>
      </c>
      <c r="C996">
        <v>2</v>
      </c>
      <c r="D996">
        <v>3</v>
      </c>
      <c r="E996" t="b">
        <v>0</v>
      </c>
      <c r="F996">
        <v>1</v>
      </c>
      <c r="G996" t="s">
        <v>35</v>
      </c>
      <c r="H996" t="s">
        <v>36</v>
      </c>
      <c r="I996">
        <v>1</v>
      </c>
      <c r="J996" t="s">
        <v>29</v>
      </c>
      <c r="K996">
        <v>0.34</v>
      </c>
      <c r="L996" t="s">
        <v>23</v>
      </c>
      <c r="M996">
        <v>0.31819999999999998</v>
      </c>
      <c r="N996">
        <v>0.46</v>
      </c>
      <c r="O996" t="s">
        <v>34</v>
      </c>
      <c r="P996">
        <v>0.22389999999999999</v>
      </c>
      <c r="Q996">
        <v>1</v>
      </c>
      <c r="R996">
        <v>1</v>
      </c>
      <c r="S996">
        <v>2</v>
      </c>
    </row>
    <row r="997" spans="1:19" x14ac:dyDescent="0.3">
      <c r="A997">
        <v>997</v>
      </c>
      <c r="B997" s="46">
        <v>40588</v>
      </c>
      <c r="C997">
        <v>2</v>
      </c>
      <c r="D997">
        <v>4</v>
      </c>
      <c r="E997" t="b">
        <v>0</v>
      </c>
      <c r="F997">
        <v>1</v>
      </c>
      <c r="G997" t="s">
        <v>35</v>
      </c>
      <c r="H997" t="s">
        <v>36</v>
      </c>
      <c r="I997">
        <v>1</v>
      </c>
      <c r="J997" t="s">
        <v>29</v>
      </c>
      <c r="K997">
        <v>0.32</v>
      </c>
      <c r="L997" t="s">
        <v>23</v>
      </c>
      <c r="M997">
        <v>0.30299999999999999</v>
      </c>
      <c r="N997">
        <v>0.53</v>
      </c>
      <c r="O997" t="s">
        <v>34</v>
      </c>
      <c r="P997">
        <v>0.28360000000000002</v>
      </c>
      <c r="Q997">
        <v>0</v>
      </c>
      <c r="R997">
        <v>2</v>
      </c>
      <c r="S997">
        <v>2</v>
      </c>
    </row>
    <row r="998" spans="1:19" x14ac:dyDescent="0.3">
      <c r="A998">
        <v>998</v>
      </c>
      <c r="B998" s="46">
        <v>40588</v>
      </c>
      <c r="C998">
        <v>2</v>
      </c>
      <c r="D998">
        <v>5</v>
      </c>
      <c r="E998" t="b">
        <v>0</v>
      </c>
      <c r="F998">
        <v>1</v>
      </c>
      <c r="G998" t="s">
        <v>35</v>
      </c>
      <c r="H998" t="s">
        <v>36</v>
      </c>
      <c r="I998">
        <v>1</v>
      </c>
      <c r="J998" t="s">
        <v>29</v>
      </c>
      <c r="K998">
        <v>0.32</v>
      </c>
      <c r="L998" t="s">
        <v>23</v>
      </c>
      <c r="M998">
        <v>0.30299999999999999</v>
      </c>
      <c r="N998">
        <v>0.53</v>
      </c>
      <c r="O998" t="s">
        <v>34</v>
      </c>
      <c r="P998">
        <v>0.28360000000000002</v>
      </c>
      <c r="Q998">
        <v>0</v>
      </c>
      <c r="R998">
        <v>3</v>
      </c>
      <c r="S998">
        <v>3</v>
      </c>
    </row>
    <row r="999" spans="1:19" x14ac:dyDescent="0.3">
      <c r="A999">
        <v>999</v>
      </c>
      <c r="B999" s="46">
        <v>40588</v>
      </c>
      <c r="C999">
        <v>2</v>
      </c>
      <c r="D999">
        <v>6</v>
      </c>
      <c r="E999" t="b">
        <v>0</v>
      </c>
      <c r="F999">
        <v>1</v>
      </c>
      <c r="G999" t="s">
        <v>35</v>
      </c>
      <c r="H999" t="s">
        <v>36</v>
      </c>
      <c r="I999">
        <v>1</v>
      </c>
      <c r="J999" t="s">
        <v>29</v>
      </c>
      <c r="K999">
        <v>0.34</v>
      </c>
      <c r="L999" t="s">
        <v>23</v>
      </c>
      <c r="M999">
        <v>0.30299999999999999</v>
      </c>
      <c r="N999">
        <v>0.46</v>
      </c>
      <c r="O999" t="s">
        <v>34</v>
      </c>
      <c r="P999">
        <v>0.29849999999999999</v>
      </c>
      <c r="Q999">
        <v>1</v>
      </c>
      <c r="R999">
        <v>25</v>
      </c>
      <c r="S999">
        <v>26</v>
      </c>
    </row>
    <row r="1000" spans="1:19" x14ac:dyDescent="0.3">
      <c r="A1000">
        <v>1000</v>
      </c>
      <c r="B1000" s="46">
        <v>40588</v>
      </c>
      <c r="C1000">
        <v>2</v>
      </c>
      <c r="D1000">
        <v>7</v>
      </c>
      <c r="E1000" t="b">
        <v>0</v>
      </c>
      <c r="F1000">
        <v>1</v>
      </c>
      <c r="G1000" t="s">
        <v>35</v>
      </c>
      <c r="H1000" t="s">
        <v>36</v>
      </c>
      <c r="I1000">
        <v>1</v>
      </c>
      <c r="J1000" t="s">
        <v>29</v>
      </c>
      <c r="K1000">
        <v>0.34</v>
      </c>
      <c r="L1000" t="s">
        <v>23</v>
      </c>
      <c r="M1000">
        <v>0.30299999999999999</v>
      </c>
      <c r="N1000">
        <v>0.46</v>
      </c>
      <c r="O1000" t="s">
        <v>34</v>
      </c>
      <c r="P1000">
        <v>0.29849999999999999</v>
      </c>
      <c r="Q1000">
        <v>2</v>
      </c>
      <c r="R1000">
        <v>96</v>
      </c>
      <c r="S1000">
        <v>98</v>
      </c>
    </row>
  </sheetData>
  <mergeCells count="3">
    <mergeCell ref="V1:AI1"/>
    <mergeCell ref="V25:Y25"/>
    <mergeCell ref="V34:V36"/>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6EFF6-481F-4D0D-AA46-228FFEF90685}">
  <dimension ref="N24"/>
  <sheetViews>
    <sheetView showGridLines="0" showRowColHeaders="0" zoomScale="95" zoomScaleNormal="95" workbookViewId="0">
      <selection activeCell="Z26" sqref="Z26"/>
    </sheetView>
  </sheetViews>
  <sheetFormatPr defaultRowHeight="14.4" x14ac:dyDescent="0.3"/>
  <sheetData>
    <row r="24" spans="14:14" x14ac:dyDescent="0.3">
      <c r="N24" s="53"/>
    </row>
  </sheetData>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5312EB-4686-412A-8E57-19D6E325AA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Sheet1</vt:lpstr>
      <vt:lpstr>Dataset1</vt:lpstr>
      <vt:lpstr>Sheet2</vt:lpstr>
      <vt:lpstr>Dataset2</vt:lpstr>
      <vt:lpstr>Sheet A</vt:lpstr>
      <vt:lpstr>Sheet3</vt:lpstr>
      <vt:lpstr>Dataset3</vt:lpstr>
      <vt:lpstr>Sheet forecasting</vt:lpstr>
      <vt:lpstr>Merged sheets</vt:lpstr>
      <vt:lpstr>Dashboard</vt:lpstr>
      <vt:lpstr>Dataset3</vt:lpstr>
      <vt:lpstr>list2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 pc</dc:creator>
  <cp:lastModifiedBy>hp pc</cp:lastModifiedBy>
  <dcterms:created xsi:type="dcterms:W3CDTF">2025-12-23T18:37:33Z</dcterms:created>
  <dcterms:modified xsi:type="dcterms:W3CDTF">2026-01-17T19:59:27Z</dcterms:modified>
</cp:coreProperties>
</file>